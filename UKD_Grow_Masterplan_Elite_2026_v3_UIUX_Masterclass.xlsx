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e457219c5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7dd69790388040d7"/>
    <x:sheet xmlns:r="http://schemas.openxmlformats.org/officeDocument/2006/relationships" name="01_Run_Config" sheetId="2" r:id="R53923aed04b045ca"/>
    <x:sheet xmlns:r="http://schemas.openxmlformats.org/officeDocument/2006/relationships" name="02_Daily_Master" sheetId="3" r:id="R005057e24d9b4741"/>
    <x:sheet xmlns:r="http://schemas.openxmlformats.org/officeDocument/2006/relationships" name="03_Weekly_Master" sheetId="4" r:id="R91ffdd13865d441f"/>
    <x:sheet xmlns:r="http://schemas.openxmlformats.org/officeDocument/2006/relationships" name="04_Monthly_Master" sheetId="5" r:id="Ra1637d7b738f4b79"/>
    <x:sheet xmlns:r="http://schemas.openxmlformats.org/officeDocument/2006/relationships" name="05_Mix_Calculator" sheetId="6" r:id="Rda548d62c4a3436d"/>
    <x:sheet xmlns:r="http://schemas.openxmlformats.org/officeDocument/2006/relationships" name="06_HESI_Reference" sheetId="7" r:id="R5e503d0062c347b2"/>
    <x:sheet xmlns:r="http://schemas.openxmlformats.org/officeDocument/2006/relationships" name="07_AN_pHPerfect" sheetId="8" r:id="R7fb3dd5e1cda41bf"/>
    <x:sheet xmlns:r="http://schemas.openxmlformats.org/officeDocument/2006/relationships" name="08_Hybrid_AB" sheetId="9" r:id="R7292f30927354d93"/>
    <x:sheet xmlns:r="http://schemas.openxmlformats.org/officeDocument/2006/relationships" name="09_Irrigation_Blumat" sheetId="10" r:id="R046e5f0169d04a47"/>
    <x:sheet xmlns:r="http://schemas.openxmlformats.org/officeDocument/2006/relationships" name="10_Climate_Light" sheetId="11" r:id="Rb9b5afe725384bbe"/>
    <x:sheet xmlns:r="http://schemas.openxmlformats.org/officeDocument/2006/relationships" name="11_Training_Canopy" sheetId="12" r:id="R5480441cdb36439e"/>
    <x:sheet xmlns:r="http://schemas.openxmlformats.org/officeDocument/2006/relationships" name="12_Daily_Log" sheetId="13" r:id="R452b9fe821e9493d"/>
    <x:sheet xmlns:r="http://schemas.openxmlformats.org/officeDocument/2006/relationships" name="13_Diagnostics" sheetId="14" r:id="Rd99b8fa9d9f24334"/>
    <x:sheet xmlns:r="http://schemas.openxmlformats.org/officeDocument/2006/relationships" name="14_Harvest_Dry" sheetId="15" r:id="Rf3efc7ea7c4d4128"/>
    <x:sheet xmlns:r="http://schemas.openxmlformats.org/officeDocument/2006/relationships" name="15_Strains" sheetId="16" r:id="R73b2ac85369e427e"/>
    <x:sheet xmlns:r="http://schemas.openxmlformats.org/officeDocument/2006/relationships" name="16_Compatibility" sheetId="17" r:id="Rdecb611769e14527"/>
    <x:sheet xmlns:r="http://schemas.openxmlformats.org/officeDocument/2006/relationships" name="17_All_Products" sheetId="18" r:id="R71701eed4d2d4d1f"/>
    <x:sheet xmlns:r="http://schemas.openxmlformats.org/officeDocument/2006/relationships" name="18_Mineral_Interactions" sheetId="19" r:id="R0b2e9f4ee38547de"/>
    <x:sheet xmlns:r="http://schemas.openxmlformats.org/officeDocument/2006/relationships" name="19_Do_Not_Stack" sheetId="20" r:id="R7d484e0bdc41481e"/>
    <x:sheet xmlns:r="http://schemas.openxmlformats.org/officeDocument/2006/relationships" name="20_Practice_Evidence" sheetId="21" r:id="R82f4c5bf23f94772"/>
    <x:sheet xmlns:r="http://schemas.openxmlformats.org/officeDocument/2006/relationships" name="21_Legal_Safety" sheetId="22" r:id="Rbb80410cc5ec454c"/>
    <x:sheet xmlns:r="http://schemas.openxmlformats.org/officeDocument/2006/relationships" name="22_Sources" sheetId="23" r:id="Rf689b231bd6d4971"/>
    <x:sheet xmlns:r="http://schemas.openxmlformats.org/officeDocument/2006/relationships" name="23_README" sheetId="24" r:id="R92efeb52f83e4eee"/>
    <x:sheet xmlns:r="http://schemas.openxmlformats.org/officeDocument/2006/relationships" name="24_Athena_Balance" sheetId="25" r:id="R6b81efd4f4804fa6"/>
    <x:sheet xmlns:r="http://schemas.openxmlformats.org/officeDocument/2006/relationships" name="25_AN_GrandMaster" sheetId="26" r:id="Reabe5972e3ff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 &quot; / &quot;&amp;0"/>
    <x:numFmt numFmtId="203" formatCode="@"/>
  </x:numFmts>
  <x:fonts count="23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</x:fills>
  <x:borders count="71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</x:borders>
  <x:cellStyleXfs count="1">
    <x:xf numFmtId="0" fontId="0" fillId="0" borderId="0"/>
  </x:cellStyleXfs>
  <x:cellXfs count="13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2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 patternType="solid">
          <x:bgColor rgb="FFE7F4E8"/>
        </x:patternFill>
      </x:fill>
    </x:dxf>
    <x:dxf>
      <x:font>
        <x:b/>
        <x:sz val="13"/>
        <x:color rgb="FFA66A00"/>
      </x:font>
      <x:fill>
        <x:patternFill patternType="solid">
          <x:bgColor rgb="FFFFF6D9"/>
        </x:patternFill>
      </x:fill>
    </x:dxf>
    <x:dxf>
      <x:font>
        <x:b/>
        <x:sz val="13"/>
        <x:color rgb="FFC62828"/>
      </x:font>
      <x:fill>
        <x:patternFill patternType="solid">
          <x:bgColor rgb="FFFDECEC"/>
        </x:patternFill>
      </x:fill>
    </x:dxf>
    <x:dxf>
      <x:fill>
        <x:patternFill patternType="solid">
          <x:bgColor rgb="FFDCEEFF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A66A00"/>
      </x:font>
      <x:fill>
        <x:patternFill patternType="solid">
          <x:bgColor rgb="FFFFF6D9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</x:font>
      <x:fill>
        <x:patternFill patternType="solid">
          <x:bgColor rgb="FFFFFBEA"/>
        </x:patternFill>
      </x:fill>
    </x:dxf>
    <x:dxf>
      <x:font>
        <x:b/>
      </x:font>
      <x:fill>
        <x:patternFill patternType="solid">
          <x:bgColor rgb="FFFFFBEA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</x:font>
      <x:fill>
        <x:patternFill patternType="solid">
          <x:bgColor rgb="FFFFFBEA"/>
        </x:patternFill>
      </x:fill>
    </x:dxf>
    <x:dxf>
      <x:fill>
        <x:patternFill patternType="solid">
          <x:bgColor rgb="FFE7F4E8"/>
        </x:patternFill>
      </x:fill>
    </x:dxf>
    <x:dxf>
      <x:fill>
        <x:patternFill patternType="solid">
          <x:bgColor rgb="FFEEF2F6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A66A00"/>
      </x:font>
      <x:fill>
        <x:patternFill patternType="solid">
          <x:bgColor rgb="FFFFF6D9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6A1B9A"/>
      </x:font>
      <x:fill>
        <x:patternFill patternType="solid">
          <x:bgColor rgb="FFF1E6F7"/>
        </x:patternFill>
      </x:fill>
    </x:dxf>
    <x:dxf>
      <x:font>
        <x:b/>
        <x:color rgb="FF2E7D32"/>
      </x:font>
      <x:fill>
        <x:patternFill patternType="solid">
          <x:bgColor rgb="FFE7F4E8"/>
        </x:patternFill>
      </x:fill>
    </x:dxf>
    <x:dxf>
      <x:font>
        <x:b/>
        <x:color rgb="FFA66A00"/>
      </x:font>
      <x:fill>
        <x:patternFill patternType="solid">
          <x:bgColor rgb="FFFFF6D9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e97c2c3774e08" /><Relationship Type="http://schemas.openxmlformats.org/officeDocument/2006/relationships/theme" Target="/xl/theme/theme1.xml" Id="R0b41326778e445b0" /><Relationship Type="http://schemas.openxmlformats.org/officeDocument/2006/relationships/sharedStrings" Target="/xl/sharedStrings.xml" Id="R2b0fecc317b945c4" /><Relationship Type="http://schemas.openxmlformats.org/officeDocument/2006/relationships/worksheet" Target="/xl/worksheets/sheet1.xml" Id="R7dd69790388040d7" /><Relationship Type="http://schemas.openxmlformats.org/officeDocument/2006/relationships/worksheet" Target="/xl/worksheets/sheet2.xml" Id="R53923aed04b045ca" /><Relationship Type="http://schemas.openxmlformats.org/officeDocument/2006/relationships/worksheet" Target="/xl/worksheets/sheet3.xml" Id="R005057e24d9b4741" /><Relationship Type="http://schemas.openxmlformats.org/officeDocument/2006/relationships/worksheet" Target="/xl/worksheets/sheet4.xml" Id="R91ffdd13865d441f" /><Relationship Type="http://schemas.openxmlformats.org/officeDocument/2006/relationships/worksheet" Target="/xl/worksheets/sheet5.xml" Id="Ra1637d7b738f4b79" /><Relationship Type="http://schemas.openxmlformats.org/officeDocument/2006/relationships/worksheet" Target="/xl/worksheets/sheet6.xml" Id="Rda548d62c4a3436d" /><Relationship Type="http://schemas.openxmlformats.org/officeDocument/2006/relationships/worksheet" Target="/xl/worksheets/sheet7.xml" Id="R5e503d0062c347b2" /><Relationship Type="http://schemas.openxmlformats.org/officeDocument/2006/relationships/worksheet" Target="/xl/worksheets/sheet8.xml" Id="R7fb3dd5e1cda41bf" /><Relationship Type="http://schemas.openxmlformats.org/officeDocument/2006/relationships/worksheet" Target="/xl/worksheets/sheet9.xml" Id="R7292f30927354d93" /><Relationship Type="http://schemas.openxmlformats.org/officeDocument/2006/relationships/worksheet" Target="/xl/worksheets/sheet10.xml" Id="R046e5f0169d04a47" /><Relationship Type="http://schemas.openxmlformats.org/officeDocument/2006/relationships/worksheet" Target="/xl/worksheets/sheet11.xml" Id="Rb9b5afe725384bbe" /><Relationship Type="http://schemas.openxmlformats.org/officeDocument/2006/relationships/worksheet" Target="/xl/worksheets/sheet12.xml" Id="R5480441cdb36439e" /><Relationship Type="http://schemas.openxmlformats.org/officeDocument/2006/relationships/worksheet" Target="/xl/worksheets/sheet13.xml" Id="R452b9fe821e9493d" /><Relationship Type="http://schemas.openxmlformats.org/officeDocument/2006/relationships/worksheet" Target="/xl/worksheets/sheet14.xml" Id="Rd99b8fa9d9f24334" /><Relationship Type="http://schemas.openxmlformats.org/officeDocument/2006/relationships/worksheet" Target="/xl/worksheets/sheet15.xml" Id="Rf3efc7ea7c4d4128" /><Relationship Type="http://schemas.openxmlformats.org/officeDocument/2006/relationships/worksheet" Target="/xl/worksheets/sheet16.xml" Id="R73b2ac85369e427e" /><Relationship Type="http://schemas.openxmlformats.org/officeDocument/2006/relationships/worksheet" Target="/xl/worksheets/sheet17.xml" Id="Rdecb611769e14527" /><Relationship Type="http://schemas.openxmlformats.org/officeDocument/2006/relationships/worksheet" Target="/xl/worksheets/sheet18.xml" Id="R71701eed4d2d4d1f" /><Relationship Type="http://schemas.openxmlformats.org/officeDocument/2006/relationships/worksheet" Target="/xl/worksheets/sheet19.xml" Id="R0b2e9f4ee38547de" /><Relationship Type="http://schemas.openxmlformats.org/officeDocument/2006/relationships/worksheet" Target="/xl/worksheets/sheet20.xml" Id="R7d484e0bdc41481e" /><Relationship Type="http://schemas.openxmlformats.org/officeDocument/2006/relationships/worksheet" Target="/xl/worksheets/sheet21.xml" Id="R82f4c5bf23f94772" /><Relationship Type="http://schemas.openxmlformats.org/officeDocument/2006/relationships/worksheet" Target="/xl/worksheets/sheet22.xml" Id="Rbb80410cc5ec454c" /><Relationship Type="http://schemas.openxmlformats.org/officeDocument/2006/relationships/worksheet" Target="/xl/worksheets/sheet23.xml" Id="Rf689b231bd6d4971" /><Relationship Type="http://schemas.openxmlformats.org/officeDocument/2006/relationships/worksheet" Target="/xl/worksheets/sheet24.xml" Id="R92efeb52f83e4eee" /><Relationship Type="http://schemas.openxmlformats.org/officeDocument/2006/relationships/worksheet" Target="/xl/worksheets/sheet25.xml" Id="R6b81efd4f4804fa6" /><Relationship Type="http://schemas.openxmlformats.org/officeDocument/2006/relationships/worksheet" Target="/xl/worksheets/sheet26.xml" Id="Reabe5972e3ff45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41310b2efd4f34" /><Relationship Type="http://schemas.openxmlformats.org/officeDocument/2006/relationships/chart" Target="/xl/drawings/charts/chart2.xml" Id="Rc8fdd6550cf94bb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eb2ac0840ab4ccf" /><Relationship Type="http://schemas.openxmlformats.org/officeDocument/2006/relationships/chart" Target="/xl/drawings/charts/chart4.xml" Id="Rc11a0bf49eb3419c" /><Relationship Type="http://schemas.openxmlformats.org/officeDocument/2006/relationships/chart" Target="/xl/drawings/charts/chart5.xml" Id="R82c596c94e5a49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1310b2efd4f34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fdd6550cf94bb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b2ac0840ab4ccf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1a0bf49eb3419c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c596c94e5a49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72f034f5164b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f19e08f3ef74d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8b55f3047c864631" /><Relationship Type="http://schemas.openxmlformats.org/officeDocument/2006/relationships/table" Target="/xl/tables/table2.xml" Id="R0d82b21e89504f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a49825480dd942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3db4c554656a440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63a8d8fcf9184d4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.5" hidden="0" customWidth="1"/>
    <x:col min="4" max="4" width="13" hidden="0" customWidth="1"/>
    <x:col min="5" max="5" width="11.5" hidden="0" customWidth="1"/>
    <x:col min="6" max="6" width="11.5" hidden="0" customWidth="1"/>
    <x:col min="7" max="7" width="13" hidden="0" customWidth="1"/>
    <x:col min="9" max="9" width="11.5" hidden="0" customWidth="1"/>
    <x:col min="10" max="10" width="13" hidden="0" customWidth="1"/>
    <x:col min="11" max="11" width="11.5" hidden="0" customWidth="1"/>
    <x:col min="12" max="12" width="11.5" hidden="0" customWidth="1"/>
    <x:col min="13" max="13" width="13" hidden="0" customWidth="1"/>
    <x:col min="14" max="14" width="11.5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1.5" hidden="0" customWidth="1"/>
    <x:col min="8" max="8" width="11.5" hidden="0" customWidth="1"/>
    <x:col min="15" max="15" width="11.5" hidden="0" customWidth="1"/>
  </x:cols>
  <x:sheetData>
    <x:row r="1" ht="34" customHeight="1">
      <x:c r="A1" s="337" t="str">
        <x:v>UKD GROW MASTERPLAN · OPERATOR DASHBOARD</x:v>
      </x:c>
      <x:c r="B1" s="337"/>
      <x:c r="C1" s="337"/>
      <x:c r="D1" s="337"/>
      <x:c r="E1" s="337"/>
      <x:c r="F1" s="337"/>
      <x:c r="G1" s="337"/>
      <x:c r="H1" s="337"/>
      <x:c r="I1" s="337"/>
      <x:c r="J1" s="337"/>
      <x:c r="K1" s="337"/>
      <x:c r="L1" s="337"/>
      <x:c r="M1" s="337"/>
      <x:c r="N1" s="337"/>
      <x:c r="O1" s="337"/>
    </x:row>
    <x:row r="2">
      <x:c r="A2" s="343" t="str">
        <x:v>60×60×180 cm · 140 W · Coco · Autoflower · HESI Reference + Athena Balance + selektive AN-Module</x:v>
      </x:c>
      <x:c r="B2" s="343"/>
      <x:c r="C2" s="343"/>
      <x:c r="D2" s="343"/>
      <x:c r="E2" s="343"/>
      <x:c r="F2" s="343"/>
      <x:c r="G2" s="343"/>
      <x:c r="H2" s="343"/>
      <x:c r="I2" s="343"/>
      <x:c r="J2" s="343"/>
      <x:c r="K2" s="343"/>
      <x:c r="L2" s="343"/>
      <x:c r="M2" s="343"/>
      <x:c r="N2" s="343"/>
      <x:c r="O2" s="343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D3" s="200"/>
      <x:c r="E3" s="200"/>
      <x:c r="F3" s="200"/>
      <x:c r="G3" s="200"/>
      <x:c r="I3" s="14"/>
      <x:c r="J3" s="14"/>
      <x:c r="K3" s="14"/>
      <x:c r="L3" s="14"/>
      <x:c r="M3" s="14"/>
      <x:c r="N3" s="14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0" customHeight="1">
      <x:c r="A4" s="356" t="str">
        <x:v>RUN-TAG</x:v>
      </x:c>
      <x:c r="B4" s="357"/>
      <x:c r="C4" s="358"/>
      <x:c r="D4" s="413" t="str">
        <x:v>PHASE</x:v>
      </x:c>
      <x:c r="E4" s="414"/>
      <x:c r="F4" s="415"/>
      <x:c r="G4" s="457" t="str">
        <x:v>GENETIK</x:v>
      </x:c>
      <x:c r="H4" s="458"/>
      <x:c r="I4" s="459"/>
      <x:c r="J4" s="501" t="str">
        <x:v>STACK</x:v>
      </x:c>
      <x:c r="K4" s="502"/>
      <x:c r="L4" s="503"/>
      <x:c r="M4" s="543" t="str">
        <x:v>LOG-STATUS</x:v>
      </x:c>
      <x:c r="N4" s="544"/>
      <x:c r="O4" s="545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5" customHeight="1">
      <x:c r="A5" s="1299" t="str">
        <x:f>"Tag "&amp;'01_Run_Config'!$B$5&amp;" / "&amp;'01_Run_Config'!$B$7</x:f>
        <x:v>Tag 0 / 80</x:v>
      </x:c>
      <x:c r="B5" s="1300"/>
      <x:c r="C5" s="1301"/>
      <x:c r="D5" s="437" t="str">
        <x:f>VLOOKUP('01_Run_Config'!$B$5,'02_Daily_Master'!$A$2:$AK$82,5,FALSE)</x:f>
        <x:v>Keimung</x:v>
      </x:c>
      <x:c r="E5" s="438"/>
      <x:c r="F5" s="439"/>
      <x:c r="G5" s="487" t="str">
        <x:f>'01_Run_Config'!$B$6</x:f>
        <x:v>Double Grape Auto</x:v>
      </x:c>
      <x:c r="H5" s="488"/>
      <x:c r="I5" s="489"/>
      <x:c r="J5" s="524" t="str">
        <x:f>'01_Run_Config'!$B$18</x:f>
        <x:v>HESI Reference</x:v>
      </x:c>
      <x:c r="K5" s="525"/>
      <x:c r="L5" s="526"/>
      <x:c r="M5" s="572" t="str">
        <x:f>VLOOKUP('01_Run_Config'!$B$5,'12_Daily_Log'!$A$2:$Z$82,25,FALSE)</x:f>
        <x:v>OK</x:v>
      </x:c>
      <x:c r="N5" s="573"/>
      <x:c r="O5" s="574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5" customHeight="1">
      <x:c r="A6" s="1302"/>
      <x:c r="B6" s="1303"/>
      <x:c r="C6" s="1304"/>
      <x:c r="D6" s="440"/>
      <x:c r="E6" s="441"/>
      <x:c r="F6" s="442"/>
      <x:c r="G6" s="490"/>
      <x:c r="H6" s="491"/>
      <x:c r="I6" s="492"/>
      <x:c r="J6" s="527"/>
      <x:c r="K6" s="528"/>
      <x:c r="L6" s="529"/>
      <x:c r="M6" s="575"/>
      <x:c r="N6" s="576"/>
      <x:c r="O6" s="577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5" customHeight="1">
      <x:c r="A7" s="400" t="str">
        <x:f>"Fortschritt: "&amp;TEXT('01_Run_Config'!$B$5/'01_Run_Config'!$B$7,"0%")&amp;" · Ziel "&amp;'01_Run_Config'!$B$7&amp;" Tage"</x:f>
        <x:v>Fortschritt: 0% · Ziel 80 Tage</x:v>
      </x:c>
      <x:c r="B7" s="401"/>
      <x:c r="C7" s="402"/>
      <x:c r="D7" s="443"/>
      <x:c r="E7" s="444"/>
      <x:c r="F7" s="445"/>
      <x:c r="G7" s="493"/>
      <x:c r="H7" s="494"/>
      <x:c r="I7" s="495"/>
      <x:c r="J7" s="530"/>
      <x:c r="K7" s="531"/>
      <x:c r="L7" s="532"/>
      <x:c r="M7" s="578"/>
      <x:c r="N7" s="579"/>
      <x:c r="O7" s="580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>
      <x:c r="A8" s="34"/>
      <x:c r="B8" s="35"/>
      <x:c r="D8" s="34"/>
      <x:c r="E8" s="201"/>
      <x:c r="F8" s="201"/>
      <x:c r="G8" s="35"/>
      <x:c r="I8" s="76"/>
      <x:c r="J8" s="77"/>
      <x:c r="K8" s="77"/>
      <x:c r="L8" s="77"/>
      <x:c r="M8" s="77"/>
      <x:c r="N8" s="78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 t="str">
        <x:v>HEUTE · SOLLWERTE</x:v>
      </x:c>
      <x:c r="B9" s="601"/>
      <x:c r="C9" s="602"/>
      <x:c r="D9" s="600"/>
      <x:c r="E9" s="603"/>
      <x:c r="F9" s="603"/>
      <x:c r="G9" s="601"/>
      <x:c r="H9" s="602"/>
      <x:c r="I9" s="604"/>
      <x:c r="J9" s="602"/>
      <x:c r="K9" s="602"/>
      <x:c r="L9" s="602"/>
      <x:c r="M9" s="602"/>
      <x:c r="N9" s="605"/>
      <x:c r="O9" s="602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4" customHeight="1">
      <x:c r="A10" s="413" t="str">
        <x:v>PPFD</x:v>
      </x:c>
      <x:c r="B10" s="415"/>
      <x:c r="C10" s="630" t="str">
        <x:v>DLI</x:v>
      </x:c>
      <x:c r="D10" s="631"/>
      <x:c r="E10" s="356" t="str">
        <x:v>WATT</x:v>
      </x:c>
      <x:c r="F10" s="641"/>
      <x:c r="G10" s="658" t="str">
        <x:v>ABSTAND cm</x:v>
      </x:c>
      <x:c r="H10" s="358"/>
      <x:c r="I10" s="670" t="str">
        <x:v>TEMP °C</x:v>
      </x:c>
      <x:c r="J10" s="671"/>
      <x:c r="K10" s="670" t="str">
        <x:v>LF %</x:v>
      </x:c>
      <x:c r="L10" s="671"/>
      <x:c r="M10" s="670" t="str">
        <x:v>VPD kPa</x:v>
      </x:c>
      <x:c r="N10" s="696"/>
      <x:c r="O10" s="671"/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32" customHeight="1">
      <x:c r="A11" s="1360" t="n">
        <x:f>VLOOKUP('01_Run_Config'!$B$5,'02_Daily_Master'!$A$2:$AK$82,9,FALSE)</x:f>
        <x:v>160</x:v>
      </x:c>
      <x:c r="B11" s="1361"/>
      <x:c r="C11" s="1360" t="n">
        <x:f>VLOOKUP('01_Run_Config'!$B$5,'02_Daily_Master'!$A$2:$AK$82,10,FALSE)</x:f>
        <x:v>10.368</x:v>
      </x:c>
      <x:c r="D11" s="1362"/>
      <x:c r="E11" s="1363" t="n">
        <x:f>VLOOKUP('01_Run_Config'!$B$5,'02_Daily_Master'!$A$2:$AK$82,8,FALSE)</x:f>
        <x:v>30</x:v>
      </x:c>
      <x:c r="F11" s="1364"/>
      <x:c r="G11" s="1365" t="n">
        <x:f>VLOOKUP('01_Run_Config'!$B$5,'02_Daily_Master'!$A$2:$AK$82,11,FALSE)</x:f>
        <x:v>55</x:v>
      </x:c>
      <x:c r="H11" s="1364"/>
      <x:c r="I11" s="1366" t="n">
        <x:f>VLOOKUP('01_Run_Config'!$B$5,'02_Daily_Master'!$A$2:$AK$82,12,FALSE)</x:f>
        <x:v>25</x:v>
      </x:c>
      <x:c r="J11" s="1367"/>
      <x:c r="K11" s="1366" t="n">
        <x:f>VLOOKUP('01_Run_Config'!$B$5,'02_Daily_Master'!$A$2:$AK$82,14,FALSE)</x:f>
        <x:v>73</x:v>
      </x:c>
      <x:c r="L11" s="1367"/>
      <x:c r="M11" s="1366" t="n">
        <x:f>VLOOKUP('01_Run_Config'!$B$5,'02_Daily_Master'!$A$2:$AK$82,15,FALSE)</x:f>
        <x:v>0.65</x:v>
      </x:c>
      <x:c r="N11" s="1368"/>
      <x:c r="O11" s="13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8" customHeight="1">
      <x:c r="A12" s="443"/>
      <x:c r="B12" s="445"/>
      <x:c r="C12" s="443"/>
      <x:c r="D12" s="445"/>
      <x:c r="E12" s="382"/>
      <x:c r="F12" s="384"/>
      <x:c r="G12" s="382"/>
      <x:c r="H12" s="384"/>
      <x:c r="I12" s="688"/>
      <x:c r="J12" s="689"/>
      <x:c r="K12" s="688"/>
      <x:c r="L12" s="689"/>
      <x:c r="M12" s="688"/>
      <x:c r="N12" s="704"/>
      <x:c r="O12" s="689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707" t="str">
        <x:v>HEUTE · WURZELZONE &amp; WASSER</x:v>
      </x:c>
      <x:c r="B14" s="707"/>
      <x:c r="C14" s="707"/>
      <x:c r="D14" s="707"/>
      <x:c r="E14" s="707"/>
      <x:c r="F14" s="707"/>
      <x:c r="G14" s="707"/>
      <x:c r="H14" s="707"/>
      <x:c r="I14" s="707"/>
      <x:c r="J14" s="707"/>
      <x:c r="K14" s="707"/>
      <x:c r="L14" s="707"/>
      <x:c r="M14" s="707"/>
      <x:c r="N14" s="707"/>
      <x:c r="O14" s="707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4" customHeight="1">
      <x:c r="A15" s="710" t="str">
        <x:v>EC mS/cm</x:v>
      </x:c>
      <x:c r="B15" s="711"/>
      <x:c r="C15" s="712"/>
      <x:c r="D15" s="710" t="str">
        <x:v>pH</x:v>
      </x:c>
      <x:c r="E15" s="711"/>
      <x:c r="F15" s="712"/>
      <x:c r="G15" s="743" t="str">
        <x:v>WASSER min L</x:v>
      </x:c>
      <x:c r="H15" s="744"/>
      <x:c r="I15" s="358"/>
      <x:c r="J15" s="743" t="str">
        <x:v>WASSER max L</x:v>
      </x:c>
      <x:c r="K15" s="744"/>
      <x:c r="L15" s="358"/>
      <x:c r="M15" s="630" t="str">
        <x:v>MODUS</x:v>
      </x:c>
      <x:c r="N15" s="761"/>
      <x:c r="O15" s="762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32" customHeight="1">
      <x:c r="A16" s="1369" t="n">
        <x:f>VLOOKUP('01_Run_Config'!$B$5,'02_Daily_Master'!$A$2:$AK$82,16,FALSE)</x:f>
        <x:v>0.55</x:v>
      </x:c>
      <x:c r="B16" s="1370"/>
      <x:c r="C16" s="1371"/>
      <x:c r="D16" s="1369" t="n">
        <x:f>VLOOKUP('01_Run_Config'!$B$5,'02_Daily_Master'!$A$2:$AK$82,17,FALSE)</x:f>
        <x:v>5.9</x:v>
      </x:c>
      <x:c r="E16" s="1370"/>
      <x:c r="F16" s="1371"/>
      <x:c r="G16" s="1363" t="n">
        <x:f>VLOOKUP('01_Run_Config'!$B$5,'02_Daily_Master'!$A$2:$AK$82,18,FALSE)</x:f>
        <x:v>0.03</x:v>
      </x:c>
      <x:c r="H16" s="1372"/>
      <x:c r="I16" s="1364"/>
      <x:c r="J16" s="1363" t="n">
        <x:f>VLOOKUP('01_Run_Config'!$B$5,'02_Daily_Master'!$A$2:$AK$82,19,FALSE)</x:f>
        <x:v>0.08</x:v>
      </x:c>
      <x:c r="K16" s="1372"/>
      <x:c r="L16" s="1364"/>
      <x:c r="M16" s="1360" t="str">
        <x:f>VLOOKUP('01_Run_Config'!$B$5,'02_Daily_Master'!$A$2:$AK$82,20,FALSE)</x:f>
        <x:v>Manuell Mikro-Ring</x:v>
      </x:c>
      <x:c r="N16" s="1373"/>
      <x:c r="O16" s="1361"/>
      <x:c r="P16"/>
      <x:c r="Q16"/>
      <x:c r="R16"/>
      <x:c r="T16"/>
      <x:c r="U16"/>
      <x:c r="V16"/>
      <x:c r="X16"/>
      <x:c r="Y16"/>
      <x:c r="Z16"/>
      <x:c r="AA16"/>
    </x:row>
    <x:row r="17" ht="8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>
      <x:c r="A18" s="22"/>
      <x:c r="B18" s="57"/>
      <x:c r="C18" s="57"/>
      <x:c r="D18" s="57"/>
      <x:c r="E18" s="57"/>
      <x:c r="F18" s="23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779" t="str">
        <x:v>HEUTE · FEED, TRAINING &amp; ENTSCHEIDUNGEN</x:v>
      </x:c>
      <x:c r="B19" s="780"/>
      <x:c r="C19" s="780"/>
      <x:c r="D19" s="780"/>
      <x:c r="E19" s="780"/>
      <x:c r="F19" s="781"/>
      <x:c r="G19" s="780"/>
      <x:c r="H19" s="780"/>
      <x:c r="I19" s="780"/>
      <x:c r="J19" s="780"/>
      <x:c r="K19" s="780"/>
      <x:c r="L19" s="780"/>
      <x:c r="M19" s="780"/>
      <x:c r="N19" s="780"/>
      <x:c r="O19" s="780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789" t="str">
        <x:v>BASIS</x:v>
      </x:c>
      <x:c r="B20" s="790" t="str">
        <x:v>BASIS</x:v>
      </x:c>
      <x:c r="C20" s="790" t="str">
        <x:v>BASIS</x:v>
      </x:c>
      <x:c r="D20" s="790" t="str">
        <x:v>ATHENA / HESI SUPPORT</x:v>
      </x:c>
      <x:c r="E20" s="790" t="str">
        <x:v>ATHENA / HESI SUPPORT</x:v>
      </x:c>
      <x:c r="F20" s="795" t="str">
        <x:v>ATHENA / HESI SUPPORT</x:v>
      </x:c>
      <x:c r="G20" s="790" t="str">
        <x:v>TRAINING / CANOPY</x:v>
      </x:c>
      <x:c r="H20" s="790" t="str">
        <x:v>TRAINING / CANOPY</x:v>
      </x:c>
      <x:c r="I20" s="790" t="str">
        <x:v>TRAINING / CANOPY</x:v>
      </x:c>
      <x:c r="J20" s="790" t="str">
        <x:v>TRAINING / CANOPY</x:v>
      </x:c>
      <x:c r="K20" s="790" t="str">
        <x:v>STOP / GATE</x:v>
      </x:c>
      <x:c r="L20" s="790" t="str">
        <x:v>STOP / GATE</x:v>
      </x:c>
      <x:c r="M20" s="790" t="str">
        <x:v>STOP / GATE</x:v>
      </x:c>
      <x:c r="N20" s="790" t="str">
        <x:v>STOP / GATE</x:v>
      </x:c>
      <x:c r="O20" s="790" t="str">
        <x:v>STOP / GATE</x:v>
      </x:c>
      <x:c r="P20"/>
      <x:c r="Q20"/>
      <x:c r="R20"/>
      <x:c r="T20"/>
      <x:c r="U20"/>
      <x:c r="V20"/>
      <x:c r="X20"/>
      <x:c r="Y20"/>
      <x:c r="Z20"/>
      <x:c r="AA20"/>
    </x:row>
    <x:row r="21" ht="28" customHeight="1">
      <x:c r="A21" s="816" t="str">
        <x:f>"Basis: "&amp;VLOOKUP('01_Run_Config'!$B$5,'02_Daily_Master'!$A$2:$AK$82,21,FALSE)&amp;CHAR(10)&amp;"Dose: "&amp;TEXT(VLOOKUP('01_Run_Config'!$B$5,'02_Daily_Master'!$A$2:$AK$82,22,FALSE),"0.00")&amp;" ml/L"&amp;CHAR(10)&amp;"Voodoo: "&amp;TEXT(VLOOKUP('01_Run_Config'!$B$5,'02_Daily_Master'!$A$2:$AK$82,29,FALSE),"0.00")&amp;" ml/L"</x:f>
        <x:v>Basis: Kein Basisdünger
Dose: 0.00 ml/L
Voodoo: 0.00 ml/L</x:v>
      </x:c>
      <x:c r="B21" s="817"/>
      <x:c r="C21" s="818"/>
      <x:c r="D21" s="847" t="str">
        <x:f>"Athena: "&amp;VLOOKUP('01_Run_Config'!$B$5,'02_Daily_Master'!$A$2:$AK$82,35,FALSE)&amp;CHAR(10)&amp;"Root: "&amp;TEXT(VLOOKUP('01_Run_Config'!$B$5,'02_Daily_Master'!$A$2:$AK$82,23,FALSE),"0.00")&amp;" ml/L"&amp;CHAR(10)&amp;"PowerZyme: "&amp;TEXT(VLOOKUP('01_Run_Config'!$B$5,'02_Daily_Master'!$A$2:$AK$82,24,FALSE),"0.00")&amp;" ml/L"&amp;CHAR(10)&amp;"Boost / PK: "&amp;TEXT(VLOOKUP('01_Run_Config'!$B$5,'02_Daily_Master'!$A$2:$AK$82,27,FALSE),"0.00")&amp;" / "&amp;TEXT(VLOOKUP('01_Run_Config'!$B$5,'02_Daily_Master'!$A$2:$AK$82,28,FALSE),"0.00")</x:f>
        <x:v>Athena: Titration vor Dünger; nur falls Wasser/Endmix pH+ benötigt
Root: 0.00 ml/L
PowerZyme: 0.00 ml/L
Boost / PK: 0.00 / 0.00</x:v>
      </x:c>
      <x:c r="E21" s="848"/>
      <x:c r="F21" s="849"/>
      <x:c r="G21" s="875" t="str">
        <x:f>VLOOKUP('01_Run_Config'!$B$5,'02_Daily_Master'!$A$2:$AK$82,31,FALSE)</x:f>
        <x:v>Kein Training</x:v>
      </x:c>
      <x:c r="H21" s="876"/>
      <x:c r="I21" s="876"/>
      <x:c r="J21" s="877"/>
      <x:c r="K21" s="904" t="str">
        <x:f>VLOOKUP('01_Run_Config'!$B$5,'02_Daily_Master'!$A$2:$AK$82,33,FALSE)&amp;CHAR(10)&amp;CHAR(10)&amp;"Wochen-Gate: "&amp;VLOOKUP(VLOOKUP('01_Run_Config'!$B$5,'02_Daily_Master'!$A$2:$AK$82,3,FALSE),'03_Weekly_Master'!$A$2:$T$13,20,FALSE)</x:f>
        <x:v>EC nicht erhöhen bei steigender Drain-EC; PPFD nicht erhöhen bei Stress; nie mehrere neue Booster gleichzeitig.
Wochen-Gate: Keimling vital? Sonst nicht Licht/EC pushen</x:v>
      </x:c>
      <x:c r="L21" s="905"/>
      <x:c r="M21" s="905"/>
      <x:c r="N21" s="905"/>
      <x:c r="O21" s="906"/>
      <x:c r="P21"/>
      <x:c r="Q21"/>
      <x:c r="R21"/>
      <x:c r="T21"/>
      <x:c r="U21"/>
      <x:c r="V21"/>
      <x:c r="X21"/>
      <x:c r="Y21"/>
      <x:c r="Z21"/>
      <x:c r="AA21"/>
    </x:row>
    <x:row r="22" ht="28" customHeight="1">
      <x:c r="A22" s="819"/>
      <x:c r="B22" s="820"/>
      <x:c r="C22" s="821"/>
      <x:c r="D22" s="850"/>
      <x:c r="E22" s="851"/>
      <x:c r="F22" s="852"/>
      <x:c r="G22" s="878"/>
      <x:c r="H22" s="879"/>
      <x:c r="I22" s="879"/>
      <x:c r="J22" s="880"/>
      <x:c r="K22" s="907"/>
      <x:c r="L22" s="908"/>
      <x:c r="M22" s="908"/>
      <x:c r="N22" s="908"/>
      <x:c r="O22" s="909"/>
      <x:c r="P22"/>
      <x:c r="Q22"/>
      <x:c r="R22"/>
      <x:c r="T22"/>
      <x:c r="U22"/>
      <x:c r="V22"/>
      <x:c r="X22"/>
      <x:c r="Y22"/>
      <x:c r="Z22"/>
      <x:c r="AA22"/>
    </x:row>
    <x:row r="23" ht="28" customHeight="1">
      <x:c r="A23" s="819"/>
      <x:c r="B23" s="820"/>
      <x:c r="C23" s="821"/>
      <x:c r="D23" s="850"/>
      <x:c r="E23" s="851"/>
      <x:c r="F23" s="852"/>
      <x:c r="G23" s="878"/>
      <x:c r="H23" s="879"/>
      <x:c r="I23" s="879"/>
      <x:c r="J23" s="880"/>
      <x:c r="K23" s="907"/>
      <x:c r="L23" s="908"/>
      <x:c r="M23" s="908"/>
      <x:c r="N23" s="908"/>
      <x:c r="O23" s="909"/>
      <x:c r="P23"/>
      <x:c r="Q23"/>
      <x:c r="R23"/>
      <x:c r="T23"/>
      <x:c r="U23"/>
      <x:c r="V23"/>
      <x:c r="X23"/>
      <x:c r="Y23"/>
      <x:c r="Z23"/>
      <x:c r="AA23"/>
    </x:row>
    <x:row r="24" ht="28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>
      <x:c r="A25" s="22"/>
      <x:c r="B25" s="57"/>
      <x:c r="C25" s="57"/>
      <x:c r="D25" s="57"/>
      <x:c r="E25" s="57"/>
      <x:c r="F25" s="23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919" t="str">
        <x:v>SCHNELLNAVIGATION · Tabs unten nach Namen öffnen · zuerst SETUP → DAILY PLAN → MIX → LOG</x:v>
      </x:c>
      <x:c r="B26" s="920"/>
      <x:c r="C26" s="920"/>
      <x:c r="D26" s="920"/>
      <x:c r="E26" s="920"/>
      <x:c r="F26" s="921"/>
      <x:c r="G26" s="920"/>
      <x:c r="H26" s="920"/>
      <x:c r="I26" s="920"/>
      <x:c r="J26" s="920"/>
      <x:c r="K26" s="920"/>
      <x:c r="L26" s="920"/>
      <x:c r="M26" s="920"/>
      <x:c r="N26" s="920"/>
      <x:c r="O26" s="920"/>
      <x:c r="P26"/>
      <x:c r="Q26"/>
      <x:c r="R26"/>
      <x:c r="T26"/>
      <x:c r="U26"/>
      <x:c r="V26"/>
      <x:c r="X26"/>
      <x:c r="Y26"/>
      <x:c r="Z26"/>
      <x:c r="AA26"/>
    </x:row>
    <x:row r="27" ht="24" customHeight="1">
      <x:c r="A27" s="1305" t="str">
        <x:v>1 · SETUP
01_Run_Config</x:v>
      </x:c>
      <x:c r="B27" s="1306"/>
      <x:c r="C27" s="1307"/>
      <x:c r="D27" s="1311" t="str">
        <x:v>2 · DAILY PLAN
02_Daily_Master</x:v>
      </x:c>
      <x:c r="E27" s="1312"/>
      <x:c r="F27" s="1313"/>
      <x:c r="G27" s="1317" t="str">
        <x:v>3 · MIX
05_Mix_Calculator</x:v>
      </x:c>
      <x:c r="H27" s="1318"/>
      <x:c r="I27" s="1319"/>
      <x:c r="J27" s="1323" t="str">
        <x:v>4 · LOG
12_Daily_Log</x:v>
      </x:c>
      <x:c r="K27" s="1324"/>
      <x:c r="L27" s="1325"/>
      <x:c r="M27" s="1329" t="str">
        <x:v>WEEKLY
03_Weekly_Master</x:v>
      </x:c>
      <x:c r="N27" s="1330"/>
      <x:c r="O27" s="1331"/>
      <x:c r="P27"/>
      <x:c r="Q27"/>
      <x:c r="R27"/>
      <x:c r="T27"/>
      <x:c r="U27"/>
      <x:c r="V27"/>
      <x:c r="X27"/>
      <x:c r="Y27"/>
      <x:c r="Z27"/>
      <x:c r="AA27"/>
    </x:row>
    <x:row r="28" ht="24" customHeight="1">
      <x:c r="A28" s="1308"/>
      <x:c r="B28" s="1309"/>
      <x:c r="C28" s="1310"/>
      <x:c r="D28" s="1314"/>
      <x:c r="E28" s="1315"/>
      <x:c r="F28" s="1316"/>
      <x:c r="G28" s="1320"/>
      <x:c r="H28" s="1321"/>
      <x:c r="I28" s="1322"/>
      <x:c r="J28" s="1326"/>
      <x:c r="K28" s="1327"/>
      <x:c r="L28" s="1328"/>
      <x:c r="M28" s="1332"/>
      <x:c r="N28" s="1333"/>
      <x:c r="O28" s="1334"/>
    </x:row>
    <x:row r="29" ht="24" customHeight="1"/>
    <x:row r="30" ht="24" customHeight="1">
      <x:c r="A30" s="1317" t="str">
        <x:v>HESI
06_HESI_Reference</x:v>
      </x:c>
      <x:c r="B30" s="1318"/>
      <x:c r="C30" s="1319"/>
      <x:c r="D30" s="1335" t="str">
        <x:v>ATHENA BALANCE
24_Athena_Balance</x:v>
      </x:c>
      <x:c r="E30" s="1336"/>
      <x:c r="F30" s="1337"/>
      <x:c r="G30" s="1323" t="str">
        <x:v>AN GRAND MASTER
25_AN_GrandMaster</x:v>
      </x:c>
      <x:c r="H30" s="1324"/>
      <x:c r="I30" s="1325"/>
      <x:c r="J30" s="1329" t="str">
        <x:v>COMPATIBILITY
16_Compatibility</x:v>
      </x:c>
      <x:c r="K30" s="1330"/>
      <x:c r="L30" s="1331"/>
      <x:c r="M30" s="1338" t="str">
        <x:v>DIAGNOSTICS
13_Diagnostics</x:v>
      </x:c>
      <x:c r="N30" s="1339"/>
      <x:c r="O30" s="1340"/>
    </x:row>
    <x:row r="31" ht="24" customHeight="1">
      <x:c r="A31" s="1320"/>
      <x:c r="B31" s="1321"/>
      <x:c r="C31" s="1322"/>
      <x:c r="D31" s="1314"/>
      <x:c r="E31" s="1315"/>
      <x:c r="F31" s="1316"/>
      <x:c r="G31" s="1326"/>
      <x:c r="H31" s="1327"/>
      <x:c r="I31" s="1328"/>
      <x:c r="J31" s="1332"/>
      <x:c r="K31" s="1333"/>
      <x:c r="L31" s="1334"/>
      <x:c r="M31" s="1341"/>
      <x:c r="N31" s="1342"/>
      <x:c r="O31" s="1343"/>
    </x:row>
    <x:row r="33" ht="22" customHeight="1">
      <x:c r="A33" s="1058" t="str">
        <x:v>FARBLOGIK</x:v>
      </x:c>
      <x:c r="B33" s="1058"/>
      <x:c r="C33" s="1058"/>
      <x:c r="D33" s="1058"/>
      <x:c r="E33" s="1058"/>
      <x:c r="F33" s="1058"/>
      <x:c r="G33" s="1058"/>
      <x:c r="H33" s="1058"/>
      <x:c r="I33" s="1058"/>
      <x:c r="J33" s="1058"/>
      <x:c r="K33" s="1058"/>
      <x:c r="L33" s="1058"/>
      <x:c r="M33" s="1058"/>
      <x:c r="N33" s="1058"/>
      <x:c r="O33" s="1058"/>
    </x:row>
    <x:row r="34" ht="22" customHeight="1">
      <x:c r="A34" s="1072" t="str">
        <x:v>LICHT / SYSTEM</x:v>
      </x:c>
      <x:c r="B34" s="1073"/>
      <x:c r="C34" s="1074"/>
      <x:c r="D34" s="1091" t="str">
        <x:v>KLIMA</x:v>
      </x:c>
      <x:c r="E34" s="1092"/>
      <x:c r="F34" s="1093"/>
      <x:c r="G34" s="1110" t="str">
        <x:v>NÄHRSTOFFE</x:v>
      </x:c>
      <x:c r="H34" s="1111"/>
      <x:c r="I34" s="1112"/>
      <x:c r="J34" s="1129" t="str">
        <x:v>BIO / ADDITIVE</x:v>
      </x:c>
      <x:c r="K34" s="1130"/>
      <x:c r="L34" s="1131"/>
      <x:c r="M34" s="1148" t="str">
        <x:v>WARNUNG / STOP</x:v>
      </x:c>
      <x:c r="N34" s="1149"/>
      <x:c r="O34" s="1150"/>
    </x:row>
    <x:row r="35" ht="22" customHeight="1">
      <x:c r="A35" s="1075"/>
      <x:c r="B35" s="1076"/>
      <x:c r="C35" s="1077"/>
      <x:c r="D35" s="1094"/>
      <x:c r="E35" s="1095"/>
      <x:c r="F35" s="1096"/>
      <x:c r="G35" s="1113"/>
      <x:c r="H35" s="1114"/>
      <x:c r="I35" s="1115"/>
      <x:c r="J35" s="1132"/>
      <x:c r="K35" s="1133"/>
      <x:c r="L35" s="1134"/>
      <x:c r="M35" s="1151"/>
      <x:c r="N35" s="1152"/>
      <x:c r="O35" s="1153"/>
    </x:row>
  </x:sheetData>
  <x:mergeCells>
    <x:mergeCell ref="A1:N1"/>
    <x:mergeCell ref="A1:O1"/>
    <x:mergeCell ref="A2:O2"/>
    <x:mergeCell ref="A4:C4"/>
    <x:mergeCell ref="A5:C6"/>
    <x:mergeCell ref="A7:C7"/>
    <x:mergeCell ref="D4:F4"/>
    <x:mergeCell ref="D5:F7"/>
    <x:mergeCell ref="G4:I4"/>
    <x:mergeCell ref="G5:I7"/>
    <x:mergeCell ref="J4:L4"/>
    <x:mergeCell ref="J5:L7"/>
    <x:mergeCell ref="M4:O4"/>
    <x:mergeCell ref="M5:O7"/>
    <x:mergeCell ref="A9:O9"/>
    <x:mergeCell ref="A10:B10"/>
    <x:mergeCell ref="C10:D10"/>
    <x:mergeCell ref="E10:F10"/>
    <x:mergeCell ref="G10:H10"/>
    <x:mergeCell ref="I10:J10"/>
    <x:mergeCell ref="K10:L10"/>
    <x:mergeCell ref="M10:O10"/>
    <x:mergeCell ref="A14:O14"/>
    <x:mergeCell ref="A15:C15"/>
    <x:mergeCell ref="D15:F15"/>
    <x:mergeCell ref="G15:I15"/>
    <x:mergeCell ref="J15:L15"/>
    <x:mergeCell ref="M15:O15"/>
    <x:mergeCell ref="A19:O19"/>
    <x:mergeCell ref="A21:C24"/>
    <x:mergeCell ref="D21:F24"/>
    <x:mergeCell ref="G21:J24"/>
    <x:mergeCell ref="K21:O24"/>
    <x:mergeCell ref="A26:O26"/>
    <x:mergeCell ref="A27:C28"/>
    <x:mergeCell ref="D27:F28"/>
    <x:mergeCell ref="G27:I28"/>
    <x:mergeCell ref="J27:L28"/>
    <x:mergeCell ref="M27:O28"/>
    <x:mergeCell ref="A30:C31"/>
    <x:mergeCell ref="D30:F31"/>
    <x:mergeCell ref="G30:I31"/>
    <x:mergeCell ref="J30:L31"/>
    <x:mergeCell ref="M30:O31"/>
    <x:mergeCell ref="A33:O33"/>
    <x:mergeCell ref="A34:C35"/>
    <x:mergeCell ref="D34:F35"/>
    <x:mergeCell ref="G34:I35"/>
    <x:mergeCell ref="J34:L35"/>
    <x:mergeCell ref="M34:O35"/>
    <x:mergeCell ref="A20:C20"/>
    <x:mergeCell ref="D20:F20"/>
    <x:mergeCell ref="G20:J20"/>
    <x:mergeCell ref="K20:O20"/>
    <x:mergeCell ref="A11:B11"/>
    <x:mergeCell ref="C11:D11"/>
    <x:mergeCell ref="E11:F11"/>
    <x:mergeCell ref="G11:H11"/>
    <x:mergeCell ref="I11:J11"/>
    <x:mergeCell ref="K11:L11"/>
    <x:mergeCell ref="M11:O11"/>
    <x:mergeCell ref="A16:C16"/>
    <x:mergeCell ref="D16:F16"/>
    <x:mergeCell ref="G16:I16"/>
    <x:mergeCell ref="J16:L16"/>
    <x:mergeCell ref="M16:O16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</x:conditionalFormatting>
  <x:pageMargins left="0.7" right="0.7" top="0.75" bottom="0.75" header="0.3" footer="0.3"/>
  <x:drawing xmlns:r="http://schemas.openxmlformats.org/officeDocument/2006/relationships" r:id="R1372f034f5164bf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3" hidden="0" customWidth="1"/>
    <x:col min="4" max="4" width="27" hidden="0" customWidth="1"/>
    <x:col min="5" max="5" width="18" hidden="0" customWidth="1"/>
    <x:col min="6" max="6" width="34" hidden="0" customWidth="1"/>
    <x:col min="7" max="7" width="13" hidden="0" customWidth="1"/>
    <x:col min="8" max="8" width="30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1172" t="n">
        <x:v>46242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0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Double Grape Auto</x:v>
      </x:c>
      <x:c r="D6" s="1162" t="str">
        <x:v>Max. W/m²</x:v>
      </x:c>
      <x:c r="E6" s="1199" t="n">
        <x:f>B11/E4</x:f>
        <x:v>388.8888888888889</x:v>
      </x:c>
      <x:c r="F6" s="1200" t="str">
        <x:v>nur elektrische Kenngröße</x:v>
      </x:c>
    </x:row>
    <x:row r="7">
      <x:c r="A7" s="1162" t="str">
        <x:v>Ziel-Zyklus Tage</x:v>
      </x:c>
      <x:c r="B7" s="1173" t="n">
        <x:v>80</x:v>
      </x:c>
      <x:c r="D7" s="1162" t="str">
        <x:v>Current Phase</x:v>
      </x:c>
      <x:c r="E7" s="1201" t="str">
        <x:f>VLOOKUP(B5,'02_Daily_Master'!$A$2:$AG$82,5,FALSE)</x:f>
        <x:v>Keimung</x:v>
      </x:c>
      <x:c r="F7" s="1200" t="str">
        <x:v>aus Tagesplan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VLOOKUP(B5,'02_Daily_Master'!$A$2:$AG$82,9,FALSE)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VLOOKUP(B5,'02_Daily_Master'!$A$2:$AK$82,16,FALSE)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VLOOKUP(B5,'02_Daily_Master'!$A$2:$AK$82,17,FALSE)</x:f>
        <x:v>5.9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11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Rhiza Coco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</x:v>
      </x:c>
      <x:c r="B15" s="1173" t="str">
        <x:v>Unbekannt / messen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</x:v>
      </x:c>
      <x:c r="B16" s="1173" t="n">
        <x:v>0.3</x:v>
      </x:c>
      <x:c r="D16" s="1162" t="str">
        <x:v>Leckagesensor</x:v>
      </x:c>
      <x:c r="E16" s="1201" t="str">
        <x:v>Pflicht Indoor bei Blumat</x:v>
      </x:c>
      <x:c r="F16" s="1201" t="str">
        <x:v>Blumat Hersteller weist Indoor-Nutzung zurück</x:v>
      </x:c>
      <x:c r="G16" s="1201" t="str">
        <x:v>offen</x:v>
      </x:c>
      <x:c r="H16" s="1200" t="str">
        <x:v>unter Wanne/Reservoir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Volumen &gt; möglicher Leckage</x:v>
      </x:c>
      <x:c r="F17" s="1201" t="str">
        <x:v>Schadensbegrenzung</x:v>
      </x:c>
      <x:c r="G17" s="1201" t="str">
        <x:v>offen</x:v>
      </x:c>
      <x:c r="H17" s="1200" t="str">
        <x:v>Dimensionieren</x:v>
      </x:c>
    </x:row>
    <x:row r="18">
      <x:c r="A18" s="1164" t="str">
        <x:v>Stack</x:v>
      </x:c>
      <x:c r="B18" s="1174" t="str">
        <x:v>HESI Reference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verwenden?</x:v>
      </x:c>
      <x:c r="B21" s="1181" t="str">
        <x:v>Auto / nach Wasser</x:v>
      </x:c>
    </x:row>
    <x:row r="22">
      <x:c r="A22" s="34" t="str">
        <x:v>Athena Balance Titration ml/L</x:v>
      </x:c>
      <x:c r="B22" s="1182" t="n">
        <x:v>0</x:v>
      </x:c>
    </x:row>
    <x:row r="23">
      <x:c r="A23" s="34" t="str">
        <x:v>pH Ziel Endmix</x:v>
      </x:c>
      <x:c r="B23" s="1182" t="n">
        <x:v>5.9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v>Keine (Balance ist Default-Si wenn genutzt)</x:v>
      </x:c>
    </x:row>
    <x:row r="27">
      <x:c r="A27" s="34" t="str">
        <x:v>AN Grand-Master Modus</x:v>
      </x:c>
      <x:c r="B27" s="1182" t="str">
        <x:v>UKD selektiv</x:v>
      </x:c>
    </x:row>
    <x:row r="28">
      <x:c r="A28" s="34" t="str">
        <x:v>GM Dosierungsfaktor vs. Label</x:v>
      </x:c>
      <x:c r="B28" s="1183" t="n">
        <x:v>0.5</x:v>
      </x:c>
    </x:row>
    <x:row r="29">
      <x:c r="A29" s="36" t="str">
        <x:v>Hinweis</x:v>
      </x:c>
      <x:c r="B29" s="37" t="str">
        <x:v>GM-Faktor ist konservativer UKD-Startwert für HESI-Hybrid, keine Herstellerangabe.</x:v>
      </x:c>
    </x:row>
  </x:sheetData>
  <x:mergeCells>
    <x:mergeCell ref="A1:H1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8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list" sqref="B27">
      <x:formula1>"UKD selektiv,Klassisch komplett (nur Forschungsvergleich),AN Vollsystem"</x:formula1>
    </x:dataValidation>
    <x:dataValidation type="decimal" operator="between" sqref="B28">
      <x:formula1>0.25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</x:cols>
  <x:sheetData>
    <x:row r="1" ht="42" customHeight="1">
      <x:c r="A1" s="790" t="str">
        <x:v>Tag</x:v>
      </x:c>
      <x:c r="B1" s="790" t="str">
        <x:v>Datum</x:v>
      </x:c>
      <x:c r="C1" s="790" t="str">
        <x:v>Woche</x:v>
      </x:c>
      <x:c r="D1" s="790" t="str">
        <x:v>Monat</x:v>
      </x:c>
      <x:c r="E1" s="790" t="str">
        <x:v>Phase</x:v>
      </x:c>
      <x:c r="F1" s="790" t="str">
        <x:v>Tagesziel</x:v>
      </x:c>
      <x:c r="G1" s="1211" t="str">
        <x:v>Licht h</x:v>
      </x:c>
      <x:c r="H1" s="1211" t="str">
        <x:v>Watt</x:v>
      </x:c>
      <x:c r="I1" s="1211" t="str">
        <x:v>PPFD</x:v>
      </x:c>
      <x:c r="J1" s="1211" t="str">
        <x:v>DLI</x:v>
      </x:c>
      <x:c r="K1" s="1211" t="str">
        <x:v>Lamp.abst. cm</x:v>
      </x:c>
      <x:c r="L1" s="1212" t="str">
        <x:v>Temp Licht °C</x:v>
      </x:c>
      <x:c r="M1" s="1212" t="str">
        <x:v>Temp Dunkel °C</x:v>
      </x:c>
      <x:c r="N1" s="1212" t="str">
        <x:v>LF %</x:v>
      </x:c>
      <x:c r="O1" s="1212" t="str">
        <x:v>VPD kPa</x:v>
      </x:c>
      <x:c r="P1" s="1212" t="str">
        <x:v>EC Ziel</x:v>
      </x:c>
      <x:c r="Q1" s="1212" t="str">
        <x:v>pH Ziel</x:v>
      </x:c>
      <x:c r="R1" s="1209" t="str">
        <x:v>Wasser min L</x:v>
      </x:c>
      <x:c r="S1" s="1209" t="str">
        <x:v>Wasser max L</x:v>
      </x:c>
      <x:c r="T1" s="1209" t="str">
        <x:v>Bewässerungsmodus</x:v>
      </x:c>
      <x:c r="U1" s="708" t="str">
        <x:v>Basis</x:v>
      </x:c>
      <x:c r="V1" s="708" t="str">
        <x:v>Basis ml/L</x:v>
      </x:c>
      <x:c r="W1" s="708" t="str">
        <x:v>Wurzel Complex ml/L</x:v>
      </x:c>
      <x:c r="X1" s="708" t="str">
        <x:v>PowerZyme ml/L</x:v>
      </x:c>
      <x:c r="Y1" s="708" t="str">
        <x:v>SuperVit ml/L</x:v>
      </x:c>
      <x:c r="Z1" s="708" t="str">
        <x:v>Hesilicio ml/L</x:v>
      </x:c>
      <x:c r="AA1" s="708" t="str">
        <x:v>HESI Boost ml/L</x:v>
      </x:c>
      <x:c r="AB1" s="708" t="str">
        <x:v>PK13/14 ml/L</x:v>
      </x:c>
      <x:c r="AC1" s="708" t="str">
        <x:v>Voodoo ml/L</x:v>
      </x:c>
      <x:c r="AD1" s="1213" t="str">
        <x:v>AN Option</x:v>
      </x:c>
      <x:c r="AE1" s="1213" t="str">
        <x:v>Training / Canopy</x:v>
      </x:c>
      <x:c r="AF1" s="1213" t="str">
        <x:v>QA / Aktion</x:v>
      </x:c>
      <x:c r="AG1" s="1213" t="str">
        <x:v>Stop-/Alarmregel</x:v>
      </x:c>
      <x:c r="AH1" s="1213" t="str">
        <x:v>Quelle/Status</x:v>
      </x:c>
      <x:c r="AI1" s="1213" t="str">
        <x:v>Athena Balance</x:v>
      </x:c>
      <x:c r="AJ1" s="1213" t="str">
        <x:v>GM Label aktiv</x:v>
      </x:c>
      <x:c r="AK1" s="1213" t="str">
        <x:v>UKD GM Empfehlung</x:v>
      </x:c>
    </x:row>
    <x:row r="2">
      <x:c r="A2" s="32" t="n">
        <x:v>0</x:v>
      </x:c>
      <x:c r="B2" s="128" t="n">
        <x:f>'01_Run_Config'!$B$4+A2</x:f>
        <x:v>46242</x:v>
      </x:c>
      <x:c r="C2" s="62" t="n">
        <x:f>INT(A2/7)+1</x:f>
        <x:v>1</x:v>
      </x:c>
      <x:c r="D2" s="62" t="str">
        <x:f>"M"&amp;INT(A2/30)+1</x:f>
        <x:v>M1</x:v>
      </x:c>
      <x:c r="E2" s="62" t="str">
        <x:v>Keimung</x:v>
      </x:c>
      <x:c r="F2" s="62" t="str"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v>0.65</x:v>
      </x:c>
      <x:c r="P2" s="62" t="n">
        <x:v>0.55</x:v>
      </x:c>
      <x:c r="Q2" s="62" t="n">
        <x:v>5.9</x:v>
      </x:c>
      <x:c r="R2" s="62" t="n">
        <x:v>0.03</x:v>
      </x:c>
      <x:c r="S2" s="62" t="n">
        <x:v>0.08</x:v>
      </x:c>
      <x:c r="T2" s="62" t="str">
        <x:v>Manuell Mikro-Ring</x:v>
      </x:c>
      <x:c r="U2" s="62" t="str">
        <x:v>Kein Basisdünger</x:v>
      </x:c>
      <x:c r="V2" s="62" t="n">
        <x:v>0</x:v>
      </x:c>
      <x:c r="W2" s="62" t="n">
        <x:v>0</x:v>
      </x:c>
      <x:c r="X2" s="62" t="n">
        <x:v>0</x:v>
      </x:c>
      <x:c r="Y2" s="62" t="n">
        <x:v>0</x:v>
      </x:c>
      <x:c r="Z2" s="62" t="n">
        <x:v>0</x:v>
      </x:c>
      <x:c r="AA2" s="62" t="n">
        <x:v>0</x:v>
      </x:c>
      <x:c r="AB2" s="62" t="n">
        <x:v>0</x:v>
      </x:c>
      <x:c r="AC2" s="62" t="n">
        <x:v>0</x:v>
      </x:c>
      <x:c r="AD2" s="62" t="str">
        <x:v>AN-Additive Reference=0 außer Voodoo-Tage</x:v>
      </x:c>
      <x:c r="AE2" s="62" t="str">
        <x:v>Kein Training</x:v>
      </x:c>
      <x:c r="AF2" s="62" t="str">
        <x:v>Morgens Klima/Pflanze/Blumat/Leck; Mitte Lichtphase Blattwinkel; vor Dunkel LF/Drain/stehendes Wasser. WÖCHENTLICH: pH/EC kalibrieren, Foto, Canopy messen, PPFD-Spotcheck, Tank/Tray reinigen.</x:v>
      </x:c>
      <x:c r="AG2" s="62" t="str">
        <x:v>EC nicht erhöhen bei steigender Drain-EC; PPFD nicht erhöhen bei Stress; nie mehrere neue Booster gleichzeitig.</x:v>
      </x:c>
      <x:c r="AH2" s="33" t="str">
        <x:v>UKD-Planwert; PPFD/EC/Bedarf haben Vorrang vor Watt/Dosis.</x:v>
      </x:c>
      <x:c r="AI2" s="32" t="str">
        <x:v>Titration vor Dünger; nur falls Wasser/Endmix pH+ benötigt</x:v>
      </x:c>
      <x:c r="AJ2" s="62" t="str">
        <x:v>—</x:v>
      </x:c>
      <x:c r="AK2" s="33" t="str">
        <x:v>Keine GM-Additive.</x:v>
      </x:c>
    </x:row>
    <x:row r="3">
      <x:c r="A3" s="34" t="n">
        <x:v>1</x:v>
      </x:c>
      <x:c r="B3" s="129" t="n">
        <x:f>'01_Run_Config'!$B$4+A3</x:f>
        <x:v>46243</x:v>
      </x:c>
      <x:c r="C3" s="63" t="n">
        <x:f>INT(A3/7)+1</x:f>
        <x:v>1</x:v>
      </x:c>
      <x:c r="D3" s="63" t="str">
        <x:f>"M"&amp;INT(A3/30)+1</x:f>
        <x:v>M1</x:v>
      </x:c>
      <x:c r="E3" s="63" t="str">
        <x:v>Keimung</x:v>
      </x:c>
      <x:c r="F3" s="63" t="str"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v>0.65</x:v>
      </x:c>
      <x:c r="P3" s="63" t="n">
        <x:v>0.55</x:v>
      </x:c>
      <x:c r="Q3" s="63" t="n">
        <x:v>5.9</x:v>
      </x:c>
      <x:c r="R3" s="63" t="n">
        <x:v>0.03</x:v>
      </x:c>
      <x:c r="S3" s="63" t="n">
        <x:v>0.08</x:v>
      </x:c>
      <x:c r="T3" s="63" t="str">
        <x:v>Manuell Mikro-Ring</x:v>
      </x:c>
      <x:c r="U3" s="63" t="str">
        <x:v>Kein Basisdünger</x:v>
      </x:c>
      <x:c r="V3" s="63" t="n">
        <x:v>0</x:v>
      </x:c>
      <x:c r="W3" s="63" t="n">
        <x:v>0</x:v>
      </x:c>
      <x:c r="X3" s="63" t="n">
        <x:v>0</x:v>
      </x:c>
      <x:c r="Y3" s="63" t="n">
        <x:v>0</x:v>
      </x:c>
      <x:c r="Z3" s="63" t="n">
        <x:v>0</x:v>
      </x:c>
      <x:c r="AA3" s="63" t="n">
        <x:v>0</x:v>
      </x:c>
      <x:c r="AB3" s="63" t="n">
        <x:v>0</x:v>
      </x:c>
      <x:c r="AC3" s="63" t="n">
        <x:v>0</x:v>
      </x:c>
      <x:c r="AD3" s="63" t="str">
        <x:v>AN-Additive Reference=0 außer Voodoo-Tage</x:v>
      </x:c>
      <x:c r="AE3" s="63" t="str">
        <x:v>Kein Training</x:v>
      </x:c>
      <x:c r="AF3" s="63" t="str">
        <x:v>Morgens Klima/Pflanze/Blumat/Leck; Mitte Lichtphase Blattwinkel; vor Dunkel LF/Drain/stehendes Wasser.</x:v>
      </x:c>
      <x:c r="AG3" s="63" t="str">
        <x:v>EC nicht erhöhen bei steigender Drain-EC; PPFD nicht erhöhen bei Stress; nie mehrere neue Booster gleichzeitig.</x:v>
      </x:c>
      <x:c r="AH3" s="35" t="str">
        <x:v>UKD-Planwert; PPFD/EC/Bedarf haben Vorrang vor Watt/Dosis.</x:v>
      </x:c>
      <x:c r="AI3" s="34" t="str">
        <x:v>Titration vor Dünger; nur falls Wasser/Endmix pH+ benötigt</x:v>
      </x:c>
      <x:c r="AJ3" s="201" t="str">
        <x:v>—</x:v>
      </x:c>
      <x:c r="AK3" s="35" t="str">
        <x:v>Keine GM-Additive.</x:v>
      </x:c>
    </x:row>
    <x:row r="4">
      <x:c r="A4" s="34" t="n">
        <x:v>2</x:v>
      </x:c>
      <x:c r="B4" s="129" t="n">
        <x:f>'01_Run_Config'!$B$4+A4</x:f>
        <x:v>46244</x:v>
      </x:c>
      <x:c r="C4" s="63" t="n">
        <x:f>INT(A4/7)+1</x:f>
        <x:v>1</x:v>
      </x:c>
      <x:c r="D4" s="63" t="str">
        <x:f>"M"&amp;INT(A4/30)+1</x:f>
        <x:v>M1</x:v>
      </x:c>
      <x:c r="E4" s="63" t="str">
        <x:v>Keimung</x:v>
      </x:c>
      <x:c r="F4" s="63" t="str"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v>0.65</x:v>
      </x:c>
      <x:c r="P4" s="63" t="n">
        <x:v>0.55</x:v>
      </x:c>
      <x:c r="Q4" s="63" t="n">
        <x:v>5.9</x:v>
      </x:c>
      <x:c r="R4" s="63" t="n">
        <x:v>0.03</x:v>
      </x:c>
      <x:c r="S4" s="63" t="n">
        <x:v>0.08</x:v>
      </x:c>
      <x:c r="T4" s="63" t="str">
        <x:v>Manuell Mikro-Ring</x:v>
      </x:c>
      <x:c r="U4" s="63" t="str">
        <x:v>Kein Basisdünger</x:v>
      </x:c>
      <x:c r="V4" s="63" t="n">
        <x:v>0</x:v>
      </x:c>
      <x:c r="W4" s="63" t="n">
        <x:v>0</x:v>
      </x:c>
      <x:c r="X4" s="63" t="n">
        <x:v>0</x:v>
      </x:c>
      <x:c r="Y4" s="63" t="n">
        <x:v>0</x:v>
      </x:c>
      <x:c r="Z4" s="63" t="n">
        <x:v>0</x:v>
      </x:c>
      <x:c r="AA4" s="63" t="n">
        <x:v>0</x:v>
      </x:c>
      <x:c r="AB4" s="63" t="n">
        <x:v>0</x:v>
      </x:c>
      <x:c r="AC4" s="63" t="n">
        <x:v>0</x:v>
      </x:c>
      <x:c r="AD4" s="63" t="str">
        <x:v>AN-Additive Reference=0 außer Voodoo-Tage</x:v>
      </x:c>
      <x:c r="AE4" s="63" t="str">
        <x:v>Kein Training</x:v>
      </x:c>
      <x:c r="AF4" s="63" t="str">
        <x:v>Morgens Klima/Pflanze/Blumat/Leck; Mitte Lichtphase Blattwinkel; vor Dunkel LF/Drain/stehendes Wasser.</x:v>
      </x:c>
      <x:c r="AG4" s="63" t="str">
        <x:v>EC nicht erhöhen bei steigender Drain-EC; PPFD nicht erhöhen bei Stress; nie mehrere neue Booster gleichzeitig.</x:v>
      </x:c>
      <x:c r="AH4" s="35" t="str">
        <x:v>UKD-Planwert; PPFD/EC/Bedarf haben Vorrang vor Watt/Dosis.</x:v>
      </x:c>
      <x:c r="AI4" s="34" t="str">
        <x:v>Titration vor Dünger; nur falls Wasser/Endmix pH+ benötigt</x:v>
      </x:c>
      <x:c r="AJ4" s="201" t="str">
        <x:v>—</x:v>
      </x:c>
      <x:c r="AK4" s="35" t="str">
        <x:v>Keine GM-Additive.</x:v>
      </x:c>
    </x:row>
    <x:row r="5">
      <x:c r="A5" s="34" t="n">
        <x:v>3</x:v>
      </x:c>
      <x:c r="B5" s="129" t="n">
        <x:f>'01_Run_Config'!$B$4+A5</x:f>
        <x:v>46245</x:v>
      </x:c>
      <x:c r="C5" s="63" t="n">
        <x:f>INT(A5/7)+1</x:f>
        <x:v>1</x:v>
      </x:c>
      <x:c r="D5" s="63" t="str">
        <x:f>"M"&amp;INT(A5/30)+1</x:f>
        <x:v>M1</x:v>
      </x:c>
      <x:c r="E5" s="63" t="str">
        <x:v>Keimung</x:v>
      </x:c>
      <x:c r="F5" s="63" t="str"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v>0.65</x:v>
      </x:c>
      <x:c r="P5" s="63" t="n">
        <x:v>0.55</x:v>
      </x:c>
      <x:c r="Q5" s="63" t="n">
        <x:v>5.9</x:v>
      </x:c>
      <x:c r="R5" s="63" t="n">
        <x:v>0.03</x:v>
      </x:c>
      <x:c r="S5" s="63" t="n">
        <x:v>0.08</x:v>
      </x:c>
      <x:c r="T5" s="63" t="str">
        <x:v>Manuell Mikro-Ring</x:v>
      </x:c>
      <x:c r="U5" s="63" t="str">
        <x:v>Kein Basisdünger</x:v>
      </x:c>
      <x:c r="V5" s="63" t="n">
        <x:v>0</x:v>
      </x:c>
      <x:c r="W5" s="63" t="n">
        <x:v>0</x:v>
      </x:c>
      <x:c r="X5" s="63" t="n">
        <x:v>0</x:v>
      </x:c>
      <x:c r="Y5" s="63" t="n">
        <x:v>0</x:v>
      </x:c>
      <x:c r="Z5" s="63" t="n">
        <x:v>0</x:v>
      </x:c>
      <x:c r="AA5" s="63" t="n">
        <x:v>0</x:v>
      </x:c>
      <x:c r="AB5" s="63" t="n">
        <x:v>0</x:v>
      </x:c>
      <x:c r="AC5" s="63" t="n">
        <x:v>0</x:v>
      </x:c>
      <x:c r="AD5" s="63" t="str">
        <x:v>AN-Additive Reference=0 außer Voodoo-Tage</x:v>
      </x:c>
      <x:c r="AE5" s="63" t="str">
        <x:v>Kein Training</x:v>
      </x:c>
      <x:c r="AF5" s="63" t="str">
        <x:v>Morgens Klima/Pflanze/Blumat/Leck; Mitte Lichtphase Blattwinkel; vor Dunkel LF/Drain/stehendes Wasser.</x:v>
      </x:c>
      <x:c r="AG5" s="63" t="str">
        <x:v>EC nicht erhöhen bei steigender Drain-EC; PPFD nicht erhöhen bei Stress; nie mehrere neue Booster gleichzeitig.</x:v>
      </x:c>
      <x:c r="AH5" s="35" t="str">
        <x:v>UKD-Planwert; PPFD/EC/Bedarf haben Vorrang vor Watt/Dosis.</x:v>
      </x:c>
      <x:c r="AI5" s="34" t="str">
        <x:v>Titration vor Dünger; nur falls Wasser/Endmix pH+ benötigt</x:v>
      </x:c>
      <x:c r="AJ5" s="201" t="str">
        <x:v>—</x:v>
      </x:c>
      <x:c r="AK5" s="35" t="str">
        <x:v>Keine GM-Additive.</x:v>
      </x:c>
    </x:row>
    <x:row r="6">
      <x:c r="A6" s="34" t="n">
        <x:v>4</x:v>
      </x:c>
      <x:c r="B6" s="129" t="n">
        <x:f>'01_Run_Config'!$B$4+A6</x:f>
        <x:v>46246</x:v>
      </x:c>
      <x:c r="C6" s="63" t="n">
        <x:f>INT(A6/7)+1</x:f>
        <x:v>1</x:v>
      </x:c>
      <x:c r="D6" s="63" t="str">
        <x:f>"M"&amp;INT(A6/30)+1</x:f>
        <x:v>M1</x:v>
      </x:c>
      <x:c r="E6" s="63" t="str">
        <x:v>Etablierung</x:v>
      </x:c>
      <x:c r="F6" s="63" t="str">
        <x:v>starker Sämling / erster echter Blattzuwachs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v>0.75</x:v>
      </x:c>
      <x:c r="P6" s="63" t="n">
        <x:v>0.8</x:v>
      </x:c>
      <x:c r="Q6" s="63" t="n">
        <x:v>5.9</x:v>
      </x:c>
      <x:c r="R6" s="63" t="n">
        <x:v>0.08</x:v>
      </x:c>
      <x:c r="S6" s="63" t="n">
        <x:v>0.15</x:v>
      </x:c>
      <x:c r="T6" s="63" t="str">
        <x:v>Manuell; Blumat vorbereiten</x:v>
      </x:c>
      <x:c r="U6" s="63" t="str">
        <x:v>HESI TNT</x:v>
      </x:c>
      <x:c r="V6" s="63" t="n">
        <x:v>1.25</x:v>
      </x:c>
      <x:c r="W6" s="63" t="n">
        <x:v>2.5</x:v>
      </x:c>
      <x:c r="X6" s="63" t="n">
        <x:v>0</x:v>
      </x:c>
      <x:c r="Y6" s="63" t="n">
        <x:v>0.015</x:v>
      </x:c>
      <x:c r="Z6" s="63" t="n">
        <x:v>0</x:v>
      </x:c>
      <x:c r="AA6" s="63" t="n">
        <x:v>0</x:v>
      </x:c>
      <x:c r="AB6" s="63" t="n">
        <x:v>0</x:v>
      </x:c>
      <x:c r="AC6" s="63" t="n">
        <x:v>2</x:v>
      </x:c>
      <x:c r="AD6" s="63" t="str">
        <x:v>AN-Additive Reference=0 außer Voodoo-Tage</x:v>
      </x:c>
      <x:c r="AE6" s="63" t="str">
        <x:v>Kein Training</x:v>
      </x:c>
      <x:c r="AF6" s="63" t="str">
        <x:v>Morgens Klima/Pflanze/Blumat/Leck; Mitte Lichtphase Blattwinkel; vor Dunkel LF/Drain/stehendes Wasser.</x:v>
      </x:c>
      <x:c r="AG6" s="63" t="str">
        <x:v>EC nicht erhöhen bei steigender Drain-EC; PPFD nicht erhöhen bei Stress; nie mehrere neue Booster gleichzeitig.</x:v>
      </x:c>
      <x:c r="AH6" s="35" t="str">
        <x:v>UKD-Planwert; PPFD/EC/Bedarf haben Vorrang vor Watt/Dosis.</x:v>
      </x:c>
      <x:c r="AI6" s="34" t="str">
        <x:v>Titration vor Dünger; nur falls Wasser/Endmix pH+ benötigt</x:v>
      </x:c>
      <x:c r="AJ6" s="201" t="str">
        <x:v>G1: Voodoo, B-52, Piranha, Tarantula, Sensizym, Rhino Skin, Bud Candy</x:v>
      </x:c>
      <x:c r="AK6" s="35" t="str">
        <x:v>Voodoo definiert; B-52/Piranha/Tarantula nur A/B. Sensizym nur statt PowerZyme. Rhino Skin AUS wenn Athena Balance aktiv. Bud Candy AUS.</x:v>
      </x:c>
    </x:row>
    <x:row r="7">
      <x:c r="A7" s="34" t="n">
        <x:v>5</x:v>
      </x:c>
      <x:c r="B7" s="129" t="n">
        <x:f>'01_Run_Config'!$B$4+A7</x:f>
        <x:v>46247</x:v>
      </x:c>
      <x:c r="C7" s="63" t="n">
        <x:f>INT(A7/7)+1</x:f>
        <x:v>1</x:v>
      </x:c>
      <x:c r="D7" s="63" t="str">
        <x:f>"M"&amp;INT(A7/30)+1</x:f>
        <x:v>M1</x:v>
      </x:c>
      <x:c r="E7" s="63" t="str">
        <x:v>Etablierung</x:v>
      </x:c>
      <x:c r="F7" s="63" t="str">
        <x:v>starker Sämling / erster echter Blattzuwachs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v>0.75</x:v>
      </x:c>
      <x:c r="P7" s="63" t="n">
        <x:v>0.8</x:v>
      </x:c>
      <x:c r="Q7" s="63" t="n">
        <x:v>5.9</x:v>
      </x:c>
      <x:c r="R7" s="63" t="n">
        <x:v>0.08</x:v>
      </x:c>
      <x:c r="S7" s="63" t="n">
        <x:v>0.15</x:v>
      </x:c>
      <x:c r="T7" s="63" t="str">
        <x:v>Manuell; Blumat vorbereiten</x:v>
      </x:c>
      <x:c r="U7" s="63" t="str">
        <x:v>HESI TNT</x:v>
      </x:c>
      <x:c r="V7" s="63" t="n">
        <x:v>1.25</x:v>
      </x:c>
      <x:c r="W7" s="63" t="n">
        <x:v>0</x:v>
      </x:c>
      <x:c r="X7" s="63" t="n">
        <x:v>0</x:v>
      </x:c>
      <x:c r="Y7" s="63" t="n">
        <x:v>0.015</x:v>
      </x:c>
      <x:c r="Z7" s="63" t="n">
        <x:v>0</x:v>
      </x:c>
      <x:c r="AA7" s="63" t="n">
        <x:v>0</x:v>
      </x:c>
      <x:c r="AB7" s="63" t="n">
        <x:v>0</x:v>
      </x:c>
      <x:c r="AC7" s="63" t="n">
        <x:v>0</x:v>
      </x:c>
      <x:c r="AD7" s="63" t="str">
        <x:v>AN-Additive Reference=0 außer Voodoo-Tage</x:v>
      </x:c>
      <x:c r="AE7" s="63" t="str">
        <x:v>Kein Training</x:v>
      </x:c>
      <x:c r="AF7" s="63" t="str">
        <x:v>Morgens Klima/Pflanze/Blumat/Leck; Mitte Lichtphase Blattwinkel; vor Dunkel LF/Drain/stehendes Wasser.</x:v>
      </x:c>
      <x:c r="AG7" s="63" t="str">
        <x:v>EC nicht erhöhen bei steigender Drain-EC; PPFD nicht erhöhen bei Stress; nie mehrere neue Booster gleichzeitig.</x:v>
      </x:c>
      <x:c r="AH7" s="35" t="str">
        <x:v>UKD-Planwert; PPFD/EC/Bedarf haben Vorrang vor Watt/Dosis.</x:v>
      </x:c>
      <x:c r="AI7" s="34" t="str">
        <x:v>Titration vor Dünger; nur falls Wasser/Endmix pH+ benötigt</x:v>
      </x:c>
      <x:c r="AJ7" s="201" t="str">
        <x:v>G1: Voodoo, B-52, Piranha, Tarantula, Sensizym, Rhino Skin, Bud Candy</x:v>
      </x:c>
      <x:c r="AK7" s="35" t="str">
        <x:v>Voodoo definiert; B-52/Piranha/Tarantula nur A/B. Sensizym nur statt PowerZyme. Rhino Skin AUS wenn Athena Balance aktiv. Bud Candy AUS.</x:v>
      </x:c>
    </x:row>
    <x:row r="8">
      <x:c r="A8" s="34" t="n">
        <x:v>6</x:v>
      </x:c>
      <x:c r="B8" s="129" t="n">
        <x:f>'01_Run_Config'!$B$4+A8</x:f>
        <x:v>46248</x:v>
      </x:c>
      <x:c r="C8" s="63" t="n">
        <x:f>INT(A8/7)+1</x:f>
        <x:v>1</x:v>
      </x:c>
      <x:c r="D8" s="63" t="str">
        <x:f>"M"&amp;INT(A8/30)+1</x:f>
        <x:v>M1</x:v>
      </x:c>
      <x:c r="E8" s="63" t="str">
        <x:v>Etablierung</x:v>
      </x:c>
      <x:c r="F8" s="63" t="str">
        <x:v>starker Sämling / erster echter Blattzuwachs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v>0.75</x:v>
      </x:c>
      <x:c r="P8" s="63" t="n">
        <x:v>0.8</x:v>
      </x:c>
      <x:c r="Q8" s="63" t="n">
        <x:v>5.9</x:v>
      </x:c>
      <x:c r="R8" s="63" t="n">
        <x:v>0.08</x:v>
      </x:c>
      <x:c r="S8" s="63" t="n">
        <x:v>0.15</x:v>
      </x:c>
      <x:c r="T8" s="63" t="str">
        <x:v>Manuell; Blumat vorbereiten</x:v>
      </x:c>
      <x:c r="U8" s="63" t="str">
        <x:v>HESI TNT</x:v>
      </x:c>
      <x:c r="V8" s="63" t="n">
        <x:v>1.25</x:v>
      </x:c>
      <x:c r="W8" s="63" t="n">
        <x:v>0</x:v>
      </x:c>
      <x:c r="X8" s="63" t="n">
        <x:v>0</x:v>
      </x:c>
      <x:c r="Y8" s="63" t="n">
        <x:v>0.015</x:v>
      </x:c>
      <x:c r="Z8" s="63" t="n">
        <x:v>0</x:v>
      </x:c>
      <x:c r="AA8" s="63" t="n">
        <x:v>0</x:v>
      </x:c>
      <x:c r="AB8" s="63" t="n">
        <x:v>0</x:v>
      </x:c>
      <x:c r="AC8" s="63" t="n">
        <x:v>0</x:v>
      </x:c>
      <x:c r="AD8" s="63" t="str">
        <x:v>AN-Additive Reference=0 außer Voodoo-Tage</x:v>
      </x:c>
      <x:c r="AE8" s="63" t="str">
        <x:v>Kein Training</x:v>
      </x:c>
      <x:c r="AF8" s="63" t="str">
        <x:v>Morgens Klima/Pflanze/Blumat/Leck; Mitte Lichtphase Blattwinkel; vor Dunkel LF/Drain/stehendes Wasser.</x:v>
      </x:c>
      <x:c r="AG8" s="63" t="str">
        <x:v>EC nicht erhöhen bei steigender Drain-EC; PPFD nicht erhöhen bei Stress; nie mehrere neue Booster gleichzeitig.</x:v>
      </x:c>
      <x:c r="AH8" s="35" t="str">
        <x:v>UKD-Planwert; PPFD/EC/Bedarf haben Vorrang vor Watt/Dosis.</x:v>
      </x:c>
      <x:c r="AI8" s="34" t="str">
        <x:v>Titration vor Dünger; nur falls Wasser/Endmix pH+ benötigt</x:v>
      </x:c>
      <x:c r="AJ8" s="201" t="str">
        <x:v>G1: Voodoo, B-52, Piranha, Tarantula, Sensizym, Rhino Skin, Bud Candy</x:v>
      </x:c>
      <x:c r="AK8" s="35" t="str">
        <x:v>Voodoo definiert; B-52/Piranha/Tarantula nur A/B. Sensizym nur statt PowerZyme. Rhino Skin AUS wenn Athena Balance aktiv. Bud Candy AUS.</x:v>
      </x:c>
    </x:row>
    <x:row r="9">
      <x:c r="A9" s="34" t="n">
        <x:v>7</x:v>
      </x:c>
      <x:c r="B9" s="129" t="n">
        <x:f>'01_Run_Config'!$B$4+A9</x:f>
        <x:v>46249</x:v>
      </x:c>
      <x:c r="C9" s="63" t="n">
        <x:f>INT(A9/7)+1</x:f>
        <x:v>2</x:v>
      </x:c>
      <x:c r="D9" s="63" t="str">
        <x:f>"M"&amp;INT(A9/30)+1</x:f>
        <x:v>M1</x:v>
      </x:c>
      <x:c r="E9" s="63" t="str">
        <x:v>Etablierung</x:v>
      </x:c>
      <x:c r="F9" s="63" t="str">
        <x:v>starker Sämling / erster echter Blattzuwachs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v>0.75</x:v>
      </x:c>
      <x:c r="P9" s="63" t="n">
        <x:v>0.8</x:v>
      </x:c>
      <x:c r="Q9" s="63" t="n">
        <x:v>5.9</x:v>
      </x:c>
      <x:c r="R9" s="63" t="n">
        <x:v>0.08</x:v>
      </x:c>
      <x:c r="S9" s="63" t="n">
        <x:v>0.15</x:v>
      </x:c>
      <x:c r="T9" s="63" t="str">
        <x:v>Manuell; Blumat vorbereiten</x:v>
      </x:c>
      <x:c r="U9" s="63" t="str">
        <x:v>HESI TNT</x:v>
      </x:c>
      <x:c r="V9" s="63" t="n">
        <x:v>1.25</x:v>
      </x:c>
      <x:c r="W9" s="63" t="n">
        <x:v>0</x:v>
      </x:c>
      <x:c r="X9" s="63" t="n">
        <x:v>2</x:v>
      </x:c>
      <x:c r="Y9" s="63" t="n">
        <x:v>0.015</x:v>
      </x:c>
      <x:c r="Z9" s="63" t="n">
        <x:v>0.5</x:v>
      </x:c>
      <x:c r="AA9" s="63" t="n">
        <x:v>0</x:v>
      </x:c>
      <x:c r="AB9" s="63" t="n">
        <x:v>0</x:v>
      </x:c>
      <x:c r="AC9" s="63" t="n">
        <x:v>0</x:v>
      </x:c>
      <x:c r="AD9" s="63" t="str">
        <x:v>AN-Additive Reference=0 außer Voodoo-Tage</x:v>
      </x:c>
      <x:c r="AE9" s="63" t="str">
        <x:v>Kein Training</x:v>
      </x:c>
      <x:c r="AF9" s="63" t="str">
        <x:v>Morgens Klima/Pflanze/Blumat/Leck; Mitte Lichtphase Blattwinkel; vor Dunkel LF/Drain/stehendes Wasser. WÖCHENTLICH: pH/EC kalibrieren, Foto, Canopy messen, PPFD-Spotcheck, Tank/Tray reinigen.</x:v>
      </x:c>
      <x:c r="AG9" s="63" t="str">
        <x:v>EC nicht erhöhen bei steigender Drain-EC; PPFD nicht erhöhen bei Stress; nie mehrere neue Booster gleichzeitig.</x:v>
      </x:c>
      <x:c r="AH9" s="35" t="str">
        <x:v>UKD-Planwert; PPFD/EC/Bedarf haben Vorrang vor Watt/Dosis.</x:v>
      </x:c>
      <x:c r="AI9" s="34" t="str">
        <x:v>Titration vor Dünger; nur falls Wasser/Endmix pH+ benötigt</x:v>
      </x:c>
      <x:c r="AJ9" s="201" t="str">
        <x:v>G1: Voodoo, B-52, Piranha, Tarantula, Sensizym, Rhino Skin, Bud Candy</x:v>
      </x:c>
      <x:c r="AK9" s="35" t="str">
        <x:v>Voodoo definiert; B-52/Piranha/Tarantula nur A/B. Sensizym nur statt PowerZyme. Rhino Skin AUS wenn Athena Balance aktiv. Bud Candy AUS.</x:v>
      </x:c>
    </x:row>
    <x:row r="10">
      <x:c r="A10" s="34" t="n">
        <x:v>8</x:v>
      </x:c>
      <x:c r="B10" s="129" t="n">
        <x:f>'01_Run_Config'!$B$4+A10</x:f>
        <x:v>46250</x:v>
      </x:c>
      <x:c r="C10" s="63" t="n">
        <x:f>INT(A10/7)+1</x:f>
        <x:v>2</x:v>
      </x:c>
      <x:c r="D10" s="63" t="str">
        <x:f>"M"&amp;INT(A10/30)+1</x:f>
        <x:v>M1</x:v>
      </x:c>
      <x:c r="E10" s="63" t="str">
        <x:v>Early Veg</x:v>
      </x:c>
      <x:c r="F10" s="63" t="str">
        <x:v>Wurzelraum erschließen; kompakt bleiben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v>0.9</x:v>
      </x:c>
      <x:c r="P10" s="63" t="n">
        <x:v>1</x:v>
      </x:c>
      <x:c r="Q10" s="63" t="n">
        <x:v>5.9</x:v>
      </x:c>
      <x:c r="R10" s="63" t="n">
        <x:v>0.15</x:v>
      </x:c>
      <x:c r="S10" s="63" t="n">
        <x:v>0.3</x:v>
      </x:c>
      <x:c r="T10" s="63" t="str">
        <x:v>Blumat kalibrieren + manuell kontrollieren</x:v>
      </x:c>
      <x:c r="U10" s="63" t="str">
        <x:v>HESI TNT</x:v>
      </x:c>
      <x:c r="V10" s="63" t="n">
        <x:v>2</x:v>
      </x:c>
      <x:c r="W10" s="63" t="n">
        <x:v>0</x:v>
      </x:c>
      <x:c r="X10" s="63" t="n">
        <x:v>0</x:v>
      </x:c>
      <x:c r="Y10" s="63" t="n">
        <x:v>0.015</x:v>
      </x:c>
      <x:c r="Z10" s="63" t="n">
        <x:v>0</x:v>
      </x:c>
      <x:c r="AA10" s="63" t="n">
        <x:v>0</x:v>
      </x:c>
      <x:c r="AB10" s="63" t="n">
        <x:v>0</x:v>
      </x:c>
      <x:c r="AC10" s="63" t="n">
        <x:v>0</x:v>
      </x:c>
      <x:c r="AD10" s="63" t="str">
        <x:v>AN-Additive Reference=0 außer Voodoo-Tage</x:v>
      </x:c>
      <x:c r="AE10" s="63" t="str">
        <x:v>LST nur bei 4–5 kräftigen Nodes</x:v>
      </x:c>
      <x:c r="AF10" s="63" t="str">
        <x:v>Morgens Klima/Pflanze/Blumat/Leck; Mitte Lichtphase Blattwinkel; vor Dunkel LF/Drain/stehendes Wasser.</x:v>
      </x:c>
      <x:c r="AG10" s="63" t="str">
        <x:v>EC nicht erhöhen bei steigender Drain-EC; PPFD nicht erhöhen bei Stress; nie mehrere neue Booster gleichzeitig.</x:v>
      </x:c>
      <x:c r="AH10" s="35" t="str">
        <x:v>UKD-Planwert; PPFD/EC/Bedarf haben Vorrang vor Watt/Dosis.</x:v>
      </x:c>
      <x:c r="AI10" s="34" t="str">
        <x:v>Titration vor Dünger; nur falls Wasser/Endmix pH+ benötigt</x:v>
      </x:c>
      <x:c r="AJ10" s="201" t="str">
        <x:v>G1: Voodoo, B-52, Piranha, Tarantula, Sensizym, Rhino Skin, Bud Candy</x:v>
      </x:c>
      <x:c r="AK10" s="35" t="str">
        <x:v>Voodoo definiert; B-52/Piranha/Tarantula nur A/B. Sensizym nur statt PowerZyme. Rhino Skin AUS wenn Athena Balance aktiv. Bud Candy AUS.</x:v>
      </x:c>
    </x:row>
    <x:row r="11">
      <x:c r="A11" s="34" t="n">
        <x:v>9</x:v>
      </x:c>
      <x:c r="B11" s="129" t="n">
        <x:f>'01_Run_Config'!$B$4+A11</x:f>
        <x:v>46251</x:v>
      </x:c>
      <x:c r="C11" s="63" t="n">
        <x:f>INT(A11/7)+1</x:f>
        <x:v>2</x:v>
      </x:c>
      <x:c r="D11" s="63" t="str">
        <x:f>"M"&amp;INT(A11/30)+1</x:f>
        <x:v>M1</x:v>
      </x:c>
      <x:c r="E11" s="63" t="str">
        <x:v>Early Veg</x:v>
      </x:c>
      <x:c r="F11" s="63" t="str">
        <x:v>Wurzelraum erschließen; kompakt bleiben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v>0.9</x:v>
      </x:c>
      <x:c r="P11" s="63" t="n">
        <x:v>1</x:v>
      </x:c>
      <x:c r="Q11" s="63" t="n">
        <x:v>5.9</x:v>
      </x:c>
      <x:c r="R11" s="63" t="n">
        <x:v>0.15</x:v>
      </x:c>
      <x:c r="S11" s="63" t="n">
        <x:v>0.3</x:v>
      </x:c>
      <x:c r="T11" s="63" t="str">
        <x:v>Blumat kalibrieren + manuell kontrollieren</x:v>
      </x:c>
      <x:c r="U11" s="63" t="str">
        <x:v>HESI TNT</x:v>
      </x:c>
      <x:c r="V11" s="63" t="n">
        <x:v>2</x:v>
      </x:c>
      <x:c r="W11" s="63" t="n">
        <x:v>0</x:v>
      </x:c>
      <x:c r="X11" s="63" t="n">
        <x:v>0</x:v>
      </x:c>
      <x:c r="Y11" s="63" t="n">
        <x:v>0.015</x:v>
      </x:c>
      <x:c r="Z11" s="63" t="n">
        <x:v>0</x:v>
      </x:c>
      <x:c r="AA11" s="63" t="n">
        <x:v>0</x:v>
      </x:c>
      <x:c r="AB11" s="63" t="n">
        <x:v>0</x:v>
      </x:c>
      <x:c r="AC11" s="63" t="n">
        <x:v>0</x:v>
      </x:c>
      <x:c r="AD11" s="63" t="str">
        <x:v>AN-Additive Reference=0 außer Voodoo-Tage</x:v>
      </x:c>
      <x:c r="AE11" s="63" t="str">
        <x:v>LST nur bei 4–5 kräftigen Nodes</x:v>
      </x:c>
      <x:c r="AF11" s="63" t="str">
        <x:v>Morgens Klima/Pflanze/Blumat/Leck; Mitte Lichtphase Blattwinkel; vor Dunkel LF/Drain/stehendes Wasser.</x:v>
      </x:c>
      <x:c r="AG11" s="63" t="str">
        <x:v>EC nicht erhöhen bei steigender Drain-EC; PPFD nicht erhöhen bei Stress; nie mehrere neue Booster gleichzeitig.</x:v>
      </x:c>
      <x:c r="AH11" s="35" t="str">
        <x:v>UKD-Planwert; PPFD/EC/Bedarf haben Vorrang vor Watt/Dosis.</x:v>
      </x:c>
      <x:c r="AI11" s="34" t="str">
        <x:v>Titration vor Dünger; nur falls Wasser/Endmix pH+ benötigt</x:v>
      </x:c>
      <x:c r="AJ11" s="201" t="str">
        <x:v>G1: Voodoo, B-52, Piranha, Tarantula, Sensizym, Rhino Skin, Bud Candy</x:v>
      </x:c>
      <x:c r="AK11" s="35" t="str">
        <x:v>Voodoo definiert; B-52/Piranha/Tarantula nur A/B. Sensizym nur statt PowerZyme. Rhino Skin AUS wenn Athena Balance aktiv. Bud Candy AUS.</x:v>
      </x:c>
    </x:row>
    <x:row r="12">
      <x:c r="A12" s="34" t="n">
        <x:v>10</x:v>
      </x:c>
      <x:c r="B12" s="129" t="n">
        <x:f>'01_Run_Config'!$B$4+A12</x:f>
        <x:v>46252</x:v>
      </x:c>
      <x:c r="C12" s="63" t="n">
        <x:f>INT(A12/7)+1</x:f>
        <x:v>2</x:v>
      </x:c>
      <x:c r="D12" s="63" t="str">
        <x:f>"M"&amp;INT(A12/30)+1</x:f>
        <x:v>M1</x:v>
      </x:c>
      <x:c r="E12" s="63" t="str">
        <x:v>Early Veg</x:v>
      </x:c>
      <x:c r="F12" s="63" t="str">
        <x:v>Wurzelraum erschließen; kompakt bleiben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v>0.9</x:v>
      </x:c>
      <x:c r="P12" s="63" t="n">
        <x:v>1</x:v>
      </x:c>
      <x:c r="Q12" s="63" t="n">
        <x:v>5.9</x:v>
      </x:c>
      <x:c r="R12" s="63" t="n">
        <x:v>0.15</x:v>
      </x:c>
      <x:c r="S12" s="63" t="n">
        <x:v>0.3</x:v>
      </x:c>
      <x:c r="T12" s="63" t="str">
        <x:v>Blumat kalibrieren + manuell kontrollieren</x:v>
      </x:c>
      <x:c r="U12" s="63" t="str">
        <x:v>HESI TNT</x:v>
      </x:c>
      <x:c r="V12" s="63" t="n">
        <x:v>2</x:v>
      </x:c>
      <x:c r="W12" s="63" t="n">
        <x:v>2.5</x:v>
      </x:c>
      <x:c r="X12" s="63" t="n">
        <x:v>0</x:v>
      </x:c>
      <x:c r="Y12" s="63" t="n">
        <x:v>0.015</x:v>
      </x:c>
      <x:c r="Z12" s="63" t="n">
        <x:v>0</x:v>
      </x:c>
      <x:c r="AA12" s="63" t="n">
        <x:v>0</x:v>
      </x:c>
      <x:c r="AB12" s="63" t="n">
        <x:v>0</x:v>
      </x:c>
      <x:c r="AC12" s="63" t="n">
        <x:v>0</x:v>
      </x:c>
      <x:c r="AD12" s="63" t="str">
        <x:v>AN-Additive Reference=0 außer Voodoo-Tage</x:v>
      </x:c>
      <x:c r="AE12" s="63" t="str">
        <x:v>LST nur bei 4–5 kräftigen Nodes</x:v>
      </x:c>
      <x:c r="AF12" s="63" t="str">
        <x:v>Morgens Klima/Pflanze/Blumat/Leck; Mitte Lichtphase Blattwinkel; vor Dunkel LF/Drain/stehendes Wasser.</x:v>
      </x:c>
      <x:c r="AG12" s="63" t="str">
        <x:v>EC nicht erhöhen bei steigender Drain-EC; PPFD nicht erhöhen bei Stress; nie mehrere neue Booster gleichzeitig.</x:v>
      </x:c>
      <x:c r="AH12" s="35" t="str">
        <x:v>UKD-Planwert; PPFD/EC/Bedarf haben Vorrang vor Watt/Dosis.</x:v>
      </x:c>
      <x:c r="AI12" s="34" t="str">
        <x:v>Titration vor Dünger; nur falls Wasser/Endmix pH+ benötigt</x:v>
      </x:c>
      <x:c r="AJ12" s="201" t="str">
        <x:v>G1: Voodoo, B-52, Piranha, Tarantula, Sensizym, Rhino Skin, Bud Candy</x:v>
      </x:c>
      <x:c r="AK12" s="35" t="str">
        <x:v>Voodoo definiert; B-52/Piranha/Tarantula nur A/B. Sensizym nur statt PowerZyme. Rhino Skin AUS wenn Athena Balance aktiv. Bud Candy AUS.</x:v>
      </x:c>
    </x:row>
    <x:row r="13">
      <x:c r="A13" s="34" t="n">
        <x:v>11</x:v>
      </x:c>
      <x:c r="B13" s="129" t="n">
        <x:f>'01_Run_Config'!$B$4+A13</x:f>
        <x:v>46253</x:v>
      </x:c>
      <x:c r="C13" s="63" t="n">
        <x:f>INT(A13/7)+1</x:f>
        <x:v>2</x:v>
      </x:c>
      <x:c r="D13" s="63" t="str">
        <x:f>"M"&amp;INT(A13/30)+1</x:f>
        <x:v>M1</x:v>
      </x:c>
      <x:c r="E13" s="63" t="str">
        <x:v>Early Veg</x:v>
      </x:c>
      <x:c r="F13" s="63" t="str">
        <x:v>Wurzelraum erschließen; kompakt bleiben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v>0.9</x:v>
      </x:c>
      <x:c r="P13" s="63" t="n">
        <x:v>1</x:v>
      </x:c>
      <x:c r="Q13" s="63" t="n">
        <x:v>5.9</x:v>
      </x:c>
      <x:c r="R13" s="63" t="n">
        <x:v>0.15</x:v>
      </x:c>
      <x:c r="S13" s="63" t="n">
        <x:v>0.3</x:v>
      </x:c>
      <x:c r="T13" s="63" t="str">
        <x:v>Blumat kalibrieren + manuell kontrollieren</x:v>
      </x:c>
      <x:c r="U13" s="63" t="str">
        <x:v>HESI TNT</x:v>
      </x:c>
      <x:c r="V13" s="63" t="n">
        <x:v>2</x:v>
      </x:c>
      <x:c r="W13" s="63" t="n">
        <x:v>0</x:v>
      </x:c>
      <x:c r="X13" s="63" t="n">
        <x:v>0</x:v>
      </x:c>
      <x:c r="Y13" s="63" t="n">
        <x:v>0.015</x:v>
      </x:c>
      <x:c r="Z13" s="63" t="n">
        <x:v>0</x:v>
      </x:c>
      <x:c r="AA13" s="63" t="n">
        <x:v>0</x:v>
      </x:c>
      <x:c r="AB13" s="63" t="n">
        <x:v>0</x:v>
      </x:c>
      <x:c r="AC13" s="63" t="n">
        <x:v>2</x:v>
      </x:c>
      <x:c r="AD13" s="63" t="str">
        <x:v>AN-Additive Reference=0 außer Voodoo-Tage</x:v>
      </x:c>
      <x:c r="AE13" s="63" t="str">
        <x:v>LST nur bei 4–5 kräftigen Nodes</x:v>
      </x:c>
      <x:c r="AF13" s="63" t="str">
        <x:v>Morgens Klima/Pflanze/Blumat/Leck; Mitte Lichtphase Blattwinkel; vor Dunkel LF/Drain/stehendes Wasser.</x:v>
      </x:c>
      <x:c r="AG13" s="63" t="str">
        <x:v>EC nicht erhöhen bei steigender Drain-EC; PPFD nicht erhöhen bei Stress; nie mehrere neue Booster gleichzeitig.</x:v>
      </x:c>
      <x:c r="AH13" s="35" t="str">
        <x:v>UKD-Planwert; PPFD/EC/Bedarf haben Vorrang vor Watt/Dosis.</x:v>
      </x:c>
      <x:c r="AI13" s="34" t="str">
        <x:v>Titration vor Dünger; nur falls Wasser/Endmix pH+ benötigt</x:v>
      </x:c>
      <x:c r="AJ13" s="201" t="str">
        <x:v>G2: Voodoo, B-52, Piranha, Tarantula, Sensizym, Rhino Skin, Bud Candy, Bud Factor X</x:v>
      </x:c>
      <x:c r="AK13" s="35" t="str">
        <x:v>Voodoo definiert; B-52/Piranha/Tarantula nur A/B. Sensizym nur statt PowerZyme. Rhino Skin AUS wenn Athena Balance aktiv. Bud Candy AUS.</x:v>
      </x:c>
    </x:row>
    <x:row r="14">
      <x:c r="A14" s="34" t="n">
        <x:v>12</x:v>
      </x:c>
      <x:c r="B14" s="129" t="n">
        <x:f>'01_Run_Config'!$B$4+A14</x:f>
        <x:v>46254</x:v>
      </x:c>
      <x:c r="C14" s="63" t="n">
        <x:f>INT(A14/7)+1</x:f>
        <x:v>2</x:v>
      </x:c>
      <x:c r="D14" s="63" t="str">
        <x:f>"M"&amp;INT(A14/30)+1</x:f>
        <x:v>M1</x:v>
      </x:c>
      <x:c r="E14" s="63" t="str">
        <x:v>Early Veg</x:v>
      </x:c>
      <x:c r="F14" s="63" t="str">
        <x:v>Wurzelraum erschließen; kompakt bleiben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v>0.9</x:v>
      </x:c>
      <x:c r="P14" s="63" t="n">
        <x:v>1</x:v>
      </x:c>
      <x:c r="Q14" s="63" t="n">
        <x:v>5.9</x:v>
      </x:c>
      <x:c r="R14" s="63" t="n">
        <x:v>0.15</x:v>
      </x:c>
      <x:c r="S14" s="63" t="n">
        <x:v>0.3</x:v>
      </x:c>
      <x:c r="T14" s="63" t="str">
        <x:v>Blumat kalibrieren + manuell kontrollieren</x:v>
      </x:c>
      <x:c r="U14" s="63" t="str">
        <x:v>HESI TNT</x:v>
      </x:c>
      <x:c r="V14" s="63" t="n">
        <x:v>2</x:v>
      </x:c>
      <x:c r="W14" s="63" t="n">
        <x:v>0</x:v>
      </x:c>
      <x:c r="X14" s="63" t="n">
        <x:v>0</x:v>
      </x:c>
      <x:c r="Y14" s="63" t="n">
        <x:v>0.015</x:v>
      </x:c>
      <x:c r="Z14" s="63" t="n">
        <x:v>0</x:v>
      </x:c>
      <x:c r="AA14" s="63" t="n">
        <x:v>0</x:v>
      </x:c>
      <x:c r="AB14" s="63" t="n">
        <x:v>0</x:v>
      </x:c>
      <x:c r="AC14" s="63" t="n">
        <x:v>0</x:v>
      </x:c>
      <x:c r="AD14" s="63" t="str">
        <x:v>AN-Additive Reference=0 außer Voodoo-Tage</x:v>
      </x:c>
      <x:c r="AE14" s="63" t="str">
        <x:v>LST nur bei 4–5 kräftigen Nodes</x:v>
      </x:c>
      <x:c r="AF14" s="63" t="str">
        <x:v>Morgens Klima/Pflanze/Blumat/Leck; Mitte Lichtphase Blattwinkel; vor Dunkel LF/Drain/stehendes Wasser.</x:v>
      </x:c>
      <x:c r="AG14" s="63" t="str">
        <x:v>EC nicht erhöhen bei steigender Drain-EC; PPFD nicht erhöhen bei Stress; nie mehrere neue Booster gleichzeitig.</x:v>
      </x:c>
      <x:c r="AH14" s="35" t="str">
        <x:v>UKD-Planwert; PPFD/EC/Bedarf haben Vorrang vor Watt/Dosis.</x:v>
      </x:c>
      <x:c r="AI14" s="34" t="str">
        <x:v>Titration vor Dünger; nur falls Wasser/Endmix pH+ benötigt</x:v>
      </x:c>
      <x:c r="AJ14" s="201" t="str">
        <x:v>G2: Voodoo, B-52, Piranha, Tarantula, Sensizym, Rhino Skin, Bud Candy, Bud Factor X</x:v>
      </x:c>
      <x:c r="AK14" s="35" t="str">
        <x:v>Voodoo definiert; B-52/Piranha/Tarantula nur A/B. Sensizym nur statt PowerZyme. Rhino Skin AUS wenn Athena Balance aktiv. Bud Candy AUS.</x:v>
      </x:c>
    </x:row>
    <x:row r="15">
      <x:c r="A15" s="34" t="n">
        <x:v>13</x:v>
      </x:c>
      <x:c r="B15" s="129" t="n">
        <x:f>'01_Run_Config'!$B$4+A15</x:f>
        <x:v>46255</x:v>
      </x:c>
      <x:c r="C15" s="63" t="n">
        <x:f>INT(A15/7)+1</x:f>
        <x:v>2</x:v>
      </x:c>
      <x:c r="D15" s="63" t="str">
        <x:f>"M"&amp;INT(A15/30)+1</x:f>
        <x:v>M1</x:v>
      </x:c>
      <x:c r="E15" s="63" t="str">
        <x:v>Early Veg</x:v>
      </x:c>
      <x:c r="F15" s="63" t="str">
        <x:v>Wurzelraum erschließen; kompakt bleiben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v>0.9</x:v>
      </x:c>
      <x:c r="P15" s="63" t="n">
        <x:v>1</x:v>
      </x:c>
      <x:c r="Q15" s="63" t="n">
        <x:v>5.9</x:v>
      </x:c>
      <x:c r="R15" s="63" t="n">
        <x:v>0.15</x:v>
      </x:c>
      <x:c r="S15" s="63" t="n">
        <x:v>0.3</x:v>
      </x:c>
      <x:c r="T15" s="63" t="str">
        <x:v>Blumat kalibrieren + manuell kontrollieren</x:v>
      </x:c>
      <x:c r="U15" s="63" t="str">
        <x:v>HESI TNT</x:v>
      </x:c>
      <x:c r="V15" s="63" t="n">
        <x:v>2</x:v>
      </x:c>
      <x:c r="W15" s="63" t="n">
        <x:v>0</x:v>
      </x:c>
      <x:c r="X15" s="63" t="n">
        <x:v>0</x:v>
      </x:c>
      <x:c r="Y15" s="63" t="n">
        <x:v>0.015</x:v>
      </x:c>
      <x:c r="Z15" s="63" t="n">
        <x:v>0</x:v>
      </x:c>
      <x:c r="AA15" s="63" t="n">
        <x:v>0</x:v>
      </x:c>
      <x:c r="AB15" s="63" t="n">
        <x:v>0</x:v>
      </x:c>
      <x:c r="AC15" s="63" t="n">
        <x:v>0</x:v>
      </x:c>
      <x:c r="AD15" s="63" t="str">
        <x:v>AN-Additive Reference=0 außer Voodoo-Tage</x:v>
      </x:c>
      <x:c r="AE15" s="63" t="str">
        <x:v>LST nur bei 4–5 kräftigen Nodes</x:v>
      </x:c>
      <x:c r="AF15" s="63" t="str">
        <x:v>Morgens Klima/Pflanze/Blumat/Leck; Mitte Lichtphase Blattwinkel; vor Dunkel LF/Drain/stehendes Wasser.</x:v>
      </x:c>
      <x:c r="AG15" s="63" t="str">
        <x:v>EC nicht erhöhen bei steigender Drain-EC; PPFD nicht erhöhen bei Stress; nie mehrere neue Booster gleichzeitig.</x:v>
      </x:c>
      <x:c r="AH15" s="35" t="str">
        <x:v>UKD-Planwert; PPFD/EC/Bedarf haben Vorrang vor Watt/Dosis.</x:v>
      </x:c>
      <x:c r="AI15" s="34" t="str">
        <x:v>Titration vor Dünger; nur falls Wasser/Endmix pH+ benötigt</x:v>
      </x:c>
      <x:c r="AJ15" s="201" t="str">
        <x:v>G2: Voodoo, B-52, Piranha, Tarantula, Sensizym, Rhino Skin, Bud Candy, Bud Factor X</x:v>
      </x:c>
      <x:c r="AK15" s="35" t="str">
        <x:v>Voodoo definiert; B-52/Piranha/Tarantula nur A/B. Sensizym nur statt PowerZyme. Rhino Skin AUS wenn Athena Balance aktiv. Bud Candy AUS.</x:v>
      </x:c>
    </x:row>
    <x:row r="16">
      <x:c r="A16" s="34" t="n">
        <x:v>14</x:v>
      </x:c>
      <x:c r="B16" s="129" t="n">
        <x:f>'01_Run_Config'!$B$4+A16</x:f>
        <x:v>46256</x:v>
      </x:c>
      <x:c r="C16" s="63" t="n">
        <x:f>INT(A16/7)+1</x:f>
        <x:v>3</x:v>
      </x:c>
      <x:c r="D16" s="63" t="str">
        <x:f>"M"&amp;INT(A16/30)+1</x:f>
        <x:v>M1</x:v>
      </x:c>
      <x:c r="E16" s="63" t="str">
        <x:v>Early Veg</x:v>
      </x:c>
      <x:c r="F16" s="63" t="str">
        <x:v>Wurzelraum erschließen; kompakt bleiben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v>0.9</x:v>
      </x:c>
      <x:c r="P16" s="63" t="n">
        <x:v>1</x:v>
      </x:c>
      <x:c r="Q16" s="63" t="n">
        <x:v>5.9</x:v>
      </x:c>
      <x:c r="R16" s="63" t="n">
        <x:v>0.15</x:v>
      </x:c>
      <x:c r="S16" s="63" t="n">
        <x:v>0.3</x:v>
      </x:c>
      <x:c r="T16" s="63" t="str">
        <x:v>Blumat kalibrieren + manuell kontrollieren</x:v>
      </x:c>
      <x:c r="U16" s="63" t="str">
        <x:v>HESI TNT</x:v>
      </x:c>
      <x:c r="V16" s="63" t="n">
        <x:v>2</x:v>
      </x:c>
      <x:c r="W16" s="63" t="n">
        <x:v>0</x:v>
      </x:c>
      <x:c r="X16" s="63" t="n">
        <x:v>2</x:v>
      </x:c>
      <x:c r="Y16" s="63" t="n">
        <x:v>0.015</x:v>
      </x:c>
      <x:c r="Z16" s="63" t="n">
        <x:v>0.5</x:v>
      </x:c>
      <x:c r="AA16" s="63" t="n">
        <x:v>0</x:v>
      </x:c>
      <x:c r="AB16" s="63" t="n">
        <x:v>0</x:v>
      </x:c>
      <x:c r="AC16" s="63" t="n">
        <x:v>0</x:v>
      </x:c>
      <x:c r="AD16" s="63" t="str">
        <x:v>AN-Additive Reference=0 außer Voodoo-Tage</x:v>
      </x:c>
      <x:c r="AE16" s="63" t="str">
        <x:v>LST nur bei 4–5 kräftigen Nodes</x:v>
      </x:c>
      <x:c r="AF16" s="63" t="str">
        <x:v>Morgens Klima/Pflanze/Blumat/Leck; Mitte Lichtphase Blattwinkel; vor Dunkel LF/Drain/stehendes Wasser. WÖCHENTLICH: pH/EC kalibrieren, Foto, Canopy messen, PPFD-Spotcheck, Tank/Tray reinigen.</x:v>
      </x:c>
      <x:c r="AG16" s="63" t="str">
        <x:v>EC nicht erhöhen bei steigender Drain-EC; PPFD nicht erhöhen bei Stress; nie mehrere neue Booster gleichzeitig.</x:v>
      </x:c>
      <x:c r="AH16" s="35" t="str">
        <x:v>UKD-Planwert; PPFD/EC/Bedarf haben Vorrang vor Watt/Dosis.</x:v>
      </x:c>
      <x:c r="AI16" s="34" t="str">
        <x:v>Titration vor Dünger; nur falls Wasser/Endmix pH+ benötigt</x:v>
      </x:c>
      <x:c r="AJ16" s="201" t="str">
        <x:v>G2: Voodoo, B-52, Piranha, Tarantula, Sensizym, Rhino Skin, Bud Candy, Bud Factor X</x:v>
      </x:c>
      <x:c r="AK16" s="35" t="str">
        <x:v>Voodoo definiert; B-52/Piranha/Tarantula nur A/B. Sensizym nur statt PowerZyme. Rhino Skin AUS wenn Athena Balance aktiv. Bud Candy AUS.</x:v>
      </x:c>
    </x:row>
    <x:row r="17">
      <x:c r="A17" s="34" t="n">
        <x:v>15</x:v>
      </x:c>
      <x:c r="B17" s="129" t="n">
        <x:f>'01_Run_Config'!$B$4+A17</x:f>
        <x:v>46257</x:v>
      </x:c>
      <x:c r="C17" s="63" t="n">
        <x:f>INT(A17/7)+1</x:f>
        <x:v>3</x:v>
      </x:c>
      <x:c r="D17" s="63" t="str">
        <x:f>"M"&amp;INT(A17/30)+1</x:f>
        <x:v>M1</x:v>
      </x:c>
      <x:c r="E17" s="63" t="str">
        <x:v>Veg / LST</x:v>
      </x:c>
      <x:c r="F17" s="63" t="str">
        <x:v>6–10 gleichmäßige Tops vorbereiten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v>1.05</x:v>
      </x:c>
      <x:c r="P17" s="63" t="n">
        <x:v>1.2</x:v>
      </x:c>
      <x:c r="Q17" s="63" t="n">
        <x:v>5.9</x:v>
      </x:c>
      <x:c r="R17" s="63" t="n">
        <x:v>0.25</x:v>
      </x:c>
      <x:c r="S17" s="63" t="n">
        <x:v>0.5</x:v>
      </x:c>
      <x:c r="T17" s="63" t="str">
        <x:v>Blumat bedarfsgerecht</x:v>
      </x:c>
      <x:c r="U17" s="63" t="str">
        <x:v>HESI TNT</x:v>
      </x:c>
      <x:c r="V17" s="63" t="n">
        <x:v>2.5</x:v>
      </x:c>
      <x:c r="W17" s="63" t="n">
        <x:v>0</x:v>
      </x:c>
      <x:c r="X17" s="63" t="n">
        <x:v>0</x:v>
      </x:c>
      <x:c r="Y17" s="63" t="n">
        <x:v>0.015</x:v>
      </x:c>
      <x:c r="Z17" s="63" t="n">
        <x:v>0</x:v>
      </x:c>
      <x:c r="AA17" s="63" t="n">
        <x:v>0</x:v>
      </x:c>
      <x:c r="AB17" s="63" t="n">
        <x:v>0</x:v>
      </x:c>
      <x:c r="AC17" s="63" t="n">
        <x:v>0</x:v>
      </x:c>
      <x:c r="AD17" s="63" t="str">
        <x:v>AN-Additive Reference=0 außer Voodoo-Tage</x:v>
      </x:c>
      <x:c r="AE17" s="63" t="str">
        <x:v>Radiales LST alle 3–4 Tage</x:v>
      </x:c>
      <x:c r="AF17" s="63" t="str">
        <x:v>Morgens Klima/Pflanze/Blumat/Leck; Mitte Lichtphase Blattwinkel; vor Dunkel LF/Drain/stehendes Wasser.</x:v>
      </x:c>
      <x:c r="AG17" s="63" t="str">
        <x:v>EC nicht erhöhen bei steigender Drain-EC; PPFD nicht erhöhen bei Stress; nie mehrere neue Booster gleichzeitig.</x:v>
      </x:c>
      <x:c r="AH17" s="35" t="str">
        <x:v>UKD-Planwert; PPFD/EC/Bedarf haben Vorrang vor Watt/Dosis.</x:v>
      </x:c>
      <x:c r="AI17" s="34" t="str">
        <x:v>Titration vor Dünger; nur falls Wasser/Endmix pH+ benötigt</x:v>
      </x:c>
      <x:c r="AJ17" s="201" t="str">
        <x:v>G2: Voodoo, B-52, Piranha, Tarantula, Sensizym, Rhino Skin, Bud Candy, Bud Factor X</x:v>
      </x:c>
      <x:c r="AK17" s="35" t="str">
        <x:v>Voodoo definiert; B-52/Piranha/Tarantula nur A/B. Sensizym nur statt PowerZyme. Rhino Skin AUS wenn Athena Balance aktiv. Bud Candy AUS.</x:v>
      </x:c>
    </x:row>
    <x:row r="18">
      <x:c r="A18" s="34" t="n">
        <x:v>16</x:v>
      </x:c>
      <x:c r="B18" s="129" t="n">
        <x:f>'01_Run_Config'!$B$4+A18</x:f>
        <x:v>46258</x:v>
      </x:c>
      <x:c r="C18" s="63" t="n">
        <x:f>INT(A18/7)+1</x:f>
        <x:v>3</x:v>
      </x:c>
      <x:c r="D18" s="63" t="str">
        <x:f>"M"&amp;INT(A18/30)+1</x:f>
        <x:v>M1</x:v>
      </x:c>
      <x:c r="E18" s="63" t="str">
        <x:v>Veg / LST</x:v>
      </x:c>
      <x:c r="F18" s="63" t="str">
        <x:v>6–10 gleichmäßige Tops vorbereiten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v>1.05</x:v>
      </x:c>
      <x:c r="P18" s="63" t="n">
        <x:v>1.2</x:v>
      </x:c>
      <x:c r="Q18" s="63" t="n">
        <x:v>5.9</x:v>
      </x:c>
      <x:c r="R18" s="63" t="n">
        <x:v>0.25</x:v>
      </x:c>
      <x:c r="S18" s="63" t="n">
        <x:v>0.5</x:v>
      </x:c>
      <x:c r="T18" s="63" t="str">
        <x:v>Blumat bedarfsgerecht</x:v>
      </x:c>
      <x:c r="U18" s="63" t="str">
        <x:v>HESI TNT</x:v>
      </x:c>
      <x:c r="V18" s="63" t="n">
        <x:v>2.5</x:v>
      </x:c>
      <x:c r="W18" s="63" t="n">
        <x:v>2.5</x:v>
      </x:c>
      <x:c r="X18" s="63" t="n">
        <x:v>0</x:v>
      </x:c>
      <x:c r="Y18" s="63" t="n">
        <x:v>0.015</x:v>
      </x:c>
      <x:c r="Z18" s="63" t="n">
        <x:v>0</x:v>
      </x:c>
      <x:c r="AA18" s="63" t="n">
        <x:v>0</x:v>
      </x:c>
      <x:c r="AB18" s="63" t="n">
        <x:v>0</x:v>
      </x:c>
      <x:c r="AC18" s="63" t="n">
        <x:v>0</x:v>
      </x:c>
      <x:c r="AD18" s="63" t="str">
        <x:v>AN-Additive Reference=0 außer Voodoo-Tage</x:v>
      </x:c>
      <x:c r="AE18" s="63" t="str">
        <x:v>Radiales LST alle 3–4 Tage</x:v>
      </x:c>
      <x:c r="AF18" s="63" t="str">
        <x:v>Morgens Klima/Pflanze/Blumat/Leck; Mitte Lichtphase Blattwinkel; vor Dunkel LF/Drain/stehendes Wasser.</x:v>
      </x:c>
      <x:c r="AG18" s="63" t="str">
        <x:v>EC nicht erhöhen bei steigender Drain-EC; PPFD nicht erhöhen bei Stress; nie mehrere neue Booster gleichzeitig.</x:v>
      </x:c>
      <x:c r="AH18" s="35" t="str">
        <x:v>UKD-Planwert; PPFD/EC/Bedarf haben Vorrang vor Watt/Dosis.</x:v>
      </x:c>
      <x:c r="AI18" s="34" t="str">
        <x:v>Titration vor Dünger; nur falls Wasser/Endmix pH+ benötigt</x:v>
      </x:c>
      <x:c r="AJ18" s="201" t="str">
        <x:v>G2: Voodoo, B-52, Piranha, Tarantula, Sensizym, Rhino Skin, Bud Candy, Bud Factor X</x:v>
      </x:c>
      <x:c r="AK18" s="35" t="str">
        <x:v>Voodoo definiert; B-52/Piranha/Tarantula nur A/B. Sensizym nur statt PowerZyme. Rhino Skin AUS wenn Athena Balance aktiv. Bud Candy AUS.</x:v>
      </x:c>
    </x:row>
    <x:row r="19">
      <x:c r="A19" s="34" t="n">
        <x:v>17</x:v>
      </x:c>
      <x:c r="B19" s="129" t="n">
        <x:f>'01_Run_Config'!$B$4+A19</x:f>
        <x:v>46259</x:v>
      </x:c>
      <x:c r="C19" s="63" t="n">
        <x:f>INT(A19/7)+1</x:f>
        <x:v>3</x:v>
      </x:c>
      <x:c r="D19" s="63" t="str">
        <x:f>"M"&amp;INT(A19/30)+1</x:f>
        <x:v>M1</x:v>
      </x:c>
      <x:c r="E19" s="63" t="str">
        <x:v>Veg / LST</x:v>
      </x:c>
      <x:c r="F19" s="63" t="str">
        <x:v>6–10 gleichmäßige Tops vorbereiten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v>1.05</x:v>
      </x:c>
      <x:c r="P19" s="63" t="n">
        <x:v>1.2</x:v>
      </x:c>
      <x:c r="Q19" s="63" t="n">
        <x:v>5.9</x:v>
      </x:c>
      <x:c r="R19" s="63" t="n">
        <x:v>0.25</x:v>
      </x:c>
      <x:c r="S19" s="63" t="n">
        <x:v>0.5</x:v>
      </x:c>
      <x:c r="T19" s="63" t="str">
        <x:v>Blumat bedarfsgerecht</x:v>
      </x:c>
      <x:c r="U19" s="63" t="str">
        <x:v>HESI TNT</x:v>
      </x:c>
      <x:c r="V19" s="63" t="n">
        <x:v>2.5</x:v>
      </x:c>
      <x:c r="W19" s="63" t="n">
        <x:v>0</x:v>
      </x:c>
      <x:c r="X19" s="63" t="n">
        <x:v>0</x:v>
      </x:c>
      <x:c r="Y19" s="63" t="n">
        <x:v>0.015</x:v>
      </x:c>
      <x:c r="Z19" s="63" t="n">
        <x:v>0</x:v>
      </x:c>
      <x:c r="AA19" s="63" t="n">
        <x:v>0</x:v>
      </x:c>
      <x:c r="AB19" s="63" t="n">
        <x:v>0</x:v>
      </x:c>
      <x:c r="AC19" s="63" t="n">
        <x:v>0</x:v>
      </x:c>
      <x:c r="AD19" s="63" t="str">
        <x:v>AN-Additive Reference=0 außer Voodoo-Tage</x:v>
      </x:c>
      <x:c r="AE19" s="63" t="str">
        <x:v>Radiales LST alle 3–4 Tage</x:v>
      </x:c>
      <x:c r="AF19" s="63" t="str">
        <x:v>Morgens Klima/Pflanze/Blumat/Leck; Mitte Lichtphase Blattwinkel; vor Dunkel LF/Drain/stehendes Wasser.</x:v>
      </x:c>
      <x:c r="AG19" s="63" t="str">
        <x:v>EC nicht erhöhen bei steigender Drain-EC; PPFD nicht erhöhen bei Stress; nie mehrere neue Booster gleichzeitig.</x:v>
      </x:c>
      <x:c r="AH19" s="35" t="str">
        <x:v>UKD-Planwert; PPFD/EC/Bedarf haben Vorrang vor Watt/Dosis.</x:v>
      </x:c>
      <x:c r="AI19" s="34" t="str">
        <x:v>Titration vor Dünger; nur falls Wasser/Endmix pH+ benötigt</x:v>
      </x:c>
      <x:c r="AJ19" s="201" t="str">
        <x:v>G2: Voodoo, B-52, Piranha, Tarantula, Sensizym, Rhino Skin, Bud Candy, Bud Factor X</x:v>
      </x:c>
      <x:c r="AK19" s="35" t="str">
        <x:v>Voodoo definiert; B-52/Piranha/Tarantula nur A/B. Sensizym nur statt PowerZyme. Rhino Skin AUS wenn Athena Balance aktiv. Bud Candy AUS.</x:v>
      </x:c>
    </x:row>
    <x:row r="20">
      <x:c r="A20" s="34" t="n">
        <x:v>18</x:v>
      </x:c>
      <x:c r="B20" s="129" t="n">
        <x:f>'01_Run_Config'!$B$4+A20</x:f>
        <x:v>46260</x:v>
      </x:c>
      <x:c r="C20" s="63" t="n">
        <x:f>INT(A20/7)+1</x:f>
        <x:v>3</x:v>
      </x:c>
      <x:c r="D20" s="63" t="str">
        <x:f>"M"&amp;INT(A20/30)+1</x:f>
        <x:v>M1</x:v>
      </x:c>
      <x:c r="E20" s="63" t="str">
        <x:v>Veg / LST</x:v>
      </x:c>
      <x:c r="F20" s="63" t="str">
        <x:v>6–10 gleichmäßige Tops vorbereiten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v>1.05</x:v>
      </x:c>
      <x:c r="P20" s="63" t="n">
        <x:v>1.2</x:v>
      </x:c>
      <x:c r="Q20" s="63" t="n">
        <x:v>5.9</x:v>
      </x:c>
      <x:c r="R20" s="63" t="n">
        <x:v>0.25</x:v>
      </x:c>
      <x:c r="S20" s="63" t="n">
        <x:v>0.5</x:v>
      </x:c>
      <x:c r="T20" s="63" t="str">
        <x:v>Blumat bedarfsgerecht</x:v>
      </x:c>
      <x:c r="U20" s="63" t="str">
        <x:v>HESI TNT</x:v>
      </x:c>
      <x:c r="V20" s="63" t="n">
        <x:v>2.5</x:v>
      </x:c>
      <x:c r="W20" s="63" t="n">
        <x:v>0</x:v>
      </x:c>
      <x:c r="X20" s="63" t="n">
        <x:v>0</x:v>
      </x:c>
      <x:c r="Y20" s="63" t="n">
        <x:v>0.015</x:v>
      </x:c>
      <x:c r="Z20" s="63" t="n">
        <x:v>0</x:v>
      </x:c>
      <x:c r="AA20" s="63" t="n">
        <x:v>0</x:v>
      </x:c>
      <x:c r="AB20" s="63" t="n">
        <x:v>0</x:v>
      </x:c>
      <x:c r="AC20" s="63" t="n">
        <x:v>0</x:v>
      </x:c>
      <x:c r="AD20" s="63" t="str">
        <x:v>AN-Additive Reference=0 außer Voodoo-Tage</x:v>
      </x:c>
      <x:c r="AE20" s="63" t="str">
        <x:v>Radiales LST alle 3–4 Tage</x:v>
      </x:c>
      <x:c r="AF20" s="63" t="str">
        <x:v>Morgens Klima/Pflanze/Blumat/Leck; Mitte Lichtphase Blattwinkel; vor Dunkel LF/Drain/stehendes Wasser.</x:v>
      </x:c>
      <x:c r="AG20" s="63" t="str">
        <x:v>EC nicht erhöhen bei steigender Drain-EC; PPFD nicht erhöhen bei Stress; nie mehrere neue Booster gleichzeitig.</x:v>
      </x:c>
      <x:c r="AH20" s="35" t="str">
        <x:v>UKD-Planwert; PPFD/EC/Bedarf haben Vorrang vor Watt/Dosis.</x:v>
      </x:c>
      <x:c r="AI20" s="34" t="str">
        <x:v>Titration vor Dünger; nur falls Wasser/Endmix pH+ benötigt</x:v>
      </x:c>
      <x:c r="AJ20" s="201" t="str">
        <x:v>G3: B-52, Sensizym, Rhino Skin, Bud Candy, Tasty Terpenes, Bud Factor X</x:v>
      </x:c>
      <x:c r="AK20" s="35" t="str">
        <x:v>Reference: keine GM-Erweiterung. Optional A/B: B-52 ODER Tasty Terpenes; Sensizym nur statt PowerZyme; Rhino Skin nur wenn Balance=0.</x:v>
      </x:c>
    </x:row>
    <x:row r="21">
      <x:c r="A21" s="34" t="n">
        <x:v>19</x:v>
      </x:c>
      <x:c r="B21" s="129" t="n">
        <x:f>'01_Run_Config'!$B$4+A21</x:f>
        <x:v>46261</x:v>
      </x:c>
      <x:c r="C21" s="63" t="n">
        <x:f>INT(A21/7)+1</x:f>
        <x:v>3</x:v>
      </x:c>
      <x:c r="D21" s="63" t="str">
        <x:f>"M"&amp;INT(A21/30)+1</x:f>
        <x:v>M1</x:v>
      </x:c>
      <x:c r="E21" s="63" t="str">
        <x:v>Veg / LST</x:v>
      </x:c>
      <x:c r="F21" s="63" t="str">
        <x:v>6–10 gleichmäßige Tops vorbereiten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v>1.05</x:v>
      </x:c>
      <x:c r="P21" s="63" t="n">
        <x:v>1.2</x:v>
      </x:c>
      <x:c r="Q21" s="63" t="n">
        <x:v>5.9</x:v>
      </x:c>
      <x:c r="R21" s="63" t="n">
        <x:v>0.25</x:v>
      </x:c>
      <x:c r="S21" s="63" t="n">
        <x:v>0.5</x:v>
      </x:c>
      <x:c r="T21" s="63" t="str">
        <x:v>Blumat bedarfsgerecht</x:v>
      </x:c>
      <x:c r="U21" s="63" t="str">
        <x:v>HESI TNT</x:v>
      </x:c>
      <x:c r="V21" s="63" t="n">
        <x:v>2.5</x:v>
      </x:c>
      <x:c r="W21" s="63" t="n">
        <x:v>0</x:v>
      </x:c>
      <x:c r="X21" s="63" t="n">
        <x:v>0</x:v>
      </x:c>
      <x:c r="Y21" s="63" t="n">
        <x:v>0.015</x:v>
      </x:c>
      <x:c r="Z21" s="63" t="n">
        <x:v>0</x:v>
      </x:c>
      <x:c r="AA21" s="63" t="n">
        <x:v>0</x:v>
      </x:c>
      <x:c r="AB21" s="63" t="n">
        <x:v>0</x:v>
      </x:c>
      <x:c r="AC21" s="63" t="n">
        <x:v>0</x:v>
      </x:c>
      <x:c r="AD21" s="63" t="str">
        <x:v>AN-Additive Reference=0 außer Voodoo-Tage</x:v>
      </x:c>
      <x:c r="AE21" s="63" t="str">
        <x:v>Radiales LST alle 3–4 Tage</x:v>
      </x:c>
      <x:c r="AF21" s="63" t="str">
        <x:v>Morgens Klima/Pflanze/Blumat/Leck; Mitte Lichtphase Blattwinkel; vor Dunkel LF/Drain/stehendes Wasser.</x:v>
      </x:c>
      <x:c r="AG21" s="63" t="str">
        <x:v>EC nicht erhöhen bei steigender Drain-EC; PPFD nicht erhöhen bei Stress; nie mehrere neue Booster gleichzeitig.</x:v>
      </x:c>
      <x:c r="AH21" s="35" t="str">
        <x:v>UKD-Planwert; PPFD/EC/Bedarf haben Vorrang vor Watt/Dosis.</x:v>
      </x:c>
      <x:c r="AI21" s="34" t="str">
        <x:v>Titration vor Dünger; nur falls Wasser/Endmix pH+ benötigt</x:v>
      </x:c>
      <x:c r="AJ21" s="201" t="str">
        <x:v>G3: B-52, Sensizym, Rhino Skin, Bud Candy, Tasty Terpenes, Bud Factor X</x:v>
      </x:c>
      <x:c r="AK21" s="35" t="str">
        <x:v>Reference: keine GM-Erweiterung. Optional A/B: B-52 ODER Tasty Terpenes; Sensizym nur statt PowerZyme; Rhino Skin nur wenn Balance=0.</x:v>
      </x:c>
    </x:row>
    <x:row r="22">
      <x:c r="A22" s="34" t="n">
        <x:v>20</x:v>
      </x:c>
      <x:c r="B22" s="129" t="n">
        <x:f>'01_Run_Config'!$B$4+A22</x:f>
        <x:v>46262</x:v>
      </x:c>
      <x:c r="C22" s="63" t="n">
        <x:f>INT(A22/7)+1</x:f>
        <x:v>3</x:v>
      </x:c>
      <x:c r="D22" s="63" t="str">
        <x:f>"M"&amp;INT(A22/30)+1</x:f>
        <x:v>M1</x:v>
      </x:c>
      <x:c r="E22" s="63" t="str">
        <x:v>Veg / LST</x:v>
      </x:c>
      <x:c r="F22" s="63" t="str">
        <x:v>6–10 gleichmäßige Tops vorbereiten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v>1.05</x:v>
      </x:c>
      <x:c r="P22" s="63" t="n">
        <x:v>1.2</x:v>
      </x:c>
      <x:c r="Q22" s="63" t="n">
        <x:v>5.9</x:v>
      </x:c>
      <x:c r="R22" s="63" t="n">
        <x:v>0.25</x:v>
      </x:c>
      <x:c r="S22" s="63" t="n">
        <x:v>0.5</x:v>
      </x:c>
      <x:c r="T22" s="63" t="str">
        <x:v>Blumat bedarfsgerecht</x:v>
      </x:c>
      <x:c r="U22" s="63" t="str">
        <x:v>HESI TNT</x:v>
      </x:c>
      <x:c r="V22" s="63" t="n">
        <x:v>2.5</x:v>
      </x:c>
      <x:c r="W22" s="63" t="n">
        <x:v>0</x:v>
      </x:c>
      <x:c r="X22" s="63" t="n">
        <x:v>0</x:v>
      </x:c>
      <x:c r="Y22" s="63" t="n">
        <x:v>0.015</x:v>
      </x:c>
      <x:c r="Z22" s="63" t="n">
        <x:v>0</x:v>
      </x:c>
      <x:c r="AA22" s="63" t="n">
        <x:v>0</x:v>
      </x:c>
      <x:c r="AB22" s="63" t="n">
        <x:v>0</x:v>
      </x:c>
      <x:c r="AC22" s="63" t="n">
        <x:v>0</x:v>
      </x:c>
      <x:c r="AD22" s="63" t="str">
        <x:v>AN-Additive Reference=0 außer Voodoo-Tage</x:v>
      </x:c>
      <x:c r="AE22" s="63" t="str">
        <x:v>Radiales LST alle 3–4 Tage</x:v>
      </x:c>
      <x:c r="AF22" s="63" t="str">
        <x:v>Morgens Klima/Pflanze/Blumat/Leck; Mitte Lichtphase Blattwinkel; vor Dunkel LF/Drain/stehendes Wasser.</x:v>
      </x:c>
      <x:c r="AG22" s="63" t="str">
        <x:v>EC nicht erhöhen bei steigender Drain-EC; PPFD nicht erhöhen bei Stress; nie mehrere neue Booster gleichzeitig.</x:v>
      </x:c>
      <x:c r="AH22" s="35" t="str">
        <x:v>UKD-Planwert; PPFD/EC/Bedarf haben Vorrang vor Watt/Dosis.</x:v>
      </x:c>
      <x:c r="AI22" s="34" t="str">
        <x:v>Titration vor Dünger; nur falls Wasser/Endmix pH+ benötigt</x:v>
      </x:c>
      <x:c r="AJ22" s="201" t="str">
        <x:v>G3: B-52, Sensizym, Rhino Skin, Bud Candy, Tasty Terpenes, Bud Factor X</x:v>
      </x:c>
      <x:c r="AK22" s="35" t="str">
        <x:v>Reference: keine GM-Erweiterung. Optional A/B: B-52 ODER Tasty Terpenes; Sensizym nur statt PowerZyme; Rhino Skin nur wenn Balance=0.</x:v>
      </x:c>
    </x:row>
    <x:row r="23">
      <x:c r="A23" s="34" t="n">
        <x:v>21</x:v>
      </x:c>
      <x:c r="B23" s="129" t="n">
        <x:f>'01_Run_Config'!$B$4+A23</x:f>
        <x:v>46263</x:v>
      </x:c>
      <x:c r="C23" s="63" t="n">
        <x:f>INT(A23/7)+1</x:f>
        <x:v>4</x:v>
      </x:c>
      <x:c r="D23" s="63" t="str">
        <x:f>"M"&amp;INT(A23/30)+1</x:f>
        <x:v>M1</x:v>
      </x:c>
      <x:c r="E23" s="63" t="str">
        <x:v>Veg / LST</x:v>
      </x:c>
      <x:c r="F23" s="63" t="str">
        <x:v>6–10 gleichmäßige Tops vorbereiten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v>1.05</x:v>
      </x:c>
      <x:c r="P23" s="63" t="n">
        <x:v>1.2</x:v>
      </x:c>
      <x:c r="Q23" s="63" t="n">
        <x:v>5.9</x:v>
      </x:c>
      <x:c r="R23" s="63" t="n">
        <x:v>0.25</x:v>
      </x:c>
      <x:c r="S23" s="63" t="n">
        <x:v>0.5</x:v>
      </x:c>
      <x:c r="T23" s="63" t="str">
        <x:v>Blumat bedarfsgerecht</x:v>
      </x:c>
      <x:c r="U23" s="63" t="str">
        <x:v>HESI TNT</x:v>
      </x:c>
      <x:c r="V23" s="63" t="n">
        <x:v>2.5</x:v>
      </x:c>
      <x:c r="W23" s="63" t="n">
        <x:v>0</x:v>
      </x:c>
      <x:c r="X23" s="63" t="n">
        <x:v>2</x:v>
      </x:c>
      <x:c r="Y23" s="63" t="n">
        <x:v>0.015</x:v>
      </x:c>
      <x:c r="Z23" s="63" t="n">
        <x:v>0.5</x:v>
      </x:c>
      <x:c r="AA23" s="63" t="n">
        <x:v>0</x:v>
      </x:c>
      <x:c r="AB23" s="63" t="n">
        <x:v>0</x:v>
      </x:c>
      <x:c r="AC23" s="63" t="n">
        <x:v>0</x:v>
      </x:c>
      <x:c r="AD23" s="63" t="str">
        <x:v>AN-Additive Reference=0 außer Voodoo-Tage</x:v>
      </x:c>
      <x:c r="AE23" s="63" t="str">
        <x:v>Radiales LST alle 3–4 Tage</x:v>
      </x:c>
      <x:c r="AF23" s="63" t="str">
        <x:v>Morgens Klima/Pflanze/Blumat/Leck; Mitte Lichtphase Blattwinkel; vor Dunkel LF/Drain/stehendes Wasser. WÖCHENTLICH: pH/EC kalibrieren, Foto, Canopy messen, PPFD-Spotcheck, Tank/Tray reinigen.</x:v>
      </x:c>
      <x:c r="AG23" s="63" t="str">
        <x:v>EC nicht erhöhen bei steigender Drain-EC; PPFD nicht erhöhen bei Stress; nie mehrere neue Booster gleichzeitig.</x:v>
      </x:c>
      <x:c r="AH23" s="35" t="str">
        <x:v>UKD-Planwert; PPFD/EC/Bedarf haben Vorrang vor Watt/Dosis.</x:v>
      </x:c>
      <x:c r="AI23" s="34" t="str">
        <x:v>Titration vor Dünger; nur falls Wasser/Endmix pH+ benötigt</x:v>
      </x:c>
      <x:c r="AJ23" s="201" t="str">
        <x:v>G3: B-52, Sensizym, Rhino Skin, Bud Candy, Tasty Terpenes, Bud Factor X</x:v>
      </x:c>
      <x:c r="AK23" s="35" t="str">
        <x:v>Reference: keine GM-Erweiterung. Optional A/B: B-52 ODER Tasty Terpenes; Sensizym nur statt PowerZyme; Rhino Skin nur wenn Balance=0.</x:v>
      </x:c>
    </x:row>
    <x:row r="24">
      <x:c r="A24" s="34" t="n">
        <x:v>22</x:v>
      </x:c>
      <x:c r="B24" s="129" t="n">
        <x:f>'01_Run_Config'!$B$4+A24</x:f>
        <x:v>46264</x:v>
      </x:c>
      <x:c r="C24" s="63" t="n">
        <x:f>INT(A24/7)+1</x:f>
        <x:v>4</x:v>
      </x:c>
      <x:c r="D24" s="63" t="str">
        <x:f>"M"&amp;INT(A24/30)+1</x:f>
        <x:v>M1</x:v>
      </x:c>
      <x:c r="E24" s="63" t="str">
        <x:v>Preflower / Transition</x:v>
      </x:c>
      <x:c r="F24" s="63" t="str">
        <x:v>Preflower erkennen; Basiswechsel triggern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v>1.15</x:v>
      </x:c>
      <x:c r="P24" s="63" t="n">
        <x:v>1.4</x:v>
      </x:c>
      <x:c r="Q24" s="63" t="n">
        <x:v>5.9</x:v>
      </x:c>
      <x:c r="R24" s="63" t="n">
        <x:v>0.4</x:v>
      </x:c>
      <x:c r="S24" s="63" t="n">
        <x:v>0.7</x:v>
      </x:c>
      <x:c r="T24" s="63" t="str">
        <x:v>Blumat bedarfsgerecht</x:v>
      </x:c>
      <x:c r="U24" s="63" t="str">
        <x:v>HESI Coco* Trigger</x:v>
      </x:c>
      <x:c r="V24" s="63" t="n">
        <x:v>2.5</x:v>
      </x:c>
      <x:c r="W24" s="63" t="n">
        <x:v>0</x:v>
      </x:c>
      <x:c r="X24" s="63" t="n">
        <x:v>0</x:v>
      </x:c>
      <x:c r="Y24" s="63" t="n">
        <x:v>0.015</x:v>
      </x:c>
      <x:c r="Z24" s="63" t="n">
        <x:v>0</x:v>
      </x:c>
      <x:c r="AA24" s="63" t="n">
        <x:v>0</x:v>
      </x:c>
      <x:c r="AB24" s="63" t="n">
        <x:v>0</x:v>
      </x:c>
      <x:c r="AC24" s="63" t="n">
        <x:v>0</x:v>
      </x:c>
      <x:c r="AD24" s="63" t="str">
        <x:v>AN-Additive Reference=0 außer Voodoo-Tage</x:v>
      </x:c>
      <x:c r="AE24" s="63" t="str">
        <x:v>Letzte strukturelle Korrekturen</x:v>
      </x:c>
      <x:c r="AF24" s="63" t="str">
        <x:v>Morgens Klima/Pflanze/Blumat/Leck; Mitte Lichtphase Blattwinkel; vor Dunkel LF/Drain/stehendes Wasser.</x:v>
      </x:c>
      <x:c r="AG24" s="63" t="str">
        <x:v>EC nicht erhöhen bei steigender Drain-EC; PPFD nicht erhöhen bei Stress; nie mehrere neue Booster gleichzeitig.</x:v>
      </x:c>
      <x:c r="AH24" s="35" t="str">
        <x:v>UKD-Planwert; PPFD/EC/Bedarf haben Vorrang vor Watt/Dosis.</x:v>
      </x:c>
      <x:c r="AI24" s="34" t="str">
        <x:v>Titration vor Dünger; nur falls Wasser/Endmix pH+ benötigt</x:v>
      </x:c>
      <x:c r="AJ24" s="201" t="str">
        <x:v>G3: B-52, Sensizym, Rhino Skin, Bud Candy, Tasty Terpenes, Bud Factor X</x:v>
      </x:c>
      <x:c r="AK24" s="35" t="str">
        <x:v>Reference: keine GM-Erweiterung. Optional A/B: B-52 ODER Tasty Terpenes; Sensizym nur statt PowerZyme; Rhino Skin nur wenn Balance=0.</x:v>
      </x:c>
    </x:row>
    <x:row r="25">
      <x:c r="A25" s="34" t="n">
        <x:v>23</x:v>
      </x:c>
      <x:c r="B25" s="129" t="n">
        <x:f>'01_Run_Config'!$B$4+A25</x:f>
        <x:v>46265</x:v>
      </x:c>
      <x:c r="C25" s="63" t="n">
        <x:f>INT(A25/7)+1</x:f>
        <x:v>4</x:v>
      </x:c>
      <x:c r="D25" s="63" t="str">
        <x:f>"M"&amp;INT(A25/30)+1</x:f>
        <x:v>M1</x:v>
      </x:c>
      <x:c r="E25" s="63" t="str">
        <x:v>Preflower / Transition</x:v>
      </x:c>
      <x:c r="F25" s="63" t="str">
        <x:v>Preflower erkennen; Basiswechsel triggern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v>1.15</x:v>
      </x:c>
      <x:c r="P25" s="63" t="n">
        <x:v>1.4</x:v>
      </x:c>
      <x:c r="Q25" s="63" t="n">
        <x:v>5.9</x:v>
      </x:c>
      <x:c r="R25" s="63" t="n">
        <x:v>0.4</x:v>
      </x:c>
      <x:c r="S25" s="63" t="n">
        <x:v>0.7</x:v>
      </x:c>
      <x:c r="T25" s="63" t="str">
        <x:v>Blumat bedarfsgerecht</x:v>
      </x:c>
      <x:c r="U25" s="63" t="str">
        <x:v>HESI Coco* Trigger</x:v>
      </x:c>
      <x:c r="V25" s="63" t="n">
        <x:v>2.5</x:v>
      </x:c>
      <x:c r="W25" s="63" t="n">
        <x:v>0</x:v>
      </x:c>
      <x:c r="X25" s="63" t="n">
        <x:v>0</x:v>
      </x:c>
      <x:c r="Y25" s="63" t="n">
        <x:v>0.015</x:v>
      </x:c>
      <x:c r="Z25" s="63" t="n">
        <x:v>0</x:v>
      </x:c>
      <x:c r="AA25" s="63" t="n">
        <x:v>0</x:v>
      </x:c>
      <x:c r="AB25" s="63" t="n">
        <x:v>0</x:v>
      </x:c>
      <x:c r="AC25" s="63" t="n">
        <x:v>0</x:v>
      </x:c>
      <x:c r="AD25" s="63" t="str">
        <x:v>AN-Additive Reference=0 außer Voodoo-Tage</x:v>
      </x:c>
      <x:c r="AE25" s="63" t="str">
        <x:v>Letzte strukturelle Korrekturen</x:v>
      </x:c>
      <x:c r="AF25" s="63" t="str">
        <x:v>Morgens Klima/Pflanze/Blumat/Leck; Mitte Lichtphase Blattwinkel; vor Dunkel LF/Drain/stehendes Wasser.</x:v>
      </x:c>
      <x:c r="AG25" s="63" t="str">
        <x:v>EC nicht erhöhen bei steigender Drain-EC; PPFD nicht erhöhen bei Stress; nie mehrere neue Booster gleichzeitig.</x:v>
      </x:c>
      <x:c r="AH25" s="35" t="str">
        <x:v>UKD-Planwert; PPFD/EC/Bedarf haben Vorrang vor Watt/Dosis.</x:v>
      </x:c>
      <x:c r="AI25" s="34" t="str">
        <x:v>Titration vor Dünger; nur falls Wasser/Endmix pH+ benötigt</x:v>
      </x:c>
      <x:c r="AJ25" s="201" t="str">
        <x:v>G3: B-52, Sensizym, Rhino Skin, Bud Candy, Tasty Terpenes, Bud Factor X</x:v>
      </x:c>
      <x:c r="AK25" s="35" t="str">
        <x:v>Reference: keine GM-Erweiterung. Optional A/B: B-52 ODER Tasty Terpenes; Sensizym nur statt PowerZyme; Rhino Skin nur wenn Balance=0.</x:v>
      </x:c>
    </x:row>
    <x:row r="26">
      <x:c r="A26" s="34" t="n">
        <x:v>24</x:v>
      </x:c>
      <x:c r="B26" s="129" t="n">
        <x:f>'01_Run_Config'!$B$4+A26</x:f>
        <x:v>46266</x:v>
      </x:c>
      <x:c r="C26" s="63" t="n">
        <x:f>INT(A26/7)+1</x:f>
        <x:v>4</x:v>
      </x:c>
      <x:c r="D26" s="63" t="str">
        <x:f>"M"&amp;INT(A26/30)+1</x:f>
        <x:v>M1</x:v>
      </x:c>
      <x:c r="E26" s="63" t="str">
        <x:v>Preflower / Transition</x:v>
      </x:c>
      <x:c r="F26" s="63" t="str">
        <x:v>Preflower erkennen; Basiswechsel triggern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v>1.15</x:v>
      </x:c>
      <x:c r="P26" s="63" t="n">
        <x:v>1.4</x:v>
      </x:c>
      <x:c r="Q26" s="63" t="n">
        <x:v>5.9</x:v>
      </x:c>
      <x:c r="R26" s="63" t="n">
        <x:v>0.4</x:v>
      </x:c>
      <x:c r="S26" s="63" t="n">
        <x:v>0.7</x:v>
      </x:c>
      <x:c r="T26" s="63" t="str">
        <x:v>Blumat bedarfsgerecht</x:v>
      </x:c>
      <x:c r="U26" s="63" t="str">
        <x:v>HESI Coco* Trigger</x:v>
      </x:c>
      <x:c r="V26" s="63" t="n">
        <x:v>2.5</x:v>
      </x:c>
      <x:c r="W26" s="63" t="n">
        <x:v>0</x:v>
      </x:c>
      <x:c r="X26" s="63" t="n">
        <x:v>0</x:v>
      </x:c>
      <x:c r="Y26" s="63" t="n">
        <x:v>0.015</x:v>
      </x:c>
      <x:c r="Z26" s="63" t="n">
        <x:v>0</x:v>
      </x:c>
      <x:c r="AA26" s="63" t="n">
        <x:v>0</x:v>
      </x:c>
      <x:c r="AB26" s="63" t="n">
        <x:v>0</x:v>
      </x:c>
      <x:c r="AC26" s="63" t="n">
        <x:v>0</x:v>
      </x:c>
      <x:c r="AD26" s="63" t="str">
        <x:v>AN-Additive Reference=0 außer Voodoo-Tage</x:v>
      </x:c>
      <x:c r="AE26" s="63" t="str">
        <x:v>Letzte strukturelle Korrekturen</x:v>
      </x:c>
      <x:c r="AF26" s="63" t="str">
        <x:v>Morgens Klima/Pflanze/Blumat/Leck; Mitte Lichtphase Blattwinkel; vor Dunkel LF/Drain/stehendes Wasser.</x:v>
      </x:c>
      <x:c r="AG26" s="63" t="str">
        <x:v>EC nicht erhöhen bei steigender Drain-EC; PPFD nicht erhöhen bei Stress; nie mehrere neue Booster gleichzeitig.</x:v>
      </x:c>
      <x:c r="AH26" s="35" t="str">
        <x:v>UKD-Planwert; PPFD/EC/Bedarf haben Vorrang vor Watt/Dosis.</x:v>
      </x:c>
      <x:c r="AI26" s="34" t="str">
        <x:v>Titration vor Dünger; nur falls Wasser/Endmix pH+ benötigt</x:v>
      </x:c>
      <x:c r="AJ26" s="201" t="str">
        <x:v>G3: B-52, Sensizym, Rhino Skin, Bud Candy, Tasty Terpenes, Bud Factor X</x:v>
      </x:c>
      <x:c r="AK26" s="35" t="str">
        <x:v>Reference: keine GM-Erweiterung. Optional A/B: B-52 ODER Tasty Terpenes; Sensizym nur statt PowerZyme; Rhino Skin nur wenn Balance=0.</x:v>
      </x:c>
    </x:row>
    <x:row r="27">
      <x:c r="A27" s="34" t="n">
        <x:v>25</x:v>
      </x:c>
      <x:c r="B27" s="129" t="n">
        <x:f>'01_Run_Config'!$B$4+A27</x:f>
        <x:v>46267</x:v>
      </x:c>
      <x:c r="C27" s="63" t="n">
        <x:f>INT(A27/7)+1</x:f>
        <x:v>4</x:v>
      </x:c>
      <x:c r="D27" s="63" t="str">
        <x:f>"M"&amp;INT(A27/30)+1</x:f>
        <x:v>M1</x:v>
      </x:c>
      <x:c r="E27" s="63" t="str">
        <x:v>Preflower / Transition</x:v>
      </x:c>
      <x:c r="F27" s="63" t="str">
        <x:v>Preflower erkennen; Basiswechsel triggern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v>1.15</x:v>
      </x:c>
      <x:c r="P27" s="63" t="n">
        <x:v>1.4</x:v>
      </x:c>
      <x:c r="Q27" s="63" t="n">
        <x:v>5.9</x:v>
      </x:c>
      <x:c r="R27" s="63" t="n">
        <x:v>0.4</x:v>
      </x:c>
      <x:c r="S27" s="63" t="n">
        <x:v>0.7</x:v>
      </x:c>
      <x:c r="T27" s="63" t="str">
        <x:v>Blumat bedarfsgerecht</x:v>
      </x:c>
      <x:c r="U27" s="63" t="str">
        <x:v>HESI Coco* Trigger</x:v>
      </x:c>
      <x:c r="V27" s="63" t="n">
        <x:v>2.5</x:v>
      </x:c>
      <x:c r="W27" s="63" t="n">
        <x:v>0</x:v>
      </x:c>
      <x:c r="X27" s="63" t="n">
        <x:v>0</x:v>
      </x:c>
      <x:c r="Y27" s="63" t="n">
        <x:v>0.015</x:v>
      </x:c>
      <x:c r="Z27" s="63" t="n">
        <x:v>0</x:v>
      </x:c>
      <x:c r="AA27" s="63" t="n">
        <x:v>0</x:v>
      </x:c>
      <x:c r="AB27" s="63" t="n">
        <x:v>0</x:v>
      </x:c>
      <x:c r="AC27" s="63" t="n">
        <x:v>0</x:v>
      </x:c>
      <x:c r="AD27" s="63" t="str">
        <x:v>AN-Additive Reference=0 außer Voodoo-Tage</x:v>
      </x:c>
      <x:c r="AE27" s="63" t="str">
        <x:v>Letzte strukturelle Korrekturen</x:v>
      </x:c>
      <x:c r="AF27" s="63" t="str">
        <x:v>Morgens Klima/Pflanze/Blumat/Leck; Mitte Lichtphase Blattwinkel; vor Dunkel LF/Drain/stehendes Wasser.</x:v>
      </x:c>
      <x:c r="AG27" s="63" t="str">
        <x:v>EC nicht erhöhen bei steigender Drain-EC; PPFD nicht erhöhen bei Stress; nie mehrere neue Booster gleichzeitig.</x:v>
      </x:c>
      <x:c r="AH27" s="35" t="str">
        <x:v>UKD-Planwert; PPFD/EC/Bedarf haben Vorrang vor Watt/Dosis.</x:v>
      </x:c>
      <x:c r="AI27" s="34" t="str">
        <x:v>Titration vor Dünger; nur falls Wasser/Endmix pH+ benötigt</x:v>
      </x:c>
      <x:c r="AJ27" s="201" t="str">
        <x:v>G4/Transition: B-52, Sensizym, Rhino Skin, Bud Candy, Tasty Terpenes, Bud Factor X</x:v>
      </x:c>
      <x:c r="AK27" s="35" t="str">
        <x:v>Reference: keine GM-Erweiterung. Optional A/B: B-52 ODER Tasty Terpenes; Sensizym nur statt PowerZyme; Rhino Skin nur wenn Balance=0.</x:v>
      </x:c>
    </x:row>
    <x:row r="28">
      <x:c r="A28" s="34" t="n">
        <x:v>26</x:v>
      </x:c>
      <x:c r="B28" s="129" t="n">
        <x:f>'01_Run_Config'!$B$4+A28</x:f>
        <x:v>46268</x:v>
      </x:c>
      <x:c r="C28" s="63" t="n">
        <x:f>INT(A28/7)+1</x:f>
        <x:v>4</x:v>
      </x:c>
      <x:c r="D28" s="63" t="str">
        <x:f>"M"&amp;INT(A28/30)+1</x:f>
        <x:v>M1</x:v>
      </x:c>
      <x:c r="E28" s="63" t="str">
        <x:v>Preflower / Transition</x:v>
      </x:c>
      <x:c r="F28" s="63" t="str">
        <x:v>Preflower erkennen; Basiswechsel triggern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v>1.15</x:v>
      </x:c>
      <x:c r="P28" s="63" t="n">
        <x:v>1.4</x:v>
      </x:c>
      <x:c r="Q28" s="63" t="n">
        <x:v>5.9</x:v>
      </x:c>
      <x:c r="R28" s="63" t="n">
        <x:v>0.4</x:v>
      </x:c>
      <x:c r="S28" s="63" t="n">
        <x:v>0.7</x:v>
      </x:c>
      <x:c r="T28" s="63" t="str">
        <x:v>Blumat bedarfsgerecht</x:v>
      </x:c>
      <x:c r="U28" s="63" t="str">
        <x:v>HESI Coco* Trigger</x:v>
      </x:c>
      <x:c r="V28" s="63" t="n">
        <x:v>2.5</x:v>
      </x:c>
      <x:c r="W28" s="63" t="n">
        <x:v>0</x:v>
      </x:c>
      <x:c r="X28" s="63" t="n">
        <x:v>0</x:v>
      </x:c>
      <x:c r="Y28" s="63" t="n">
        <x:v>0.015</x:v>
      </x:c>
      <x:c r="Z28" s="63" t="n">
        <x:v>0</x:v>
      </x:c>
      <x:c r="AA28" s="63" t="n">
        <x:v>0</x:v>
      </x:c>
      <x:c r="AB28" s="63" t="n">
        <x:v>0</x:v>
      </x:c>
      <x:c r="AC28" s="63" t="n">
        <x:v>0</x:v>
      </x:c>
      <x:c r="AD28" s="63" t="str">
        <x:v>AN-Additive Reference=0 außer Voodoo-Tage</x:v>
      </x:c>
      <x:c r="AE28" s="63" t="str">
        <x:v>Letzte strukturelle Korrekturen</x:v>
      </x:c>
      <x:c r="AF28" s="63" t="str">
        <x:v>Morgens Klima/Pflanze/Blumat/Leck; Mitte Lichtphase Blattwinkel; vor Dunkel LF/Drain/stehendes Wasser.</x:v>
      </x:c>
      <x:c r="AG28" s="63" t="str">
        <x:v>EC nicht erhöhen bei steigender Drain-EC; PPFD nicht erhöhen bei Stress; nie mehrere neue Booster gleichzeitig.</x:v>
      </x:c>
      <x:c r="AH28" s="35" t="str">
        <x:v>UKD-Planwert; PPFD/EC/Bedarf haben Vorrang vor Watt/Dosis.</x:v>
      </x:c>
      <x:c r="AI28" s="34" t="str">
        <x:v>Titration vor Dünger; nur falls Wasser/Endmix pH+ benötigt</x:v>
      </x:c>
      <x:c r="AJ28" s="201" t="str">
        <x:v>G4/Transition: B-52, Sensizym, Rhino Skin, Bud Candy, Tasty Terpenes, Bud Factor X</x:v>
      </x:c>
      <x:c r="AK28" s="35" t="str">
        <x:v>Reference: keine GM-Erweiterung. Optional A/B: B-52 ODER Tasty Terpenes; Sensizym nur statt PowerZyme; Rhino Skin nur wenn Balance=0.</x:v>
      </x:c>
    </x:row>
    <x:row r="29">
      <x:c r="A29" s="34" t="n">
        <x:v>27</x:v>
      </x:c>
      <x:c r="B29" s="129" t="n">
        <x:f>'01_Run_Config'!$B$4+A29</x:f>
        <x:v>46269</x:v>
      </x:c>
      <x:c r="C29" s="63" t="n">
        <x:f>INT(A29/7)+1</x:f>
        <x:v>4</x:v>
      </x:c>
      <x:c r="D29" s="63" t="str">
        <x:f>"M"&amp;INT(A29/30)+1</x:f>
        <x:v>M1</x:v>
      </x:c>
      <x:c r="E29" s="63" t="str">
        <x:v>Preflower / Transition</x:v>
      </x:c>
      <x:c r="F29" s="63" t="str">
        <x:v>Preflower erkennen; Basiswechsel triggern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v>1.15</x:v>
      </x:c>
      <x:c r="P29" s="63" t="n">
        <x:v>1.4</x:v>
      </x:c>
      <x:c r="Q29" s="63" t="n">
        <x:v>5.9</x:v>
      </x:c>
      <x:c r="R29" s="63" t="n">
        <x:v>0.4</x:v>
      </x:c>
      <x:c r="S29" s="63" t="n">
        <x:v>0.7</x:v>
      </x:c>
      <x:c r="T29" s="63" t="str">
        <x:v>Blumat bedarfsgerecht</x:v>
      </x:c>
      <x:c r="U29" s="63" t="str">
        <x:v>HESI Coco* Trigger</x:v>
      </x:c>
      <x:c r="V29" s="63" t="n">
        <x:v>2.5</x:v>
      </x:c>
      <x:c r="W29" s="63" t="n">
        <x:v>0</x:v>
      </x:c>
      <x:c r="X29" s="63" t="n">
        <x:v>0</x:v>
      </x:c>
      <x:c r="Y29" s="63" t="n">
        <x:v>0.015</x:v>
      </x:c>
      <x:c r="Z29" s="63" t="n">
        <x:v>0</x:v>
      </x:c>
      <x:c r="AA29" s="63" t="n">
        <x:v>0</x:v>
      </x:c>
      <x:c r="AB29" s="63" t="n">
        <x:v>0</x:v>
      </x:c>
      <x:c r="AC29" s="63" t="n">
        <x:v>0</x:v>
      </x:c>
      <x:c r="AD29" s="63" t="str">
        <x:v>AN-Additive Reference=0 außer Voodoo-Tage</x:v>
      </x:c>
      <x:c r="AE29" s="63" t="str">
        <x:v>Letzte strukturelle Korrekturen</x:v>
      </x:c>
      <x:c r="AF29" s="63" t="str">
        <x:v>Morgens Klima/Pflanze/Blumat/Leck; Mitte Lichtphase Blattwinkel; vor Dunkel LF/Drain/stehendes Wasser.</x:v>
      </x:c>
      <x:c r="AG29" s="63" t="str">
        <x:v>EC nicht erhöhen bei steigender Drain-EC; PPFD nicht erhöhen bei Stress; nie mehrere neue Booster gleichzeitig.</x:v>
      </x:c>
      <x:c r="AH29" s="35" t="str">
        <x:v>UKD-Planwert; PPFD/EC/Bedarf haben Vorrang vor Watt/Dosis.</x:v>
      </x:c>
      <x:c r="AI29" s="34" t="str">
        <x:v>Titration vor Dünger; nur falls Wasser/Endmix pH+ benötigt</x:v>
      </x:c>
      <x:c r="AJ29" s="201" t="str">
        <x:v>G4/Transition: B-52, Sensizym, Rhino Skin, Bud Candy, Tasty Terpenes, Bud Factor X</x:v>
      </x:c>
      <x:c r="AK29" s="35" t="str">
        <x:v>Reference: keine GM-Erweiterung. Optional A/B: B-52 ODER Tasty Terpenes; Sensizym nur statt PowerZyme; Rhino Skin nur wenn Balance=0.</x:v>
      </x:c>
    </x:row>
    <x:row r="30">
      <x:c r="A30" s="34" t="n">
        <x:v>28</x:v>
      </x:c>
      <x:c r="B30" s="129" t="n">
        <x:f>'01_Run_Config'!$B$4+A30</x:f>
        <x:v>46270</x:v>
      </x:c>
      <x:c r="C30" s="63" t="n">
        <x:f>INT(A30/7)+1</x:f>
        <x:v>5</x:v>
      </x:c>
      <x:c r="D30" s="63" t="str">
        <x:f>"M"&amp;INT(A30/30)+1</x:f>
        <x:v>M1</x:v>
      </x:c>
      <x:c r="E30" s="63" t="str">
        <x:v>Preflower / Transition</x:v>
      </x:c>
      <x:c r="F30" s="63" t="str">
        <x:v>Preflower erkennen; Basiswechsel triggern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v>1.15</x:v>
      </x:c>
      <x:c r="P30" s="63" t="n">
        <x:v>1.4</x:v>
      </x:c>
      <x:c r="Q30" s="63" t="n">
        <x:v>5.9</x:v>
      </x:c>
      <x:c r="R30" s="63" t="n">
        <x:v>0.4</x:v>
      </x:c>
      <x:c r="S30" s="63" t="n">
        <x:v>0.7</x:v>
      </x:c>
      <x:c r="T30" s="63" t="str">
        <x:v>Blumat bedarfsgerecht</x:v>
      </x:c>
      <x:c r="U30" s="63" t="str">
        <x:v>HESI Coco* Trigger</x:v>
      </x:c>
      <x:c r="V30" s="63" t="n">
        <x:v>2.5</x:v>
      </x:c>
      <x:c r="W30" s="63" t="n">
        <x:v>0</x:v>
      </x:c>
      <x:c r="X30" s="63" t="n">
        <x:v>2</x:v>
      </x:c>
      <x:c r="Y30" s="63" t="n">
        <x:v>0.015</x:v>
      </x:c>
      <x:c r="Z30" s="63" t="n">
        <x:v>0.5</x:v>
      </x:c>
      <x:c r="AA30" s="63" t="n">
        <x:v>2</x:v>
      </x:c>
      <x:c r="AB30" s="63" t="n">
        <x:v>0</x:v>
      </x:c>
      <x:c r="AC30" s="63" t="n">
        <x:v>0</x:v>
      </x:c>
      <x:c r="AD30" s="63" t="str">
        <x:v>AN-Additive Reference=0 außer Voodoo-Tage</x:v>
      </x:c>
      <x:c r="AE30" s="63" t="str">
        <x:v>Letzte strukturelle Korrekturen</x:v>
      </x:c>
      <x:c r="AF30" s="63" t="str">
        <x:v>Morgens Klima/Pflanze/Blumat/Leck; Mitte Lichtphase Blattwinkel; vor Dunkel LF/Drain/stehendes Wasser. WÖCHENTLICH: pH/EC kalibrieren, Foto, Canopy messen, PPFD-Spotcheck, Tank/Tray reinigen.</x:v>
      </x:c>
      <x:c r="AG30" s="63" t="str">
        <x:v>EC nicht erhöhen bei steigender Drain-EC; PPFD nicht erhöhen bei Stress; nie mehrere neue Booster gleichzeitig.</x:v>
      </x:c>
      <x:c r="AH30" s="35" t="str">
        <x:v>UKD-Planwert; PPFD/EC/Bedarf haben Vorrang vor Watt/Dosis.</x:v>
      </x:c>
      <x:c r="AI30" s="34" t="str">
        <x:v>Titration vor Dünger; nur falls Wasser/Endmix pH+ benötigt</x:v>
      </x:c>
      <x:c r="AJ30" s="201" t="str">
        <x:v>G4/Transition: B-52, Sensizym, Rhino Skin, Bud Candy, Tasty Terpenes, Bud Factor X</x:v>
      </x:c>
      <x:c r="AK30" s="35" t="str">
        <x:v>Reference: keine GM-Erweiterung. Optional A/B: B-52 ODER Tasty Terpenes; Sensizym nur statt PowerZyme; Rhino Skin nur wenn Balance=0.</x:v>
      </x:c>
    </x:row>
    <x:row r="31">
      <x:c r="A31" s="34" t="n">
        <x:v>29</x:v>
      </x:c>
      <x:c r="B31" s="129" t="n">
        <x:f>'01_Run_Config'!$B$4+A31</x:f>
        <x:v>46271</x:v>
      </x:c>
      <x:c r="C31" s="63" t="n">
        <x:f>INT(A31/7)+1</x:f>
        <x:v>5</x:v>
      </x:c>
      <x:c r="D31" s="63" t="str">
        <x:f>"M"&amp;INT(A31/30)+1</x:f>
        <x:v>M1</x:v>
      </x:c>
      <x:c r="E31" s="63" t="str">
        <x:v>Stretch / Early Flower</x:v>
      </x:c>
      <x:c r="F31" s="63" t="str">
        <x:v>Stretch kontrollieren; Canopy finalisieren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v>1.25</x:v>
      </x:c>
      <x:c r="P31" s="63" t="n">
        <x:v>1.6</x:v>
      </x:c>
      <x:c r="Q31" s="63" t="n">
        <x:v>5.9</x:v>
      </x:c>
      <x:c r="R31" s="63" t="n">
        <x:v>0.6</x:v>
      </x:c>
      <x:c r="S31" s="63" t="n">
        <x:v>1</x:v>
      </x:c>
      <x:c r="T31" s="63" t="str">
        <x:v>Blumat + Wochen-Kontrollfeed</x:v>
      </x:c>
      <x:c r="U31" s="63" t="str">
        <x:v>HESI Coco</x:v>
      </x:c>
      <x:c r="V31" s="63" t="n">
        <x:v>3.25</x:v>
      </x:c>
      <x:c r="W31" s="63" t="n">
        <x:v>0</x:v>
      </x:c>
      <x:c r="X31" s="63" t="n">
        <x:v>0</x:v>
      </x:c>
      <x:c r="Y31" s="63" t="n">
        <x:v>0.015</x:v>
      </x:c>
      <x:c r="Z31" s="63" t="n">
        <x:v>0</x:v>
      </x:c>
      <x:c r="AA31" s="63" t="n">
        <x:v>0</x:v>
      </x:c>
      <x:c r="AB31" s="63" t="n">
        <x:v>0</x:v>
      </x:c>
      <x:c r="AC31" s="63" t="n">
        <x:v>2</x:v>
      </x:c>
      <x:c r="AD31" s="63" t="str">
        <x:v>A/B: Piranha/Tarantula je 2 ml/L nur eigener Test; Reference=0</x:v>
      </x:c>
      <x:c r="AE31" s="63" t="str">
        <x:v>Strukturelles Training beenden</x:v>
      </x:c>
      <x:c r="AF31" s="63" t="str">
        <x:v>Morgens Klima/Pflanze/Blumat/Leck; Mitte Lichtphase Blattwinkel; vor Dunkel LF/Drain/stehendes Wasser.</x:v>
      </x:c>
      <x:c r="AG31" s="63" t="str">
        <x:v>EC nicht erhöhen bei steigender Drain-EC; PPFD nicht erhöhen bei Stress; nie mehrere neue Booster gleichzeitig.</x:v>
      </x:c>
      <x:c r="AH31" s="35" t="str">
        <x:v>UKD-Planwert; PPFD/EC/Bedarf haben Vorrang vor Watt/Dosis.</x:v>
      </x:c>
      <x:c r="AI31" s="34" t="str">
        <x:v>Titration vor Dünger; nur falls Wasser/Endmix pH+ benötigt</x:v>
      </x:c>
      <x:c r="AJ31" s="201" t="str">
        <x:v>B1: Voodoo, Piranha, Tarantula, Bud Candy, Sensizym, Bud Ignitor, Rhino Skin, Bud Factor X</x:v>
      </x:c>
      <x:c r="AK31" s="35" t="str">
        <x:v>Voodoo Frühblüte. Bud Ignitor nur A/B bei klaren Budlets; kein zusätzlicher HESI-PK. Rhino Skin AUS mit Balance.</x:v>
      </x:c>
    </x:row>
    <x:row r="32">
      <x:c r="A32" s="34" t="n">
        <x:v>30</x:v>
      </x:c>
      <x:c r="B32" s="129" t="n">
        <x:f>'01_Run_Config'!$B$4+A32</x:f>
        <x:v>46272</x:v>
      </x:c>
      <x:c r="C32" s="63" t="n">
        <x:f>INT(A32/7)+1</x:f>
        <x:v>5</x:v>
      </x:c>
      <x:c r="D32" s="63" t="str">
        <x:f>"M"&amp;INT(A32/30)+1</x:f>
        <x:v>M2</x:v>
      </x:c>
      <x:c r="E32" s="63" t="str">
        <x:v>Stretch / Early Flower</x:v>
      </x:c>
      <x:c r="F32" s="63" t="str">
        <x:v>Stretch kontrollieren; Canopy finalisieren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v>1.25</x:v>
      </x:c>
      <x:c r="P32" s="63" t="n">
        <x:v>1.6</x:v>
      </x:c>
      <x:c r="Q32" s="63" t="n">
        <x:v>5.9</x:v>
      </x:c>
      <x:c r="R32" s="63" t="n">
        <x:v>0.6</x:v>
      </x:c>
      <x:c r="S32" s="63" t="n">
        <x:v>1</x:v>
      </x:c>
      <x:c r="T32" s="63" t="str">
        <x:v>Blumat + Wochen-Kontrollfeed</x:v>
      </x:c>
      <x:c r="U32" s="63" t="str">
        <x:v>HESI Coco</x:v>
      </x:c>
      <x:c r="V32" s="63" t="n">
        <x:v>3.25</x:v>
      </x:c>
      <x:c r="W32" s="63" t="n">
        <x:v>0</x:v>
      </x:c>
      <x:c r="X32" s="63" t="n">
        <x:v>0</x:v>
      </x:c>
      <x:c r="Y32" s="63" t="n">
        <x:v>0.015</x:v>
      </x:c>
      <x:c r="Z32" s="63" t="n">
        <x:v>0</x:v>
      </x:c>
      <x:c r="AA32" s="63" t="n">
        <x:v>0</x:v>
      </x:c>
      <x:c r="AB32" s="63" t="n">
        <x:v>0</x:v>
      </x:c>
      <x:c r="AC32" s="63" t="n">
        <x:v>0</x:v>
      </x:c>
      <x:c r="AD32" s="63" t="str">
        <x:v>A/B: Piranha/Tarantula je 2 ml/L nur eigener Test; Reference=0</x:v>
      </x:c>
      <x:c r="AE32" s="63" t="str">
        <x:v>Strukturelles Training beenden</x:v>
      </x:c>
      <x:c r="AF32" s="63" t="str">
        <x:v>Morgens Klima/Pflanze/Blumat/Leck; Mitte Lichtphase Blattwinkel; vor Dunkel LF/Drain/stehendes Wasser.</x:v>
      </x:c>
      <x:c r="AG32" s="63" t="str">
        <x:v>EC nicht erhöhen bei steigender Drain-EC; PPFD nicht erhöhen bei Stress; nie mehrere neue Booster gleichzeitig.</x:v>
      </x:c>
      <x:c r="AH32" s="35" t="str">
        <x:v>UKD-Planwert; PPFD/EC/Bedarf haben Vorrang vor Watt/Dosis.</x:v>
      </x:c>
      <x:c r="AI32" s="34" t="str">
        <x:v>Titration vor Dünger; nur falls Wasser/Endmix pH+ benötigt</x:v>
      </x:c>
      <x:c r="AJ32" s="201" t="str">
        <x:v>B1: Voodoo, Piranha, Tarantula, Bud Candy, Sensizym, Bud Ignitor, Rhino Skin, Bud Factor X</x:v>
      </x:c>
      <x:c r="AK32" s="35" t="str">
        <x:v>Voodoo Frühblüte. Bud Ignitor nur A/B bei klaren Budlets; kein zusätzlicher HESI-PK. Rhino Skin AUS mit Balance.</x:v>
      </x:c>
    </x:row>
    <x:row r="33">
      <x:c r="A33" s="34" t="n">
        <x:v>31</x:v>
      </x:c>
      <x:c r="B33" s="129" t="n">
        <x:f>'01_Run_Config'!$B$4+A33</x:f>
        <x:v>46273</x:v>
      </x:c>
      <x:c r="C33" s="63" t="n">
        <x:f>INT(A33/7)+1</x:f>
        <x:v>5</x:v>
      </x:c>
      <x:c r="D33" s="63" t="str">
        <x:f>"M"&amp;INT(A33/30)+1</x:f>
        <x:v>M2</x:v>
      </x:c>
      <x:c r="E33" s="63" t="str">
        <x:v>Stretch / Early Flower</x:v>
      </x:c>
      <x:c r="F33" s="63" t="str">
        <x:v>Stretch kontrollieren; Canopy finalisieren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v>1.25</x:v>
      </x:c>
      <x:c r="P33" s="63" t="n">
        <x:v>1.6</x:v>
      </x:c>
      <x:c r="Q33" s="63" t="n">
        <x:v>5.9</x:v>
      </x:c>
      <x:c r="R33" s="63" t="n">
        <x:v>0.6</x:v>
      </x:c>
      <x:c r="S33" s="63" t="n">
        <x:v>1</x:v>
      </x:c>
      <x:c r="T33" s="63" t="str">
        <x:v>Blumat + Wochen-Kontrollfeed</x:v>
      </x:c>
      <x:c r="U33" s="63" t="str">
        <x:v>HESI Coco</x:v>
      </x:c>
      <x:c r="V33" s="63" t="n">
        <x:v>3.25</x:v>
      </x:c>
      <x:c r="W33" s="63" t="n">
        <x:v>0</x:v>
      </x:c>
      <x:c r="X33" s="63" t="n">
        <x:v>0</x:v>
      </x:c>
      <x:c r="Y33" s="63" t="n">
        <x:v>0.015</x:v>
      </x:c>
      <x:c r="Z33" s="63" t="n">
        <x:v>0</x:v>
      </x:c>
      <x:c r="AA33" s="63" t="n">
        <x:v>0</x:v>
      </x:c>
      <x:c r="AB33" s="63" t="n">
        <x:v>0</x:v>
      </x:c>
      <x:c r="AC33" s="63" t="n">
        <x:v>0</x:v>
      </x:c>
      <x:c r="AD33" s="63" t="str">
        <x:v>A/B: Piranha/Tarantula je 2 ml/L nur eigener Test; Reference=0</x:v>
      </x:c>
      <x:c r="AE33" s="63" t="str">
        <x:v>Strukturelles Training beenden</x:v>
      </x:c>
      <x:c r="AF33" s="63" t="str">
        <x:v>Morgens Klima/Pflanze/Blumat/Leck; Mitte Lichtphase Blattwinkel; vor Dunkel LF/Drain/stehendes Wasser.</x:v>
      </x:c>
      <x:c r="AG33" s="63" t="str">
        <x:v>EC nicht erhöhen bei steigender Drain-EC; PPFD nicht erhöhen bei Stress; nie mehrere neue Booster gleichzeitig.</x:v>
      </x:c>
      <x:c r="AH33" s="35" t="str">
        <x:v>UKD-Planwert; PPFD/EC/Bedarf haben Vorrang vor Watt/Dosis.</x:v>
      </x:c>
      <x:c r="AI33" s="34" t="str">
        <x:v>Titration vor Dünger; nur falls Wasser/Endmix pH+ benötigt</x:v>
      </x:c>
      <x:c r="AJ33" s="201" t="str">
        <x:v>B1: Voodoo, Piranha, Tarantula, Bud Candy, Sensizym, Bud Ignitor, Rhino Skin, Bud Factor X</x:v>
      </x:c>
      <x:c r="AK33" s="35" t="str">
        <x:v>Voodoo Frühblüte. Bud Ignitor nur A/B bei klaren Budlets; kein zusätzlicher HESI-PK. Rhino Skin AUS mit Balance.</x:v>
      </x:c>
    </x:row>
    <x:row r="34">
      <x:c r="A34" s="34" t="n">
        <x:v>32</x:v>
      </x:c>
      <x:c r="B34" s="129" t="n">
        <x:f>'01_Run_Config'!$B$4+A34</x:f>
        <x:v>46274</x:v>
      </x:c>
      <x:c r="C34" s="63" t="n">
        <x:f>INT(A34/7)+1</x:f>
        <x:v>5</x:v>
      </x:c>
      <x:c r="D34" s="63" t="str">
        <x:f>"M"&amp;INT(A34/30)+1</x:f>
        <x:v>M2</x:v>
      </x:c>
      <x:c r="E34" s="63" t="str">
        <x:v>Stretch / Early Flower</x:v>
      </x:c>
      <x:c r="F34" s="63" t="str">
        <x:v>Stretch kontrollieren; Canopy finalisieren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v>1.25</x:v>
      </x:c>
      <x:c r="P34" s="63" t="n">
        <x:v>1.6</x:v>
      </x:c>
      <x:c r="Q34" s="63" t="n">
        <x:v>5.9</x:v>
      </x:c>
      <x:c r="R34" s="63" t="n">
        <x:v>0.6</x:v>
      </x:c>
      <x:c r="S34" s="63" t="n">
        <x:v>1</x:v>
      </x:c>
      <x:c r="T34" s="63" t="str">
        <x:v>Blumat + Wochen-Kontrollfeed</x:v>
      </x:c>
      <x:c r="U34" s="63" t="str">
        <x:v>HESI Coco</x:v>
      </x:c>
      <x:c r="V34" s="63" t="n">
        <x:v>3.25</x:v>
      </x:c>
      <x:c r="W34" s="63" t="n">
        <x:v>0</x:v>
      </x:c>
      <x:c r="X34" s="63" t="n">
        <x:v>0</x:v>
      </x:c>
      <x:c r="Y34" s="63" t="n">
        <x:v>0.015</x:v>
      </x:c>
      <x:c r="Z34" s="63" t="n">
        <x:v>0</x:v>
      </x:c>
      <x:c r="AA34" s="63" t="n">
        <x:v>0</x:v>
      </x:c>
      <x:c r="AB34" s="63" t="n">
        <x:v>0</x:v>
      </x:c>
      <x:c r="AC34" s="63" t="n">
        <x:v>0</x:v>
      </x:c>
      <x:c r="AD34" s="63" t="str">
        <x:v>A/B: Piranha/Tarantula je 2 ml/L nur eigener Test; Reference=0</x:v>
      </x:c>
      <x:c r="AE34" s="63" t="str">
        <x:v>Strukturelles Training beenden</x:v>
      </x:c>
      <x:c r="AF34" s="63" t="str">
        <x:v>Morgens Klima/Pflanze/Blumat/Leck; Mitte Lichtphase Blattwinkel; vor Dunkel LF/Drain/stehendes Wasser.</x:v>
      </x:c>
      <x:c r="AG34" s="63" t="str">
        <x:v>EC nicht erhöhen bei steigender Drain-EC; PPFD nicht erhöhen bei Stress; nie mehrere neue Booster gleichzeitig.</x:v>
      </x:c>
      <x:c r="AH34" s="35" t="str">
        <x:v>UKD-Planwert; PPFD/EC/Bedarf haben Vorrang vor Watt/Dosis.</x:v>
      </x:c>
      <x:c r="AI34" s="34" t="str">
        <x:v>Titration vor Dünger; nur falls Wasser/Endmix pH+ benötigt</x:v>
      </x:c>
      <x:c r="AJ34" s="201" t="str">
        <x:v>B1: Voodoo, Piranha, Tarantula, Bud Candy, Sensizym, Bud Ignitor, Rhino Skin, Bud Factor X</x:v>
      </x:c>
      <x:c r="AK34" s="35" t="str">
        <x:v>Voodoo Frühblüte. Bud Ignitor nur A/B bei klaren Budlets; kein zusätzlicher HESI-PK. Rhino Skin AUS mit Balance.</x:v>
      </x:c>
    </x:row>
    <x:row r="35">
      <x:c r="A35" s="34" t="n">
        <x:v>33</x:v>
      </x:c>
      <x:c r="B35" s="129" t="n">
        <x:f>'01_Run_Config'!$B$4+A35</x:f>
        <x:v>46275</x:v>
      </x:c>
      <x:c r="C35" s="63" t="n">
        <x:f>INT(A35/7)+1</x:f>
        <x:v>5</x:v>
      </x:c>
      <x:c r="D35" s="63" t="str">
        <x:f>"M"&amp;INT(A35/30)+1</x:f>
        <x:v>M2</x:v>
      </x:c>
      <x:c r="E35" s="63" t="str">
        <x:v>Stretch / Early Flower</x:v>
      </x:c>
      <x:c r="F35" s="63" t="str">
        <x:v>Stretch kontrollieren; Canopy finalisieren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v>1.25</x:v>
      </x:c>
      <x:c r="P35" s="63" t="n">
        <x:v>1.6</x:v>
      </x:c>
      <x:c r="Q35" s="63" t="n">
        <x:v>5.9</x:v>
      </x:c>
      <x:c r="R35" s="63" t="n">
        <x:v>0.6</x:v>
      </x:c>
      <x:c r="S35" s="63" t="n">
        <x:v>1</x:v>
      </x:c>
      <x:c r="T35" s="63" t="str">
        <x:v>Blumat + Wochen-Kontrollfeed</x:v>
      </x:c>
      <x:c r="U35" s="63" t="str">
        <x:v>HESI Coco</x:v>
      </x:c>
      <x:c r="V35" s="63" t="n">
        <x:v>3.25</x:v>
      </x:c>
      <x:c r="W35" s="63" t="n">
        <x:v>0</x:v>
      </x:c>
      <x:c r="X35" s="63" t="n">
        <x:v>0</x:v>
      </x:c>
      <x:c r="Y35" s="63" t="n">
        <x:v>0.015</x:v>
      </x:c>
      <x:c r="Z35" s="63" t="n">
        <x:v>0</x:v>
      </x:c>
      <x:c r="AA35" s="63" t="n">
        <x:v>0</x:v>
      </x:c>
      <x:c r="AB35" s="63" t="n">
        <x:v>0</x:v>
      </x:c>
      <x:c r="AC35" s="63" t="n">
        <x:v>0</x:v>
      </x:c>
      <x:c r="AD35" s="63" t="str">
        <x:v>A/B: Piranha/Tarantula je 2 ml/L nur eigener Test; Reference=0</x:v>
      </x:c>
      <x:c r="AE35" s="63" t="str">
        <x:v>Strukturelles Training beenden</x:v>
      </x:c>
      <x:c r="AF35" s="63" t="str">
        <x:v>Morgens Klima/Pflanze/Blumat/Leck; Mitte Lichtphase Blattwinkel; vor Dunkel LF/Drain/stehendes Wasser.</x:v>
      </x:c>
      <x:c r="AG35" s="63" t="str">
        <x:v>EC nicht erhöhen bei steigender Drain-EC; PPFD nicht erhöhen bei Stress; nie mehrere neue Booster gleichzeitig.</x:v>
      </x:c>
      <x:c r="AH35" s="35" t="str">
        <x:v>UKD-Planwert; PPFD/EC/Bedarf haben Vorrang vor Watt/Dosis.</x:v>
      </x:c>
      <x:c r="AI35" s="34" t="str">
        <x:v>Titration vor Dünger; nur falls Wasser/Endmix pH+ benötigt</x:v>
      </x:c>
      <x:c r="AJ35" s="201" t="str">
        <x:v>B1: Voodoo, Piranha, Tarantula, Bud Candy, Sensizym, Bud Ignitor, Rhino Skin, Bud Factor X</x:v>
      </x:c>
      <x:c r="AK35" s="35" t="str">
        <x:v>Voodoo Frühblüte. Bud Ignitor nur A/B bei klaren Budlets; kein zusätzlicher HESI-PK. Rhino Skin AUS mit Balance.</x:v>
      </x:c>
    </x:row>
    <x:row r="36">
      <x:c r="A36" s="34" t="n">
        <x:v>34</x:v>
      </x:c>
      <x:c r="B36" s="129" t="n">
        <x:f>'01_Run_Config'!$B$4+A36</x:f>
        <x:v>46276</x:v>
      </x:c>
      <x:c r="C36" s="63" t="n">
        <x:f>INT(A36/7)+1</x:f>
        <x:v>5</x:v>
      </x:c>
      <x:c r="D36" s="63" t="str">
        <x:f>"M"&amp;INT(A36/30)+1</x:f>
        <x:v>M2</x:v>
      </x:c>
      <x:c r="E36" s="63" t="str">
        <x:v>Stretch / Early Flower</x:v>
      </x:c>
      <x:c r="F36" s="63" t="str">
        <x:v>Stretch kontrollieren; Canopy finalisieren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v>1.25</x:v>
      </x:c>
      <x:c r="P36" s="63" t="n">
        <x:v>1.6</x:v>
      </x:c>
      <x:c r="Q36" s="63" t="n">
        <x:v>5.9</x:v>
      </x:c>
      <x:c r="R36" s="63" t="n">
        <x:v>0.6</x:v>
      </x:c>
      <x:c r="S36" s="63" t="n">
        <x:v>1</x:v>
      </x:c>
      <x:c r="T36" s="63" t="str">
        <x:v>Blumat + Wochen-Kontrollfeed</x:v>
      </x:c>
      <x:c r="U36" s="63" t="str">
        <x:v>HESI Coco</x:v>
      </x:c>
      <x:c r="V36" s="63" t="n">
        <x:v>3.25</x:v>
      </x:c>
      <x:c r="W36" s="63" t="n">
        <x:v>0</x:v>
      </x:c>
      <x:c r="X36" s="63" t="n">
        <x:v>0</x:v>
      </x:c>
      <x:c r="Y36" s="63" t="n">
        <x:v>0.015</x:v>
      </x:c>
      <x:c r="Z36" s="63" t="n">
        <x:v>0</x:v>
      </x:c>
      <x:c r="AA36" s="63" t="n">
        <x:v>0</x:v>
      </x:c>
      <x:c r="AB36" s="63" t="n">
        <x:v>0</x:v>
      </x:c>
      <x:c r="AC36" s="63" t="n">
        <x:v>0</x:v>
      </x:c>
      <x:c r="AD36" s="63" t="str">
        <x:v>A/B: Piranha/Tarantula je 2 ml/L nur eigener Test; Reference=0</x:v>
      </x:c>
      <x:c r="AE36" s="63" t="str">
        <x:v>Strukturelles Training beenden</x:v>
      </x:c>
      <x:c r="AF36" s="63" t="str">
        <x:v>Morgens Klima/Pflanze/Blumat/Leck; Mitte Lichtphase Blattwinkel; vor Dunkel LF/Drain/stehendes Wasser.</x:v>
      </x:c>
      <x:c r="AG36" s="63" t="str">
        <x:v>EC nicht erhöhen bei steigender Drain-EC; PPFD nicht erhöhen bei Stress; nie mehrere neue Booster gleichzeitig.</x:v>
      </x:c>
      <x:c r="AH36" s="35" t="str">
        <x:v>UKD-Planwert; PPFD/EC/Bedarf haben Vorrang vor Watt/Dosis.</x:v>
      </x:c>
      <x:c r="AI36" s="34" t="str">
        <x:v>Titration vor Dünger; nur falls Wasser/Endmix pH+ benötigt</x:v>
      </x:c>
      <x:c r="AJ36" s="201" t="str">
        <x:v>B1: Voodoo, Piranha, Tarantula, Bud Candy, Sensizym, Bud Ignitor, Rhino Skin, Bud Factor X</x:v>
      </x:c>
      <x:c r="AK36" s="35" t="str">
        <x:v>Voodoo Frühblüte. Bud Ignitor nur A/B bei klaren Budlets; kein zusätzlicher HESI-PK. Rhino Skin AUS mit Balance.</x:v>
      </x:c>
    </x:row>
    <x:row r="37">
      <x:c r="A37" s="34" t="n">
        <x:v>35</x:v>
      </x:c>
      <x:c r="B37" s="129" t="n">
        <x:f>'01_Run_Config'!$B$4+A37</x:f>
        <x:v>46277</x:v>
      </x:c>
      <x:c r="C37" s="63" t="n">
        <x:f>INT(A37/7)+1</x:f>
        <x:v>6</x:v>
      </x:c>
      <x:c r="D37" s="63" t="str">
        <x:f>"M"&amp;INT(A37/30)+1</x:f>
        <x:v>M2</x:v>
      </x:c>
      <x:c r="E37" s="63" t="str">
        <x:v>Stretch / Early Flower</x:v>
      </x:c>
      <x:c r="F37" s="63" t="str">
        <x:v>Stretch kontrollieren; Canopy finalisieren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v>1.25</x:v>
      </x:c>
      <x:c r="P37" s="63" t="n">
        <x:v>1.6</x:v>
      </x:c>
      <x:c r="Q37" s="63" t="n">
        <x:v>5.9</x:v>
      </x:c>
      <x:c r="R37" s="63" t="n">
        <x:v>0.6</x:v>
      </x:c>
      <x:c r="S37" s="63" t="n">
        <x:v>1</x:v>
      </x:c>
      <x:c r="T37" s="63" t="str">
        <x:v>Blumat + Wochen-Kontrollfeed</x:v>
      </x:c>
      <x:c r="U37" s="63" t="str">
        <x:v>HESI Coco</x:v>
      </x:c>
      <x:c r="V37" s="63" t="n">
        <x:v>3.25</x:v>
      </x:c>
      <x:c r="W37" s="63" t="n">
        <x:v>0</x:v>
      </x:c>
      <x:c r="X37" s="63" t="n">
        <x:v>2</x:v>
      </x:c>
      <x:c r="Y37" s="63" t="n">
        <x:v>0.015</x:v>
      </x:c>
      <x:c r="Z37" s="63" t="n">
        <x:v>0.5</x:v>
      </x:c>
      <x:c r="AA37" s="63" t="n">
        <x:v>2</x:v>
      </x:c>
      <x:c r="AB37" s="63" t="n">
        <x:v>0</x:v>
      </x:c>
      <x:c r="AC37" s="63" t="n">
        <x:v>0</x:v>
      </x:c>
      <x:c r="AD37" s="63" t="str">
        <x:v>A/B: Piranha/Tarantula je 2 ml/L nur eigener Test; Reference=0</x:v>
      </x:c>
      <x:c r="AE37" s="63" t="str">
        <x:v>Strukturelles Training beenden</x:v>
      </x:c>
      <x:c r="AF37" s="63" t="str">
        <x:v>Morgens Klima/Pflanze/Blumat/Leck; Mitte Lichtphase Blattwinkel; vor Dunkel LF/Drain/stehendes Wasser. WÖCHENTLICH: pH/EC kalibrieren, Foto, Canopy messen, PPFD-Spotcheck, Tank/Tray reinigen.</x:v>
      </x:c>
      <x:c r="AG37" s="63" t="str">
        <x:v>EC nicht erhöhen bei steigender Drain-EC; PPFD nicht erhöhen bei Stress; nie mehrere neue Booster gleichzeitig.</x:v>
      </x:c>
      <x:c r="AH37" s="35" t="str">
        <x:v>UKD-Planwert; PPFD/EC/Bedarf haben Vorrang vor Watt/Dosis.</x:v>
      </x:c>
      <x:c r="AI37" s="34" t="str">
        <x:v>Titration vor Dünger; nur falls Wasser/Endmix pH+ benötigt</x:v>
      </x:c>
      <x:c r="AJ37" s="201" t="str">
        <x:v>B1: Voodoo, Piranha, Tarantula, Bud Candy, Sensizym, Bud Ignitor, Rhino Skin, Bud Factor X</x:v>
      </x:c>
      <x:c r="AK37" s="35" t="str">
        <x:v>Voodoo Frühblüte. Bud Ignitor nur A/B bei klaren Budlets; kein zusätzlicher HESI-PK. Rhino Skin AUS mit Balance.</x:v>
      </x:c>
    </x:row>
    <x:row r="38">
      <x:c r="A38" s="34" t="n">
        <x:v>36</x:v>
      </x:c>
      <x:c r="B38" s="129" t="n">
        <x:f>'01_Run_Config'!$B$4+A38</x:f>
        <x:v>46278</x:v>
      </x:c>
      <x:c r="C38" s="63" t="n">
        <x:f>INT(A38/7)+1</x:f>
        <x:v>6</x:v>
      </x:c>
      <x:c r="D38" s="63" t="str">
        <x:f>"M"&amp;INT(A38/30)+1</x:f>
        <x:v>M2</x:v>
      </x:c>
      <x:c r="E38" s="63" t="str">
        <x:v>Flower I</x:v>
      </x:c>
      <x:c r="F38" s="63" t="str"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v>1.35</x:v>
      </x:c>
      <x:c r="P38" s="63" t="n">
        <x:v>1.7</x:v>
      </x:c>
      <x:c r="Q38" s="63" t="n">
        <x:v>5.9</x:v>
      </x:c>
      <x:c r="R38" s="63" t="n">
        <x:v>0.8</x:v>
      </x:c>
      <x:c r="S38" s="63" t="n">
        <x:v>1.2</x:v>
      </x:c>
      <x:c r="T38" s="63" t="str">
        <x:v>Blumat + Wochen-Kontrollfeed</x:v>
      </x:c>
      <x:c r="U38" s="63" t="str">
        <x:v>HESI Coco</x:v>
      </x:c>
      <x:c r="V38" s="63" t="n">
        <x:v>3.75</x:v>
      </x:c>
      <x:c r="W38" s="63" t="n">
        <x:v>0</x:v>
      </x:c>
      <x:c r="X38" s="63" t="n">
        <x:v>0</x:v>
      </x:c>
      <x:c r="Y38" s="63" t="n">
        <x:v>0.015</x:v>
      </x:c>
      <x:c r="Z38" s="63" t="n">
        <x:v>0</x:v>
      </x:c>
      <x:c r="AA38" s="63" t="n">
        <x:v>0</x:v>
      </x:c>
      <x:c r="AB38" s="63" t="n">
        <x:v>0</x:v>
      </x:c>
      <x:c r="AC38" s="63" t="n">
        <x:v>2</x:v>
      </x:c>
      <x:c r="AD38" s="63" t="str">
        <x:v>A/B: Big Bud 2 ml/L STATT HESI-PK-Regime; nicht im Reference</x:v>
      </x:c>
      <x:c r="AE38" s="63" t="str">
        <x:v>Leaf-tucking / minimal entlasten</x:v>
      </x:c>
      <x:c r="AF38" s="63" t="str">
        <x:v>Morgens Klima/Pflanze/Blumat/Leck; Mitte Lichtphase Blattwinkel; vor Dunkel LF/Drain/stehendes Wasser.</x:v>
      </x:c>
      <x:c r="AG38" s="63" t="str">
        <x:v>EC nicht erhöhen bei steigender Drain-EC; PPFD nicht erhöhen bei Stress; nie mehrere neue Booster gleichzeitig.</x:v>
      </x:c>
      <x:c r="AH38" s="35" t="str">
        <x:v>UKD-Planwert; PPFD/EC/Bedarf haben Vorrang vor Watt/Dosis.</x:v>
      </x:c>
      <x:c r="AI38" s="34" t="str">
        <x:v>Titration vor Dünger; nur falls Wasser/Endmix pH+ benötigt</x:v>
      </x:c>
      <x:c r="AJ38" s="201" t="str">
        <x:v>B2: Voodoo, Piranha, Tarantula, Big Bud, Bud Candy, Sensizym, Bud Ignitor, Rhino Skin, Bud Factor X</x:v>
      </x:c>
      <x:c r="AK38" s="35" t="str">
        <x:v>A/B: Big Bud statt HESI-PK. Voodoo letzte Frühblütegabe. Piranha/Tarantula nur eigener Mikrobenversuch.</x:v>
      </x:c>
    </x:row>
    <x:row r="39">
      <x:c r="A39" s="34" t="n">
        <x:v>37</x:v>
      </x:c>
      <x:c r="B39" s="129" t="n">
        <x:f>'01_Run_Config'!$B$4+A39</x:f>
        <x:v>46279</x:v>
      </x:c>
      <x:c r="C39" s="63" t="n">
        <x:f>INT(A39/7)+1</x:f>
        <x:v>6</x:v>
      </x:c>
      <x:c r="D39" s="63" t="str">
        <x:f>"M"&amp;INT(A39/30)+1</x:f>
        <x:v>M2</x:v>
      </x:c>
      <x:c r="E39" s="63" t="str">
        <x:v>Flower I</x:v>
      </x:c>
      <x:c r="F39" s="63" t="str"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v>1.35</x:v>
      </x:c>
      <x:c r="P39" s="63" t="n">
        <x:v>1.7</x:v>
      </x:c>
      <x:c r="Q39" s="63" t="n">
        <x:v>5.9</x:v>
      </x:c>
      <x:c r="R39" s="63" t="n">
        <x:v>0.8</x:v>
      </x:c>
      <x:c r="S39" s="63" t="n">
        <x:v>1.2</x:v>
      </x:c>
      <x:c r="T39" s="63" t="str">
        <x:v>Blumat + Wochen-Kontrollfeed</x:v>
      </x:c>
      <x:c r="U39" s="63" t="str">
        <x:v>HESI Coco</x:v>
      </x:c>
      <x:c r="V39" s="63" t="n">
        <x:v>3.75</x:v>
      </x:c>
      <x:c r="W39" s="63" t="n">
        <x:v>0</x:v>
      </x:c>
      <x:c r="X39" s="63" t="n">
        <x:v>0</x:v>
      </x:c>
      <x:c r="Y39" s="63" t="n">
        <x:v>0.015</x:v>
      </x:c>
      <x:c r="Z39" s="63" t="n">
        <x:v>0</x:v>
      </x:c>
      <x:c r="AA39" s="63" t="n">
        <x:v>0</x:v>
      </x:c>
      <x:c r="AB39" s="63" t="n">
        <x:v>0</x:v>
      </x:c>
      <x:c r="AC39" s="63" t="n">
        <x:v>0</x:v>
      </x:c>
      <x:c r="AD39" s="63" t="str">
        <x:v>A/B: Big Bud 2 ml/L STATT HESI-PK-Regime; nicht im Reference</x:v>
      </x:c>
      <x:c r="AE39" s="63" t="str">
        <x:v>Leaf-tucking / minimal entlasten</x:v>
      </x:c>
      <x:c r="AF39" s="63" t="str">
        <x:v>Morgens Klima/Pflanze/Blumat/Leck; Mitte Lichtphase Blattwinkel; vor Dunkel LF/Drain/stehendes Wasser.</x:v>
      </x:c>
      <x:c r="AG39" s="63" t="str">
        <x:v>EC nicht erhöhen bei steigender Drain-EC; PPFD nicht erhöhen bei Stress; nie mehrere neue Booster gleichzeitig.</x:v>
      </x:c>
      <x:c r="AH39" s="35" t="str">
        <x:v>UKD-Planwert; PPFD/EC/Bedarf haben Vorrang vor Watt/Dosis.</x:v>
      </x:c>
      <x:c r="AI39" s="34" t="str">
        <x:v>Titration vor Dünger; nur falls Wasser/Endmix pH+ benötigt</x:v>
      </x:c>
      <x:c r="AJ39" s="201" t="str">
        <x:v>B2: Voodoo, Piranha, Tarantula, Big Bud, Bud Candy, Sensizym, Bud Ignitor, Rhino Skin, Bud Factor X</x:v>
      </x:c>
      <x:c r="AK39" s="35" t="str">
        <x:v>A/B: Big Bud statt HESI-PK. Voodoo letzte Frühblütegabe. Piranha/Tarantula nur eigener Mikrobenversuch.</x:v>
      </x:c>
    </x:row>
    <x:row r="40">
      <x:c r="A40" s="34" t="n">
        <x:v>38</x:v>
      </x:c>
      <x:c r="B40" s="129" t="n">
        <x:f>'01_Run_Config'!$B$4+A40</x:f>
        <x:v>46280</x:v>
      </x:c>
      <x:c r="C40" s="63" t="n">
        <x:f>INT(A40/7)+1</x:f>
        <x:v>6</x:v>
      </x:c>
      <x:c r="D40" s="63" t="str">
        <x:f>"M"&amp;INT(A40/30)+1</x:f>
        <x:v>M2</x:v>
      </x:c>
      <x:c r="E40" s="63" t="str">
        <x:v>Flower I</x:v>
      </x:c>
      <x:c r="F40" s="63" t="str"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v>1.35</x:v>
      </x:c>
      <x:c r="P40" s="63" t="n">
        <x:v>1.7</x:v>
      </x:c>
      <x:c r="Q40" s="63" t="n">
        <x:v>5.9</x:v>
      </x:c>
      <x:c r="R40" s="63" t="n">
        <x:v>0.8</x:v>
      </x:c>
      <x:c r="S40" s="63" t="n">
        <x:v>1.2</x:v>
      </x:c>
      <x:c r="T40" s="63" t="str">
        <x:v>Blumat + Wochen-Kontrollfeed</x:v>
      </x:c>
      <x:c r="U40" s="63" t="str">
        <x:v>HESI Coco</x:v>
      </x:c>
      <x:c r="V40" s="63" t="n">
        <x:v>3.75</x:v>
      </x:c>
      <x:c r="W40" s="63" t="n">
        <x:v>0</x:v>
      </x:c>
      <x:c r="X40" s="63" t="n">
        <x:v>0</x:v>
      </x:c>
      <x:c r="Y40" s="63" t="n">
        <x:v>0.015</x:v>
      </x:c>
      <x:c r="Z40" s="63" t="n">
        <x:v>0</x:v>
      </x:c>
      <x:c r="AA40" s="63" t="n">
        <x:v>0</x:v>
      </x:c>
      <x:c r="AB40" s="63" t="n">
        <x:v>0</x:v>
      </x:c>
      <x:c r="AC40" s="63" t="n">
        <x:v>0</x:v>
      </x:c>
      <x:c r="AD40" s="63" t="str">
        <x:v>A/B: Big Bud 2 ml/L STATT HESI-PK-Regime; nicht im Reference</x:v>
      </x:c>
      <x:c r="AE40" s="63" t="str">
        <x:v>Leaf-tucking / minimal entlasten</x:v>
      </x:c>
      <x:c r="AF40" s="63" t="str">
        <x:v>Morgens Klima/Pflanze/Blumat/Leck; Mitte Lichtphase Blattwinkel; vor Dunkel LF/Drain/stehendes Wasser.</x:v>
      </x:c>
      <x:c r="AG40" s="63" t="str">
        <x:v>EC nicht erhöhen bei steigender Drain-EC; PPFD nicht erhöhen bei Stress; nie mehrere neue Booster gleichzeitig.</x:v>
      </x:c>
      <x:c r="AH40" s="35" t="str">
        <x:v>UKD-Planwert; PPFD/EC/Bedarf haben Vorrang vor Watt/Dosis.</x:v>
      </x:c>
      <x:c r="AI40" s="34" t="str">
        <x:v>Titration vor Dünger; nur falls Wasser/Endmix pH+ benötigt</x:v>
      </x:c>
      <x:c r="AJ40" s="201" t="str">
        <x:v>B2: Voodoo, Piranha, Tarantula, Big Bud, Bud Candy, Sensizym, Bud Ignitor, Rhino Skin, Bud Factor X</x:v>
      </x:c>
      <x:c r="AK40" s="35" t="str">
        <x:v>A/B: Big Bud statt HESI-PK. Voodoo letzte Frühblütegabe. Piranha/Tarantula nur eigener Mikrobenversuch.</x:v>
      </x:c>
    </x:row>
    <x:row r="41">
      <x:c r="A41" s="34" t="n">
        <x:v>39</x:v>
      </x:c>
      <x:c r="B41" s="129" t="n">
        <x:f>'01_Run_Config'!$B$4+A41</x:f>
        <x:v>46281</x:v>
      </x:c>
      <x:c r="C41" s="63" t="n">
        <x:f>INT(A41/7)+1</x:f>
        <x:v>6</x:v>
      </x:c>
      <x:c r="D41" s="63" t="str">
        <x:f>"M"&amp;INT(A41/30)+1</x:f>
        <x:v>M2</x:v>
      </x:c>
      <x:c r="E41" s="63" t="str">
        <x:v>Flower I</x:v>
      </x:c>
      <x:c r="F41" s="63" t="str"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v>1.35</x:v>
      </x:c>
      <x:c r="P41" s="63" t="n">
        <x:v>1.7</x:v>
      </x:c>
      <x:c r="Q41" s="63" t="n">
        <x:v>5.9</x:v>
      </x:c>
      <x:c r="R41" s="63" t="n">
        <x:v>0.8</x:v>
      </x:c>
      <x:c r="S41" s="63" t="n">
        <x:v>1.2</x:v>
      </x:c>
      <x:c r="T41" s="63" t="str">
        <x:v>Blumat + Wochen-Kontrollfeed</x:v>
      </x:c>
      <x:c r="U41" s="63" t="str">
        <x:v>HESI Coco</x:v>
      </x:c>
      <x:c r="V41" s="63" t="n">
        <x:v>3.75</x:v>
      </x:c>
      <x:c r="W41" s="63" t="n">
        <x:v>0</x:v>
      </x:c>
      <x:c r="X41" s="63" t="n">
        <x:v>0</x:v>
      </x:c>
      <x:c r="Y41" s="63" t="n">
        <x:v>0.015</x:v>
      </x:c>
      <x:c r="Z41" s="63" t="n">
        <x:v>0</x:v>
      </x:c>
      <x:c r="AA41" s="63" t="n">
        <x:v>0</x:v>
      </x:c>
      <x:c r="AB41" s="63" t="n">
        <x:v>0</x:v>
      </x:c>
      <x:c r="AC41" s="63" t="n">
        <x:v>0</x:v>
      </x:c>
      <x:c r="AD41" s="63" t="str">
        <x:v>A/B: Big Bud 2 ml/L STATT HESI-PK-Regime; nicht im Reference</x:v>
      </x:c>
      <x:c r="AE41" s="63" t="str">
        <x:v>Leaf-tucking / minimal entlasten</x:v>
      </x:c>
      <x:c r="AF41" s="63" t="str">
        <x:v>Morgens Klima/Pflanze/Blumat/Leck; Mitte Lichtphase Blattwinkel; vor Dunkel LF/Drain/stehendes Wasser.</x:v>
      </x:c>
      <x:c r="AG41" s="63" t="str">
        <x:v>EC nicht erhöhen bei steigender Drain-EC; PPFD nicht erhöhen bei Stress; nie mehrere neue Booster gleichzeitig.</x:v>
      </x:c>
      <x:c r="AH41" s="35" t="str">
        <x:v>UKD-Planwert; PPFD/EC/Bedarf haben Vorrang vor Watt/Dosis.</x:v>
      </x:c>
      <x:c r="AI41" s="34" t="str">
        <x:v>Titration vor Dünger; nur falls Wasser/Endmix pH+ benötigt</x:v>
      </x:c>
      <x:c r="AJ41" s="201" t="str">
        <x:v>B2: Voodoo, Piranha, Tarantula, Big Bud, Bud Candy, Sensizym, Bud Ignitor, Rhino Skin, Bud Factor X</x:v>
      </x:c>
      <x:c r="AK41" s="35" t="str">
        <x:v>A/B: Big Bud statt HESI-PK. Voodoo letzte Frühblütegabe. Piranha/Tarantula nur eigener Mikrobenversuch.</x:v>
      </x:c>
    </x:row>
    <x:row r="42">
      <x:c r="A42" s="34" t="n">
        <x:v>40</x:v>
      </x:c>
      <x:c r="B42" s="129" t="n">
        <x:f>'01_Run_Config'!$B$4+A42</x:f>
        <x:v>46282</x:v>
      </x:c>
      <x:c r="C42" s="63" t="n">
        <x:f>INT(A42/7)+1</x:f>
        <x:v>6</x:v>
      </x:c>
      <x:c r="D42" s="63" t="str">
        <x:f>"M"&amp;INT(A42/30)+1</x:f>
        <x:v>M2</x:v>
      </x:c>
      <x:c r="E42" s="63" t="str">
        <x:v>Flower I</x:v>
      </x:c>
      <x:c r="F42" s="63" t="str"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v>1.35</x:v>
      </x:c>
      <x:c r="P42" s="63" t="n">
        <x:v>1.7</x:v>
      </x:c>
      <x:c r="Q42" s="63" t="n">
        <x:v>5.9</x:v>
      </x:c>
      <x:c r="R42" s="63" t="n">
        <x:v>0.8</x:v>
      </x:c>
      <x:c r="S42" s="63" t="n">
        <x:v>1.2</x:v>
      </x:c>
      <x:c r="T42" s="63" t="str">
        <x:v>Blumat + Wochen-Kontrollfeed</x:v>
      </x:c>
      <x:c r="U42" s="63" t="str">
        <x:v>HESI Coco</x:v>
      </x:c>
      <x:c r="V42" s="63" t="n">
        <x:v>3.75</x:v>
      </x:c>
      <x:c r="W42" s="63" t="n">
        <x:v>0</x:v>
      </x:c>
      <x:c r="X42" s="63" t="n">
        <x:v>0</x:v>
      </x:c>
      <x:c r="Y42" s="63" t="n">
        <x:v>0.015</x:v>
      </x:c>
      <x:c r="Z42" s="63" t="n">
        <x:v>0</x:v>
      </x:c>
      <x:c r="AA42" s="63" t="n">
        <x:v>0</x:v>
      </x:c>
      <x:c r="AB42" s="63" t="n">
        <x:v>0</x:v>
      </x:c>
      <x:c r="AC42" s="63" t="n">
        <x:v>0</x:v>
      </x:c>
      <x:c r="AD42" s="63" t="str">
        <x:v>A/B: Big Bud 2 ml/L STATT HESI-PK-Regime; nicht im Reference</x:v>
      </x:c>
      <x:c r="AE42" s="63" t="str">
        <x:v>Leaf-tucking / minimal entlasten</x:v>
      </x:c>
      <x:c r="AF42" s="63" t="str">
        <x:v>Morgens Klima/Pflanze/Blumat/Leck; Mitte Lichtphase Blattwinkel; vor Dunkel LF/Drain/stehendes Wasser.</x:v>
      </x:c>
      <x:c r="AG42" s="63" t="str">
        <x:v>EC nicht erhöhen bei steigender Drain-EC; PPFD nicht erhöhen bei Stress; nie mehrere neue Booster gleichzeitig.</x:v>
      </x:c>
      <x:c r="AH42" s="35" t="str">
        <x:v>UKD-Planwert; PPFD/EC/Bedarf haben Vorrang vor Watt/Dosis.</x:v>
      </x:c>
      <x:c r="AI42" s="34" t="str">
        <x:v>Titration vor Dünger; nur falls Wasser/Endmix pH+ benötigt</x:v>
      </x:c>
      <x:c r="AJ42" s="201" t="str">
        <x:v>B2: Voodoo, Piranha, Tarantula, Big Bud, Bud Candy, Sensizym, Bud Ignitor, Rhino Skin, Bud Factor X</x:v>
      </x:c>
      <x:c r="AK42" s="35" t="str">
        <x:v>A/B: Big Bud statt HESI-PK. Voodoo letzte Frühblütegabe. Piranha/Tarantula nur eigener Mikrobenversuch.</x:v>
      </x:c>
    </x:row>
    <x:row r="43">
      <x:c r="A43" s="34" t="n">
        <x:v>41</x:v>
      </x:c>
      <x:c r="B43" s="129" t="n">
        <x:f>'01_Run_Config'!$B$4+A43</x:f>
        <x:v>46283</x:v>
      </x:c>
      <x:c r="C43" s="63" t="n">
        <x:f>INT(A43/7)+1</x:f>
        <x:v>6</x:v>
      </x:c>
      <x:c r="D43" s="63" t="str">
        <x:f>"M"&amp;INT(A43/30)+1</x:f>
        <x:v>M2</x:v>
      </x:c>
      <x:c r="E43" s="63" t="str">
        <x:v>Flower I</x:v>
      </x:c>
      <x:c r="F43" s="63" t="str"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v>1.35</x:v>
      </x:c>
      <x:c r="P43" s="63" t="n">
        <x:v>1.7</x:v>
      </x:c>
      <x:c r="Q43" s="63" t="n">
        <x:v>5.9</x:v>
      </x:c>
      <x:c r="R43" s="63" t="n">
        <x:v>0.8</x:v>
      </x:c>
      <x:c r="S43" s="63" t="n">
        <x:v>1.2</x:v>
      </x:c>
      <x:c r="T43" s="63" t="str">
        <x:v>Blumat + Wochen-Kontrollfeed</x:v>
      </x:c>
      <x:c r="U43" s="63" t="str">
        <x:v>HESI Coco</x:v>
      </x:c>
      <x:c r="V43" s="63" t="n">
        <x:v>3.75</x:v>
      </x:c>
      <x:c r="W43" s="63" t="n">
        <x:v>0</x:v>
      </x:c>
      <x:c r="X43" s="63" t="n">
        <x:v>0</x:v>
      </x:c>
      <x:c r="Y43" s="63" t="n">
        <x:v>0.015</x:v>
      </x:c>
      <x:c r="Z43" s="63" t="n">
        <x:v>0</x:v>
      </x:c>
      <x:c r="AA43" s="63" t="n">
        <x:v>0</x:v>
      </x:c>
      <x:c r="AB43" s="63" t="n">
        <x:v>0</x:v>
      </x:c>
      <x:c r="AC43" s="63" t="n">
        <x:v>0</x:v>
      </x:c>
      <x:c r="AD43" s="63" t="str">
        <x:v>A/B: Big Bud 2 ml/L STATT HESI-PK-Regime; nicht im Reference</x:v>
      </x:c>
      <x:c r="AE43" s="63" t="str">
        <x:v>Leaf-tucking / minimal entlasten</x:v>
      </x:c>
      <x:c r="AF43" s="63" t="str">
        <x:v>Morgens Klima/Pflanze/Blumat/Leck; Mitte Lichtphase Blattwinkel; vor Dunkel LF/Drain/stehendes Wasser.</x:v>
      </x:c>
      <x:c r="AG43" s="63" t="str">
        <x:v>EC nicht erhöhen bei steigender Drain-EC; PPFD nicht erhöhen bei Stress; nie mehrere neue Booster gleichzeitig.</x:v>
      </x:c>
      <x:c r="AH43" s="35" t="str">
        <x:v>UKD-Planwert; PPFD/EC/Bedarf haben Vorrang vor Watt/Dosis.</x:v>
      </x:c>
      <x:c r="AI43" s="34" t="str">
        <x:v>Titration vor Dünger; nur falls Wasser/Endmix pH+ benötigt</x:v>
      </x:c>
      <x:c r="AJ43" s="201" t="str">
        <x:v>B2: Voodoo, Piranha, Tarantula, Big Bud, Bud Candy, Sensizym, Bud Ignitor, Rhino Skin, Bud Factor X</x:v>
      </x:c>
      <x:c r="AK43" s="35" t="str">
        <x:v>A/B: Big Bud statt HESI-PK. Voodoo letzte Frühblütegabe. Piranha/Tarantula nur eigener Mikrobenversuch.</x:v>
      </x:c>
    </x:row>
    <x:row r="44">
      <x:c r="A44" s="34" t="n">
        <x:v>42</x:v>
      </x:c>
      <x:c r="B44" s="129" t="n">
        <x:f>'01_Run_Config'!$B$4+A44</x:f>
        <x:v>46284</x:v>
      </x:c>
      <x:c r="C44" s="63" t="n">
        <x:f>INT(A44/7)+1</x:f>
        <x:v>7</x:v>
      </x:c>
      <x:c r="D44" s="63" t="str">
        <x:f>"M"&amp;INT(A44/30)+1</x:f>
        <x:v>M2</x:v>
      </x:c>
      <x:c r="E44" s="63" t="str">
        <x:v>Flower I</x:v>
      </x:c>
      <x:c r="F44" s="63" t="str">
        <x:v>Blütenansatz stabilisieren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v>1.35</x:v>
      </x:c>
      <x:c r="P44" s="63" t="n">
        <x:v>1.7</x:v>
      </x:c>
      <x:c r="Q44" s="63" t="n">
        <x:v>5.9</x:v>
      </x:c>
      <x:c r="R44" s="63" t="n">
        <x:v>0.8</x:v>
      </x:c>
      <x:c r="S44" s="63" t="n">
        <x:v>1.2</x:v>
      </x:c>
      <x:c r="T44" s="63" t="str">
        <x:v>Blumat + Wochen-Kontrollfeed</x:v>
      </x:c>
      <x:c r="U44" s="63" t="str">
        <x:v>HESI Coco</x:v>
      </x:c>
      <x:c r="V44" s="63" t="n">
        <x:v>3.75</x:v>
      </x:c>
      <x:c r="W44" s="63" t="n">
        <x:v>0</x:v>
      </x:c>
      <x:c r="X44" s="63" t="n">
        <x:v>2</x:v>
      </x:c>
      <x:c r="Y44" s="63" t="n">
        <x:v>0.015</x:v>
      </x:c>
      <x:c r="Z44" s="63" t="n">
        <x:v>0.5</x:v>
      </x:c>
      <x:c r="AA44" s="63" t="n">
        <x:v>2</x:v>
      </x:c>
      <x:c r="AB44" s="63" t="n">
        <x:v>0</x:v>
      </x:c>
      <x:c r="AC44" s="63" t="n">
        <x:v>0</x:v>
      </x:c>
      <x:c r="AD44" s="63" t="str">
        <x:v>A/B: Big Bud 2 ml/L STATT HESI-PK-Regime; nicht im Reference</x:v>
      </x:c>
      <x:c r="AE44" s="63" t="str">
        <x:v>Leaf-tucking / minimal entlasten</x:v>
      </x:c>
      <x:c r="AF44" s="63" t="str">
        <x:v>Morgens Klima/Pflanze/Blumat/Leck; Mitte Lichtphase Blattwinkel; vor Dunkel LF/Drain/stehendes Wasser. WÖCHENTLICH: pH/EC kalibrieren, Foto, Canopy messen, PPFD-Spotcheck, Tank/Tray reinigen.</x:v>
      </x:c>
      <x:c r="AG44" s="63" t="str">
        <x:v>EC nicht erhöhen bei steigender Drain-EC; PPFD nicht erhöhen bei Stress; nie mehrere neue Booster gleichzeitig.</x:v>
      </x:c>
      <x:c r="AH44" s="35" t="str">
        <x:v>UKD-Planwert; PPFD/EC/Bedarf haben Vorrang vor Watt/Dosis.</x:v>
      </x:c>
      <x:c r="AI44" s="34" t="str">
        <x:v>Titration vor Dünger; nur falls Wasser/Endmix pH+ benötigt</x:v>
      </x:c>
      <x:c r="AJ44" s="201" t="str">
        <x:v>B2: Voodoo, Piranha, Tarantula, Big Bud, Bud Candy, Sensizym, Bud Ignitor, Rhino Skin, Bud Factor X</x:v>
      </x:c>
      <x:c r="AK44" s="35" t="str">
        <x:v>A/B: Big Bud statt HESI-PK. Voodoo letzte Frühblütegabe. Piranha/Tarantula nur eigener Mikrobenversuch.</x:v>
      </x:c>
    </x:row>
    <x:row r="45">
      <x:c r="A45" s="34" t="n">
        <x:v>43</x:v>
      </x:c>
      <x:c r="B45" s="129" t="n">
        <x:f>'01_Run_Config'!$B$4+A45</x:f>
        <x:v>46285</x:v>
      </x:c>
      <x:c r="C45" s="63" t="n">
        <x:f>INT(A45/7)+1</x:f>
        <x:v>7</x:v>
      </x:c>
      <x:c r="D45" s="63" t="str">
        <x:f>"M"&amp;INT(A45/30)+1</x:f>
        <x:v>M2</x:v>
      </x:c>
      <x:c r="E45" s="63" t="str">
        <x:v>Peak Flower</x:v>
      </x:c>
      <x:c r="F45" s="63" t="str">
        <x:v>max. stabile Photosynthese ohne Stress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v>1.4</x:v>
      </x:c>
      <x:c r="P45" s="63" t="n">
        <x:v>1.8</x:v>
      </x:c>
      <x:c r="Q45" s="63" t="n">
        <x:v>5.9</x:v>
      </x:c>
      <x:c r="R45" s="63" t="n">
        <x:v>0.9</x:v>
      </x:c>
      <x:c r="S45" s="63" t="n">
        <x:v>1.5</x:v>
      </x:c>
      <x:c r="T45" s="63" t="str">
        <x:v>Blumat + Wochen-Kontrollfeed</x:v>
      </x:c>
      <x:c r="U45" s="63" t="str">
        <x:v>HESI Coco</x:v>
      </x:c>
      <x:c r="V45" s="63" t="n">
        <x:v>4</x:v>
      </x:c>
      <x:c r="W45" s="63" t="n">
        <x:v>0</x:v>
      </x:c>
      <x:c r="X45" s="63" t="n">
        <x:v>0</x:v>
      </x:c>
      <x:c r="Y45" s="63" t="n">
        <x:v>0.015</x:v>
      </x:c>
      <x:c r="Z45" s="63" t="n">
        <x:v>0</x:v>
      </x:c>
      <x:c r="AA45" s="63" t="n">
        <x:v>0</x:v>
      </x:c>
      <x:c r="AB45" s="63" t="n">
        <x:v>0</x:v>
      </x:c>
      <x:c r="AC45" s="63" t="n">
        <x:v>0</x:v>
      </x:c>
      <x:c r="AD45" s="63" t="str">
        <x:v>A/B: Big Bud 2 ml/L STATT HESI-PK-Regime; nicht im Reference</x:v>
      </x:c>
      <x:c r="AE45" s="63" t="str">
        <x:v>Nur Support / Luftkanäle</x:v>
      </x:c>
      <x:c r="AF45" s="63" t="str">
        <x:v>Morgens Klima/Pflanze/Blumat/Leck; Mitte Lichtphase Blattwinkel; vor Dunkel LF/Drain/stehendes Wasser.</x:v>
      </x:c>
      <x:c r="AG45" s="63" t="str">
        <x:v>EC nicht erhöhen bei steigender Drain-EC; PPFD nicht erhöhen bei Stress; nie mehrere neue Booster gleichzeitig.</x:v>
      </x:c>
      <x:c r="AH45" s="35" t="str">
        <x:v>UKD-Planwert; PPFD/EC/Bedarf haben Vorrang vor Watt/Dosis.</x:v>
      </x:c>
      <x:c r="AI45" s="34" t="str">
        <x:v>Titration vor Dünger; nur falls Wasser/Endmix pH+ benötigt</x:v>
      </x:c>
      <x:c r="AJ45" s="201" t="str">
        <x:v>B3: Big Bud, B-52, Bud Candy, Sensizym, Tasty Terpenes, Rhino Skin, Bud Factor X</x:v>
      </x:c>
      <x:c r="AK45" s="35" t="str">
        <x:v>Reference HESI. A/B: Big Bud statt PK; B-52/Tasty/Bud Factor X jeweils nur einzeln evaluieren. Bud Candy nicht im Blumat-Dauertank.</x:v>
      </x:c>
    </x:row>
    <x:row r="46">
      <x:c r="A46" s="34" t="n">
        <x:v>44</x:v>
      </x:c>
      <x:c r="B46" s="129" t="n">
        <x:f>'01_Run_Config'!$B$4+A46</x:f>
        <x:v>46286</x:v>
      </x:c>
      <x:c r="C46" s="63" t="n">
        <x:f>INT(A46/7)+1</x:f>
        <x:v>7</x:v>
      </x:c>
      <x:c r="D46" s="63" t="str">
        <x:f>"M"&amp;INT(A46/30)+1</x:f>
        <x:v>M2</x:v>
      </x:c>
      <x:c r="E46" s="63" t="str">
        <x:v>Peak Flower</x:v>
      </x:c>
      <x:c r="F46" s="63" t="str">
        <x:v>max. stabile Photosynthese ohne Stress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v>1.4</x:v>
      </x:c>
      <x:c r="P46" s="63" t="n">
        <x:v>1.8</x:v>
      </x:c>
      <x:c r="Q46" s="63" t="n">
        <x:v>5.9</x:v>
      </x:c>
      <x:c r="R46" s="63" t="n">
        <x:v>0.9</x:v>
      </x:c>
      <x:c r="S46" s="63" t="n">
        <x:v>1.5</x:v>
      </x:c>
      <x:c r="T46" s="63" t="str">
        <x:v>Blumat + Wochen-Kontrollfeed</x:v>
      </x:c>
      <x:c r="U46" s="63" t="str">
        <x:v>HESI Coco</x:v>
      </x:c>
      <x:c r="V46" s="63" t="n">
        <x:v>4</x:v>
      </x:c>
      <x:c r="W46" s="63" t="n">
        <x:v>0</x:v>
      </x:c>
      <x:c r="X46" s="63" t="n">
        <x:v>0</x:v>
      </x:c>
      <x:c r="Y46" s="63" t="n">
        <x:v>0.015</x:v>
      </x:c>
      <x:c r="Z46" s="63" t="n">
        <x:v>0</x:v>
      </x:c>
      <x:c r="AA46" s="63" t="n">
        <x:v>0</x:v>
      </x:c>
      <x:c r="AB46" s="63" t="n">
        <x:v>0</x:v>
      </x:c>
      <x:c r="AC46" s="63" t="n">
        <x:v>0</x:v>
      </x:c>
      <x:c r="AD46" s="63" t="str">
        <x:v>A/B: Big Bud 2 ml/L STATT HESI-PK-Regime; nicht im Reference</x:v>
      </x:c>
      <x:c r="AE46" s="63" t="str">
        <x:v>Nur Support / Luftkanäle</x:v>
      </x:c>
      <x:c r="AF46" s="63" t="str">
        <x:v>Morgens Klima/Pflanze/Blumat/Leck; Mitte Lichtphase Blattwinkel; vor Dunkel LF/Drain/stehendes Wasser.</x:v>
      </x:c>
      <x:c r="AG46" s="63" t="str">
        <x:v>EC nicht erhöhen bei steigender Drain-EC; PPFD nicht erhöhen bei Stress; nie mehrere neue Booster gleichzeitig.</x:v>
      </x:c>
      <x:c r="AH46" s="35" t="str">
        <x:v>UKD-Planwert; PPFD/EC/Bedarf haben Vorrang vor Watt/Dosis.</x:v>
      </x:c>
      <x:c r="AI46" s="34" t="str">
        <x:v>Titration vor Dünger; nur falls Wasser/Endmix pH+ benötigt</x:v>
      </x:c>
      <x:c r="AJ46" s="201" t="str">
        <x:v>B3: Big Bud, B-52, Bud Candy, Sensizym, Tasty Terpenes, Rhino Skin, Bud Factor X</x:v>
      </x:c>
      <x:c r="AK46" s="35" t="str">
        <x:v>Reference HESI. A/B: Big Bud statt PK; B-52/Tasty/Bud Factor X jeweils nur einzeln evaluieren. Bud Candy nicht im Blumat-Dauertank.</x:v>
      </x:c>
    </x:row>
    <x:row r="47">
      <x:c r="A47" s="34" t="n">
        <x:v>45</x:v>
      </x:c>
      <x:c r="B47" s="129" t="n">
        <x:f>'01_Run_Config'!$B$4+A47</x:f>
        <x:v>46287</x:v>
      </x:c>
      <x:c r="C47" s="63" t="n">
        <x:f>INT(A47/7)+1</x:f>
        <x:v>7</x:v>
      </x:c>
      <x:c r="D47" s="63" t="str">
        <x:f>"M"&amp;INT(A47/30)+1</x:f>
        <x:v>M2</x:v>
      </x:c>
      <x:c r="E47" s="63" t="str">
        <x:v>Peak Flower</x:v>
      </x:c>
      <x:c r="F47" s="63" t="str">
        <x:v>max. stabile Photosynthese ohne Stress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v>1.4</x:v>
      </x:c>
      <x:c r="P47" s="63" t="n">
        <x:v>1.8</x:v>
      </x:c>
      <x:c r="Q47" s="63" t="n">
        <x:v>5.9</x:v>
      </x:c>
      <x:c r="R47" s="63" t="n">
        <x:v>0.9</x:v>
      </x:c>
      <x:c r="S47" s="63" t="n">
        <x:v>1.5</x:v>
      </x:c>
      <x:c r="T47" s="63" t="str">
        <x:v>Blumat + Wochen-Kontrollfeed</x:v>
      </x:c>
      <x:c r="U47" s="63" t="str">
        <x:v>HESI Coco</x:v>
      </x:c>
      <x:c r="V47" s="63" t="n">
        <x:v>4</x:v>
      </x:c>
      <x:c r="W47" s="63" t="n">
        <x:v>0</x:v>
      </x:c>
      <x:c r="X47" s="63" t="n">
        <x:v>0</x:v>
      </x:c>
      <x:c r="Y47" s="63" t="n">
        <x:v>0.015</x:v>
      </x:c>
      <x:c r="Z47" s="63" t="n">
        <x:v>0</x:v>
      </x:c>
      <x:c r="AA47" s="63" t="n">
        <x:v>0</x:v>
      </x:c>
      <x:c r="AB47" s="63" t="n">
        <x:v>0</x:v>
      </x:c>
      <x:c r="AC47" s="63" t="n">
        <x:v>0</x:v>
      </x:c>
      <x:c r="AD47" s="63" t="str">
        <x:v>A/B: Big Bud 2 ml/L STATT HESI-PK-Regime; nicht im Reference</x:v>
      </x:c>
      <x:c r="AE47" s="63" t="str">
        <x:v>Nur Support / Luftkanäle</x:v>
      </x:c>
      <x:c r="AF47" s="63" t="str">
        <x:v>Morgens Klima/Pflanze/Blumat/Leck; Mitte Lichtphase Blattwinkel; vor Dunkel LF/Drain/stehendes Wasser.</x:v>
      </x:c>
      <x:c r="AG47" s="63" t="str">
        <x:v>EC nicht erhöhen bei steigender Drain-EC; PPFD nicht erhöhen bei Stress; nie mehrere neue Booster gleichzeitig.</x:v>
      </x:c>
      <x:c r="AH47" s="35" t="str">
        <x:v>UKD-Planwert; PPFD/EC/Bedarf haben Vorrang vor Watt/Dosis.</x:v>
      </x:c>
      <x:c r="AI47" s="34" t="str">
        <x:v>Titration vor Dünger; nur falls Wasser/Endmix pH+ benötigt</x:v>
      </x:c>
      <x:c r="AJ47" s="201" t="str">
        <x:v>B3: Big Bud, B-52, Bud Candy, Sensizym, Tasty Terpenes, Rhino Skin, Bud Factor X</x:v>
      </x:c>
      <x:c r="AK47" s="35" t="str">
        <x:v>Reference HESI. A/B: Big Bud statt PK; B-52/Tasty/Bud Factor X jeweils nur einzeln evaluieren. Bud Candy nicht im Blumat-Dauertank.</x:v>
      </x:c>
    </x:row>
    <x:row r="48">
      <x:c r="A48" s="34" t="n">
        <x:v>46</x:v>
      </x:c>
      <x:c r="B48" s="129" t="n">
        <x:f>'01_Run_Config'!$B$4+A48</x:f>
        <x:v>46288</x:v>
      </x:c>
      <x:c r="C48" s="63" t="n">
        <x:f>INT(A48/7)+1</x:f>
        <x:v>7</x:v>
      </x:c>
      <x:c r="D48" s="63" t="str">
        <x:f>"M"&amp;INT(A48/30)+1</x:f>
        <x:v>M2</x:v>
      </x:c>
      <x:c r="E48" s="63" t="str">
        <x:v>Peak Flower</x:v>
      </x:c>
      <x:c r="F48" s="63" t="str">
        <x:v>max. stabile Photosynthese ohne Stress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v>1.4</x:v>
      </x:c>
      <x:c r="P48" s="63" t="n">
        <x:v>1.8</x:v>
      </x:c>
      <x:c r="Q48" s="63" t="n">
        <x:v>5.9</x:v>
      </x:c>
      <x:c r="R48" s="63" t="n">
        <x:v>0.9</x:v>
      </x:c>
      <x:c r="S48" s="63" t="n">
        <x:v>1.5</x:v>
      </x:c>
      <x:c r="T48" s="63" t="str">
        <x:v>Blumat + Wochen-Kontrollfeed</x:v>
      </x:c>
      <x:c r="U48" s="63" t="str">
        <x:v>HESI Coco</x:v>
      </x:c>
      <x:c r="V48" s="63" t="n">
        <x:v>4</x:v>
      </x:c>
      <x:c r="W48" s="63" t="n">
        <x:v>0</x:v>
      </x:c>
      <x:c r="X48" s="63" t="n">
        <x:v>0</x:v>
      </x:c>
      <x:c r="Y48" s="63" t="n">
        <x:v>0.015</x:v>
      </x:c>
      <x:c r="Z48" s="63" t="n">
        <x:v>0</x:v>
      </x:c>
      <x:c r="AA48" s="63" t="n">
        <x:v>0</x:v>
      </x:c>
      <x:c r="AB48" s="63" t="n">
        <x:v>0</x:v>
      </x:c>
      <x:c r="AC48" s="63" t="n">
        <x:v>0</x:v>
      </x:c>
      <x:c r="AD48" s="63" t="str">
        <x:v>A/B: Big Bud 2 ml/L STATT HESI-PK-Regime; nicht im Reference</x:v>
      </x:c>
      <x:c r="AE48" s="63" t="str">
        <x:v>Nur Support / Luftkanäle</x:v>
      </x:c>
      <x:c r="AF48" s="63" t="str">
        <x:v>Morgens Klima/Pflanze/Blumat/Leck; Mitte Lichtphase Blattwinkel; vor Dunkel LF/Drain/stehendes Wasser.</x:v>
      </x:c>
      <x:c r="AG48" s="63" t="str">
        <x:v>EC nicht erhöhen bei steigender Drain-EC; PPFD nicht erhöhen bei Stress; nie mehrere neue Booster gleichzeitig.</x:v>
      </x:c>
      <x:c r="AH48" s="35" t="str">
        <x:v>UKD-Planwert; PPFD/EC/Bedarf haben Vorrang vor Watt/Dosis.</x:v>
      </x:c>
      <x:c r="AI48" s="34" t="str">
        <x:v>Titration vor Dünger; nur falls Wasser/Endmix pH+ benötigt</x:v>
      </x:c>
      <x:c r="AJ48" s="201" t="str">
        <x:v>B3: Big Bud, B-52, Bud Candy, Sensizym, Tasty Terpenes, Rhino Skin, Bud Factor X</x:v>
      </x:c>
      <x:c r="AK48" s="35" t="str">
        <x:v>Reference HESI. A/B: Big Bud statt PK; B-52/Tasty/Bud Factor X jeweils nur einzeln evaluieren. Bud Candy nicht im Blumat-Dauertank.</x:v>
      </x:c>
    </x:row>
    <x:row r="49">
      <x:c r="A49" s="34" t="n">
        <x:v>47</x:v>
      </x:c>
      <x:c r="B49" s="129" t="n">
        <x:f>'01_Run_Config'!$B$4+A49</x:f>
        <x:v>46289</x:v>
      </x:c>
      <x:c r="C49" s="63" t="n">
        <x:f>INT(A49/7)+1</x:f>
        <x:v>7</x:v>
      </x:c>
      <x:c r="D49" s="63" t="str">
        <x:f>"M"&amp;INT(A49/30)+1</x:f>
        <x:v>M2</x:v>
      </x:c>
      <x:c r="E49" s="63" t="str">
        <x:v>Peak Flower</x:v>
      </x:c>
      <x:c r="F49" s="63" t="str">
        <x:v>max. stabile Photosynthese ohne Stress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v>1.4</x:v>
      </x:c>
      <x:c r="P49" s="63" t="n">
        <x:v>1.8</x:v>
      </x:c>
      <x:c r="Q49" s="63" t="n">
        <x:v>5.9</x:v>
      </x:c>
      <x:c r="R49" s="63" t="n">
        <x:v>0.9</x:v>
      </x:c>
      <x:c r="S49" s="63" t="n">
        <x:v>1.5</x:v>
      </x:c>
      <x:c r="T49" s="63" t="str">
        <x:v>Blumat + Wochen-Kontrollfeed</x:v>
      </x:c>
      <x:c r="U49" s="63" t="str">
        <x:v>HESI Coco</x:v>
      </x:c>
      <x:c r="V49" s="63" t="n">
        <x:v>4</x:v>
      </x:c>
      <x:c r="W49" s="63" t="n">
        <x:v>0</x:v>
      </x:c>
      <x:c r="X49" s="63" t="n">
        <x:v>0</x:v>
      </x:c>
      <x:c r="Y49" s="63" t="n">
        <x:v>0.015</x:v>
      </x:c>
      <x:c r="Z49" s="63" t="n">
        <x:v>0</x:v>
      </x:c>
      <x:c r="AA49" s="63" t="n">
        <x:v>0</x:v>
      </x:c>
      <x:c r="AB49" s="63" t="n">
        <x:v>0</x:v>
      </x:c>
      <x:c r="AC49" s="63" t="n">
        <x:v>0</x:v>
      </x:c>
      <x:c r="AD49" s="63" t="str">
        <x:v>A/B: Big Bud 2 ml/L STATT HESI-PK-Regime; nicht im Reference</x:v>
      </x:c>
      <x:c r="AE49" s="63" t="str">
        <x:v>Nur Support / Luftkanäle</x:v>
      </x:c>
      <x:c r="AF49" s="63" t="str">
        <x:v>Morgens Klima/Pflanze/Blumat/Leck; Mitte Lichtphase Blattwinkel; vor Dunkel LF/Drain/stehendes Wasser.</x:v>
      </x:c>
      <x:c r="AG49" s="63" t="str">
        <x:v>EC nicht erhöhen bei steigender Drain-EC; PPFD nicht erhöhen bei Stress; nie mehrere neue Booster gleichzeitig.</x:v>
      </x:c>
      <x:c r="AH49" s="35" t="str">
        <x:v>UKD-Planwert; PPFD/EC/Bedarf haben Vorrang vor Watt/Dosis.</x:v>
      </x:c>
      <x:c r="AI49" s="34" t="str">
        <x:v>Titration vor Dünger; nur falls Wasser/Endmix pH+ benötigt</x:v>
      </x:c>
      <x:c r="AJ49" s="201" t="str">
        <x:v>B3: Big Bud, B-52, Bud Candy, Sensizym, Tasty Terpenes, Rhino Skin, Bud Factor X</x:v>
      </x:c>
      <x:c r="AK49" s="35" t="str">
        <x:v>Reference HESI. A/B: Big Bud statt PK; B-52/Tasty/Bud Factor X jeweils nur einzeln evaluieren. Bud Candy nicht im Blumat-Dauertank.</x:v>
      </x:c>
    </x:row>
    <x:row r="50">
      <x:c r="A50" s="34" t="n">
        <x:v>48</x:v>
      </x:c>
      <x:c r="B50" s="129" t="n">
        <x:f>'01_Run_Config'!$B$4+A50</x:f>
        <x:v>46290</x:v>
      </x:c>
      <x:c r="C50" s="63" t="n">
        <x:f>INT(A50/7)+1</x:f>
        <x:v>7</x:v>
      </x:c>
      <x:c r="D50" s="63" t="str">
        <x:f>"M"&amp;INT(A50/30)+1</x:f>
        <x:v>M2</x:v>
      </x:c>
      <x:c r="E50" s="63" t="str">
        <x:v>Peak Flower</x:v>
      </x:c>
      <x:c r="F50" s="63" t="str">
        <x:v>max. stabile Photosynthese ohne Stress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v>1.4</x:v>
      </x:c>
      <x:c r="P50" s="63" t="n">
        <x:v>1.8</x:v>
      </x:c>
      <x:c r="Q50" s="63" t="n">
        <x:v>5.9</x:v>
      </x:c>
      <x:c r="R50" s="63" t="n">
        <x:v>0.9</x:v>
      </x:c>
      <x:c r="S50" s="63" t="n">
        <x:v>1.5</x:v>
      </x:c>
      <x:c r="T50" s="63" t="str">
        <x:v>Blumat + Wochen-Kontrollfeed</x:v>
      </x:c>
      <x:c r="U50" s="63" t="str">
        <x:v>HESI Coco</x:v>
      </x:c>
      <x:c r="V50" s="63" t="n">
        <x:v>4</x:v>
      </x:c>
      <x:c r="W50" s="63" t="n">
        <x:v>0</x:v>
      </x:c>
      <x:c r="X50" s="63" t="n">
        <x:v>0</x:v>
      </x:c>
      <x:c r="Y50" s="63" t="n">
        <x:v>0.015</x:v>
      </x:c>
      <x:c r="Z50" s="63" t="n">
        <x:v>0</x:v>
      </x:c>
      <x:c r="AA50" s="63" t="n">
        <x:v>0</x:v>
      </x:c>
      <x:c r="AB50" s="63" t="n">
        <x:v>0</x:v>
      </x:c>
      <x:c r="AC50" s="63" t="n">
        <x:v>0</x:v>
      </x:c>
      <x:c r="AD50" s="63" t="str">
        <x:v>A/B: Big Bud 2 ml/L STATT HESI-PK-Regime; nicht im Reference</x:v>
      </x:c>
      <x:c r="AE50" s="63" t="str">
        <x:v>Nur Support / Luftkanäle</x:v>
      </x:c>
      <x:c r="AF50" s="63" t="str">
        <x:v>Morgens Klima/Pflanze/Blumat/Leck; Mitte Lichtphase Blattwinkel; vor Dunkel LF/Drain/stehendes Wasser.</x:v>
      </x:c>
      <x:c r="AG50" s="63" t="str">
        <x:v>EC nicht erhöhen bei steigender Drain-EC; PPFD nicht erhöhen bei Stress; nie mehrere neue Booster gleichzeitig.</x:v>
      </x:c>
      <x:c r="AH50" s="35" t="str">
        <x:v>UKD-Planwert; PPFD/EC/Bedarf haben Vorrang vor Watt/Dosis.</x:v>
      </x:c>
      <x:c r="AI50" s="34" t="str">
        <x:v>Titration vor Dünger; nur falls Wasser/Endmix pH+ benötigt</x:v>
      </x:c>
      <x:c r="AJ50" s="201" t="str">
        <x:v>B3: Big Bud, B-52, Bud Candy, Sensizym, Tasty Terpenes, Rhino Skin, Bud Factor X</x:v>
      </x:c>
      <x:c r="AK50" s="35" t="str">
        <x:v>Reference HESI. A/B: Big Bud statt PK; B-52/Tasty/Bud Factor X jeweils nur einzeln evaluieren. Bud Candy nicht im Blumat-Dauertank.</x:v>
      </x:c>
    </x:row>
    <x:row r="51">
      <x:c r="A51" s="34" t="n">
        <x:v>49</x:v>
      </x:c>
      <x:c r="B51" s="129" t="n">
        <x:f>'01_Run_Config'!$B$4+A51</x:f>
        <x:v>46291</x:v>
      </x:c>
      <x:c r="C51" s="63" t="n">
        <x:f>INT(A51/7)+1</x:f>
        <x:v>8</x:v>
      </x:c>
      <x:c r="D51" s="63" t="str">
        <x:f>"M"&amp;INT(A51/30)+1</x:f>
        <x:v>M2</x:v>
      </x:c>
      <x:c r="E51" s="63" t="str">
        <x:v>Peak Flower</x:v>
      </x:c>
      <x:c r="F51" s="63" t="str">
        <x:v>max. stabile Photosynthese ohne Stress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v>1.4</x:v>
      </x:c>
      <x:c r="P51" s="63" t="n">
        <x:v>1.8</x:v>
      </x:c>
      <x:c r="Q51" s="63" t="n">
        <x:v>5.9</x:v>
      </x:c>
      <x:c r="R51" s="63" t="n">
        <x:v>0.9</x:v>
      </x:c>
      <x:c r="S51" s="63" t="n">
        <x:v>1.5</x:v>
      </x:c>
      <x:c r="T51" s="63" t="str">
        <x:v>Blumat + Wochen-Kontrollfeed</x:v>
      </x:c>
      <x:c r="U51" s="63" t="str">
        <x:v>HESI Coco</x:v>
      </x:c>
      <x:c r="V51" s="63" t="n">
        <x:v>4</x:v>
      </x:c>
      <x:c r="W51" s="63" t="n">
        <x:v>0</x:v>
      </x:c>
      <x:c r="X51" s="63" t="n">
        <x:v>2</x:v>
      </x:c>
      <x:c r="Y51" s="63" t="n">
        <x:v>0.015</x:v>
      </x:c>
      <x:c r="Z51" s="63" t="n">
        <x:v>0.5</x:v>
      </x:c>
      <x:c r="AA51" s="63" t="n">
        <x:v>2</x:v>
      </x:c>
      <x:c r="AB51" s="63" t="n">
        <x:v>0.25</x:v>
      </x:c>
      <x:c r="AC51" s="63" t="n">
        <x:v>0</x:v>
      </x:c>
      <x:c r="AD51" s="63" t="str">
        <x:v>A/B: Big Bud 2 ml/L STATT HESI-PK-Regime; nicht im Reference</x:v>
      </x:c>
      <x:c r="AE51" s="63" t="str">
        <x:v>Nur Support / Luftkanäle</x:v>
      </x:c>
      <x:c r="AF51" s="63" t="str">
        <x:v>Morgens Klima/Pflanze/Blumat/Leck; Mitte Lichtphase Blattwinkel; vor Dunkel LF/Drain/stehendes Wasser. WÖCHENTLICH: pH/EC kalibrieren, Foto, Canopy messen, PPFD-Spotcheck, Tank/Tray reinigen.</x:v>
      </x:c>
      <x:c r="AG51" s="63" t="str">
        <x:v>EC nicht erhöhen bei steigender Drain-EC; PPFD nicht erhöhen bei Stress; nie mehrere neue Booster gleichzeitig.</x:v>
      </x:c>
      <x:c r="AH51" s="35" t="str">
        <x:v>UKD-Planwert; PPFD/EC/Bedarf haben Vorrang vor Watt/Dosis.</x:v>
      </x:c>
      <x:c r="AI51" s="34" t="str">
        <x:v>Titration vor Dünger; nur falls Wasser/Endmix pH+ benötigt</x:v>
      </x:c>
      <x:c r="AJ51" s="201" t="str">
        <x:v>B3: Big Bud, B-52, Bud Candy, Sensizym, Tasty Terpenes, Rhino Skin, Bud Factor X</x:v>
      </x:c>
      <x:c r="AK51" s="35" t="str">
        <x:v>Reference HESI. A/B: Big Bud statt PK; B-52/Tasty/Bud Factor X jeweils nur einzeln evaluieren. Bud Candy nicht im Blumat-Dauertank.</x:v>
      </x:c>
    </x:row>
    <x:row r="52">
      <x:c r="A52" s="34" t="n">
        <x:v>50</x:v>
      </x:c>
      <x:c r="B52" s="129" t="n">
        <x:f>'01_Run_Config'!$B$4+A52</x:f>
        <x:v>46292</x:v>
      </x:c>
      <x:c r="C52" s="63" t="n">
        <x:f>INT(A52/7)+1</x:f>
        <x:v>8</x:v>
      </x:c>
      <x:c r="D52" s="63" t="str">
        <x:f>"M"&amp;INT(A52/30)+1</x:f>
        <x:v>M2</x:v>
      </x:c>
      <x:c r="E52" s="63" t="str">
        <x:v>Peak Flower</x:v>
      </x:c>
      <x:c r="F52" s="63" t="str">
        <x:v>max. stabile Photosynthese ohne Stress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v>1.4</x:v>
      </x:c>
      <x:c r="P52" s="63" t="n">
        <x:v>1.8</x:v>
      </x:c>
      <x:c r="Q52" s="63" t="n">
        <x:v>5.9</x:v>
      </x:c>
      <x:c r="R52" s="63" t="n">
        <x:v>0.9</x:v>
      </x:c>
      <x:c r="S52" s="63" t="n">
        <x:v>1.5</x:v>
      </x:c>
      <x:c r="T52" s="63" t="str">
        <x:v>Blumat + Wochen-Kontrollfeed</x:v>
      </x:c>
      <x:c r="U52" s="63" t="str">
        <x:v>HESI Coco</x:v>
      </x:c>
      <x:c r="V52" s="63" t="n">
        <x:v>4</x:v>
      </x:c>
      <x:c r="W52" s="63" t="n">
        <x:v>0</x:v>
      </x:c>
      <x:c r="X52" s="63" t="n">
        <x:v>0</x:v>
      </x:c>
      <x:c r="Y52" s="63" t="n">
        <x:v>0.015</x:v>
      </x:c>
      <x:c r="Z52" s="63" t="n">
        <x:v>0</x:v>
      </x:c>
      <x:c r="AA52" s="63" t="n">
        <x:v>0</x:v>
      </x:c>
      <x:c r="AB52" s="63" t="n">
        <x:v>0</x:v>
      </x:c>
      <x:c r="AC52" s="63" t="n">
        <x:v>0</x:v>
      </x:c>
      <x:c r="AD52" s="63" t="str">
        <x:v>A/B: Big Bud 2 ml/L STATT HESI-PK-Regime; nicht im Reference</x:v>
      </x:c>
      <x:c r="AE52" s="63" t="str">
        <x:v>Nur Support / Luftkanäle</x:v>
      </x:c>
      <x:c r="AF52" s="63" t="str">
        <x:v>Morgens Klima/Pflanze/Blumat/Leck; Mitte Lichtphase Blattwinkel; vor Dunkel LF/Drain/stehendes Wasser.</x:v>
      </x:c>
      <x:c r="AG52" s="63" t="str">
        <x:v>EC nicht erhöhen bei steigender Drain-EC; PPFD nicht erhöhen bei Stress; nie mehrere neue Booster gleichzeitig.</x:v>
      </x:c>
      <x:c r="AH52" s="35" t="str">
        <x:v>UKD-Planwert; PPFD/EC/Bedarf haben Vorrang vor Watt/Dosis.</x:v>
      </x:c>
      <x:c r="AI52" s="34" t="str">
        <x:v>Titration vor Dünger; nur falls Wasser/Endmix pH+ benötigt</x:v>
      </x:c>
      <x:c r="AJ52" s="201" t="str">
        <x:v>B4: Big Bud, B-52, Bud Candy, Sensizym, Tasty Terpenes, Rhino Skin, Bud Factor X</x:v>
      </x:c>
      <x:c r="AK52" s="35" t="str">
        <x:v>Reference HESI. A/B: Big Bud statt PK; B-52/Tasty/Bud Factor X jeweils nur einzeln evaluieren. Bud Candy nicht im Blumat-Dauertank.</x:v>
      </x:c>
    </x:row>
    <x:row r="53">
      <x:c r="A53" s="34" t="n">
        <x:v>51</x:v>
      </x:c>
      <x:c r="B53" s="129" t="n">
        <x:f>'01_Run_Config'!$B$4+A53</x:f>
        <x:v>46293</x:v>
      </x:c>
      <x:c r="C53" s="63" t="n">
        <x:f>INT(A53/7)+1</x:f>
        <x:v>8</x:v>
      </x:c>
      <x:c r="D53" s="63" t="str">
        <x:f>"M"&amp;INT(A53/30)+1</x:f>
        <x:v>M2</x:v>
      </x:c>
      <x:c r="E53" s="63" t="str">
        <x:v>Peak Flower</x:v>
      </x:c>
      <x:c r="F53" s="63" t="str">
        <x:v>max. stabile Photosynthese ohne Stress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v>1.4</x:v>
      </x:c>
      <x:c r="P53" s="63" t="n">
        <x:v>1.8</x:v>
      </x:c>
      <x:c r="Q53" s="63" t="n">
        <x:v>5.9</x:v>
      </x:c>
      <x:c r="R53" s="63" t="n">
        <x:v>0.9</x:v>
      </x:c>
      <x:c r="S53" s="63" t="n">
        <x:v>1.5</x:v>
      </x:c>
      <x:c r="T53" s="63" t="str">
        <x:v>Blumat + Wochen-Kontrollfeed</x:v>
      </x:c>
      <x:c r="U53" s="63" t="str">
        <x:v>HESI Coco</x:v>
      </x:c>
      <x:c r="V53" s="63" t="n">
        <x:v>4</x:v>
      </x:c>
      <x:c r="W53" s="63" t="n">
        <x:v>0</x:v>
      </x:c>
      <x:c r="X53" s="63" t="n">
        <x:v>0</x:v>
      </x:c>
      <x:c r="Y53" s="63" t="n">
        <x:v>0.015</x:v>
      </x:c>
      <x:c r="Z53" s="63" t="n">
        <x:v>0</x:v>
      </x:c>
      <x:c r="AA53" s="63" t="n">
        <x:v>0</x:v>
      </x:c>
      <x:c r="AB53" s="63" t="n">
        <x:v>0</x:v>
      </x:c>
      <x:c r="AC53" s="63" t="n">
        <x:v>0</x:v>
      </x:c>
      <x:c r="AD53" s="63" t="str">
        <x:v>A/B: Big Bud 2 ml/L STATT HESI-PK-Regime; nicht im Reference</x:v>
      </x:c>
      <x:c r="AE53" s="63" t="str">
        <x:v>Nur Support / Luftkanäle</x:v>
      </x:c>
      <x:c r="AF53" s="63" t="str">
        <x:v>Morgens Klima/Pflanze/Blumat/Leck; Mitte Lichtphase Blattwinkel; vor Dunkel LF/Drain/stehendes Wasser.</x:v>
      </x:c>
      <x:c r="AG53" s="63" t="str">
        <x:v>EC nicht erhöhen bei steigender Drain-EC; PPFD nicht erhöhen bei Stress; nie mehrere neue Booster gleichzeitig.</x:v>
      </x:c>
      <x:c r="AH53" s="35" t="str">
        <x:v>UKD-Planwert; PPFD/EC/Bedarf haben Vorrang vor Watt/Dosis.</x:v>
      </x:c>
      <x:c r="AI53" s="34" t="str">
        <x:v>Titration vor Dünger; nur falls Wasser/Endmix pH+ benötigt</x:v>
      </x:c>
      <x:c r="AJ53" s="201" t="str">
        <x:v>B4: Big Bud, B-52, Bud Candy, Sensizym, Tasty Terpenes, Rhino Skin, Bud Factor X</x:v>
      </x:c>
      <x:c r="AK53" s="35" t="str">
        <x:v>Reference HESI. A/B: Big Bud statt PK; B-52/Tasty/Bud Factor X jeweils nur einzeln evaluieren. Bud Candy nicht im Blumat-Dauertank.</x:v>
      </x:c>
    </x:row>
    <x:row r="54">
      <x:c r="A54" s="34" t="n">
        <x:v>52</x:v>
      </x:c>
      <x:c r="B54" s="129" t="n">
        <x:f>'01_Run_Config'!$B$4+A54</x:f>
        <x:v>46294</x:v>
      </x:c>
      <x:c r="C54" s="63" t="n">
        <x:f>INT(A54/7)+1</x:f>
        <x:v>8</x:v>
      </x:c>
      <x:c r="D54" s="63" t="str">
        <x:f>"M"&amp;INT(A54/30)+1</x:f>
        <x:v>M2</x:v>
      </x:c>
      <x:c r="E54" s="63" t="str">
        <x:v>Peak Flower</x:v>
      </x:c>
      <x:c r="F54" s="63" t="str">
        <x:v>max. stabile Photosynthese ohne Stress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v>1.4</x:v>
      </x:c>
      <x:c r="P54" s="63" t="n">
        <x:v>1.8</x:v>
      </x:c>
      <x:c r="Q54" s="63" t="n">
        <x:v>5.9</x:v>
      </x:c>
      <x:c r="R54" s="63" t="n">
        <x:v>0.9</x:v>
      </x:c>
      <x:c r="S54" s="63" t="n">
        <x:v>1.5</x:v>
      </x:c>
      <x:c r="T54" s="63" t="str">
        <x:v>Blumat + Wochen-Kontrollfeed</x:v>
      </x:c>
      <x:c r="U54" s="63" t="str">
        <x:v>HESI Coco</x:v>
      </x:c>
      <x:c r="V54" s="63" t="n">
        <x:v>4</x:v>
      </x:c>
      <x:c r="W54" s="63" t="n">
        <x:v>0</x:v>
      </x:c>
      <x:c r="X54" s="63" t="n">
        <x:v>0</x:v>
      </x:c>
      <x:c r="Y54" s="63" t="n">
        <x:v>0.015</x:v>
      </x:c>
      <x:c r="Z54" s="63" t="n">
        <x:v>0</x:v>
      </x:c>
      <x:c r="AA54" s="63" t="n">
        <x:v>0</x:v>
      </x:c>
      <x:c r="AB54" s="63" t="n">
        <x:v>0</x:v>
      </x:c>
      <x:c r="AC54" s="63" t="n">
        <x:v>0</x:v>
      </x:c>
      <x:c r="AD54" s="63" t="str">
        <x:v>A/B: Big Bud 2 ml/L STATT HESI-PK-Regime; nicht im Reference</x:v>
      </x:c>
      <x:c r="AE54" s="63" t="str">
        <x:v>Nur Support / Luftkanäle</x:v>
      </x:c>
      <x:c r="AF54" s="63" t="str">
        <x:v>Morgens Klima/Pflanze/Blumat/Leck; Mitte Lichtphase Blattwinkel; vor Dunkel LF/Drain/stehendes Wasser.</x:v>
      </x:c>
      <x:c r="AG54" s="63" t="str">
        <x:v>EC nicht erhöhen bei steigender Drain-EC; PPFD nicht erhöhen bei Stress; nie mehrere neue Booster gleichzeitig.</x:v>
      </x:c>
      <x:c r="AH54" s="35" t="str">
        <x:v>UKD-Planwert; PPFD/EC/Bedarf haben Vorrang vor Watt/Dosis.</x:v>
      </x:c>
      <x:c r="AI54" s="34" t="str">
        <x:v>Titration vor Dünger; nur falls Wasser/Endmix pH+ benötigt</x:v>
      </x:c>
      <x:c r="AJ54" s="201" t="str">
        <x:v>B4: Big Bud, B-52, Bud Candy, Sensizym, Tasty Terpenes, Rhino Skin, Bud Factor X</x:v>
      </x:c>
      <x:c r="AK54" s="35" t="str">
        <x:v>Reference HESI. A/B: Big Bud statt PK; B-52/Tasty/Bud Factor X jeweils nur einzeln evaluieren. Bud Candy nicht im Blumat-Dauertank.</x:v>
      </x:c>
    </x:row>
    <x:row r="55">
      <x:c r="A55" s="34" t="n">
        <x:v>53</x:v>
      </x:c>
      <x:c r="B55" s="129" t="n">
        <x:f>'01_Run_Config'!$B$4+A55</x:f>
        <x:v>46295</x:v>
      </x:c>
      <x:c r="C55" s="63" t="n">
        <x:f>INT(A55/7)+1</x:f>
        <x:v>8</x:v>
      </x:c>
      <x:c r="D55" s="63" t="str">
        <x:f>"M"&amp;INT(A55/30)+1</x:f>
        <x:v>M2</x:v>
      </x:c>
      <x:c r="E55" s="63" t="str">
        <x:v>Peak Flower</x:v>
      </x:c>
      <x:c r="F55" s="63" t="str">
        <x:v>max. stabile Photosynthese ohne Stress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v>1.4</x:v>
      </x:c>
      <x:c r="P55" s="63" t="n">
        <x:v>1.8</x:v>
      </x:c>
      <x:c r="Q55" s="63" t="n">
        <x:v>5.9</x:v>
      </x:c>
      <x:c r="R55" s="63" t="n">
        <x:v>0.9</x:v>
      </x:c>
      <x:c r="S55" s="63" t="n">
        <x:v>1.5</x:v>
      </x:c>
      <x:c r="T55" s="63" t="str">
        <x:v>Blumat + Wochen-Kontrollfeed</x:v>
      </x:c>
      <x:c r="U55" s="63" t="str">
        <x:v>HESI Coco</x:v>
      </x:c>
      <x:c r="V55" s="63" t="n">
        <x:v>4</x:v>
      </x:c>
      <x:c r="W55" s="63" t="n">
        <x:v>0</x:v>
      </x:c>
      <x:c r="X55" s="63" t="n">
        <x:v>0</x:v>
      </x:c>
      <x:c r="Y55" s="63" t="n">
        <x:v>0.015</x:v>
      </x:c>
      <x:c r="Z55" s="63" t="n">
        <x:v>0</x:v>
      </x:c>
      <x:c r="AA55" s="63" t="n">
        <x:v>0</x:v>
      </x:c>
      <x:c r="AB55" s="63" t="n">
        <x:v>0</x:v>
      </x:c>
      <x:c r="AC55" s="63" t="n">
        <x:v>0</x:v>
      </x:c>
      <x:c r="AD55" s="63" t="str">
        <x:v>A/B: Big Bud 2 ml/L STATT HESI-PK-Regime; nicht im Reference</x:v>
      </x:c>
      <x:c r="AE55" s="63" t="str">
        <x:v>Nur Support / Luftkanäle</x:v>
      </x:c>
      <x:c r="AF55" s="63" t="str">
        <x:v>Morgens Klima/Pflanze/Blumat/Leck; Mitte Lichtphase Blattwinkel; vor Dunkel LF/Drain/stehendes Wasser.</x:v>
      </x:c>
      <x:c r="AG55" s="63" t="str">
        <x:v>EC nicht erhöhen bei steigender Drain-EC; PPFD nicht erhöhen bei Stress; nie mehrere neue Booster gleichzeitig.</x:v>
      </x:c>
      <x:c r="AH55" s="35" t="str">
        <x:v>UKD-Planwert; PPFD/EC/Bedarf haben Vorrang vor Watt/Dosis.</x:v>
      </x:c>
      <x:c r="AI55" s="34" t="str">
        <x:v>Titration vor Dünger; nur falls Wasser/Endmix pH+ benötigt</x:v>
      </x:c>
      <x:c r="AJ55" s="201" t="str">
        <x:v>B4: Big Bud, B-52, Bud Candy, Sensizym, Tasty Terpenes, Rhino Skin, Bud Factor X</x:v>
      </x:c>
      <x:c r="AK55" s="35" t="str">
        <x:v>Reference HESI. A/B: Big Bud statt PK; B-52/Tasty/Bud Factor X jeweils nur einzeln evaluieren. Bud Candy nicht im Blumat-Dauertank.</x:v>
      </x:c>
    </x:row>
    <x:row r="56">
      <x:c r="A56" s="34" t="n">
        <x:v>54</x:v>
      </x:c>
      <x:c r="B56" s="129" t="n">
        <x:f>'01_Run_Config'!$B$4+A56</x:f>
        <x:v>46296</x:v>
      </x:c>
      <x:c r="C56" s="63" t="n">
        <x:f>INT(A56/7)+1</x:f>
        <x:v>8</x:v>
      </x:c>
      <x:c r="D56" s="63" t="str">
        <x:f>"M"&amp;INT(A56/30)+1</x:f>
        <x:v>M2</x:v>
      </x:c>
      <x:c r="E56" s="63" t="str">
        <x:v>Peak Flower</x:v>
      </x:c>
      <x:c r="F56" s="63" t="str">
        <x:v>max. stabile Photosynthese ohne Stress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v>1.4</x:v>
      </x:c>
      <x:c r="P56" s="63" t="n">
        <x:v>1.8</x:v>
      </x:c>
      <x:c r="Q56" s="63" t="n">
        <x:v>5.9</x:v>
      </x:c>
      <x:c r="R56" s="63" t="n">
        <x:v>0.9</x:v>
      </x:c>
      <x:c r="S56" s="63" t="n">
        <x:v>1.5</x:v>
      </x:c>
      <x:c r="T56" s="63" t="str">
        <x:v>Blumat + Wochen-Kontrollfeed</x:v>
      </x:c>
      <x:c r="U56" s="63" t="str">
        <x:v>HESI Coco</x:v>
      </x:c>
      <x:c r="V56" s="63" t="n">
        <x:v>4</x:v>
      </x:c>
      <x:c r="W56" s="63" t="n">
        <x:v>0</x:v>
      </x:c>
      <x:c r="X56" s="63" t="n">
        <x:v>0</x:v>
      </x:c>
      <x:c r="Y56" s="63" t="n">
        <x:v>0.015</x:v>
      </x:c>
      <x:c r="Z56" s="63" t="n">
        <x:v>0</x:v>
      </x:c>
      <x:c r="AA56" s="63" t="n">
        <x:v>0</x:v>
      </x:c>
      <x:c r="AB56" s="63" t="n">
        <x:v>0</x:v>
      </x:c>
      <x:c r="AC56" s="63" t="n">
        <x:v>0</x:v>
      </x:c>
      <x:c r="AD56" s="63" t="str">
        <x:v>A/B: Big Bud 2 ml/L STATT HESI-PK-Regime; nicht im Reference</x:v>
      </x:c>
      <x:c r="AE56" s="63" t="str">
        <x:v>Nur Support / Luftkanäle</x:v>
      </x:c>
      <x:c r="AF56" s="63" t="str">
        <x:v>Morgens Klima/Pflanze/Blumat/Leck; Mitte Lichtphase Blattwinkel; vor Dunkel LF/Drain/stehendes Wasser.</x:v>
      </x:c>
      <x:c r="AG56" s="63" t="str">
        <x:v>EC nicht erhöhen bei steigender Drain-EC; PPFD nicht erhöhen bei Stress; nie mehrere neue Booster gleichzeitig.</x:v>
      </x:c>
      <x:c r="AH56" s="35" t="str">
        <x:v>UKD-Planwert; PPFD/EC/Bedarf haben Vorrang vor Watt/Dosis.</x:v>
      </x:c>
      <x:c r="AI56" s="34" t="str">
        <x:v>Titration vor Dünger; nur falls Wasser/Endmix pH+ benötigt</x:v>
      </x:c>
      <x:c r="AJ56" s="201" t="str">
        <x:v>B4: Big Bud, B-52, Bud Candy, Sensizym, Tasty Terpenes, Rhino Skin, Bud Factor X</x:v>
      </x:c>
      <x:c r="AK56" s="35" t="str">
        <x:v>Reference HESI. A/B: Big Bud statt PK; B-52/Tasty/Bud Factor X jeweils nur einzeln evaluieren. Bud Candy nicht im Blumat-Dauertank.</x:v>
      </x:c>
    </x:row>
    <x:row r="57">
      <x:c r="A57" s="34" t="n">
        <x:v>55</x:v>
      </x:c>
      <x:c r="B57" s="129" t="n">
        <x:f>'01_Run_Config'!$B$4+A57</x:f>
        <x:v>46297</x:v>
      </x:c>
      <x:c r="C57" s="63" t="n">
        <x:f>INT(A57/7)+1</x:f>
        <x:v>8</x:v>
      </x:c>
      <x:c r="D57" s="63" t="str">
        <x:f>"M"&amp;INT(A57/30)+1</x:f>
        <x:v>M2</x:v>
      </x:c>
      <x:c r="E57" s="63" t="str">
        <x:v>Peak Flower</x:v>
      </x:c>
      <x:c r="F57" s="63" t="str">
        <x:v>max. stabile Photosynthese ohne Stress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v>1.4</x:v>
      </x:c>
      <x:c r="P57" s="63" t="n">
        <x:v>1.8</x:v>
      </x:c>
      <x:c r="Q57" s="63" t="n">
        <x:v>5.9</x:v>
      </x:c>
      <x:c r="R57" s="63" t="n">
        <x:v>0.9</x:v>
      </x:c>
      <x:c r="S57" s="63" t="n">
        <x:v>1.5</x:v>
      </x:c>
      <x:c r="T57" s="63" t="str">
        <x:v>Blumat + Wochen-Kontrollfeed</x:v>
      </x:c>
      <x:c r="U57" s="63" t="str">
        <x:v>HESI Coco</x:v>
      </x:c>
      <x:c r="V57" s="63" t="n">
        <x:v>4</x:v>
      </x:c>
      <x:c r="W57" s="63" t="n">
        <x:v>0</x:v>
      </x:c>
      <x:c r="X57" s="63" t="n">
        <x:v>0</x:v>
      </x:c>
      <x:c r="Y57" s="63" t="n">
        <x:v>0.015</x:v>
      </x:c>
      <x:c r="Z57" s="63" t="n">
        <x:v>0</x:v>
      </x:c>
      <x:c r="AA57" s="63" t="n">
        <x:v>0</x:v>
      </x:c>
      <x:c r="AB57" s="63" t="n">
        <x:v>0</x:v>
      </x:c>
      <x:c r="AC57" s="63" t="n">
        <x:v>0</x:v>
      </x:c>
      <x:c r="AD57" s="63" t="str">
        <x:v>A/B: Big Bud 2 ml/L STATT HESI-PK-Regime; nicht im Reference</x:v>
      </x:c>
      <x:c r="AE57" s="63" t="str">
        <x:v>Nur Support / Luftkanäle</x:v>
      </x:c>
      <x:c r="AF57" s="63" t="str">
        <x:v>Morgens Klima/Pflanze/Blumat/Leck; Mitte Lichtphase Blattwinkel; vor Dunkel LF/Drain/stehendes Wasser.</x:v>
      </x:c>
      <x:c r="AG57" s="63" t="str">
        <x:v>EC nicht erhöhen bei steigender Drain-EC; PPFD nicht erhöhen bei Stress; nie mehrere neue Booster gleichzeitig.</x:v>
      </x:c>
      <x:c r="AH57" s="35" t="str">
        <x:v>UKD-Planwert; PPFD/EC/Bedarf haben Vorrang vor Watt/Dosis.</x:v>
      </x:c>
      <x:c r="AI57" s="34" t="str">
        <x:v>Titration vor Dünger; nur falls Wasser/Endmix pH+ benötigt</x:v>
      </x:c>
      <x:c r="AJ57" s="201" t="str">
        <x:v>B4: Big Bud, B-52, Bud Candy, Sensizym, Tasty Terpenes, Rhino Skin, Bud Factor X</x:v>
      </x:c>
      <x:c r="AK57" s="35" t="str">
        <x:v>Reference HESI. A/B: Big Bud statt PK; B-52/Tasty/Bud Factor X jeweils nur einzeln evaluieren. Bud Candy nicht im Blumat-Dauertank.</x:v>
      </x:c>
    </x:row>
    <x:row r="58">
      <x:c r="A58" s="34" t="n">
        <x:v>56</x:v>
      </x:c>
      <x:c r="B58" s="129" t="n">
        <x:f>'01_Run_Config'!$B$4+A58</x:f>
        <x:v>46298</x:v>
      </x:c>
      <x:c r="C58" s="63" t="n">
        <x:f>INT(A58/7)+1</x:f>
        <x:v>9</x:v>
      </x:c>
      <x:c r="D58" s="63" t="str">
        <x:f>"M"&amp;INT(A58/30)+1</x:f>
        <x:v>M2</x:v>
      </x:c>
      <x:c r="E58" s="63" t="str">
        <x:v>Peak Flower</x:v>
      </x:c>
      <x:c r="F58" s="63" t="str">
        <x:v>max. stabile Photosynthese ohne Stress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v>1.4</x:v>
      </x:c>
      <x:c r="P58" s="63" t="n">
        <x:v>1.8</x:v>
      </x:c>
      <x:c r="Q58" s="63" t="n">
        <x:v>5.9</x:v>
      </x:c>
      <x:c r="R58" s="63" t="n">
        <x:v>0.9</x:v>
      </x:c>
      <x:c r="S58" s="63" t="n">
        <x:v>1.5</x:v>
      </x:c>
      <x:c r="T58" s="63" t="str">
        <x:v>Blumat + Wochen-Kontrollfeed</x:v>
      </x:c>
      <x:c r="U58" s="63" t="str">
        <x:v>HESI Coco</x:v>
      </x:c>
      <x:c r="V58" s="63" t="n">
        <x:v>4</x:v>
      </x:c>
      <x:c r="W58" s="63" t="n">
        <x:v>0</x:v>
      </x:c>
      <x:c r="X58" s="63" t="n">
        <x:v>2</x:v>
      </x:c>
      <x:c r="Y58" s="63" t="n">
        <x:v>0.015</x:v>
      </x:c>
      <x:c r="Z58" s="63" t="n">
        <x:v>0.5</x:v>
      </x:c>
      <x:c r="AA58" s="63" t="n">
        <x:v>2</x:v>
      </x:c>
      <x:c r="AB58" s="63" t="n">
        <x:v>0.35</x:v>
      </x:c>
      <x:c r="AC58" s="63" t="n">
        <x:v>0</x:v>
      </x:c>
      <x:c r="AD58" s="63" t="str">
        <x:v>A/B: Big Bud 2 ml/L STATT HESI-PK-Regime; nicht im Reference</x:v>
      </x:c>
      <x:c r="AE58" s="63" t="str">
        <x:v>Nur Support / Luftkanäle</x:v>
      </x:c>
      <x:c r="AF58" s="63" t="str">
        <x:v>Morgens Klima/Pflanze/Blumat/Leck; Mitte Lichtphase Blattwinkel; vor Dunkel LF/Drain/stehendes Wasser. WÖCHENTLICH: pH/EC kalibrieren, Foto, Canopy messen, PPFD-Spotcheck, Tank/Tray reinigen.</x:v>
      </x:c>
      <x:c r="AG58" s="63" t="str">
        <x:v>EC nicht erhöhen bei steigender Drain-EC; PPFD nicht erhöhen bei Stress; nie mehrere neue Booster gleichzeitig.</x:v>
      </x:c>
      <x:c r="AH58" s="35" t="str">
        <x:v>UKD-Planwert; PPFD/EC/Bedarf haben Vorrang vor Watt/Dosis.</x:v>
      </x:c>
      <x:c r="AI58" s="34" t="str">
        <x:v>Titration vor Dünger; nur falls Wasser/Endmix pH+ benötigt</x:v>
      </x:c>
      <x:c r="AJ58" s="201" t="str">
        <x:v>B4: Big Bud, B-52, Bud Candy, Sensizym, Tasty Terpenes, Rhino Skin, Bud Factor X</x:v>
      </x:c>
      <x:c r="AK58" s="35" t="str">
        <x:v>Reference HESI. A/B: Big Bud statt PK; B-52/Tasty/Bud Factor X jeweils nur einzeln evaluieren. Bud Candy nicht im Blumat-Dauertank.</x:v>
      </x:c>
    </x:row>
    <x:row r="59">
      <x:c r="A59" s="34" t="n">
        <x:v>57</x:v>
      </x:c>
      <x:c r="B59" s="129" t="n">
        <x:f>'01_Run_Config'!$B$4+A59</x:f>
        <x:v>46299</x:v>
      </x:c>
      <x:c r="C59" s="63" t="n">
        <x:f>INT(A59/7)+1</x:f>
        <x:v>9</x:v>
      </x:c>
      <x:c r="D59" s="63" t="str">
        <x:f>"M"&amp;INT(A59/30)+1</x:f>
        <x:v>M2</x:v>
      </x:c>
      <x:c r="E59" s="63" t="str">
        <x:v>Late Flower</x:v>
      </x:c>
      <x:c r="F59" s="63" t="str">
        <x:v>Qualität + Schimmelprävention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v>1.4</x:v>
      </x:c>
      <x:c r="P59" s="63" t="n">
        <x:v>1.6</x:v>
      </x:c>
      <x:c r="Q59" s="63" t="n">
        <x:v>5.9</x:v>
      </x:c>
      <x:c r="R59" s="63" t="n">
        <x:v>0.8</x:v>
      </x:c>
      <x:c r="S59" s="63" t="n">
        <x:v>1.3</x:v>
      </x:c>
      <x:c r="T59" s="63" t="str">
        <x:v>Blumat + Diagnose-Drain</x:v>
      </x:c>
      <x:c r="U59" s="63" t="str">
        <x:v>HESI Coco</x:v>
      </x:c>
      <x:c r="V59" s="63" t="n">
        <x:v>3.5</x:v>
      </x:c>
      <x:c r="W59" s="63" t="n">
        <x:v>0</x:v>
      </x:c>
      <x:c r="X59" s="63" t="n">
        <x:v>0</x:v>
      </x:c>
      <x:c r="Y59" s="63" t="n">
        <x:v>0.015</x:v>
      </x:c>
      <x:c r="Z59" s="63" t="n">
        <x:v>0</x:v>
      </x:c>
      <x:c r="AA59" s="63" t="n">
        <x:v>0</x:v>
      </x:c>
      <x:c r="AB59" s="63" t="n">
        <x:v>0</x:v>
      </x:c>
      <x:c r="AC59" s="63" t="n">
        <x:v>0</x:v>
      </x:c>
      <x:c r="AD59" s="63" t="str">
        <x:v>A/B: Overdrive 2 ml/L STATT spätem HESI-PK</x:v>
      </x:c>
      <x:c r="AE59" s="63" t="str">
        <x:v>Keine Strukturarbeit</x:v>
      </x:c>
      <x:c r="AF59" s="63" t="str">
        <x:v>Morgens Klima/Pflanze/Blumat/Leck; Mitte Lichtphase Blattwinkel; vor Dunkel LF/Drain/stehendes Wasser.</x:v>
      </x:c>
      <x:c r="AG59" s="63" t="str">
        <x:v>EC nicht erhöhen bei steigender Drain-EC; PPFD nicht erhöhen bei Stress; nie mehrere neue Booster gleichzeitig.</x:v>
      </x:c>
      <x:c r="AH59" s="35" t="str">
        <x:v>UKD-Planwert; PPFD/EC/Bedarf haben Vorrang vor Watt/Dosis.</x:v>
      </x:c>
      <x:c r="AI59" s="34" t="str">
        <x:v>Titration vor Dünger; nur falls Wasser/Endmix pH+ benötigt</x:v>
      </x:c>
      <x:c r="AJ59" s="201" t="str">
        <x:v>B5: Big Bud, B-52, Bud Candy, Sensizym, Tasty Terpenes, Rhino Skin, Bud Factor X</x:v>
      </x:c>
      <x:c r="AK59" s="35" t="str">
        <x:v>Big Bud auslaufen. Reference: moderates HESI-PK. Tasty/Bud Factor X optional A/B. Kein zusätzlicher Siliziumstack.</x:v>
      </x:c>
    </x:row>
    <x:row r="60">
      <x:c r="A60" s="34" t="n">
        <x:v>58</x:v>
      </x:c>
      <x:c r="B60" s="129" t="n">
        <x:f>'01_Run_Config'!$B$4+A60</x:f>
        <x:v>46300</x:v>
      </x:c>
      <x:c r="C60" s="63" t="n">
        <x:f>INT(A60/7)+1</x:f>
        <x:v>9</x:v>
      </x:c>
      <x:c r="D60" s="63" t="str">
        <x:f>"M"&amp;INT(A60/30)+1</x:f>
        <x:v>M2</x:v>
      </x:c>
      <x:c r="E60" s="63" t="str">
        <x:v>Late Flower</x:v>
      </x:c>
      <x:c r="F60" s="63" t="str">
        <x:v>Qualität + Schimmelprävention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v>1.4</x:v>
      </x:c>
      <x:c r="P60" s="63" t="n">
        <x:v>1.6</x:v>
      </x:c>
      <x:c r="Q60" s="63" t="n">
        <x:v>5.9</x:v>
      </x:c>
      <x:c r="R60" s="63" t="n">
        <x:v>0.8</x:v>
      </x:c>
      <x:c r="S60" s="63" t="n">
        <x:v>1.3</x:v>
      </x:c>
      <x:c r="T60" s="63" t="str">
        <x:v>Blumat + Diagnose-Drain</x:v>
      </x:c>
      <x:c r="U60" s="63" t="str">
        <x:v>HESI Coco</x:v>
      </x:c>
      <x:c r="V60" s="63" t="n">
        <x:v>3.5</x:v>
      </x:c>
      <x:c r="W60" s="63" t="n">
        <x:v>0</x:v>
      </x:c>
      <x:c r="X60" s="63" t="n">
        <x:v>0</x:v>
      </x:c>
      <x:c r="Y60" s="63" t="n">
        <x:v>0.015</x:v>
      </x:c>
      <x:c r="Z60" s="63" t="n">
        <x:v>0</x:v>
      </x:c>
      <x:c r="AA60" s="63" t="n">
        <x:v>0</x:v>
      </x:c>
      <x:c r="AB60" s="63" t="n">
        <x:v>0</x:v>
      </x:c>
      <x:c r="AC60" s="63" t="n">
        <x:v>0</x:v>
      </x:c>
      <x:c r="AD60" s="63" t="str">
        <x:v>A/B: Overdrive 2 ml/L STATT spätem HESI-PK</x:v>
      </x:c>
      <x:c r="AE60" s="63" t="str">
        <x:v>Keine Strukturarbeit</x:v>
      </x:c>
      <x:c r="AF60" s="63" t="str">
        <x:v>Morgens Klima/Pflanze/Blumat/Leck; Mitte Lichtphase Blattwinkel; vor Dunkel LF/Drain/stehendes Wasser.</x:v>
      </x:c>
      <x:c r="AG60" s="63" t="str">
        <x:v>EC nicht erhöhen bei steigender Drain-EC; PPFD nicht erhöhen bei Stress; nie mehrere neue Booster gleichzeitig.</x:v>
      </x:c>
      <x:c r="AH60" s="35" t="str">
        <x:v>UKD-Planwert; PPFD/EC/Bedarf haben Vorrang vor Watt/Dosis.</x:v>
      </x:c>
      <x:c r="AI60" s="34" t="str">
        <x:v>Titration vor Dünger; nur falls Wasser/Endmix pH+ benötigt</x:v>
      </x:c>
      <x:c r="AJ60" s="201" t="str">
        <x:v>B5: Big Bud, B-52, Bud Candy, Sensizym, Tasty Terpenes, Rhino Skin, Bud Factor X</x:v>
      </x:c>
      <x:c r="AK60" s="35" t="str">
        <x:v>Big Bud auslaufen. Reference: moderates HESI-PK. Tasty/Bud Factor X optional A/B. Kein zusätzlicher Siliziumstack.</x:v>
      </x:c>
    </x:row>
    <x:row r="61">
      <x:c r="A61" s="34" t="n">
        <x:v>59</x:v>
      </x:c>
      <x:c r="B61" s="129" t="n">
        <x:f>'01_Run_Config'!$B$4+A61</x:f>
        <x:v>46301</x:v>
      </x:c>
      <x:c r="C61" s="63" t="n">
        <x:f>INT(A61/7)+1</x:f>
        <x:v>9</x:v>
      </x:c>
      <x:c r="D61" s="63" t="str">
        <x:f>"M"&amp;INT(A61/30)+1</x:f>
        <x:v>M2</x:v>
      </x:c>
      <x:c r="E61" s="63" t="str">
        <x:v>Late Flower</x:v>
      </x:c>
      <x:c r="F61" s="63" t="str">
        <x:v>Qualität + Schimmelprävention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v>1.4</x:v>
      </x:c>
      <x:c r="P61" s="63" t="n">
        <x:v>1.6</x:v>
      </x:c>
      <x:c r="Q61" s="63" t="n">
        <x:v>5.9</x:v>
      </x:c>
      <x:c r="R61" s="63" t="n">
        <x:v>0.8</x:v>
      </x:c>
      <x:c r="S61" s="63" t="n">
        <x:v>1.3</x:v>
      </x:c>
      <x:c r="T61" s="63" t="str">
        <x:v>Blumat + Diagnose-Drain</x:v>
      </x:c>
      <x:c r="U61" s="63" t="str">
        <x:v>HESI Coco</x:v>
      </x:c>
      <x:c r="V61" s="63" t="n">
        <x:v>3.5</x:v>
      </x:c>
      <x:c r="W61" s="63" t="n">
        <x:v>0</x:v>
      </x:c>
      <x:c r="X61" s="63" t="n">
        <x:v>0</x:v>
      </x:c>
      <x:c r="Y61" s="63" t="n">
        <x:v>0.015</x:v>
      </x:c>
      <x:c r="Z61" s="63" t="n">
        <x:v>0</x:v>
      </x:c>
      <x:c r="AA61" s="63" t="n">
        <x:v>0</x:v>
      </x:c>
      <x:c r="AB61" s="63" t="n">
        <x:v>0</x:v>
      </x:c>
      <x:c r="AC61" s="63" t="n">
        <x:v>0</x:v>
      </x:c>
      <x:c r="AD61" s="63" t="str">
        <x:v>A/B: Overdrive 2 ml/L STATT spätem HESI-PK</x:v>
      </x:c>
      <x:c r="AE61" s="63" t="str">
        <x:v>Keine Strukturarbeit</x:v>
      </x:c>
      <x:c r="AF61" s="63" t="str">
        <x:v>Morgens Klima/Pflanze/Blumat/Leck; Mitte Lichtphase Blattwinkel; vor Dunkel LF/Drain/stehendes Wasser.</x:v>
      </x:c>
      <x:c r="AG61" s="63" t="str">
        <x:v>EC nicht erhöhen bei steigender Drain-EC; PPFD nicht erhöhen bei Stress; nie mehrere neue Booster gleichzeitig.</x:v>
      </x:c>
      <x:c r="AH61" s="35" t="str">
        <x:v>UKD-Planwert; PPFD/EC/Bedarf haben Vorrang vor Watt/Dosis.</x:v>
      </x:c>
      <x:c r="AI61" s="34" t="str">
        <x:v>Titration vor Dünger; nur falls Wasser/Endmix pH+ benötigt</x:v>
      </x:c>
      <x:c r="AJ61" s="201" t="str">
        <x:v>B5: Big Bud, B-52, Bud Candy, Sensizym, Tasty Terpenes, Rhino Skin, Bud Factor X</x:v>
      </x:c>
      <x:c r="AK61" s="35" t="str">
        <x:v>Big Bud auslaufen. Reference: moderates HESI-PK. Tasty/Bud Factor X optional A/B. Kein zusätzlicher Siliziumstack.</x:v>
      </x:c>
    </x:row>
    <x:row r="62">
      <x:c r="A62" s="34" t="n">
        <x:v>60</x:v>
      </x:c>
      <x:c r="B62" s="129" t="n">
        <x:f>'01_Run_Config'!$B$4+A62</x:f>
        <x:v>46302</x:v>
      </x:c>
      <x:c r="C62" s="63" t="n">
        <x:f>INT(A62/7)+1</x:f>
        <x:v>9</x:v>
      </x:c>
      <x:c r="D62" s="63" t="str">
        <x:f>"M"&amp;INT(A62/30)+1</x:f>
        <x:v>M3</x:v>
      </x:c>
      <x:c r="E62" s="63" t="str">
        <x:v>Late Flower</x:v>
      </x:c>
      <x:c r="F62" s="63" t="str">
        <x:v>Qualität + Schimmelprävention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v>1.4</x:v>
      </x:c>
      <x:c r="P62" s="63" t="n">
        <x:v>1.6</x:v>
      </x:c>
      <x:c r="Q62" s="63" t="n">
        <x:v>5.9</x:v>
      </x:c>
      <x:c r="R62" s="63" t="n">
        <x:v>0.8</x:v>
      </x:c>
      <x:c r="S62" s="63" t="n">
        <x:v>1.3</x:v>
      </x:c>
      <x:c r="T62" s="63" t="str">
        <x:v>Blumat + Diagnose-Drain</x:v>
      </x:c>
      <x:c r="U62" s="63" t="str">
        <x:v>HESI Coco</x:v>
      </x:c>
      <x:c r="V62" s="63" t="n">
        <x:v>3.5</x:v>
      </x:c>
      <x:c r="W62" s="63" t="n">
        <x:v>0</x:v>
      </x:c>
      <x:c r="X62" s="63" t="n">
        <x:v>0</x:v>
      </x:c>
      <x:c r="Y62" s="63" t="n">
        <x:v>0.015</x:v>
      </x:c>
      <x:c r="Z62" s="63" t="n">
        <x:v>0</x:v>
      </x:c>
      <x:c r="AA62" s="63" t="n">
        <x:v>0</x:v>
      </x:c>
      <x:c r="AB62" s="63" t="n">
        <x:v>0</x:v>
      </x:c>
      <x:c r="AC62" s="63" t="n">
        <x:v>0</x:v>
      </x:c>
      <x:c r="AD62" s="63" t="str">
        <x:v>A/B: Overdrive 2 ml/L STATT spätem HESI-PK</x:v>
      </x:c>
      <x:c r="AE62" s="63" t="str">
        <x:v>Keine Strukturarbeit</x:v>
      </x:c>
      <x:c r="AF62" s="63" t="str">
        <x:v>Morgens Klima/Pflanze/Blumat/Leck; Mitte Lichtphase Blattwinkel; vor Dunkel LF/Drain/stehendes Wasser.</x:v>
      </x:c>
      <x:c r="AG62" s="63" t="str">
        <x:v>EC nicht erhöhen bei steigender Drain-EC; PPFD nicht erhöhen bei Stress; nie mehrere neue Booster gleichzeitig.</x:v>
      </x:c>
      <x:c r="AH62" s="35" t="str">
        <x:v>UKD-Planwert; PPFD/EC/Bedarf haben Vorrang vor Watt/Dosis.</x:v>
      </x:c>
      <x:c r="AI62" s="34" t="str">
        <x:v>Titration vor Dünger; nur falls Wasser/Endmix pH+ benötigt</x:v>
      </x:c>
      <x:c r="AJ62" s="201" t="str">
        <x:v>B5: Big Bud, B-52, Bud Candy, Sensizym, Tasty Terpenes, Rhino Skin, Bud Factor X</x:v>
      </x:c>
      <x:c r="AK62" s="35" t="str">
        <x:v>Big Bud auslaufen. Reference: moderates HESI-PK. Tasty/Bud Factor X optional A/B. Kein zusätzlicher Siliziumstack.</x:v>
      </x:c>
    </x:row>
    <x:row r="63">
      <x:c r="A63" s="34" t="n">
        <x:v>61</x:v>
      </x:c>
      <x:c r="B63" s="129" t="n">
        <x:f>'01_Run_Config'!$B$4+A63</x:f>
        <x:v>46303</x:v>
      </x:c>
      <x:c r="C63" s="63" t="n">
        <x:f>INT(A63/7)+1</x:f>
        <x:v>9</x:v>
      </x:c>
      <x:c r="D63" s="63" t="str">
        <x:f>"M"&amp;INT(A63/30)+1</x:f>
        <x:v>M3</x:v>
      </x:c>
      <x:c r="E63" s="63" t="str">
        <x:v>Late Flower</x:v>
      </x:c>
      <x:c r="F63" s="63" t="str">
        <x:v>Qualität + Schimmelprävention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v>1.4</x:v>
      </x:c>
      <x:c r="P63" s="63" t="n">
        <x:v>1.6</x:v>
      </x:c>
      <x:c r="Q63" s="63" t="n">
        <x:v>5.9</x:v>
      </x:c>
      <x:c r="R63" s="63" t="n">
        <x:v>0.8</x:v>
      </x:c>
      <x:c r="S63" s="63" t="n">
        <x:v>1.3</x:v>
      </x:c>
      <x:c r="T63" s="63" t="str">
        <x:v>Blumat + Diagnose-Drain</x:v>
      </x:c>
      <x:c r="U63" s="63" t="str">
        <x:v>HESI Coco</x:v>
      </x:c>
      <x:c r="V63" s="63" t="n">
        <x:v>3.5</x:v>
      </x:c>
      <x:c r="W63" s="63" t="n">
        <x:v>0</x:v>
      </x:c>
      <x:c r="X63" s="63" t="n">
        <x:v>0</x:v>
      </x:c>
      <x:c r="Y63" s="63" t="n">
        <x:v>0.015</x:v>
      </x:c>
      <x:c r="Z63" s="63" t="n">
        <x:v>0</x:v>
      </x:c>
      <x:c r="AA63" s="63" t="n">
        <x:v>0</x:v>
      </x:c>
      <x:c r="AB63" s="63" t="n">
        <x:v>0</x:v>
      </x:c>
      <x:c r="AC63" s="63" t="n">
        <x:v>0</x:v>
      </x:c>
      <x:c r="AD63" s="63" t="str">
        <x:v>A/B: Overdrive 2 ml/L STATT spätem HESI-PK</x:v>
      </x:c>
      <x:c r="AE63" s="63" t="str">
        <x:v>Keine Strukturarbeit</x:v>
      </x:c>
      <x:c r="AF63" s="63" t="str">
        <x:v>Morgens Klima/Pflanze/Blumat/Leck; Mitte Lichtphase Blattwinkel; vor Dunkel LF/Drain/stehendes Wasser.</x:v>
      </x:c>
      <x:c r="AG63" s="63" t="str">
        <x:v>EC nicht erhöhen bei steigender Drain-EC; PPFD nicht erhöhen bei Stress; nie mehrere neue Booster gleichzeitig.</x:v>
      </x:c>
      <x:c r="AH63" s="35" t="str">
        <x:v>UKD-Planwert; PPFD/EC/Bedarf haben Vorrang vor Watt/Dosis.</x:v>
      </x:c>
      <x:c r="AI63" s="34" t="str">
        <x:v>Titration vor Dünger; nur falls Wasser/Endmix pH+ benötigt</x:v>
      </x:c>
      <x:c r="AJ63" s="201" t="str">
        <x:v>B5: Big Bud, B-52, Bud Candy, Sensizym, Tasty Terpenes, Rhino Skin, Bud Factor X</x:v>
      </x:c>
      <x:c r="AK63" s="35" t="str">
        <x:v>Big Bud auslaufen. Reference: moderates HESI-PK. Tasty/Bud Factor X optional A/B. Kein zusätzlicher Siliziumstack.</x:v>
      </x:c>
    </x:row>
    <x:row r="64">
      <x:c r="A64" s="34" t="n">
        <x:v>62</x:v>
      </x:c>
      <x:c r="B64" s="129" t="n">
        <x:f>'01_Run_Config'!$B$4+A64</x:f>
        <x:v>46304</x:v>
      </x:c>
      <x:c r="C64" s="63" t="n">
        <x:f>INT(A64/7)+1</x:f>
        <x:v>9</x:v>
      </x:c>
      <x:c r="D64" s="63" t="str">
        <x:f>"M"&amp;INT(A64/30)+1</x:f>
        <x:v>M3</x:v>
      </x:c>
      <x:c r="E64" s="63" t="str">
        <x:v>Late Flower</x:v>
      </x:c>
      <x:c r="F64" s="63" t="str">
        <x:v>Qualität + Schimmelprävention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v>1.4</x:v>
      </x:c>
      <x:c r="P64" s="63" t="n">
        <x:v>1.6</x:v>
      </x:c>
      <x:c r="Q64" s="63" t="n">
        <x:v>5.9</x:v>
      </x:c>
      <x:c r="R64" s="63" t="n">
        <x:v>0.8</x:v>
      </x:c>
      <x:c r="S64" s="63" t="n">
        <x:v>1.3</x:v>
      </x:c>
      <x:c r="T64" s="63" t="str">
        <x:v>Blumat + Diagnose-Drain</x:v>
      </x:c>
      <x:c r="U64" s="63" t="str">
        <x:v>HESI Coco</x:v>
      </x:c>
      <x:c r="V64" s="63" t="n">
        <x:v>3.5</x:v>
      </x:c>
      <x:c r="W64" s="63" t="n">
        <x:v>0</x:v>
      </x:c>
      <x:c r="X64" s="63" t="n">
        <x:v>0</x:v>
      </x:c>
      <x:c r="Y64" s="63" t="n">
        <x:v>0.015</x:v>
      </x:c>
      <x:c r="Z64" s="63" t="n">
        <x:v>0</x:v>
      </x:c>
      <x:c r="AA64" s="63" t="n">
        <x:v>0</x:v>
      </x:c>
      <x:c r="AB64" s="63" t="n">
        <x:v>0</x:v>
      </x:c>
      <x:c r="AC64" s="63" t="n">
        <x:v>0</x:v>
      </x:c>
      <x:c r="AD64" s="63" t="str">
        <x:v>A/B: Overdrive 2 ml/L STATT spätem HESI-PK</x:v>
      </x:c>
      <x:c r="AE64" s="63" t="str">
        <x:v>Keine Strukturarbeit</x:v>
      </x:c>
      <x:c r="AF64" s="63" t="str">
        <x:v>Morgens Klima/Pflanze/Blumat/Leck; Mitte Lichtphase Blattwinkel; vor Dunkel LF/Drain/stehendes Wasser.</x:v>
      </x:c>
      <x:c r="AG64" s="63" t="str">
        <x:v>EC nicht erhöhen bei steigender Drain-EC; PPFD nicht erhöhen bei Stress; nie mehrere neue Booster gleichzeitig.</x:v>
      </x:c>
      <x:c r="AH64" s="35" t="str">
        <x:v>UKD-Planwert; PPFD/EC/Bedarf haben Vorrang vor Watt/Dosis.</x:v>
      </x:c>
      <x:c r="AI64" s="34" t="str">
        <x:v>Titration vor Dünger; nur falls Wasser/Endmix pH+ benötigt</x:v>
      </x:c>
      <x:c r="AJ64" s="201" t="str">
        <x:v>B5: Big Bud, B-52, Bud Candy, Sensizym, Tasty Terpenes, Rhino Skin, Bud Factor X</x:v>
      </x:c>
      <x:c r="AK64" s="35" t="str">
        <x:v>Big Bud auslaufen. Reference: moderates HESI-PK. Tasty/Bud Factor X optional A/B. Kein zusätzlicher Siliziumstack.</x:v>
      </x:c>
    </x:row>
    <x:row r="65">
      <x:c r="A65" s="34" t="n">
        <x:v>63</x:v>
      </x:c>
      <x:c r="B65" s="129" t="n">
        <x:f>'01_Run_Config'!$B$4+A65</x:f>
        <x:v>46305</x:v>
      </x:c>
      <x:c r="C65" s="63" t="n">
        <x:f>INT(A65/7)+1</x:f>
        <x:v>10</x:v>
      </x:c>
      <x:c r="D65" s="63" t="str">
        <x:f>"M"&amp;INT(A65/30)+1</x:f>
        <x:v>M3</x:v>
      </x:c>
      <x:c r="E65" s="63" t="str">
        <x:v>Late Flower</x:v>
      </x:c>
      <x:c r="F65" s="63" t="str">
        <x:v>Qualität + 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v>1.4</x:v>
      </x:c>
      <x:c r="P65" s="63" t="n">
        <x:v>1.6</x:v>
      </x:c>
      <x:c r="Q65" s="63" t="n">
        <x:v>5.9</x:v>
      </x:c>
      <x:c r="R65" s="63" t="n">
        <x:v>0.8</x:v>
      </x:c>
      <x:c r="S65" s="63" t="n">
        <x:v>1.3</x:v>
      </x:c>
      <x:c r="T65" s="63" t="str">
        <x:v>Blumat + Diagnose-Drain</x:v>
      </x:c>
      <x:c r="U65" s="63" t="str">
        <x:v>HESI Coco</x:v>
      </x:c>
      <x:c r="V65" s="63" t="n">
        <x:v>3.5</x:v>
      </x:c>
      <x:c r="W65" s="63" t="n">
        <x:v>0</x:v>
      </x:c>
      <x:c r="X65" s="63" t="n">
        <x:v>2</x:v>
      </x:c>
      <x:c r="Y65" s="63" t="n">
        <x:v>0.015</x:v>
      </x:c>
      <x:c r="Z65" s="63" t="n">
        <x:v>0.5</x:v>
      </x:c>
      <x:c r="AA65" s="63" t="n">
        <x:v>2</x:v>
      </x:c>
      <x:c r="AB65" s="63" t="n">
        <x:v>0.5</x:v>
      </x:c>
      <x:c r="AC65" s="63" t="n">
        <x:v>0</x:v>
      </x:c>
      <x:c r="AD65" s="63" t="str">
        <x:v>A/B: Overdrive 2 ml/L STATT spätem HESI-PK</x:v>
      </x:c>
      <x:c r="AE65" s="63" t="str">
        <x:v>Keine Strukturarbeit</x:v>
      </x:c>
      <x:c r="AF65" s="63" t="str">
        <x:v>Morgens Klima/Pflanze/Blumat/Leck; Mitte Lichtphase Blattwinkel; vor Dunkel LF/Drain/stehendes Wasser. WÖCHENTLICH: pH/EC kalibrieren, Foto, Canopy messen, PPFD-Spotcheck, Tank/Tray reinigen.</x:v>
      </x:c>
      <x:c r="AG65" s="63" t="str">
        <x:v>EC nicht erhöhen bei steigender Drain-EC; PPFD nicht erhöhen bei Stress; nie mehrere neue Booster gleichzeitig.</x:v>
      </x:c>
      <x:c r="AH65" s="35" t="str">
        <x:v>UKD-Planwert; PPFD/EC/Bedarf haben Vorrang vor Watt/Dosis.</x:v>
      </x:c>
      <x:c r="AI65" s="34" t="str">
        <x:v>Titration vor Dünger; nur falls Wasser/Endmix pH+ benötigt</x:v>
      </x:c>
      <x:c r="AJ65" s="201" t="str">
        <x:v>B5: Big Bud, B-52, Bud Candy, Sensizym, Tasty Terpenes, Rhino Skin, Bud Factor X</x:v>
      </x:c>
      <x:c r="AK65" s="35" t="str">
        <x:v>Big Bud auslaufen. Reference: moderates HESI-PK. Tasty/Bud Factor X optional A/B. Kein zusätzlicher Siliziumstack.</x:v>
      </x:c>
    </x:row>
    <x:row r="66">
      <x:c r="A66" s="34" t="n">
        <x:v>64</x:v>
      </x:c>
      <x:c r="B66" s="129" t="n">
        <x:f>'01_Run_Config'!$B$4+A66</x:f>
        <x:v>46306</x:v>
      </x:c>
      <x:c r="C66" s="63" t="n">
        <x:f>INT(A66/7)+1</x:f>
        <x:v>10</x:v>
      </x:c>
      <x:c r="D66" s="63" t="str">
        <x:f>"M"&amp;INT(A66/30)+1</x:f>
        <x:v>M3</x:v>
      </x:c>
      <x:c r="E66" s="63" t="str">
        <x:v>Ripening</x:v>
      </x:c>
      <x:c r="F66" s="63" t="str">
        <x:v>Reife ohne Überfütterung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v>1.35</x:v>
      </x:c>
      <x:c r="P66" s="63" t="n">
        <x:v>1.4</x:v>
      </x:c>
      <x:c r="Q66" s="63" t="n">
        <x:v>5.9</x:v>
      </x:c>
      <x:c r="R66" s="63" t="n">
        <x:v>0.6</x:v>
      </x:c>
      <x:c r="S66" s="63" t="n">
        <x:v>1</x:v>
      </x:c>
      <x:c r="T66" s="63" t="str">
        <x:v>Blumat; Feed reduzieren</x:v>
      </x:c>
      <x:c r="U66" s="63" t="str">
        <x:v>HESI Coco reduziert</x:v>
      </x:c>
      <x:c r="V66" s="63" t="n">
        <x:v>2.5</x:v>
      </x:c>
      <x:c r="W66" s="63" t="n">
        <x:v>0</x:v>
      </x:c>
      <x:c r="X66" s="63" t="n">
        <x:v>0</x:v>
      </x:c>
      <x:c r="Y66" s="63" t="n">
        <x:v>0.015</x:v>
      </x:c>
      <x:c r="Z66" s="63" t="n">
        <x:v>0</x:v>
      </x:c>
      <x:c r="AA66" s="63" t="n">
        <x:v>0</x:v>
      </x:c>
      <x:c r="AB66" s="63" t="n">
        <x:v>0</x:v>
      </x:c>
      <x:c r="AC66" s="63" t="n">
        <x:v>0</x:v>
      </x:c>
      <x:c r="AD66" s="63" t="str">
        <x:v>AN-Additive Reference=0 außer Voodoo-Tage</x:v>
      </x:c>
      <x:c r="AE66" s="63" t="str">
        <x:v>Nur Stützen</x:v>
      </x:c>
      <x:c r="AF66" s="63" t="str">
        <x:v>Morgens Klima/Pflanze/Blumat/Leck; Mitte Lichtphase Blattwinkel; vor Dunkel LF/Drain/stehendes Wasser.</x:v>
      </x:c>
      <x:c r="AG66" s="63" t="str">
        <x:v>EC nicht erhöhen bei steigender Drain-EC; PPFD nicht erhöhen bei Stress; nie mehrere neue Booster gleichzeitig.</x:v>
      </x:c>
      <x:c r="AH66" s="35" t="str">
        <x:v>UKD-Planwert; PPFD/EC/Bedarf haben Vorrang vor Watt/Dosis.</x:v>
      </x:c>
      <x:c r="AI66" s="34" t="str">
        <x:v>Titration vor Dünger; nur falls Wasser/Endmix pH+ benötigt</x:v>
      </x:c>
      <x:c r="AJ66" s="201" t="str">
        <x:v>B6: Overdrive, B-52, Bud Candy, Sensizym, Tasty Terpenes, Rhino Skin, Bud Factor X</x:v>
      </x:c>
      <x:c r="AK66" s="35" t="str">
        <x:v>A/B: Overdrive statt spätem HESI-PK. B-52/Tasty nur wenn nicht mit HESI Boost überladen.</x:v>
      </x:c>
    </x:row>
    <x:row r="67">
      <x:c r="A67" s="34" t="n">
        <x:v>65</x:v>
      </x:c>
      <x:c r="B67" s="129" t="n">
        <x:f>'01_Run_Config'!$B$4+A67</x:f>
        <x:v>46307</x:v>
      </x:c>
      <x:c r="C67" s="63" t="n">
        <x:f>INT(A67/7)+1</x:f>
        <x:v>10</x:v>
      </x:c>
      <x:c r="D67" s="63" t="str">
        <x:f>"M"&amp;INT(A67/30)+1</x:f>
        <x:v>M3</x:v>
      </x:c>
      <x:c r="E67" s="63" t="str">
        <x:v>Ripening</x:v>
      </x:c>
      <x:c r="F67" s="63" t="str">
        <x:v>Reife ohne Überfütterung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v>1.35</x:v>
      </x:c>
      <x:c r="P67" s="63" t="n">
        <x:v>1.4</x:v>
      </x:c>
      <x:c r="Q67" s="63" t="n">
        <x:v>5.9</x:v>
      </x:c>
      <x:c r="R67" s="63" t="n">
        <x:v>0.6</x:v>
      </x:c>
      <x:c r="S67" s="63" t="n">
        <x:v>1</x:v>
      </x:c>
      <x:c r="T67" s="63" t="str">
        <x:v>Blumat; Feed reduzieren</x:v>
      </x:c>
      <x:c r="U67" s="63" t="str">
        <x:v>HESI Coco reduziert</x:v>
      </x:c>
      <x:c r="V67" s="63" t="n">
        <x:v>2.5</x:v>
      </x:c>
      <x:c r="W67" s="63" t="n">
        <x:v>0</x:v>
      </x:c>
      <x:c r="X67" s="63" t="n">
        <x:v>0</x:v>
      </x:c>
      <x:c r="Y67" s="63" t="n">
        <x:v>0.015</x:v>
      </x:c>
      <x:c r="Z67" s="63" t="n">
        <x:v>0</x:v>
      </x:c>
      <x:c r="AA67" s="63" t="n">
        <x:v>0</x:v>
      </x:c>
      <x:c r="AB67" s="63" t="n">
        <x:v>0</x:v>
      </x:c>
      <x:c r="AC67" s="63" t="n">
        <x:v>0</x:v>
      </x:c>
      <x:c r="AD67" s="63" t="str">
        <x:v>AN-Additive Reference=0 außer Voodoo-Tage</x:v>
      </x:c>
      <x:c r="AE67" s="63" t="str">
        <x:v>Nur Stützen</x:v>
      </x:c>
      <x:c r="AF67" s="63" t="str">
        <x:v>Morgens Klima/Pflanze/Blumat/Leck; Mitte Lichtphase Blattwinkel; vor Dunkel LF/Drain/stehendes Wasser.</x:v>
      </x:c>
      <x:c r="AG67" s="63" t="str">
        <x:v>EC nicht erhöhen bei steigender Drain-EC; PPFD nicht erhöhen bei Stress; nie mehrere neue Booster gleichzeitig.</x:v>
      </x:c>
      <x:c r="AH67" s="35" t="str">
        <x:v>UKD-Planwert; PPFD/EC/Bedarf haben Vorrang vor Watt/Dosis.</x:v>
      </x:c>
      <x:c r="AI67" s="34" t="str">
        <x:v>Titration vor Dünger; nur falls Wasser/Endmix pH+ benötigt</x:v>
      </x:c>
      <x:c r="AJ67" s="201" t="str">
        <x:v>B6: Overdrive, B-52, Bud Candy, Sensizym, Tasty Terpenes, Rhino Skin, Bud Factor X</x:v>
      </x:c>
      <x:c r="AK67" s="35" t="str">
        <x:v>A/B: Overdrive statt spätem HESI-PK. B-52/Tasty nur wenn nicht mit HESI Boost überladen.</x:v>
      </x:c>
    </x:row>
    <x:row r="68">
      <x:c r="A68" s="34" t="n">
        <x:v>66</x:v>
      </x:c>
      <x:c r="B68" s="129" t="n">
        <x:f>'01_Run_Config'!$B$4+A68</x:f>
        <x:v>46308</x:v>
      </x:c>
      <x:c r="C68" s="63" t="n">
        <x:f>INT(A68/7)+1</x:f>
        <x:v>10</x:v>
      </x:c>
      <x:c r="D68" s="63" t="str">
        <x:f>"M"&amp;INT(A68/30)+1</x:f>
        <x:v>M3</x:v>
      </x:c>
      <x:c r="E68" s="63" t="str">
        <x:v>Ripening</x:v>
      </x:c>
      <x:c r="F68" s="63" t="str">
        <x:v>Reife ohne Überfütterung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v>1.35</x:v>
      </x:c>
      <x:c r="P68" s="63" t="n">
        <x:v>1.4</x:v>
      </x:c>
      <x:c r="Q68" s="63" t="n">
        <x:v>5.9</x:v>
      </x:c>
      <x:c r="R68" s="63" t="n">
        <x:v>0.6</x:v>
      </x:c>
      <x:c r="S68" s="63" t="n">
        <x:v>1</x:v>
      </x:c>
      <x:c r="T68" s="63" t="str">
        <x:v>Blumat; Feed reduzieren</x:v>
      </x:c>
      <x:c r="U68" s="63" t="str">
        <x:v>HESI Coco reduziert</x:v>
      </x:c>
      <x:c r="V68" s="63" t="n">
        <x:v>2.5</x:v>
      </x:c>
      <x:c r="W68" s="63" t="n">
        <x:v>0</x:v>
      </x:c>
      <x:c r="X68" s="63" t="n">
        <x:v>0</x:v>
      </x:c>
      <x:c r="Y68" s="63" t="n">
        <x:v>0.015</x:v>
      </x:c>
      <x:c r="Z68" s="63" t="n">
        <x:v>0</x:v>
      </x:c>
      <x:c r="AA68" s="63" t="n">
        <x:v>0</x:v>
      </x:c>
      <x:c r="AB68" s="63" t="n">
        <x:v>0</x:v>
      </x:c>
      <x:c r="AC68" s="63" t="n">
        <x:v>0</x:v>
      </x:c>
      <x:c r="AD68" s="63" t="str">
        <x:v>AN-Additive Reference=0 außer Voodoo-Tage</x:v>
      </x:c>
      <x:c r="AE68" s="63" t="str">
        <x:v>Nur Stützen</x:v>
      </x:c>
      <x:c r="AF68" s="63" t="str">
        <x:v>Morgens Klima/Pflanze/Blumat/Leck; Mitte Lichtphase Blattwinkel; vor Dunkel LF/Drain/stehendes Wasser.</x:v>
      </x:c>
      <x:c r="AG68" s="63" t="str">
        <x:v>EC nicht erhöhen bei steigender Drain-EC; PPFD nicht erhöhen bei Stress; nie mehrere neue Booster gleichzeitig.</x:v>
      </x:c>
      <x:c r="AH68" s="35" t="str">
        <x:v>UKD-Planwert; PPFD/EC/Bedarf haben Vorrang vor Watt/Dosis.</x:v>
      </x:c>
      <x:c r="AI68" s="34" t="str">
        <x:v>Titration vor Dünger; nur falls Wasser/Endmix pH+ benötigt</x:v>
      </x:c>
      <x:c r="AJ68" s="201" t="str">
        <x:v>B6: Overdrive, B-52, Bud Candy, Sensizym, Tasty Terpenes, Rhino Skin, Bud Factor X</x:v>
      </x:c>
      <x:c r="AK68" s="35" t="str">
        <x:v>A/B: Overdrive statt spätem HESI-PK. B-52/Tasty nur wenn nicht mit HESI Boost überladen.</x:v>
      </x:c>
    </x:row>
    <x:row r="69">
      <x:c r="A69" s="34" t="n">
        <x:v>67</x:v>
      </x:c>
      <x:c r="B69" s="129" t="n">
        <x:f>'01_Run_Config'!$B$4+A69</x:f>
        <x:v>46309</x:v>
      </x:c>
      <x:c r="C69" s="63" t="n">
        <x:f>INT(A69/7)+1</x:f>
        <x:v>10</x:v>
      </x:c>
      <x:c r="D69" s="63" t="str">
        <x:f>"M"&amp;INT(A69/30)+1</x:f>
        <x:v>M3</x:v>
      </x:c>
      <x:c r="E69" s="63" t="str">
        <x:v>Ripening</x:v>
      </x:c>
      <x:c r="F69" s="63" t="str">
        <x:v>Reife ohne Überfütterung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v>1.35</x:v>
      </x:c>
      <x:c r="P69" s="63" t="n">
        <x:v>1.4</x:v>
      </x:c>
      <x:c r="Q69" s="63" t="n">
        <x:v>5.9</x:v>
      </x:c>
      <x:c r="R69" s="63" t="n">
        <x:v>0.6</x:v>
      </x:c>
      <x:c r="S69" s="63" t="n">
        <x:v>1</x:v>
      </x:c>
      <x:c r="T69" s="63" t="str">
        <x:v>Blumat; Feed reduzieren</x:v>
      </x:c>
      <x:c r="U69" s="63" t="str">
        <x:v>HESI Coco reduziert</x:v>
      </x:c>
      <x:c r="V69" s="63" t="n">
        <x:v>2.5</x:v>
      </x:c>
      <x:c r="W69" s="63" t="n">
        <x:v>0</x:v>
      </x:c>
      <x:c r="X69" s="63" t="n">
        <x:v>0</x:v>
      </x:c>
      <x:c r="Y69" s="63" t="n">
        <x:v>0.015</x:v>
      </x:c>
      <x:c r="Z69" s="63" t="n">
        <x:v>0</x:v>
      </x:c>
      <x:c r="AA69" s="63" t="n">
        <x:v>0</x:v>
      </x:c>
      <x:c r="AB69" s="63" t="n">
        <x:v>0</x:v>
      </x:c>
      <x:c r="AC69" s="63" t="n">
        <x:v>0</x:v>
      </x:c>
      <x:c r="AD69" s="63" t="str">
        <x:v>AN-Additive Reference=0 außer Voodoo-Tage</x:v>
      </x:c>
      <x:c r="AE69" s="63" t="str">
        <x:v>Nur Stützen</x:v>
      </x:c>
      <x:c r="AF69" s="63" t="str">
        <x:v>Morgens Klima/Pflanze/Blumat/Leck; Mitte Lichtphase Blattwinkel; vor Dunkel LF/Drain/stehendes Wasser.</x:v>
      </x:c>
      <x:c r="AG69" s="63" t="str">
        <x:v>EC nicht erhöhen bei steigender Drain-EC; PPFD nicht erhöhen bei Stress; nie mehrere neue Booster gleichzeitig.</x:v>
      </x:c>
      <x:c r="AH69" s="35" t="str">
        <x:v>UKD-Planwert; PPFD/EC/Bedarf haben Vorrang vor Watt/Dosis.</x:v>
      </x:c>
      <x:c r="AI69" s="34" t="str">
        <x:v>Titration vor Dünger; nur falls Wasser/Endmix pH+ benötigt</x:v>
      </x:c>
      <x:c r="AJ69" s="201" t="str">
        <x:v>B6: Overdrive, B-52, Bud Candy, Sensizym, Tasty Terpenes, Rhino Skin, Bud Factor X</x:v>
      </x:c>
      <x:c r="AK69" s="35" t="str">
        <x:v>A/B: Overdrive statt spätem HESI-PK. B-52/Tasty nur wenn nicht mit HESI Boost überladen.</x:v>
      </x:c>
    </x:row>
    <x:row r="70">
      <x:c r="A70" s="34" t="n">
        <x:v>68</x:v>
      </x:c>
      <x:c r="B70" s="129" t="n">
        <x:f>'01_Run_Config'!$B$4+A70</x:f>
        <x:v>46310</x:v>
      </x:c>
      <x:c r="C70" s="63" t="n">
        <x:f>INT(A70/7)+1</x:f>
        <x:v>10</x:v>
      </x:c>
      <x:c r="D70" s="63" t="str">
        <x:f>"M"&amp;INT(A70/30)+1</x:f>
        <x:v>M3</x:v>
      </x:c>
      <x:c r="E70" s="63" t="str">
        <x:v>Ripening</x:v>
      </x:c>
      <x:c r="F70" s="63" t="str">
        <x:v>Reife ohne Überfütterung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v>1.35</x:v>
      </x:c>
      <x:c r="P70" s="63" t="n">
        <x:v>1.4</x:v>
      </x:c>
      <x:c r="Q70" s="63" t="n">
        <x:v>5.9</x:v>
      </x:c>
      <x:c r="R70" s="63" t="n">
        <x:v>0.6</x:v>
      </x:c>
      <x:c r="S70" s="63" t="n">
        <x:v>1</x:v>
      </x:c>
      <x:c r="T70" s="63" t="str">
        <x:v>Blumat; Feed reduzieren</x:v>
      </x:c>
      <x:c r="U70" s="63" t="str">
        <x:v>HESI Coco reduziert</x:v>
      </x:c>
      <x:c r="V70" s="63" t="n">
        <x:v>2.5</x:v>
      </x:c>
      <x:c r="W70" s="63" t="n">
        <x:v>0</x:v>
      </x:c>
      <x:c r="X70" s="63" t="n">
        <x:v>0</x:v>
      </x:c>
      <x:c r="Y70" s="63" t="n">
        <x:v>0.015</x:v>
      </x:c>
      <x:c r="Z70" s="63" t="n">
        <x:v>0</x:v>
      </x:c>
      <x:c r="AA70" s="63" t="n">
        <x:v>0</x:v>
      </x:c>
      <x:c r="AB70" s="63" t="n">
        <x:v>0</x:v>
      </x:c>
      <x:c r="AC70" s="63" t="n">
        <x:v>0</x:v>
      </x:c>
      <x:c r="AD70" s="63" t="str">
        <x:v>AN-Additive Reference=0 außer Voodoo-Tage</x:v>
      </x:c>
      <x:c r="AE70" s="63" t="str">
        <x:v>Nur Stützen</x:v>
      </x:c>
      <x:c r="AF70" s="63" t="str">
        <x:v>Morgens Klima/Pflanze/Blumat/Leck; Mitte Lichtphase Blattwinkel; vor Dunkel LF/Drain/stehendes Wasser.</x:v>
      </x:c>
      <x:c r="AG70" s="63" t="str">
        <x:v>EC nicht erhöhen bei steigender Drain-EC; PPFD nicht erhöhen bei Stress; nie mehrere neue Booster gleichzeitig.</x:v>
      </x:c>
      <x:c r="AH70" s="35" t="str">
        <x:v>UKD-Planwert; PPFD/EC/Bedarf haben Vorrang vor Watt/Dosis.</x:v>
      </x:c>
      <x:c r="AI70" s="34" t="str">
        <x:v>Titration vor Dünger; nur falls Wasser/Endmix pH+ benötigt</x:v>
      </x:c>
      <x:c r="AJ70" s="201" t="str">
        <x:v>B6: Overdrive, B-52, Bud Candy, Sensizym, Tasty Terpenes, Rhino Skin, Bud Factor X</x:v>
      </x:c>
      <x:c r="AK70" s="35" t="str">
        <x:v>A/B: Overdrive statt spätem HESI-PK. B-52/Tasty nur wenn nicht mit HESI Boost überladen.</x:v>
      </x:c>
    </x:row>
    <x:row r="71">
      <x:c r="A71" s="34" t="n">
        <x:v>69</x:v>
      </x:c>
      <x:c r="B71" s="129" t="n">
        <x:f>'01_Run_Config'!$B$4+A71</x:f>
        <x:v>46311</x:v>
      </x:c>
      <x:c r="C71" s="63" t="n">
        <x:f>INT(A71/7)+1</x:f>
        <x:v>10</x:v>
      </x:c>
      <x:c r="D71" s="63" t="str">
        <x:f>"M"&amp;INT(A71/30)+1</x:f>
        <x:v>M3</x:v>
      </x:c>
      <x:c r="E71" s="63" t="str">
        <x:v>Ripening</x:v>
      </x:c>
      <x:c r="F71" s="63" t="str">
        <x:v>Reife ohne Überfütterung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v>1.35</x:v>
      </x:c>
      <x:c r="P71" s="63" t="n">
        <x:v>1.4</x:v>
      </x:c>
      <x:c r="Q71" s="63" t="n">
        <x:v>5.9</x:v>
      </x:c>
      <x:c r="R71" s="63" t="n">
        <x:v>0.6</x:v>
      </x:c>
      <x:c r="S71" s="63" t="n">
        <x:v>1</x:v>
      </x:c>
      <x:c r="T71" s="63" t="str">
        <x:v>Blumat; Feed reduzieren</x:v>
      </x:c>
      <x:c r="U71" s="63" t="str">
        <x:v>HESI Coco reduziert</x:v>
      </x:c>
      <x:c r="V71" s="63" t="n">
        <x:v>2.5</x:v>
      </x:c>
      <x:c r="W71" s="63" t="n">
        <x:v>0</x:v>
      </x:c>
      <x:c r="X71" s="63" t="n">
        <x:v>0</x:v>
      </x:c>
      <x:c r="Y71" s="63" t="n">
        <x:v>0.015</x:v>
      </x:c>
      <x:c r="Z71" s="63" t="n">
        <x:v>0</x:v>
      </x:c>
      <x:c r="AA71" s="63" t="n">
        <x:v>0</x:v>
      </x:c>
      <x:c r="AB71" s="63" t="n">
        <x:v>0</x:v>
      </x:c>
      <x:c r="AC71" s="63" t="n">
        <x:v>0</x:v>
      </x:c>
      <x:c r="AD71" s="63" t="str">
        <x:v>AN-Additive Reference=0 außer Voodoo-Tage</x:v>
      </x:c>
      <x:c r="AE71" s="63" t="str">
        <x:v>Nur Stützen</x:v>
      </x:c>
      <x:c r="AF71" s="63" t="str">
        <x:v>Morgens Klima/Pflanze/Blumat/Leck; Mitte Lichtphase Blattwinkel; vor Dunkel LF/Drain/stehendes Wasser.</x:v>
      </x:c>
      <x:c r="AG71" s="63" t="str">
        <x:v>EC nicht erhöhen bei steigender Drain-EC; PPFD nicht erhöhen bei Stress; nie mehrere neue Booster gleichzeitig.</x:v>
      </x:c>
      <x:c r="AH71" s="35" t="str">
        <x:v>UKD-Planwert; PPFD/EC/Bedarf haben Vorrang vor Watt/Dosis.</x:v>
      </x:c>
      <x:c r="AI71" s="34" t="str">
        <x:v>Titration vor Dünger; nur falls Wasser/Endmix pH+ benötigt</x:v>
      </x:c>
      <x:c r="AJ71" s="201" t="str">
        <x:v>B6: Overdrive, B-52, Bud Candy, Sensizym, Tasty Terpenes, Rhino Skin, Bud Factor X</x:v>
      </x:c>
      <x:c r="AK71" s="35" t="str">
        <x:v>A/B: Overdrive statt spätem HESI-PK. B-52/Tasty nur wenn nicht mit HESI Boost überladen.</x:v>
      </x:c>
    </x:row>
    <x:row r="72">
      <x:c r="A72" s="34" t="n">
        <x:v>70</x:v>
      </x:c>
      <x:c r="B72" s="129" t="n">
        <x:f>'01_Run_Config'!$B$4+A72</x:f>
        <x:v>46312</x:v>
      </x:c>
      <x:c r="C72" s="63" t="n">
        <x:f>INT(A72/7)+1</x:f>
        <x:v>11</x:v>
      </x:c>
      <x:c r="D72" s="63" t="str">
        <x:f>"M"&amp;INT(A72/30)+1</x:f>
        <x:v>M3</x:v>
      </x:c>
      <x:c r="E72" s="63" t="str">
        <x:v>Ripening</x:v>
      </x:c>
      <x:c r="F72" s="63" t="str"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v>1.35</x:v>
      </x:c>
      <x:c r="P72" s="63" t="n">
        <x:v>1.4</x:v>
      </x:c>
      <x:c r="Q72" s="63" t="n">
        <x:v>5.9</x:v>
      </x:c>
      <x:c r="R72" s="63" t="n">
        <x:v>0.6</x:v>
      </x:c>
      <x:c r="S72" s="63" t="n">
        <x:v>1</x:v>
      </x:c>
      <x:c r="T72" s="63" t="str">
        <x:v>Blumat; Feed reduzieren</x:v>
      </x:c>
      <x:c r="U72" s="63" t="str">
        <x:v>HESI Coco reduziert</x:v>
      </x:c>
      <x:c r="V72" s="63" t="n">
        <x:v>2.5</x:v>
      </x:c>
      <x:c r="W72" s="63" t="n">
        <x:v>0</x:v>
      </x:c>
      <x:c r="X72" s="63" t="n">
        <x:v>0</x:v>
      </x:c>
      <x:c r="Y72" s="63" t="n">
        <x:v>0.015</x:v>
      </x:c>
      <x:c r="Z72" s="63" t="n">
        <x:v>0</x:v>
      </x:c>
      <x:c r="AA72" s="63" t="n">
        <x:v>0</x:v>
      </x:c>
      <x:c r="AB72" s="63" t="n">
        <x:v>0</x:v>
      </x:c>
      <x:c r="AC72" s="63" t="n">
        <x:v>0</x:v>
      </x:c>
      <x:c r="AD72" s="63" t="str">
        <x:v>AN-Additive Reference=0 außer Voodoo-Tage</x:v>
      </x:c>
      <x:c r="AE72" s="63" t="str">
        <x:v>Nur Stützen</x:v>
      </x:c>
      <x:c r="AF72" s="63" t="str">
        <x:v>Morgens Klima/Pflanze/Blumat/Leck; Mitte Lichtphase Blattwinkel; vor Dunkel LF/Drain/stehendes Wasser. WÖCHENTLICH: pH/EC kalibrieren, Foto, Canopy messen, PPFD-Spotcheck, Tank/Tray reinigen.</x:v>
      </x:c>
      <x:c r="AG72" s="63" t="str">
        <x:v>EC nicht erhöhen bei steigender Drain-EC; PPFD nicht erhöhen bei Stress; nie mehrere neue Booster gleichzeitig.</x:v>
      </x:c>
      <x:c r="AH72" s="35" t="str">
        <x:v>UKD-Planwert; PPFD/EC/Bedarf haben Vorrang vor Watt/Dosis.</x:v>
      </x:c>
      <x:c r="AI72" s="34" t="str">
        <x:v>Titration vor Dünger; nur falls Wasser/Endmix pH+ benötigt</x:v>
      </x:c>
      <x:c r="AJ72" s="201" t="str">
        <x:v>B6: Overdrive, B-52, Bud Candy, Sensizym, Tasty Terpenes, Rhino Skin, Bud Factor X</x:v>
      </x:c>
      <x:c r="AK72" s="35" t="str">
        <x:v>A/B: Overdrive statt spätem HESI-PK. B-52/Tasty nur wenn nicht mit HESI Boost überladen.</x:v>
      </x:c>
    </x:row>
    <x:row r="73">
      <x:c r="A73" s="34" t="n">
        <x:v>71</x:v>
      </x:c>
      <x:c r="B73" s="129" t="n">
        <x:f>'01_Run_Config'!$B$4+A73</x:f>
        <x:v>46313</x:v>
      </x:c>
      <x:c r="C73" s="63" t="n">
        <x:f>INT(A73/7)+1</x:f>
        <x:v>11</x:v>
      </x:c>
      <x:c r="D73" s="63" t="str">
        <x:f>"M"&amp;INT(A73/30)+1</x:f>
        <x:v>M3</x:v>
      </x:c>
      <x:c r="E73" s="63" t="str">
        <x:v>Harvest Window</x:v>
      </x:c>
      <x:c r="F73" s="63" t="str">
        <x:v>Erntefenster nach Trichomen/Calyxen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v>1.3</x:v>
      </x:c>
      <x:c r="P73" s="63" t="n">
        <x:v>1.15</x:v>
      </x:c>
      <x:c r="Q73" s="63" t="n">
        <x:v>5.9</x:v>
      </x:c>
      <x:c r="R73" s="63" t="n">
        <x:v>0.4</x:v>
      </x:c>
      <x:c r="S73" s="63" t="n">
        <x:v>0.8</x:v>
      </x:c>
      <x:c r="T73" s="63" t="str">
        <x:v>Blumat / kontrolliert reduzieren</x:v>
      </x:c>
      <x:c r="U73" s="63" t="str">
        <x:v>HESI Coco Taper</x:v>
      </x:c>
      <x:c r="V73" s="63" t="n">
        <x:v>1.5</x:v>
      </x:c>
      <x:c r="W73" s="63" t="n">
        <x:v>0</x:v>
      </x:c>
      <x:c r="X73" s="63" t="n">
        <x:v>0</x:v>
      </x:c>
      <x:c r="Y73" s="63" t="n">
        <x:v>0.015</x:v>
      </x:c>
      <x:c r="Z73" s="63" t="n">
        <x:v>0</x:v>
      </x:c>
      <x:c r="AA73" s="63" t="n">
        <x:v>0</x:v>
      </x:c>
      <x:c r="AB73" s="63" t="n">
        <x:v>0</x:v>
      </x:c>
      <x:c r="AC73" s="63" t="n">
        <x:v>0</x:v>
      </x:c>
      <x:c r="AD73" s="63" t="str">
        <x:v>AN-Additive Reference=0 außer Voodoo-Tage</x:v>
      </x:c>
      <x:c r="AE73" s="63" t="str">
        <x:v>Keine Eingriffe</x:v>
      </x:c>
      <x:c r="AF73" s="63" t="str">
        <x:v>Morgens Klima/Pflanze/Blumat/Leck; Mitte Lichtphase Blattwinkel; vor Dunkel LF/Drain/stehendes Wasser.</x:v>
      </x:c>
      <x:c r="AG73" s="63" t="str">
        <x:v>EC nicht erhöhen bei steigender Drain-EC; PPFD nicht erhöhen bei Stress; nie mehrere neue Booster gleichzeitig.</x:v>
      </x:c>
      <x:c r="AH73" s="35" t="str">
        <x:v>UKD-Planwert; PPFD/EC/Bedarf haben Vorrang vor Watt/Dosis.</x:v>
      </x:c>
      <x:c r="AI73" s="34" t="str">
        <x:v>Titration vor Dünger; nur falls Wasser/Endmix pH+ benötigt</x:v>
      </x:c>
      <x:c r="AJ73" s="201" t="str">
        <x:v>B7: Overdrive, B-52, Bud Candy, Sensizym, Tasty Terpenes, Rhino Skin, Bud Factor X</x:v>
      </x:c>
      <x:c r="AK73" s="35" t="str">
        <x:v>Booster generell auslaufen. Overdrive nur A/B; keine neue Variable.</x:v>
      </x:c>
    </x:row>
    <x:row r="74">
      <x:c r="A74" s="34" t="n">
        <x:v>72</x:v>
      </x:c>
      <x:c r="B74" s="129" t="n">
        <x:f>'01_Run_Config'!$B$4+A74</x:f>
        <x:v>46314</x:v>
      </x:c>
      <x:c r="C74" s="63" t="n">
        <x:f>INT(A74/7)+1</x:f>
        <x:v>11</x:v>
      </x:c>
      <x:c r="D74" s="63" t="str">
        <x:f>"M"&amp;INT(A74/30)+1</x:f>
        <x:v>M3</x:v>
      </x:c>
      <x:c r="E74" s="63" t="str">
        <x:v>Harvest Window</x:v>
      </x:c>
      <x:c r="F74" s="63" t="str">
        <x:v>Erntefenster nach Trichomen/Calyxen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v>1.3</x:v>
      </x:c>
      <x:c r="P74" s="63" t="n">
        <x:v>1.15</x:v>
      </x:c>
      <x:c r="Q74" s="63" t="n">
        <x:v>5.9</x:v>
      </x:c>
      <x:c r="R74" s="63" t="n">
        <x:v>0.4</x:v>
      </x:c>
      <x:c r="S74" s="63" t="n">
        <x:v>0.8</x:v>
      </x:c>
      <x:c r="T74" s="63" t="str">
        <x:v>Blumat / kontrolliert reduzieren</x:v>
      </x:c>
      <x:c r="U74" s="63" t="str">
        <x:v>HESI Coco Taper</x:v>
      </x:c>
      <x:c r="V74" s="63" t="n">
        <x:v>1.5</x:v>
      </x:c>
      <x:c r="W74" s="63" t="n">
        <x:v>0</x:v>
      </x:c>
      <x:c r="X74" s="63" t="n">
        <x:v>0</x:v>
      </x:c>
      <x:c r="Y74" s="63" t="n">
        <x:v>0.015</x:v>
      </x:c>
      <x:c r="Z74" s="63" t="n">
        <x:v>0</x:v>
      </x:c>
      <x:c r="AA74" s="63" t="n">
        <x:v>0</x:v>
      </x:c>
      <x:c r="AB74" s="63" t="n">
        <x:v>0</x:v>
      </x:c>
      <x:c r="AC74" s="63" t="n">
        <x:v>0</x:v>
      </x:c>
      <x:c r="AD74" s="63" t="str">
        <x:v>AN-Additive Reference=0 außer Voodoo-Tage</x:v>
      </x:c>
      <x:c r="AE74" s="63" t="str">
        <x:v>Keine Eingriffe</x:v>
      </x:c>
      <x:c r="AF74" s="63" t="str">
        <x:v>Morgens Klima/Pflanze/Blumat/Leck; Mitte Lichtphase Blattwinkel; vor Dunkel LF/Drain/stehendes Wasser.</x:v>
      </x:c>
      <x:c r="AG74" s="63" t="str">
        <x:v>EC nicht erhöhen bei steigender Drain-EC; PPFD nicht erhöhen bei Stress; nie mehrere neue Booster gleichzeitig.</x:v>
      </x:c>
      <x:c r="AH74" s="35" t="str">
        <x:v>UKD-Planwert; PPFD/EC/Bedarf haben Vorrang vor Watt/Dosis.</x:v>
      </x:c>
      <x:c r="AI74" s="34" t="str">
        <x:v>Titration vor Dünger; nur falls Wasser/Endmix pH+ benötigt</x:v>
      </x:c>
      <x:c r="AJ74" s="201" t="str">
        <x:v>B7: Overdrive, B-52, Bud Candy, Sensizym, Tasty Terpenes, Rhino Skin, Bud Factor X</x:v>
      </x:c>
      <x:c r="AK74" s="35" t="str">
        <x:v>Booster generell auslaufen. Overdrive nur A/B; keine neue Variable.</x:v>
      </x:c>
    </x:row>
    <x:row r="75">
      <x:c r="A75" s="34" t="n">
        <x:v>73</x:v>
      </x:c>
      <x:c r="B75" s="129" t="n">
        <x:f>'01_Run_Config'!$B$4+A75</x:f>
        <x:v>46315</x:v>
      </x:c>
      <x:c r="C75" s="63" t="n">
        <x:f>INT(A75/7)+1</x:f>
        <x:v>11</x:v>
      </x:c>
      <x:c r="D75" s="63" t="str">
        <x:f>"M"&amp;INT(A75/30)+1</x:f>
        <x:v>M3</x:v>
      </x:c>
      <x:c r="E75" s="63" t="str">
        <x:v>Harvest Window</x:v>
      </x:c>
      <x:c r="F75" s="63" t="str">
        <x:v>Erntefenster nach Trichomen/Calyxen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v>1.3</x:v>
      </x:c>
      <x:c r="P75" s="63" t="n">
        <x:v>1.15</x:v>
      </x:c>
      <x:c r="Q75" s="63" t="n">
        <x:v>5.9</x:v>
      </x:c>
      <x:c r="R75" s="63" t="n">
        <x:v>0.4</x:v>
      </x:c>
      <x:c r="S75" s="63" t="n">
        <x:v>0.8</x:v>
      </x:c>
      <x:c r="T75" s="63" t="str">
        <x:v>Blumat / kontrolliert reduzieren</x:v>
      </x:c>
      <x:c r="U75" s="63" t="str">
        <x:v>HESI Coco Taper</x:v>
      </x:c>
      <x:c r="V75" s="63" t="n">
        <x:v>1.5</x:v>
      </x:c>
      <x:c r="W75" s="63" t="n">
        <x:v>0</x:v>
      </x:c>
      <x:c r="X75" s="63" t="n">
        <x:v>0</x:v>
      </x:c>
      <x:c r="Y75" s="63" t="n">
        <x:v>0.015</x:v>
      </x:c>
      <x:c r="Z75" s="63" t="n">
        <x:v>0</x:v>
      </x:c>
      <x:c r="AA75" s="63" t="n">
        <x:v>0</x:v>
      </x:c>
      <x:c r="AB75" s="63" t="n">
        <x:v>0</x:v>
      </x:c>
      <x:c r="AC75" s="63" t="n">
        <x:v>0</x:v>
      </x:c>
      <x:c r="AD75" s="63" t="str">
        <x:v>AN-Additive Reference=0 außer Voodoo-Tage</x:v>
      </x:c>
      <x:c r="AE75" s="63" t="str">
        <x:v>Keine Eingriffe</x:v>
      </x:c>
      <x:c r="AF75" s="63" t="str">
        <x:v>Morgens Klima/Pflanze/Blumat/Leck; Mitte Lichtphase Blattwinkel; vor Dunkel LF/Drain/stehendes Wasser.</x:v>
      </x:c>
      <x:c r="AG75" s="63" t="str">
        <x:v>EC nicht erhöhen bei steigender Drain-EC; PPFD nicht erhöhen bei Stress; nie mehrere neue Booster gleichzeitig.</x:v>
      </x:c>
      <x:c r="AH75" s="35" t="str">
        <x:v>UKD-Planwert; PPFD/EC/Bedarf haben Vorrang vor Watt/Dosis.</x:v>
      </x:c>
      <x:c r="AI75" s="34" t="str">
        <x:v>Titration vor Dünger; nur falls Wasser/Endmix pH+ benötigt</x:v>
      </x:c>
      <x:c r="AJ75" s="201" t="str">
        <x:v>B7: Overdrive, B-52, Bud Candy, Sensizym, Tasty Terpenes, Rhino Skin, Bud Factor X</x:v>
      </x:c>
      <x:c r="AK75" s="35" t="str">
        <x:v>Booster generell auslaufen. Overdrive nur A/B; keine neue Variable.</x:v>
      </x:c>
    </x:row>
    <x:row r="76">
      <x:c r="A76" s="34" t="n">
        <x:v>74</x:v>
      </x:c>
      <x:c r="B76" s="129" t="n">
        <x:f>'01_Run_Config'!$B$4+A76</x:f>
        <x:v>46316</x:v>
      </x:c>
      <x:c r="C76" s="63" t="n">
        <x:f>INT(A76/7)+1</x:f>
        <x:v>11</x:v>
      </x:c>
      <x:c r="D76" s="63" t="str">
        <x:f>"M"&amp;INT(A76/30)+1</x:f>
        <x:v>M3</x:v>
      </x:c>
      <x:c r="E76" s="63" t="str">
        <x:v>Harvest Window</x:v>
      </x:c>
      <x:c r="F76" s="63" t="str">
        <x:v>Erntefenster nach Trichomen/Calyxen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v>1.3</x:v>
      </x:c>
      <x:c r="P76" s="63" t="n">
        <x:v>1.15</x:v>
      </x:c>
      <x:c r="Q76" s="63" t="n">
        <x:v>5.9</x:v>
      </x:c>
      <x:c r="R76" s="63" t="n">
        <x:v>0.4</x:v>
      </x:c>
      <x:c r="S76" s="63" t="n">
        <x:v>0.8</x:v>
      </x:c>
      <x:c r="T76" s="63" t="str">
        <x:v>Blumat / kontrolliert reduzieren</x:v>
      </x:c>
      <x:c r="U76" s="63" t="str">
        <x:v>HESI Coco Taper</x:v>
      </x:c>
      <x:c r="V76" s="63" t="n">
        <x:v>1.5</x:v>
      </x:c>
      <x:c r="W76" s="63" t="n">
        <x:v>0</x:v>
      </x:c>
      <x:c r="X76" s="63" t="n">
        <x:v>0</x:v>
      </x:c>
      <x:c r="Y76" s="63" t="n">
        <x:v>0.015</x:v>
      </x:c>
      <x:c r="Z76" s="63" t="n">
        <x:v>0</x:v>
      </x:c>
      <x:c r="AA76" s="63" t="n">
        <x:v>0</x:v>
      </x:c>
      <x:c r="AB76" s="63" t="n">
        <x:v>0</x:v>
      </x:c>
      <x:c r="AC76" s="63" t="n">
        <x:v>0</x:v>
      </x:c>
      <x:c r="AD76" s="63" t="str">
        <x:v>AN-Additive Reference=0 außer Voodoo-Tage</x:v>
      </x:c>
      <x:c r="AE76" s="63" t="str">
        <x:v>Keine Eingriffe</x:v>
      </x:c>
      <x:c r="AF76" s="63" t="str">
        <x:v>Morgens Klima/Pflanze/Blumat/Leck; Mitte Lichtphase Blattwinkel; vor Dunkel LF/Drain/stehendes Wasser.</x:v>
      </x:c>
      <x:c r="AG76" s="63" t="str">
        <x:v>EC nicht erhöhen bei steigender Drain-EC; PPFD nicht erhöhen bei Stress; nie mehrere neue Booster gleichzeitig.</x:v>
      </x:c>
      <x:c r="AH76" s="35" t="str">
        <x:v>UKD-Planwert; PPFD/EC/Bedarf haben Vorrang vor Watt/Dosis.</x:v>
      </x:c>
      <x:c r="AI76" s="34" t="str">
        <x:v>Titration vor Dünger; nur falls Wasser/Endmix pH+ benötigt</x:v>
      </x:c>
      <x:c r="AJ76" s="201" t="str">
        <x:v>B7: Overdrive, B-52, Bud Candy, Sensizym, Tasty Terpenes, Rhino Skin, Bud Factor X</x:v>
      </x:c>
      <x:c r="AK76" s="35" t="str">
        <x:v>Booster generell auslaufen. Overdrive nur A/B; keine neue Variable.</x:v>
      </x:c>
    </x:row>
    <x:row r="77">
      <x:c r="A77" s="34" t="n">
        <x:v>75</x:v>
      </x:c>
      <x:c r="B77" s="129" t="n">
        <x:f>'01_Run_Config'!$B$4+A77</x:f>
        <x:v>46317</x:v>
      </x:c>
      <x:c r="C77" s="63" t="n">
        <x:f>INT(A77/7)+1</x:f>
        <x:v>11</x:v>
      </x:c>
      <x:c r="D77" s="63" t="str">
        <x:f>"M"&amp;INT(A77/30)+1</x:f>
        <x:v>M3</x:v>
      </x:c>
      <x:c r="E77" s="63" t="str">
        <x:v>Harvest Window</x:v>
      </x:c>
      <x:c r="F77" s="63" t="str">
        <x:v>Erntefenster nach Trichomen/Calyxen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v>1.3</x:v>
      </x:c>
      <x:c r="P77" s="63" t="n">
        <x:v>1.15</x:v>
      </x:c>
      <x:c r="Q77" s="63" t="n">
        <x:v>5.9</x:v>
      </x:c>
      <x:c r="R77" s="63" t="n">
        <x:v>0.4</x:v>
      </x:c>
      <x:c r="S77" s="63" t="n">
        <x:v>0.8</x:v>
      </x:c>
      <x:c r="T77" s="63" t="str">
        <x:v>Blumat / kontrolliert reduzieren</x:v>
      </x:c>
      <x:c r="U77" s="63" t="str">
        <x:v>HESI Coco Taper</x:v>
      </x:c>
      <x:c r="V77" s="63" t="n">
        <x:v>1.5</x:v>
      </x:c>
      <x:c r="W77" s="63" t="n">
        <x:v>0</x:v>
      </x:c>
      <x:c r="X77" s="63" t="n">
        <x:v>0</x:v>
      </x:c>
      <x:c r="Y77" s="63" t="n">
        <x:v>0.015</x:v>
      </x:c>
      <x:c r="Z77" s="63" t="n">
        <x:v>0</x:v>
      </x:c>
      <x:c r="AA77" s="63" t="n">
        <x:v>0</x:v>
      </x:c>
      <x:c r="AB77" s="63" t="n">
        <x:v>0</x:v>
      </x:c>
      <x:c r="AC77" s="63" t="n">
        <x:v>0</x:v>
      </x:c>
      <x:c r="AD77" s="63" t="str">
        <x:v>AN-Additive Reference=0 außer Voodoo-Tage</x:v>
      </x:c>
      <x:c r="AE77" s="63" t="str">
        <x:v>Keine Eingriffe</x:v>
      </x:c>
      <x:c r="AF77" s="63" t="str">
        <x:v>Morgens Klima/Pflanze/Blumat/Leck; Mitte Lichtphase Blattwinkel; vor Dunkel LF/Drain/stehendes Wasser.</x:v>
      </x:c>
      <x:c r="AG77" s="63" t="str">
        <x:v>EC nicht erhöhen bei steigender Drain-EC; PPFD nicht erhöhen bei Stress; nie mehrere neue Booster gleichzeitig.</x:v>
      </x:c>
      <x:c r="AH77" s="35" t="str">
        <x:v>UKD-Planwert; PPFD/EC/Bedarf haben Vorrang vor Watt/Dosis.</x:v>
      </x:c>
      <x:c r="AI77" s="34" t="str">
        <x:v>Titration vor Dünger; nur falls Wasser/Endmix pH+ benötigt</x:v>
      </x:c>
      <x:c r="AJ77" s="201" t="str">
        <x:v>B7: Overdrive, B-52, Bud Candy, Sensizym, Tasty Terpenes, Rhino Skin, Bud Factor X</x:v>
      </x:c>
      <x:c r="AK77" s="35" t="str">
        <x:v>Booster generell auslaufen. Overdrive nur A/B; keine neue Variable.</x:v>
      </x:c>
    </x:row>
    <x:row r="78">
      <x:c r="A78" s="34" t="n">
        <x:v>76</x:v>
      </x:c>
      <x:c r="B78" s="129" t="n">
        <x:f>'01_Run_Config'!$B$4+A78</x:f>
        <x:v>46318</x:v>
      </x:c>
      <x:c r="C78" s="63" t="n">
        <x:f>INT(A78/7)+1</x:f>
        <x:v>11</x:v>
      </x:c>
      <x:c r="D78" s="63" t="str">
        <x:f>"M"&amp;INT(A78/30)+1</x:f>
        <x:v>M3</x:v>
      </x:c>
      <x:c r="E78" s="63" t="str">
        <x:v>Harvest Window</x:v>
      </x:c>
      <x:c r="F78" s="63" t="str">
        <x:v>Erntefenster nach Trichomen/Calyxen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v>1.3</x:v>
      </x:c>
      <x:c r="P78" s="63" t="n">
        <x:v>1.15</x:v>
      </x:c>
      <x:c r="Q78" s="63" t="n">
        <x:v>5.9</x:v>
      </x:c>
      <x:c r="R78" s="63" t="n">
        <x:v>0.4</x:v>
      </x:c>
      <x:c r="S78" s="63" t="n">
        <x:v>0.8</x:v>
      </x:c>
      <x:c r="T78" s="63" t="str">
        <x:v>Blumat / kontrolliert reduzieren</x:v>
      </x:c>
      <x:c r="U78" s="63" t="str">
        <x:v>HESI Coco Taper</x:v>
      </x:c>
      <x:c r="V78" s="63" t="n">
        <x:v>1.5</x:v>
      </x:c>
      <x:c r="W78" s="63" t="n">
        <x:v>0</x:v>
      </x:c>
      <x:c r="X78" s="63" t="n">
        <x:v>0</x:v>
      </x:c>
      <x:c r="Y78" s="63" t="n">
        <x:v>0.015</x:v>
      </x:c>
      <x:c r="Z78" s="63" t="n">
        <x:v>0</x:v>
      </x:c>
      <x:c r="AA78" s="63" t="n">
        <x:v>0</x:v>
      </x:c>
      <x:c r="AB78" s="63" t="n">
        <x:v>0</x:v>
      </x:c>
      <x:c r="AC78" s="63" t="n">
        <x:v>0</x:v>
      </x:c>
      <x:c r="AD78" s="63" t="str">
        <x:v>AN-Additive Reference=0 außer Voodoo-Tage</x:v>
      </x:c>
      <x:c r="AE78" s="63" t="str">
        <x:v>Keine Eingriffe</x:v>
      </x:c>
      <x:c r="AF78" s="63" t="str">
        <x:v>Morgens Klima/Pflanze/Blumat/Leck; Mitte Lichtphase Blattwinkel; vor Dunkel LF/Drain/stehendes Wasser.</x:v>
      </x:c>
      <x:c r="AG78" s="63" t="str">
        <x:v>EC nicht erhöhen bei steigender Drain-EC; PPFD nicht erhöhen bei Stress; nie mehrere neue Booster gleichzeitig.</x:v>
      </x:c>
      <x:c r="AH78" s="35" t="str">
        <x:v>UKD-Planwert; PPFD/EC/Bedarf haben Vorrang vor Watt/Dosis.</x:v>
      </x:c>
      <x:c r="AI78" s="34" t="str">
        <x:v>Titration vor Dünger; nur falls Wasser/Endmix pH+ benötigt</x:v>
      </x:c>
      <x:c r="AJ78" s="201" t="str">
        <x:v>B7: Overdrive, B-52, Bud Candy, Sensizym, Tasty Terpenes, Rhino Skin, Bud Factor X</x:v>
      </x:c>
      <x:c r="AK78" s="35" t="str">
        <x:v>Booster generell auslaufen. Overdrive nur A/B; keine neue Variable.</x:v>
      </x:c>
    </x:row>
    <x:row r="79">
      <x:c r="A79" s="34" t="n">
        <x:v>77</x:v>
      </x:c>
      <x:c r="B79" s="129" t="n">
        <x:f>'01_Run_Config'!$B$4+A79</x:f>
        <x:v>46319</x:v>
      </x:c>
      <x:c r="C79" s="63" t="n">
        <x:f>INT(A79/7)+1</x:f>
        <x:v>12</x:v>
      </x:c>
      <x:c r="D79" s="63" t="str">
        <x:f>"M"&amp;INT(A79/30)+1</x:f>
        <x:v>M3</x:v>
      </x:c>
      <x:c r="E79" s="63" t="str">
        <x:v>Harvest Window</x:v>
      </x:c>
      <x:c r="F79" s="63" t="str">
        <x:v>Erntefenster nach Trichomen/Calyxen</x:v>
      </x:c>
      <x:c r="G79" s="63" t="n">
        <x:v>18</x:v>
      </x:c>
      <x:c r="H79" s="63" t="n">
        <x:v>105</x:v>
      </x:c>
      <x:c r="I79" s="63" t="n">
        <x:v>500</x:v>
      </x:c>
      <x:c r="J79" s="63" t="n">
        <x:f>I79*G79*3600/1000000</x:f>
        <x:v>32.4</x:v>
      </x:c>
      <x:c r="K79" s="63" t="n">
        <x:v>40</x:v>
      </x:c>
      <x:c r="L79" s="63" t="n">
        <x:v>23</x:v>
      </x:c>
      <x:c r="M79" s="63" t="n">
        <x:v>20</x:v>
      </x:c>
      <x:c r="N79" s="63" t="n">
        <x:v>42</x:v>
      </x:c>
      <x:c r="O79" s="63" t="n">
        <x:v>1.3</x:v>
      </x:c>
      <x:c r="P79" s="63" t="n">
        <x:v>1.15</x:v>
      </x:c>
      <x:c r="Q79" s="63" t="n">
        <x:v>5.9</x:v>
      </x:c>
      <x:c r="R79" s="63" t="n">
        <x:v>0.4</x:v>
      </x:c>
      <x:c r="S79" s="63" t="n">
        <x:v>0.8</x:v>
      </x:c>
      <x:c r="T79" s="63" t="str">
        <x:v>Blumat / kontrolliert reduzieren</x:v>
      </x:c>
      <x:c r="U79" s="63" t="str">
        <x:v>HESI Coco Taper</x:v>
      </x:c>
      <x:c r="V79" s="63" t="n">
        <x:v>1.5</x:v>
      </x:c>
      <x:c r="W79" s="63" t="n">
        <x:v>0</x:v>
      </x:c>
      <x:c r="X79" s="63" t="n">
        <x:v>0</x:v>
      </x:c>
      <x:c r="Y79" s="63" t="n">
        <x:v>0.015</x:v>
      </x:c>
      <x:c r="Z79" s="63" t="n">
        <x:v>0</x:v>
      </x:c>
      <x:c r="AA79" s="63" t="n">
        <x:v>0</x:v>
      </x:c>
      <x:c r="AB79" s="63" t="n">
        <x:v>0</x:v>
      </x:c>
      <x:c r="AC79" s="63" t="n">
        <x:v>0</x:v>
      </x:c>
      <x:c r="AD79" s="63" t="str">
        <x:v>AN-Additive Reference=0 außer Voodoo-Tage</x:v>
      </x:c>
      <x:c r="AE79" s="63" t="str">
        <x:v>Keine Eingriffe</x:v>
      </x:c>
      <x:c r="AF79" s="63" t="str">
        <x:v>Morgens Klima/Pflanze/Blumat/Leck; Mitte Lichtphase Blattwinkel; vor Dunkel LF/Drain/stehendes Wasser. WÖCHENTLICH: pH/EC kalibrieren, Foto, Canopy messen, PPFD-Spotcheck, Tank/Tray reinigen.</x:v>
      </x:c>
      <x:c r="AG79" s="63" t="str">
        <x:v>EC nicht erhöhen bei steigender Drain-EC; PPFD nicht erhöhen bei Stress; nie mehrere neue Booster gleichzeitig.</x:v>
      </x:c>
      <x:c r="AH79" s="35" t="str">
        <x:v>UKD-Planwert; PPFD/EC/Bedarf haben Vorrang vor Watt/Dosis.</x:v>
      </x:c>
      <x:c r="AI79" s="34" t="str">
        <x:v>Titration vor Dünger; nur falls Wasser/Endmix pH+ benötigt</x:v>
      </x:c>
      <x:c r="AJ79" s="201" t="str">
        <x:v>B7: Overdrive, B-52, Bud Candy, Sensizym, Tasty Terpenes, Rhino Skin, Bud Factor X</x:v>
      </x:c>
      <x:c r="AK79" s="35" t="str">
        <x:v>Booster generell auslaufen. Overdrive nur A/B; keine neue Variable.</x:v>
      </x:c>
    </x:row>
    <x:row r="80">
      <x:c r="A80" s="34" t="n">
        <x:v>78</x:v>
      </x:c>
      <x:c r="B80" s="129" t="n">
        <x:f>'01_Run_Config'!$B$4+A80</x:f>
        <x:v>46320</x:v>
      </x:c>
      <x:c r="C80" s="63" t="n">
        <x:f>INT(A80/7)+1</x:f>
        <x:v>12</x:v>
      </x:c>
      <x:c r="D80" s="63" t="str">
        <x:f>"M"&amp;INT(A80/30)+1</x:f>
        <x:v>M3</x:v>
      </x:c>
      <x:c r="E80" s="63" t="str">
        <x:v>Harvest Window</x:v>
      </x:c>
      <x:c r="F80" s="63" t="str">
        <x:v>Erntefenster nach Trichomen/Calyxen</x:v>
      </x:c>
      <x:c r="G80" s="63" t="n">
        <x:v>18</x:v>
      </x:c>
      <x:c r="H80" s="63" t="n">
        <x:v>105</x:v>
      </x:c>
      <x:c r="I80" s="63" t="n">
        <x:v>500</x:v>
      </x:c>
      <x:c r="J80" s="63" t="n">
        <x:f>I80*G80*3600/1000000</x:f>
        <x:v>32.4</x:v>
      </x:c>
      <x:c r="K80" s="63" t="n">
        <x:v>40</x:v>
      </x:c>
      <x:c r="L80" s="63" t="n">
        <x:v>23</x:v>
      </x:c>
      <x:c r="M80" s="63" t="n">
        <x:v>20</x:v>
      </x:c>
      <x:c r="N80" s="63" t="n">
        <x:v>42</x:v>
      </x:c>
      <x:c r="O80" s="63" t="n">
        <x:v>1.3</x:v>
      </x:c>
      <x:c r="P80" s="63" t="n">
        <x:v>1.15</x:v>
      </x:c>
      <x:c r="Q80" s="63" t="n">
        <x:v>5.9</x:v>
      </x:c>
      <x:c r="R80" s="63" t="n">
        <x:v>0.4</x:v>
      </x:c>
      <x:c r="S80" s="63" t="n">
        <x:v>0.8</x:v>
      </x:c>
      <x:c r="T80" s="63" t="str">
        <x:v>Blumat / kontrolliert reduzieren</x:v>
      </x:c>
      <x:c r="U80" s="63" t="str">
        <x:v>HESI Coco Taper</x:v>
      </x:c>
      <x:c r="V80" s="63" t="n">
        <x:v>1.5</x:v>
      </x:c>
      <x:c r="W80" s="63" t="n">
        <x:v>0</x:v>
      </x:c>
      <x:c r="X80" s="63" t="n">
        <x:v>0</x:v>
      </x:c>
      <x:c r="Y80" s="63" t="n">
        <x:v>0.015</x:v>
      </x:c>
      <x:c r="Z80" s="63" t="n">
        <x:v>0</x:v>
      </x:c>
      <x:c r="AA80" s="63" t="n">
        <x:v>0</x:v>
      </x:c>
      <x:c r="AB80" s="63" t="n">
        <x:v>0</x:v>
      </x:c>
      <x:c r="AC80" s="63" t="n">
        <x:v>0</x:v>
      </x:c>
      <x:c r="AD80" s="63" t="str">
        <x:v>AN-Additive Reference=0 außer Voodoo-Tage</x:v>
      </x:c>
      <x:c r="AE80" s="63" t="str">
        <x:v>Keine Eingriffe</x:v>
      </x:c>
      <x:c r="AF80" s="63" t="str">
        <x:v>Morgens Klima/Pflanze/Blumat/Leck; Mitte Lichtphase Blattwinkel; vor Dunkel LF/Drain/stehendes Wasser.</x:v>
      </x:c>
      <x:c r="AG80" s="63" t="str">
        <x:v>EC nicht erhöhen bei steigender Drain-EC; PPFD nicht erhöhen bei Stress; nie mehrere neue Booster gleichzeitig.</x:v>
      </x:c>
      <x:c r="AH80" s="35" t="str">
        <x:v>UKD-Planwert; PPFD/EC/Bedarf haben Vorrang vor Watt/Dosis.</x:v>
      </x:c>
      <x:c r="AI80" s="34" t="str">
        <x:v>Titration vor Dünger; nur falls Wasser/Endmix pH+ benötigt</x:v>
      </x:c>
      <x:c r="AJ80" s="201" t="str">
        <x:v>Flush: Flawless Finish 2 ml/L laut AN (optional; UKD nicht Reference)</x:v>
      </x:c>
      <x:c r="AK80" s="35" t="str">
        <x:v>Flawless Finish optionaler AN-Endtest, nicht Reference; sonst Wasser/Low-EC nur bei tatsächlicher Reife.</x:v>
      </x:c>
    </x:row>
    <x:row r="81">
      <x:c r="A81" s="34" t="n">
        <x:v>79</x:v>
      </x:c>
      <x:c r="B81" s="129" t="n">
        <x:f>'01_Run_Config'!$B$4+A81</x:f>
        <x:v>46321</x:v>
      </x:c>
      <x:c r="C81" s="63" t="n">
        <x:f>INT(A81/7)+1</x:f>
        <x:v>12</x:v>
      </x:c>
      <x:c r="D81" s="63" t="str">
        <x:f>"M"&amp;INT(A81/30)+1</x:f>
        <x:v>M3</x:v>
      </x:c>
      <x:c r="E81" s="63" t="str">
        <x:v>Harvest Window</x:v>
      </x:c>
      <x:c r="F81" s="63" t="str">
        <x:v>Erntefenster nach Trichomen/Calyxen</x:v>
      </x:c>
      <x:c r="G81" s="63" t="n">
        <x:v>18</x:v>
      </x:c>
      <x:c r="H81" s="63" t="n">
        <x:v>105</x:v>
      </x:c>
      <x:c r="I81" s="63" t="n">
        <x:v>500</x:v>
      </x:c>
      <x:c r="J81" s="63" t="n">
        <x:f>I81*G81*3600/1000000</x:f>
        <x:v>32.4</x:v>
      </x:c>
      <x:c r="K81" s="63" t="n">
        <x:v>40</x:v>
      </x:c>
      <x:c r="L81" s="63" t="n">
        <x:v>23</x:v>
      </x:c>
      <x:c r="M81" s="63" t="n">
        <x:v>20</x:v>
      </x:c>
      <x:c r="N81" s="63" t="n">
        <x:v>42</x:v>
      </x:c>
      <x:c r="O81" s="63" t="n">
        <x:v>1.3</x:v>
      </x:c>
      <x:c r="P81" s="63" t="n">
        <x:v>1.15</x:v>
      </x:c>
      <x:c r="Q81" s="63" t="n">
        <x:v>5.9</x:v>
      </x:c>
      <x:c r="R81" s="63" t="n">
        <x:v>0.4</x:v>
      </x:c>
      <x:c r="S81" s="63" t="n">
        <x:v>0.8</x:v>
      </x:c>
      <x:c r="T81" s="63" t="str">
        <x:v>Blumat / kontrolliert reduzieren</x:v>
      </x:c>
      <x:c r="U81" s="63" t="str">
        <x:v>HESI Coco Taper</x:v>
      </x:c>
      <x:c r="V81" s="63" t="n">
        <x:v>1.5</x:v>
      </x:c>
      <x:c r="W81" s="63" t="n">
        <x:v>0</x:v>
      </x:c>
      <x:c r="X81" s="63" t="n">
        <x:v>0</x:v>
      </x:c>
      <x:c r="Y81" s="63" t="n">
        <x:v>0.015</x:v>
      </x:c>
      <x:c r="Z81" s="63" t="n">
        <x:v>0</x:v>
      </x:c>
      <x:c r="AA81" s="63" t="n">
        <x:v>0</x:v>
      </x:c>
      <x:c r="AB81" s="63" t="n">
        <x:v>0</x:v>
      </x:c>
      <x:c r="AC81" s="63" t="n">
        <x:v>0</x:v>
      </x:c>
      <x:c r="AD81" s="63" t="str">
        <x:v>AN-Additive Reference=0 außer Voodoo-Tage</x:v>
      </x:c>
      <x:c r="AE81" s="63" t="str">
        <x:v>Keine Eingriffe</x:v>
      </x:c>
      <x:c r="AF81" s="63" t="str">
        <x:v>Morgens Klima/Pflanze/Blumat/Leck; Mitte Lichtphase Blattwinkel; vor Dunkel LF/Drain/stehendes Wasser.</x:v>
      </x:c>
      <x:c r="AG81" s="63" t="str">
        <x:v>EC nicht erhöhen bei steigender Drain-EC; PPFD nicht erhöhen bei Stress; nie mehrere neue Booster gleichzeitig.</x:v>
      </x:c>
      <x:c r="AH81" s="35" t="str">
        <x:v>UKD-Planwert; PPFD/EC/Bedarf haben Vorrang vor Watt/Dosis.</x:v>
      </x:c>
      <x:c r="AI81" s="34" t="str">
        <x:v>Titration vor Dünger; nur falls Wasser/Endmix pH+ benötigt</x:v>
      </x:c>
      <x:c r="AJ81" s="201" t="str">
        <x:v>Flush: Flawless Finish 2 ml/L laut AN (optional; UKD nicht Reference)</x:v>
      </x:c>
      <x:c r="AK81" s="35" t="str">
        <x:v>Flawless Finish optionaler AN-Endtest, nicht Reference; sonst Wasser/Low-EC nur bei tatsächlicher Reife.</x:v>
      </x:c>
    </x:row>
    <x:row r="82">
      <x:c r="A82" s="36" t="n">
        <x:v>80</x:v>
      </x:c>
      <x:c r="B82" s="130" t="n">
        <x:f>'01_Run_Config'!$B$4+A82</x:f>
        <x:v>46322</x:v>
      </x:c>
      <x:c r="C82" s="64" t="n">
        <x:f>INT(A82/7)+1</x:f>
        <x:v>12</x:v>
      </x:c>
      <x:c r="D82" s="64" t="str">
        <x:f>"M"&amp;INT(A82/30)+1</x:f>
        <x:v>M3</x:v>
      </x:c>
      <x:c r="E82" s="64" t="str">
        <x:v>Harvest Window</x:v>
      </x:c>
      <x:c r="F82" s="64" t="str">
        <x:v>Erntefenster nach Trichomen/Calyxen</x:v>
      </x:c>
      <x:c r="G82" s="64" t="n">
        <x:v>18</x:v>
      </x:c>
      <x:c r="H82" s="64" t="n">
        <x:v>105</x:v>
      </x:c>
      <x:c r="I82" s="64" t="n">
        <x:v>500</x:v>
      </x:c>
      <x:c r="J82" s="64" t="n">
        <x:f>I82*G82*3600/1000000</x:f>
        <x:v>32.4</x:v>
      </x:c>
      <x:c r="K82" s="64" t="n">
        <x:v>40</x:v>
      </x:c>
      <x:c r="L82" s="64" t="n">
        <x:v>23</x:v>
      </x:c>
      <x:c r="M82" s="64" t="n">
        <x:v>20</x:v>
      </x:c>
      <x:c r="N82" s="64" t="n">
        <x:v>42</x:v>
      </x:c>
      <x:c r="O82" s="64" t="n">
        <x:v>1.3</x:v>
      </x:c>
      <x:c r="P82" s="64" t="n">
        <x:v>1.15</x:v>
      </x:c>
      <x:c r="Q82" s="64" t="n">
        <x:v>5.9</x:v>
      </x:c>
      <x:c r="R82" s="64" t="n">
        <x:v>0.4</x:v>
      </x:c>
      <x:c r="S82" s="64" t="n">
        <x:v>0.8</x:v>
      </x:c>
      <x:c r="T82" s="64" t="str">
        <x:v>Blumat / kontrolliert reduzieren</x:v>
      </x:c>
      <x:c r="U82" s="64" t="str">
        <x:v>HESI Coco Taper</x:v>
      </x:c>
      <x:c r="V82" s="64" t="n">
        <x:v>1.5</x:v>
      </x:c>
      <x:c r="W82" s="64" t="n">
        <x:v>0</x:v>
      </x:c>
      <x:c r="X82" s="64" t="n">
        <x:v>0</x:v>
      </x:c>
      <x:c r="Y82" s="64" t="n">
        <x:v>0.015</x:v>
      </x:c>
      <x:c r="Z82" s="64" t="n">
        <x:v>0</x:v>
      </x:c>
      <x:c r="AA82" s="64" t="n">
        <x:v>0</x:v>
      </x:c>
      <x:c r="AB82" s="64" t="n">
        <x:v>0</x:v>
      </x:c>
      <x:c r="AC82" s="64" t="n">
        <x:v>0</x:v>
      </x:c>
      <x:c r="AD82" s="64" t="str">
        <x:v>AN-Additive Reference=0 außer Voodoo-Tage</x:v>
      </x:c>
      <x:c r="AE82" s="64" t="str">
        <x:v>Keine Eingriffe</x:v>
      </x:c>
      <x:c r="AF82" s="64" t="str">
        <x:v>Morgens Klima/Pflanze/Blumat/Leck; Mitte Lichtphase Blattwinkel; vor Dunkel LF/Drain/stehendes Wasser.</x:v>
      </x:c>
      <x:c r="AG82" s="64" t="str">
        <x:v>EC nicht erhöhen bei steigender Drain-EC; PPFD nicht erhöhen bei Stress; nie mehrere neue Booster gleichzeitig.</x:v>
      </x:c>
      <x:c r="AH82" s="37" t="str">
        <x:v>UKD-Planwert; PPFD/EC/Bedarf haben Vorrang vor Watt/Dosis.</x:v>
      </x:c>
      <x:c r="AI82" s="36" t="str">
        <x:v>Titration vor Dünger; nur falls Wasser/Endmix pH+ benötigt</x:v>
      </x:c>
      <x:c r="AJ82" s="64" t="str">
        <x:v>Flush: Flawless Finish 2 ml/L laut AN (optional; UKD nicht Reference)</x:v>
      </x:c>
      <x:c r="AK82" s="37" t="str">
        <x:v>Flawless Finish optionaler AN-Endtest, nicht Reference; sonst Wasser/Low-EC nur bei tatsächlicher Reife.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19e08f3ef74db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</x:v>
      </x:c>
      <x:c r="M1" s="1209" t="str">
        <x:v>Wasserband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Reference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2 ml/L definiert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Voodoo zweite Veg-Gabe</x:v>
      </x:c>
      <x:c r="R3" s="63" t="str">
        <x:v>LST nur 4–5 Nodes</x:v>
      </x:c>
      <x:c r="S3" s="63" t="str">
        <x:v>Blumat installieren/kalibrieren; pH/EC kalibrieren</x:v>
      </x:c>
      <x:c r="T3" s="35" t="str">
        <x:v>Blumat 48 h ohne Drift/Leck stabil?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AN sonst 0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AN A/B noch aus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Piranha/Tarantula nur A/B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Big Bud A/B ab Bloom W2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Big Bud A/B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Big Bud A/B STATT HESI-PK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Overdrive A/B STATT PK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AN Booster stoppen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Window I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—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Harvest Window II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—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</x:sheetData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8b55f3047c864631"/>
  <x:tableParts count="1">
    <x:tablePart xmlns:r="http://schemas.openxmlformats.org/officeDocument/2006/relationships" r:id="R0d82b21e89504f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0–30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Blumat/Leckschutz,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31–60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61–80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Blumat</x:v>
      </x:c>
      <x:c r="B10" s="63" t="str">
        <x:v>Tropfbild/Leck</x:v>
      </x:c>
      <x:c r="C10" s="63" t="str">
        <x:v>Sensor/Leitung prüfen</x:v>
      </x:c>
      <x:c r="D10" s="63" t="str">
        <x:v>Demontage/Spülung nach Run</x:v>
      </x:c>
      <x:c r="E10" s="35" t="str">
        <x:v>Indoor nur mit Wanne+Leckalarm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</x:cols>
  <x:sheetData>
    <x:row r="1">
      <x:c r="A1" s="1214" t="str">
        <x:v>MIX CALCULATOR v2 — HESI + ATHENA BALANCE + selektive AN Grand-Master-Module</x:v>
      </x:c>
      <x:c r="B1" s="1214" t="str">
        <x:v>MIX CALCULATOR v2 — HESI + ATHENA BALANCE + selektive AN Grand-Master-Module</x:v>
      </x:c>
      <x:c r="C1" s="1214" t="str">
        <x:v>MIX CALCULATOR v2 — HESI + ATHENA BALANCE + selektive AN Grand-Master-Module</x:v>
      </x:c>
      <x:c r="D1" s="1214" t="str">
        <x:v>MIX CALCULATOR v2 — HESI + ATHENA BALANCE + selektive AN Grand-Master-Module</x:v>
      </x:c>
      <x:c r="E1" s="1214" t="str">
        <x:v>MIX CALCULATOR v2 — HESI + ATHENA BALANCE + selektive AN Grand-Master-Module</x:v>
      </x:c>
      <x:c r="F1" s="1214" t="str">
        <x:v>MIX CALCULATOR v2 — HESI + ATHENA BALANCE + selektive AN Grand-Master-Module</x:v>
      </x:c>
      <x:c r="G1" s="1214" t="str">
        <x:v>MIX CALCULATOR v2 — HESI + ATHENA BALANCE + selektive AN Grand-Master-Module</x:v>
      </x:c>
      <x:c r="H1" s="1214" t="str">
        <x:v>MIX CALCULATOR v2 — HESI + ATHENA BALANCE + selektive AN Grand-Master-Module</x:v>
      </x:c>
    </x:row>
    <x:row r="3" ht="24" customHeight="1">
      <x:c r="A3" s="1211" t="str">
        <x:v>Eingabe</x:v>
      </x:c>
      <x:c r="B3" s="1211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Tank/Manual</x:v>
      </x:c>
      <x:c r="H3" s="708" t="str">
        <x:v>Regel</x:v>
      </x:c>
    </x:row>
    <x:row r="4" ht="24" customHeight="1">
      <x:c r="A4" t="str">
        <x:v>Run-Tag</x:v>
      </x:c>
      <x:c r="B4" s="1228" t="n">
        <x:v>28</x:v>
      </x:c>
      <x:c r="D4" s="1240" t="str">
        <x:v>Athena Balance</x:v>
      </x:c>
      <x:c r="E4" s="1241" t="n">
        <x:f>$B$6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v>pH+ / K-Silikat. Vor allen Düngern; Dosis pH-/wasserabhängig.</x:v>
      </x:c>
    </x:row>
    <x:row r="5" ht="24" customHeight="1">
      <x:c r="A5" t="str">
        <x:v>Batchvolumen L</x:v>
      </x:c>
      <x:c r="B5" s="1229" t="n">
        <x:v>5</x:v>
      </x:c>
      <x:c r="D5" s="1244" t="str">
        <x:v>HESI Basis</x:v>
      </x:c>
      <x:c r="E5" s="1245" t="n">
        <x:f>VLOOKUP($B$4,'02_Daily_Master'!$A$2:$AH$82,22,FALSE)</x:f>
        <x:v>2.5</x:v>
      </x:c>
      <x:c r="F5" s="1245" t="n">
        <x:f>IF(ISNUMBER(E5),E5*$B$5,"")</x:f>
        <x:v>12.5</x:v>
      </x:c>
      <x:c r="G5" s="1246" t="str">
        <x:v>Tank</x:v>
      </x:c>
      <x:c r="H5" s="1247" t="str">
        <x:v>EC-Ziel und Pflanzenreaktion kontrollieren die finale Basisstärke.</x:v>
      </x:c>
    </x:row>
    <x:row r="6" ht="24" customHeight="1">
      <x:c r="A6" t="str">
        <x:v>Athena Balance ml/L (titr.)</x:v>
      </x:c>
      <x:c r="B6" s="1229" t="n">
        <x:v>0</x:v>
      </x:c>
      <x:c r="D6" s="1244" t="str">
        <x:v>HESI CalMag</x:v>
      </x:c>
      <x:c r="E6" s="1245" t="n">
        <x:f>$B$7</x:f>
        <x:v>0</x:v>
      </x:c>
      <x:c r="F6" s="1245" t="n">
        <x:f>IF(ISNUMBER(E6),E6*$B$5,"")</x:f>
        <x:v>0</x:v>
      </x:c>
      <x:c r="G6" s="1246" t="str">
        <x:v>Tank</x:v>
      </x:c>
      <x:c r="H6" s="1247" t="str">
        <x:v>nur bei Wasseranalyse/Bedarf.</x:v>
      </x:c>
    </x:row>
    <x:row r="7" ht="24" customHeight="1">
      <x:c r="A7" t="str">
        <x:v>CalMag ml/L</x:v>
      </x:c>
      <x:c r="B7" s="1230" t="n">
        <x:v>0</x:v>
      </x:c>
      <x:c r="D7" s="1244" t="str">
        <x:v>Wurzel Complex</x:v>
      </x:c>
      <x:c r="E7" s="1245" t="n">
        <x:f>VLOOKUP($B$4,'02_Daily_Master'!$A$2:$AH$82,23,FALSE)</x:f>
        <x:v>0</x:v>
      </x:c>
      <x:c r="F7" s="1245" t="n">
        <x:f>IF(ISNUMBER(E7),E7*$B$5,"")</x:f>
        <x:v>0</x:v>
      </x:c>
      <x:c r="G7" s="1246" t="str">
        <x:v>Manual</x:v>
      </x:c>
      <x:c r="H7" s="1247" t="str">
        <x:v>definierte Frühgaben.</x:v>
      </x:c>
    </x:row>
    <x:row r="8" ht="24" customHeight="1">
      <x:c r="A8" t="str">
        <x:v>GM Faktor vs Label</x:v>
      </x:c>
      <x:c r="B8" s="1229" t="n">
        <x:v>0.5</x:v>
      </x:c>
      <x:c r="D8" s="1244" t="str">
        <x:v>PowerZyme</x:v>
      </x:c>
      <x:c r="E8" s="1245" t="n">
        <x:f>VLOOKUP($B$4,'02_Daily_Master'!$A$2:$AH$82,24,FALSE)</x:f>
        <x:v>2</x:v>
      </x:c>
      <x:c r="F8" s="1245" t="n">
        <x:f>IF(ISNUMBER(E8),E8*$B$5,"")</x:f>
        <x:v>10</x:v>
      </x:c>
      <x:c r="G8" s="1246" t="str">
        <x:v>Manual/Wochenfeed</x:v>
      </x:c>
      <x:c r="H8" s="1247" t="str">
        <x:v>nicht + Sensizym im Reference.</x:v>
      </x:c>
    </x:row>
    <x:row r="9" ht="24" customHeight="1">
      <x:c r="A9" t="str">
        <x:v>pH Down ml/L (tatsächlich)</x:v>
      </x:c>
      <x:c r="B9" s="1231" t="n">
        <x:v>0</x:v>
      </x:c>
      <x:c r="D9" s="1244" t="str">
        <x:v>SuperVit</x:v>
      </x:c>
      <x:c r="E9" s="1245" t="n">
        <x:f>VLOOKUP($B$4,'02_Daily_Master'!$A$2:$AH$82,25,FALSE)</x:f>
        <x:v>0.015</x:v>
      </x:c>
      <x:c r="F9" s="1245" t="n">
        <x:f>IF(ISNUMBER(E9),E9*$B$5,"")</x:f>
        <x:v>0.075</x:v>
      </x:c>
      <x:c r="G9" s="1246" t="str">
        <x:v>Batch</x:v>
      </x:c>
      <x:c r="H9" s="1247" t="str">
        <x:v>Mikrodosis.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2</x:v>
      </x:c>
      <x:c r="F10" s="1245" t="n">
        <x:f>IF(ISNUMBER(E10),E10*$B$5,"")</x:f>
        <x:v>10</x:v>
      </x:c>
      <x:c r="G10" s="1246" t="str">
        <x:v>Manual/Wochenfeed</x:v>
      </x:c>
      <x:c r="H10" s="1247" t="str">
        <x:v>bei GM-Biostim-A/B konstant halten oder auslassen.</x:v>
      </x:c>
    </x:row>
    <x:row r="11">
      <x:c r="A11" s="1217" t="str">
        <x:v>Mischreihenfolge v2</x:v>
      </x:c>
      <x:c r="B11" s="1218" t="str">
        <x:v>Reference HESI + Athena Balance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definierte Frühfenster; kein stagnierender Dauertank.</x:v>
      </x:c>
    </x:row>
    <x:row r="13">
      <x:c r="A13" s="1162" t="str">
        <x:v>2</x:v>
      </x:c>
      <x:c r="B13" s="1200" t="str">
        <x:v>Athena Balance NUR falls nötig: vollständig ins Wasser einmischen. Sie erhöht pH und liefert K-Silikat.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</x:row>
    <x:row r="14">
      <x:c r="A14" s="1162" t="str">
        <x:v>3</x:v>
      </x:c>
      <x:c r="B14" s="1200" t="str">
        <x:v>Falls wasserchemisch nötig: CalMag einmischen.</x:v>
      </x:c>
      <x:c r="D14" s="1256" t="str">
        <x:v>GM A/B Modul</x:v>
      </x:c>
      <x:c r="E14" s="1257" t="str">
        <x:v>siehe GM-Blatt</x:v>
      </x:c>
      <x:c r="F14" s="1257"/>
      <x:c r="G14" s="1257" t="str">
        <x:v>Frisch/Manual</x:v>
      </x:c>
      <x:c r="H14" s="1258" t="str">
        <x:v>Dosis aus 25_AN_GrandMaster; nie mehrere neue Module gleichzeitig.</x:v>
      </x:c>
    </x:row>
    <x:row r="15">
      <x:c r="A15" s="1162" t="str">
        <x:v>4</x:v>
      </x:c>
      <x:c r="B15" s="1200" t="str">
        <x:v>HESI Basis vollständig einmischen.</x:v>
      </x:c>
      <x:c r="D15" s="1259" t="str">
        <x:v>Silizium Zusatz</x:v>
      </x:c>
      <x:c r="E15" s="1260" t="n">
        <x:v>0</x:v>
      </x:c>
      <x:c r="F15" s="1260" t="n">
        <x:v>0</x:v>
      </x:c>
      <x:c r="G15" s="1260" t="str">
        <x:v>AUS</x:v>
      </x:c>
      <x:c r="H15" s="1261" t="str">
        <x:v>Hesilicio/Rhino Skin standardmäßig AUS, wenn Athena Balance verwendet wird.</x:v>
      </x:c>
    </x:row>
    <x:row r="16">
      <x:c r="A16" s="1162" t="str">
        <x:v>5</x:v>
      </x:c>
      <x:c r="B16" s="1200" t="str">
        <x:v>Saubere mineralische Komponenten / HESI Support einzeln einmischen.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</x:row>
    <x:row r="17">
      <x:c r="A17" s="1236" t="str">
        <x:v>6</x:v>
      </x:c>
      <x:c r="B17" s="1239" t="str">
        <x:v>GM-Modul nur gemäß 25_AN_GrandMaster; Mikroben/Carbos bevorzugt frisch/manuell.</x:v>
      </x:c>
    </x:row>
    <x:row r="18">
      <x:c r="A18" s="1162" t="str">
        <x:v>7</x:v>
      </x:c>
      <x:c r="B18" s="1200" t="str">
        <x:v>EC messen und auf Zielbereich einstellen.</x:v>
      </x:c>
    </x:row>
    <x:row r="19" ht="26" customHeight="1">
      <x:c r="A19" s="1267" t="str">
        <x:v>8</x:v>
      </x:c>
      <x:c r="B19" s="1268" t="str">
        <x:v>5–10 min homogenisieren; finalen pH messen.</x:v>
      </x:c>
      <x:c r="C19" s="14"/>
      <x:c r="D19" s="14"/>
    </x:row>
    <x:row r="20" ht="44" customHeight="1">
      <x:c r="A20" s="1196" t="str">
        <x:v>9</x:v>
      </x:c>
      <x:c r="B20" s="1198" t="str">
        <x:v>Nur wenn final zu hoch: pH Down vorsichtig dosieren. Nicht Athena Balance und Säure gegenseitig hoch/runter titrieren.</x:v>
      </x:c>
      <x:c r="C20" s="62"/>
      <x:c r="D20" s="33"/>
    </x:row>
    <x:row r="21" ht="44" customHeight="1">
      <x:c r="A21" s="1162" t="str">
        <x:v>10</x:v>
      </x:c>
      <x:c r="B21" s="1200" t="str">
        <x:v>Nie konzentriertes Athena Balance direkt mit pH Down, PK-Booster oder anderen Konzentraten zusammengeben.</x:v>
      </x:c>
      <x:c r="C21" s="63"/>
      <x:c r="D21" s="35"/>
    </x:row>
    <x:row r="22" ht="44" customHeight="1">
      <x:c r="A22" s="1164" t="str">
        <x:v>11</x:v>
      </x:c>
      <x:c r="B22" s="1203" t="str">
        <x:v>Blumat/Tank: klare Lösung, Leck-/Tropferkontrolle; biologische Zusätze nicht stagnieren lassen.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>
      <x:c r="A26" s="1160" t="str">
        <x:v>A</x:v>
      </x:c>
      <x:c r="B26" s="1206" t="str">
        <x:v>pH 5.8–6.1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Ziel bereits erreicht</x:v>
      </x:c>
      <x:c r="H26" s="1207" t="str">
        <x:v>OPTIMAL</x:v>
      </x:c>
    </x:row>
    <x:row r="27">
      <x:c r="A27" s="1162" t="str">
        <x:v>B</x:v>
      </x:c>
      <x:c r="B27" s="1201" t="str">
        <x:v>zu niedriger pH + RO/weich</x:v>
      </x:c>
      <x:c r="C27" s="1201" t="str">
        <x:v>im NÄCHSTEN Batch vor Dünger titrieren</x:v>
      </x:c>
      <x:c r="D27" s="1201" t="str">
        <x:v>0</x:v>
      </x:c>
      <x:c r="E27" s="1201" t="str">
        <x:v>Balance deckt Si</x:v>
      </x:c>
      <x:c r="F27" s="1201" t="str">
        <x:v>kleinschrittig testen</x:v>
      </x:c>
      <x:c r="G27" s="1201" t="str">
        <x:v>Balance ist pH+ / K-Silikat</x:v>
      </x:c>
      <x:c r="H27" s="1200" t="str">
        <x:v>TEST</x:v>
      </x:c>
    </x:row>
    <x:row r="28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kein pH-Ping-Pong</x:v>
      </x:c>
      <x:c r="H28" s="1203" t="str">
        <x:v>KORRIGIEREN</x:v>
      </x:c>
    </x:row>
  </x:sheetData>
  <x:mergeCells>
    <x:mergeCell ref="A1:H1"/>
    <x:mergeCell ref="A24:H24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708" t="str">
        <x:v>Produkt</x:v>
      </x:c>
      <x:c r="B1" s="708" t="str">
        <x:v>Funktion</x:v>
      </x:c>
      <x:c r="C1" s="708" t="str">
        <x:v>Herstellerdosis</x:v>
      </x:c>
      <x:c r="D1" s="708" t="str">
        <x:v>UKD Reference</x:v>
      </x:c>
      <x:c r="E1" s="708" t="str">
        <x:v>Phase/Fenster</x:v>
      </x:c>
      <x:c r="F1" s="708" t="str">
        <x:v>Reservoir</x:v>
      </x:c>
      <x:c r="G1" s="708" t="str">
        <x:v>Redundanz</x:v>
      </x:c>
      <x:c r="H1" s="708" t="str">
        <x:v>Stop-Regel</x:v>
      </x:c>
      <x:c r="I1" s="708" t="str">
        <x:v>Quelle</x:v>
      </x:c>
      <x:c r="J1" s="708" t="str">
        <x:v>Evidenz</x:v>
      </x:c>
      <x:c r="K1" s="708" t="str">
        <x:v>Kommentar</x:v>
      </x:c>
      <x:c r="L1" s="708" t="str">
        <x:v>Status</x:v>
      </x:c>
    </x:row>
    <x:row r="2">
      <x:c r="A2" s="32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NPK 3-2-3; organisch gebundener N-Anteil senkt EC-Aussagekraft</x:v>
      </x:c>
      <x:c r="L2" s="33" t="str">
        <x:v>CORE</x:v>
      </x:c>
    </x:row>
    <x:row r="3">
      <x:c r="A3" s="34" t="str">
        <x:v>HESI Coco</x:v>
      </x:c>
      <x:c r="B3" s="63" t="str">
        <x:v>Coco-Blütebasis</x:v>
      </x:c>
      <x:c r="C3" s="63" t="str">
        <x:v>5 ml/L bei jedem Gießen</x:v>
      </x:c>
      <x:c r="D3" s="63" t="str">
        <x:v>2.5→4.0→Taper</x:v>
      </x:c>
      <x:c r="E3" s="63" t="str">
        <x:v>Preflower bis Reife</x:v>
      </x:c>
      <x:c r="F3" s="63" t="str">
        <x:v>ja</x:v>
      </x:c>
      <x:c r="G3" s="63" t="str">
        <x:v>keine zweite Vollbasis</x:v>
      </x:c>
      <x:c r="H3" s="63" t="str">
        <x:v>pH nach Zugabe prüfen; EC/Blattzustand überschreiben Plan</x:v>
      </x:c>
      <x:c r="I3" s="63" t="str">
        <x:v>https://hesi.nl/de/COCO</x:v>
      </x:c>
      <x:c r="J3" s="63" t="str">
        <x:v>A</x:v>
      </x:c>
      <x:c r="K3" s="63" t="str">
        <x:v>NPK 3-4-5 + Ca/Mg + Spurenelemente</x:v>
      </x:c>
      <x:c r="L3" s="35" t="str">
        <x:v>CORE</x:v>
      </x:c>
    </x:row>
    <x:row r="4">
      <x:c r="A4" s="34" t="str">
        <x:v>Wurzel Complex</x:v>
      </x:c>
      <x:c r="B4" s="63" t="str">
        <x:v>Root/Stress</x:v>
      </x:c>
      <x:c r="C4" s="63" t="str">
        <x:v>5 ml/L; halb bei häufiger/langer Nutzung</x:v>
      </x:c>
      <x:c r="D4" s="63" t="str">
        <x:v>2.5 ml/L definierte Frühgaben</x:v>
      </x:c>
      <x:c r="E4" s="63" t="str">
        <x:v>Etablierung/Veg; Stress</x:v>
      </x:c>
      <x:c r="F4" s="63" t="str">
        <x:v>manual/fresh</x:v>
      </x:c>
      <x:c r="G4" s="63" t="str">
        <x:v>Voodoo ergänzt andere Funktion, aber A/B überwachen</x:v>
      </x:c>
      <x:c r="H4" s="63" t="str">
        <x:v>nicht dauerhaft als Problem-Löser</x:v>
      </x:c>
      <x:c r="I4" s="63" t="str">
        <x:v>https://hesi.nl/de/Wurzel-Complex</x:v>
      </x:c>
      <x:c r="J4" s="63" t="str">
        <x:v>A</x:v>
      </x:c>
      <x:c r="K4" s="63" t="str">
        <x:v>Mikronährstoffe/Vitamine/Aminosäuren</x:v>
      </x:c>
      <x:c r="L4" s="35" t="str">
        <x:v>CORE</x:v>
      </x:c>
    </x:row>
    <x:row r="5">
      <x:c r="A5" s="34" t="str">
        <x:v>PowerZyme</x:v>
      </x:c>
      <x:c r="B5" s="63" t="str">
        <x:v>Enzym</x:v>
      </x:c>
      <x:c r="C5" s="63" t="str">
        <x:v>2 ml/L durchgehend</x:v>
      </x:c>
      <x:c r="D5" s="63" t="str">
        <x:v>2 ml/L Wochenfeed</x:v>
      </x:c>
      <x:c r="E5" s="63" t="str">
        <x:v>gesamter Zyklus bis spät</x:v>
      </x:c>
      <x:c r="F5" s="63" t="str">
        <x:v>manual/kurz</x:v>
      </x:c>
      <x:c r="G5" s="63" t="str">
        <x:v>Sensizym redundant</x:v>
      </x:c>
      <x:c r="H5" s="63" t="str">
        <x:v>nicht + Sensizym im Reference</x:v>
      </x:c>
      <x:c r="I5" s="63" t="str">
        <x:v>https://hesi.nl/de/PowerZyme</x:v>
      </x:c>
      <x:c r="J5" s="63" t="str">
        <x:v>A</x:v>
      </x:c>
      <x:c r="K5" s="63" t="str">
        <x:v>Trichoderma-Enzymextrakt</x:v>
      </x:c>
      <x:c r="L5" s="35" t="str">
        <x:v>CORE</x:v>
      </x:c>
    </x:row>
    <x:row r="6">
      <x:c r="A6" s="34" t="str">
        <x:v>SuperVit</x:v>
      </x:c>
      <x:c r="B6" s="63" t="str">
        <x:v>Biostim</x:v>
      </x:c>
      <x:c r="C6" s="63" t="str">
        <x:v>1 ml/65 L</x:v>
      </x:c>
      <x:c r="D6" s="63" t="str">
        <x:v>0.015 ml/L pro frischem Batch</x:v>
      </x:c>
      <x:c r="E6" s="63" t="str">
        <x:v>gesamter Zyklus</x:v>
      </x:c>
      <x:c r="F6" s="63" t="str">
        <x:v>ja</x:v>
      </x:c>
      <x:c r="G6" s="63" t="str">
        <x:v>B-52 teilweise funktionell redundant</x:v>
      </x:c>
      <x:c r="H6" s="63" t="str">
        <x:v>Mikrodosis nicht 'nach Gefühl' erhöhen</x:v>
      </x:c>
      <x:c r="I6" s="63" t="str">
        <x:v>https://hesi.nl/de/SUPERVIT</x:v>
      </x:c>
      <x:c r="J6" s="63" t="str">
        <x:v>A/D</x:v>
      </x:c>
      <x:c r="K6" s="63" t="str">
        <x:v>sehr geringe Dosis</x:v>
      </x:c>
      <x:c r="L6" s="35" t="str">
        <x:v>CORE</x:v>
      </x:c>
    </x:row>
    <x:row r="7">
      <x:c r="A7" s="34" t="str">
        <x:v>Hesilicio</x:v>
      </x:c>
      <x:c r="B7" s="63" t="str">
        <x:v>Silizium</x:v>
      </x:c>
      <x:c r="C7" s="63" t="str">
        <x:v>max 0.5 ml/L, ~1×/Woche</x:v>
      </x:c>
      <x:c r="D7" s="63" t="str">
        <x:v>AUS wenn Athena Balance genutzt wird</x:v>
      </x:c>
      <x:c r="E7" s="63" t="str">
        <x:v>Veg bis Late Flower</x:v>
      </x:c>
      <x:c r="F7" s="63" t="str">
        <x:v>nur Alternative</x:v>
      </x:c>
      <x:c r="G7" s="63" t="str">
        <x:v>Athena Balance/Rhino Skin redundant</x:v>
      </x:c>
      <x:c r="H7" s="63" t="str">
        <x:v>nur eine Siliziumquelle; Balance liefert bereits K-Silikat</x:v>
      </x:c>
      <x:c r="I7" s="63" t="str">
        <x:v>https://hesi.nl/de/Hesilicio</x:v>
      </x:c>
      <x:c r="J7" s="63" t="str">
        <x:v>A</x:v>
      </x:c>
      <x:c r="K7" s="63" t="str">
        <x:v>3% Orthokieselsäure</x:v>
      </x:c>
      <x:c r="L7" s="35" t="str">
        <x:v>ALTERNATIVE</x:v>
      </x:c>
    </x:row>
    <x:row r="8">
      <x:c r="A8" s="34" t="str">
        <x:v>Boost</x:v>
      </x:c>
      <x:c r="B8" s="63" t="str">
        <x:v>Blütestimulator</x:v>
      </x:c>
      <x:c r="C8" s="63" t="str">
        <x:v>2 ml/L regelmäßig</x:v>
      </x:c>
      <x:c r="D8" s="63" t="str">
        <x:v>2 ml/L Wochenfeed</x:v>
      </x:c>
      <x:c r="E8" s="63" t="str">
        <x:v>Transition–Late Flower</x:v>
      </x:c>
      <x:c r="F8" s="63" t="str">
        <x:v>manual</x:v>
      </x:c>
      <x:c r="G8" s="63" t="str">
        <x:v>Bud Candy/CarboLoad/B-52 teilw. überlappend</x:v>
      </x:c>
      <x:c r="H8" s="63" t="str">
        <x:v>bei A/B-Bloomtest konstant halten oder weglassen</x:v>
      </x:c>
      <x:c r="I8" s="63" t="str">
        <x:v>https://hesi.nl/de/Boost</x:v>
      </x:c>
      <x:c r="J8" s="63" t="str">
        <x:v>A/D</x:v>
      </x:c>
      <x:c r="K8" s="63" t="str">
        <x:v>Pflanzenextrakte + PK 1-1</x:v>
      </x:c>
      <x:c r="L8" s="35" t="str">
        <x:v>OPTION/REF</x:v>
      </x:c>
    </x:row>
    <x:row r="9">
      <x:c r="A9" s="34" t="str">
        <x:v>PK 13/14</x:v>
      </x:c>
      <x:c r="B9" s="63" t="str">
        <x:v>PK</x:v>
      </x:c>
      <x:c r="C9" s="63" t="str">
        <x:v>0.25–1.5 ml/L zweite Hälfte steigern</x:v>
      </x:c>
      <x:c r="D9" s="63" t="str">
        <x:v>0.25–0.5 ml/L gezielte Wochenfeeds</x:v>
      </x:c>
      <x:c r="E9" s="63" t="str">
        <x:v>Peak/Late Flower</x:v>
      </x:c>
      <x:c r="F9" s="63" t="str">
        <x:v>manual</x:v>
      </x:c>
      <x:c r="G9" s="63" t="str">
        <x:v>Big Bud/BB Coco/Overdrive PK-Redundanz</x:v>
      </x:c>
      <x:c r="H9" s="63" t="str">
        <x:v>kein PK-Push bei hohen EC/Spitzenbrand</x:v>
      </x:c>
      <x:c r="I9" s="63" t="str">
        <x:v>https://hesi.nl/de/PK-13-14</x:v>
      </x:c>
      <x:c r="J9" s="63" t="str">
        <x:v>A</x:v>
      </x:c>
      <x:c r="K9" s="63" t="str">
        <x:v>Hersteller warnt K-Überschuss→Ca/Mg-Mangel</x:v>
      </x:c>
      <x:c r="L9" s="35" t="str">
        <x:v>OPTION</x:v>
      </x:c>
    </x:row>
    <x:row r="10">
      <x:c r="A10" s="36" t="str">
        <x:v>CalMag</x:v>
      </x:c>
      <x:c r="B10" s="64" t="str">
        <x:v>Ca/Mg/Fe</x:v>
      </x:c>
      <x:c r="C10" s="64" t="str">
        <x:v>bis Wasser-EC 0.4–0.5; RO typ. 3–4 ml/5L</x:v>
      </x:c>
      <x:c r="D10" s="64" t="str">
        <x:v>nur Wasseranalyse-/Bedarf</x:v>
      </x:c>
      <x:c r="E10" s="64" t="str">
        <x:v>alle Phasen bei Bedarf</x:v>
      </x:c>
      <x:c r="F10" s="64" t="str">
        <x:v>ja</x:v>
      </x:c>
      <x:c r="G10" s="64" t="str">
        <x:v>Sensi CalMag Xtra redundant</x:v>
      </x:c>
      <x:c r="H10" s="64" t="str">
        <x:v>nicht pauschal zusätzlich zu Ca/Mg-haltiger Basis</x:v>
      </x:c>
      <x:c r="I10" s="64" t="str">
        <x:v>https://hesi.nl/de/CalMag</x:v>
      </x:c>
      <x:c r="J10" s="64" t="str">
        <x:v>A</x:v>
      </x:c>
      <x:c r="K10" s="64" t="str">
        <x:v>NPK 5-0-0; MgO/CaO</x:v>
      </x:c>
      <x:c r="L10" s="37" t="str">
        <x:v>CONDITIONAL</x:v>
      </x:c>
    </x:row>
  </x:sheetData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9825480dd942f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Kontrolle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32" t="str">
        <x:v>R0 Reference</x:v>
      </x:c>
      <x:c r="B2" s="62" t="str">
        <x:v>HESI Reference</x:v>
      </x:c>
      <x:c r="C2" s="62" t="str">
        <x:v>keine</x:v>
      </x:c>
      <x:c r="D2" s="62" t="str">
        <x:v>—</x:v>
      </x:c>
      <x:c r="E2" s="62" t="str">
        <x:v>—</x:v>
      </x:c>
      <x:c r="F2" s="62" t="str">
        <x:v>keine Zusatztests</x:v>
      </x:c>
      <x:c r="G2" s="62" t="str">
        <x:v>Ertrag trocken, g/W, Aroma-Sensorik, Wasser, EC-Delta, Zyklus</x:v>
      </x:c>
      <x:c r="H2" s="62" t="str">
        <x:v>stabiler kompletter Baseline-Run</x:v>
      </x:c>
      <x:c r="I2" s="62" t="str">
        <x:v>Baseline für alle späteren Vergleiche</x:v>
      </x:c>
      <x:c r="J2" s="33" t="str">
        <x:v>1</x:v>
      </x:c>
    </x:row>
    <x:row r="3">
      <x:c r="A3" s="34" t="str">
        <x:v>R1 PK</x:v>
      </x:c>
      <x:c r="B3" s="63" t="str">
        <x:v>HESI Reference ohne HESI PK</x:v>
      </x:c>
      <x:c r="C3" s="63" t="str">
        <x:v>PK-Bulker</x:v>
      </x:c>
      <x:c r="D3" s="63" t="str">
        <x:v>Big Bud</x:v>
      </x:c>
      <x:c r="E3" s="63" t="str">
        <x:v>HESI PK 13/14</x:v>
      </x:c>
      <x:c r="F3" s="63" t="str">
        <x:v>Big Bud Coco/Overdrive/HESI PK</x:v>
      </x:c>
      <x:c r="G3" s="63" t="str">
        <x:v>gleiche Messgrößen + Drain EC</x:v>
      </x:c>
      <x:c r="H3" s="63" t="str">
        <x:v>gleiche Genetik/Umwelt</x:v>
      </x:c>
      <x:c r="I3" s="63" t="str">
        <x:v>zeigt, ob AN-PK Modul Mehrwert bringt</x:v>
      </x:c>
      <x:c r="J3" s="35" t="str">
        <x:v>2</x:v>
      </x:c>
    </x:row>
    <x:row r="4">
      <x:c r="A4" s="34" t="str">
        <x:v>R2 Enzym</x:v>
      </x:c>
      <x:c r="B4" s="63" t="str">
        <x:v>HESI Reference ohne PowerZyme</x:v>
      </x:c>
      <x:c r="C4" s="63" t="str">
        <x:v>Enzym</x:v>
      </x:c>
      <x:c r="D4" s="63" t="str">
        <x:v>Sensizym</x:v>
      </x:c>
      <x:c r="E4" s="63" t="str">
        <x:v>PowerZyme</x:v>
      </x:c>
      <x:c r="F4" s="63" t="str">
        <x:v>PowerZyme</x:v>
      </x:c>
      <x:c r="G4" s="63" t="str">
        <x:v>Wurzel-/Substratzustand, Wasserverbrauch</x:v>
      </x:c>
      <x:c r="H4" s="63" t="str">
        <x:v>sonst identisch</x:v>
      </x:c>
      <x:c r="I4" s="63" t="str">
        <x:v>echter Funktionsvergleich</x:v>
      </x:c>
      <x:c r="J4" s="35" t="str">
        <x:v>3</x:v>
      </x:c>
    </x:row>
    <x:row r="5">
      <x:c r="A5" s="34" t="str">
        <x:v>R3 Silica</x:v>
      </x:c>
      <x:c r="B5" s="63" t="str">
        <x:v>HESI Reference ohne Hesilicio</x:v>
      </x:c>
      <x:c r="C5" s="63" t="str">
        <x:v>Silizium</x:v>
      </x:c>
      <x:c r="D5" s="63" t="str">
        <x:v>Rhino Skin oder RSA</x:v>
      </x:c>
      <x:c r="E5" s="63" t="str">
        <x:v>Hesilicio</x:v>
      </x:c>
      <x:c r="F5" s="63" t="str">
        <x:v>andere Silikate</x:v>
      </x:c>
      <x:c r="G5" s="63" t="str">
        <x:v>Stammsteifigkeit, Gewebeschäden, K-Last</x:v>
      </x:c>
      <x:c r="H5" s="63" t="str">
        <x:v>gleiche Korrekturen</x:v>
      </x:c>
      <x:c r="I5" s="63" t="str">
        <x:v>Siliziumquelle vergleichen</x:v>
      </x:c>
      <x:c r="J5" s="35" t="str">
        <x:v>4</x:v>
      </x:c>
    </x:row>
    <x:row r="6">
      <x:c r="A6" s="34" t="str">
        <x:v>R4 Mikroben</x:v>
      </x:c>
      <x:c r="B6" s="63" t="str">
        <x:v>Rhiza+Wurzel Complex</x:v>
      </x:c>
      <x:c r="C6" s="63" t="str">
        <x:v>Bakterienbreite</x:v>
      </x:c>
      <x:c r="D6" s="63" t="str">
        <x:v>Voodoo + Tarantula</x:v>
      </x:c>
      <x:c r="E6" s="63" t="str">
        <x:v>Voodoo allein</x:v>
      </x:c>
      <x:c r="F6" s="63" t="str">
        <x:v>Piranha/Plus</x:v>
      </x:c>
      <x:c r="G6" s="63" t="str">
        <x:v>Wurzelbild, Wasser, EC, Biofilm</x:v>
      </x:c>
      <x:c r="H6" s="63" t="str">
        <x:v>Tankhygiene dokumentiert</x:v>
      </x:c>
      <x:c r="I6" s="63" t="str">
        <x:v>prüft Zusatznutzen weiterer Bakterien</x:v>
      </x:c>
      <x:c r="J6" s="35" t="str">
        <x:v>5</x:v>
      </x:c>
    </x:row>
    <x:row r="7">
      <x:c r="A7" s="36" t="str">
        <x:v>R5 Full Base</x:v>
      </x:c>
      <x:c r="B7" s="64" t="str">
        <x:v>UGro Coco + gleiche Umwelt</x:v>
      </x:c>
      <x:c r="C7" s="64" t="str">
        <x:v>Vollbasissystem</x:v>
      </x:c>
      <x:c r="D7" s="64" t="str">
        <x:v>AN Sensi Coco pH Perfect</x:v>
      </x:c>
      <x:c r="E7" s="64" t="str">
        <x:v>HESI TNT→Coco</x:v>
      </x:c>
      <x:c r="F7" s="64" t="str">
        <x:v>keine HESI-Basis</x:v>
      </x:c>
      <x:c r="G7" s="64" t="str">
        <x:v>pH-Drift, EC, Yield/Quality</x:v>
      </x:c>
      <x:c r="H7" s="64" t="str">
        <x:v>identische Genetik/Canopy</x:v>
      </x:c>
      <x:c r="I7" s="64" t="str">
        <x:v>großer Systemvergleich, erst spät durchführen</x:v>
      </x:c>
      <x:c r="J7" s="37" t="str">
        <x:v>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Modus</x:v>
      </x:c>
      <x:c r="D1" s="14" t="str">
        <x:v>Planungsband L/Tag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32" t="str">
        <x:v>Vorbereitung</x:v>
      </x:c>
      <x:c r="B2" s="62" t="str">
        <x:v>D-1</x:v>
      </x:c>
      <x:c r="C2" s="62" t="str">
        <x:v>Medium homogen hydratisieren</x:v>
      </x:c>
      <x:c r="D2" s="62" t="str">
        <x:v>bis gleichmäßig feucht</x:v>
      </x:c>
      <x:c r="E2" s="62" t="str">
        <x:v>kein Dauerdrain</x:v>
      </x:c>
      <x:c r="F2" s="62" t="str">
        <x:v>Topfgewicht Baseline</x:v>
      </x:c>
      <x:c r="G2" s="62" t="str">
        <x:v>trockenes Nest / Kanalbildung</x:v>
      </x:c>
      <x:c r="H2" s="33" t="str">
        <x:v>Medium neu gleichmäßig sättigen</x:v>
      </x:c>
    </x:row>
    <x:row r="3">
      <x:c r="A3" s="34" t="str">
        <x:v>Keimung</x:v>
      </x:c>
      <x:c r="B3" s="63" t="str">
        <x:v>0–3</x:v>
      </x:c>
      <x:c r="C3" s="63" t="str">
        <x:v>manueller Mikro-Ring</x:v>
      </x:c>
      <x:c r="D3" s="63" t="str">
        <x:v>0.03–0.08</x:v>
      </x:c>
      <x:c r="E3" s="63" t="str">
        <x:v>0</x:v>
      </x:c>
      <x:c r="F3" s="63" t="str">
        <x:v>Oberfläche + Topfgewicht</x:v>
      </x:c>
      <x:c r="G3" s="63" t="str">
        <x:v>stehende Nässe / Keimling kippt</x:v>
      </x:c>
      <x:c r="H3" s="35" t="str">
        <x:v>Menge/Frequenz senken</x:v>
      </x:c>
    </x:row>
    <x:row r="4">
      <x:c r="A4" s="34" t="str">
        <x:v>Etablierung</x:v>
      </x:c>
      <x:c r="B4" s="63" t="str">
        <x:v>4–7</x:v>
      </x:c>
      <x:c r="C4" s="63" t="str">
        <x:v>manuell, Radius langsam erweitern</x:v>
      </x:c>
      <x:c r="D4" s="63" t="str">
        <x:v>0.08–0.15</x:v>
      </x:c>
      <x:c r="E4" s="63" t="str">
        <x:v>0</x:v>
      </x:c>
      <x:c r="F4" s="63" t="str">
        <x:v>Wurzelzone/Topfgewicht</x:v>
      </x:c>
      <x:c r="G4" s="63" t="str">
        <x:v>Topf bleibt dauerhaft schwer</x:v>
      </x:c>
      <x:c r="H4" s="35" t="str">
        <x:v>Gießmenge reduzieren</x:v>
      </x:c>
    </x:row>
    <x:row r="5">
      <x:c r="A5" s="34" t="str">
        <x:v>Blumat Setup</x:v>
      </x:c>
      <x:c r="B5" s="63" t="str">
        <x:v>7–10</x:v>
      </x:c>
      <x:c r="C5" s="63" t="str">
        <x:v>voll feuchten Topf, Sensor nach Anleitung einsetzen</x:v>
      </x:c>
      <x:c r="D5" s="63" t="str">
        <x:v>0.10–0.25</x:v>
      </x:c>
      <x:c r="E5" s="63" t="str">
        <x:v>0</x:v>
      </x:c>
      <x:c r="F5" s="63" t="str">
        <x:v>48 h Leck-/Feuchtecheck</x:v>
      </x:c>
      <x:c r="G5" s="63" t="str">
        <x:v>durchlaufender Tropfer / trockener Sensor</x:v>
      </x:c>
      <x:c r="H5" s="35" t="str">
        <x:v>abschalten, neu füllen/einstellen</x:v>
      </x:c>
    </x:row>
    <x:row r="6">
      <x:c r="A6" s="34" t="str">
        <x:v>Veg</x:v>
      </x:c>
      <x:c r="B6" s="63" t="str">
        <x:v>11–21</x:v>
      </x:c>
      <x:c r="C6" s="63" t="str">
        <x:v>bedarfsgerecht Blumat</x:v>
      </x:c>
      <x:c r="D6" s="63" t="str">
        <x:v>0.15–0.50</x:v>
      </x:c>
      <x:c r="E6" s="63" t="str">
        <x:v>nur Diagnose</x:v>
      </x:c>
      <x:c r="F6" s="63" t="str">
        <x:v>täglich Tropfbild + Gewicht</x:v>
      </x:c>
      <x:c r="G6" s="63" t="str">
        <x:v>Salzrand/Drain EC &gt; Input+0.3–0.4</x:v>
      </x:c>
      <x:c r="H6" s="35" t="str">
        <x:v>Kontrollfeed/Leaching, Feed senken</x:v>
      </x:c>
    </x:row>
    <x:row r="7">
      <x:c r="A7" s="34" t="str">
        <x:v>Transition</x:v>
      </x:c>
      <x:c r="B7" s="63" t="str">
        <x:v>22–35</x:v>
      </x:c>
      <x:c r="C7" s="63" t="str">
        <x:v>bedarfsgerecht</x:v>
      </x:c>
      <x:c r="D7" s="63" t="str">
        <x:v>0.40–1.00</x:v>
      </x:c>
      <x:c r="E7" s="63" t="str">
        <x:v>Diagnose 10–15% bei Bedarf</x:v>
      </x:c>
      <x:c r="F7" s="63" t="str">
        <x:v>Input/Drain 1×/W</x:v>
      </x:c>
      <x:c r="G7" s="63" t="str">
        <x:v>EC drift &gt;0.3–0.4</x:v>
      </x:c>
      <x:c r="H7" s="35" t="str">
        <x:v>keine EC-Erhöhung; Salzmanagement</x:v>
      </x:c>
    </x:row>
    <x:row r="8">
      <x:c r="A8" s="34" t="str">
        <x:v>Peak</x:v>
      </x:c>
      <x:c r="B8" s="63" t="str">
        <x:v>36–56</x:v>
      </x:c>
      <x:c r="C8" s="63" t="str">
        <x:v>bedarfsgerecht</x:v>
      </x:c>
      <x:c r="D8" s="63" t="str">
        <x:v>0.80–1.50</x:v>
      </x:c>
      <x:c r="E8" s="63" t="str">
        <x:v>Diagnose</x:v>
      </x:c>
      <x:c r="F8" s="63" t="str">
        <x:v>Wasserverbrauch/Reservoir/Leck</x:v>
      </x:c>
      <x:c r="G8" s="63" t="str">
        <x:v>ungeklärter Verbrauchsprung</x:v>
      </x:c>
      <x:c r="H8" s="35" t="str">
        <x:v>Leck vs Transpiration klären</x:v>
      </x:c>
    </x:row>
    <x:row r="9">
      <x:c r="A9" s="34" t="str">
        <x:v>Late</x:v>
      </x:c>
      <x:c r="B9" s="63" t="str">
        <x:v>57–70</x:v>
      </x:c>
      <x:c r="C9" s="63" t="str">
        <x:v>bedarfsgerecht</x:v>
      </x:c>
      <x:c r="D9" s="63" t="str">
        <x:v>0.60–1.30</x:v>
      </x:c>
      <x:c r="E9" s="63" t="str">
        <x:v>Diagnose</x:v>
      </x:c>
      <x:c r="F9" s="63" t="str">
        <x:v>Nacht-RH + Wasserverbrauch</x:v>
      </x:c>
      <x:c r="G9" s="63" t="str">
        <x:v>nasser Topf + sinkender Bedarf</x:v>
      </x:c>
      <x:c r="H9" s="35" t="str">
        <x:v>Blumat trockener justieren / Feed taper</x:v>
      </x:c>
    </x:row>
    <x:row r="10">
      <x:c r="A10" s="36" t="str">
        <x:v>Harvest</x:v>
      </x:c>
      <x:c r="B10" s="64" t="str">
        <x:v>71–80</x:v>
      </x:c>
      <x:c r="C10" s="64" t="str">
        <x:v>reduziert / bedarfsgerecht</x:v>
      </x:c>
      <x:c r="D10" s="64" t="str">
        <x:v>0.30–0.80</x:v>
      </x:c>
      <x:c r="E10" s="64" t="str">
        <x:v>kein Routineflush</x:v>
      </x:c>
      <x:c r="F10" s="64" t="str">
        <x:v>Reife + EC</x:v>
      </x:c>
      <x:c r="G10" s="64" t="str">
        <x:v>Salz hoch bei reifer Pflanze</x:v>
      </x:c>
      <x:c r="H10" s="37" t="str">
        <x:v>kurzer Wasser-/Low-EC-Endlauf möglich</x:v>
      </x:c>
    </x:row>
    <x:row r="13">
      <x:c r="A13" s="14" t="str">
        <x:v>Indoor-Blumat Safety</x:v>
      </x:c>
      <x:c r="B13" s="14" t="str">
        <x:v>Requirement</x:v>
      </x:c>
      <x:c r="C13" s="14" t="str">
        <x:v>Status</x:v>
      </x:c>
      <x:c r="D13" s="14" t="str">
        <x:v>Warum</x:v>
      </x:c>
      <x:c r="E13" s="14" t="str">
        <x:v>Trigger</x:v>
      </x:c>
      <x:c r="F13" s="14" t="str">
        <x:v>Aktion</x:v>
      </x:c>
      <x:c r="G13" s="14" t="str">
        <x:v>Herstellerbezug</x:v>
      </x:c>
      <x:c r="H13" s="14" t="str">
        <x:v>Priorität</x:v>
      </x:c>
    </x:row>
    <x:row r="14">
      <x:c r="A14" s="32" t="str">
        <x:v>Auffangwanne</x:v>
      </x:c>
      <x:c r="B14" s="62" t="str">
        <x:v>muss Worst-Case-Leck abfangen</x:v>
      </x:c>
      <x:c r="C14" s="62" t="str">
        <x:v>offen</x:v>
      </x:c>
      <x:c r="D14" s="62" t="str">
        <x:v>Hersteller sagt Tropf-Blumat nicht Indoor verwenden</x:v>
      </x:c>
      <x:c r="E14" s="62" t="str">
        <x:v>Wasser außerhalb Topf</x:v>
      </x:c>
      <x:c r="F14" s="62" t="str">
        <x:v>Zufuhr absperren</x:v>
      </x:c>
      <x:c r="G14" s="62" t="str">
        <x:v>Blumat Operating FAQ</x:v>
      </x:c>
      <x:c r="H14" s="33" t="str">
        <x:v>KRITISCH</x:v>
      </x:c>
    </x:row>
    <x:row r="15">
      <x:c r="A15" s="34" t="str">
        <x:v>Leckagesensor</x:v>
      </x:c>
      <x:c r="B15" s="63" t="str">
        <x:v>unter Topf/Reservoir</x:v>
      </x:c>
      <x:c r="C15" s="63" t="str">
        <x:v>offen</x:v>
      </x:c>
      <x:c r="D15" s="63" t="str">
        <x:v>unbeobachtetes Ventil-/Schlauchleck</x:v>
      </x:c>
      <x:c r="E15" s="63" t="str">
        <x:v>Alarm</x:v>
      </x:c>
      <x:c r="F15" s="63" t="str">
        <x:v>sofort Wasserzufuhr aus</x:v>
      </x:c>
      <x:c r="G15" s="63" t="str">
        <x:v>UKD Engineering</x:v>
      </x:c>
      <x:c r="H15" s="35" t="str">
        <x:v>KRITISCH</x:v>
      </x:c>
    </x:row>
    <x:row r="16">
      <x:c r="A16" s="34" t="str">
        <x:v>Reservoirbegrenzung</x:v>
      </x:c>
      <x:c r="B16" s="63" t="str">
        <x:v>nicht größer als beherrschbare Schadensmenge</x:v>
      </x:c>
      <x:c r="C16" s="63" t="str">
        <x:v>offen</x:v>
      </x:c>
      <x:c r="D16" s="63" t="str">
        <x:v>Worst-case discharge begrenzen</x:v>
      </x:c>
      <x:c r="E16" s="63" t="str">
        <x:v>Tankfüllung</x:v>
      </x:c>
      <x:c r="F16" s="63" t="str">
        <x:v>kleinere Batchgrößen</x:v>
      </x:c>
      <x:c r="G16" s="63" t="str">
        <x:v>UKD Engineering</x:v>
      </x:c>
      <x:c r="H16" s="35" t="str">
        <x:v>HOCH</x:v>
      </x:c>
    </x:row>
    <x:row r="17">
      <x:c r="A17" s="34" t="str">
        <x:v>Absperrventil</x:v>
      </x:c>
      <x:c r="B17" s="63" t="str">
        <x:v>schnell erreichbar</x:v>
      </x:c>
      <x:c r="C17" s="63" t="str">
        <x:v>offen</x:v>
      </x:c>
      <x:c r="D17" s="63" t="str">
        <x:v>sofortiger Shutdown</x:v>
      </x:c>
      <x:c r="E17" s="63" t="str">
        <x:v>Leck/Überlauf</x:v>
      </x:c>
      <x:c r="F17" s="63" t="str">
        <x:v>absperren</x:v>
      </x:c>
      <x:c r="G17" s="63" t="str">
        <x:v>Best practice</x:v>
      </x:c>
      <x:c r="H17" s="35" t="str">
        <x:v>HOCH</x:v>
      </x:c>
    </x:row>
    <x:row r="18">
      <x:c r="A18" s="34" t="str">
        <x:v>Schläuche</x:v>
      </x:c>
      <x:c r="B18" s="63" t="str">
        <x:v>knickfrei, Sichtkontrolle</x:v>
      </x:c>
      <x:c r="C18" s="63" t="str">
        <x:v>offen</x:v>
      </x:c>
      <x:c r="D18" s="63" t="str">
        <x:v>Durchflussfehler</x:v>
      </x:c>
      <x:c r="E18" s="63" t="str">
        <x:v>trockene Pflanze</x:v>
      </x:c>
      <x:c r="F18" s="63" t="str">
        <x:v>Leitung korrigieren</x:v>
      </x:c>
      <x:c r="G18" s="63" t="str">
        <x:v>Blumat FAQ</x:v>
      </x:c>
      <x:c r="H18" s="35" t="str">
        <x:v>HOCH</x:v>
      </x:c>
    </x:row>
    <x:row r="19">
      <x:c r="A19" s="34" t="str">
        <x:v>Düngerleitungen</x:v>
      </x:c>
      <x:c r="B19" s="63" t="str">
        <x:v>jährlich/Run reinigen</x:v>
      </x:c>
      <x:c r="C19" s="63" t="str">
        <x:v>offen</x:v>
      </x:c>
      <x:c r="D19" s="63" t="str">
        <x:v>Flüssigdünger kann kristallisieren</x:v>
      </x:c>
      <x:c r="E19" s="63" t="str">
        <x:v>Tropfer ungleich</x:v>
      </x:c>
      <x:c r="F19" s="63" t="str">
        <x:v>reinigen/ersetzen</x:v>
      </x:c>
      <x:c r="G19" s="63" t="str">
        <x:v>Blumat FAQ</x:v>
      </x:c>
      <x:c r="H19" s="35" t="str">
        <x:v>HOCH</x:v>
      </x:c>
    </x:row>
    <x:row r="20">
      <x:c r="A20" s="36" t="str">
        <x:v>Mikroben/Carbos</x:v>
      </x:c>
      <x:c r="B20" s="64" t="str">
        <x:v>nicht stagnierend im Dauertank</x:v>
      </x:c>
      <x:c r="C20" s="64" t="str">
        <x:v>offen</x:v>
      </x:c>
      <x:c r="D20" s="64" t="str">
        <x:v>biologische Last / Wartung</x:v>
      </x:c>
      <x:c r="E20" s="64" t="str">
        <x:v>Geruch/Schleim</x:v>
      </x:c>
      <x:c r="F20" s="64" t="str">
        <x:v>Tank leeren/reinigen</x:v>
      </x:c>
      <x:c r="G20" s="64" t="str">
        <x:v>UKD Vorsicht</x:v>
      </x:c>
      <x:c r="H20" s="37" t="str">
        <x:v>HOCH</x:v>
      </x:c>
    </x:row>
  </x:sheetData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VPD</x:v>
      </x:c>
      <x:c r="J1" s="14" t="str">
        <x:v>Grenze</x:v>
      </x:c>
      <x:c r="K1" s="14" t="str">
        <x:v>Regelkreis</x:v>
      </x:c>
      <x:c r="L1" s="14" t="str">
        <x:v>Kommentar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v>0.65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v>0.75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v>0.9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v>1.15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v>1.25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v>1.35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v>1.4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v>1.4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v>1.35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v>1.3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</x:sheetData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D0–10</x:v>
      </x:c>
      <x:c r="B2" s="62" t="str">
        <x:v>Sämling/unter 4 Nodes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D11–18</x:v>
      </x:c>
      <x:c r="B3" s="63" t="str">
        <x:v>4–5 kräftige Nodes</x:v>
      </x:c>
      <x:c r="C3" s="63" t="str">
        <x:v>Stamm ankern, graduell zum Rand biegen</x:v>
      </x:c>
      <x:c r="D3" s="63" t="str">
        <x:v>Apikaldominanz brechen ohne HST</x:v>
      </x:c>
      <x:c r="E3" s="63" t="str">
        <x:v>kein harter 90°-Knick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D19–28</x:v>
      </x:c>
      <x:c r="B4" s="63" t="str">
        <x:v>kräftige Seitenäste</x:v>
      </x:c>
      <x:c r="C4" s="63" t="str">
        <x:v>radial verteilen, alle 3–4 Tage feinjustieren</x:v>
      </x:c>
      <x:c r="D4" s="63" t="str">
        <x:v>6–10 gleich exponierte Tops</x:v>
      </x:c>
      <x:c r="E4" s="63" t="str">
        <x:v>keine wiederholten starken Eingriffe</x:v>
      </x:c>
      <x:c r="F4" s="63" t="str">
        <x:v>Höhenstreuung &lt;8 cm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D29–42</x:v>
      </x:c>
      <x:c r="B5" s="63" t="str">
        <x:v>Stretch/Blütenansatz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D43+</x:v>
      </x:c>
      <x:c r="B6" s="64" t="str">
        <x:v>Blütenaufbau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LF innen/außen</x:v>
      </x:c>
      <x:c r="G6" s="64" t="str">
        <x:v>RH/Schimmelrisiko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Blumat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Status</x:v>
      </x:c>
      <x:c r="Z1" s="1213" t="str">
        <x:v>Notizen</x:v>
      </x:c>
    </x:row>
    <x:row r="2">
      <x:c r="A2" s="26" t="n">
        <x:v>0</x:v>
      </x:c>
      <x:c r="B2" s="125" t="n">
        <x:f>'01_Run_Config'!$B$4+A2</x:f>
        <x:v>46242</x:v>
      </x:c>
      <x:c r="C2" s="59" t="str">
        <x:f>VLOOKUP(A2,'02_Daily_Master'!$A$2:$AH$82,5,FALSE)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OK</x:v>
      </x:c>
      <x:c r="V2" s="59" t="str">
        <x:v>OK</x:v>
      </x:c>
      <x:c r="W2" s="59" t="str">
        <x:v>OK</x:v>
      </x:c>
      <x:c r="X2" s="59" t="n">
        <x:v>0</x:v>
      </x:c>
      <x:c r="Y2" s="59" t="str">
        <x:v>OK</x:v>
      </x:c>
      <x:c r="Z2" s="27" t="str"/>
    </x:row>
    <x:row r="3">
      <x:c r="A3" s="28" t="n">
        <x:v>1</x:v>
      </x:c>
      <x:c r="B3" s="126" t="n">
        <x:f>'01_Run_Config'!$B$4+A3</x:f>
        <x:v>46243</x:v>
      </x:c>
      <x:c r="C3" s="60" t="str">
        <x:f>VLOOKUP(A3,'02_Daily_Master'!$A$2:$AH$82,5,FALSE)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OK</x:v>
      </x:c>
      <x:c r="V3" s="60" t="str">
        <x:v>OK</x:v>
      </x:c>
      <x:c r="W3" s="60" t="str">
        <x:v>OK</x:v>
      </x:c>
      <x:c r="X3" s="60" t="n">
        <x:v>0</x:v>
      </x:c>
      <x:c r="Y3" s="60" t="str">
        <x:v>OK</x:v>
      </x:c>
      <x:c r="Z3" s="29" t="str"/>
    </x:row>
    <x:row r="4">
      <x:c r="A4" s="28" t="n">
        <x:v>2</x:v>
      </x:c>
      <x:c r="B4" s="126" t="n">
        <x:f>'01_Run_Config'!$B$4+A4</x:f>
        <x:v>46244</x:v>
      </x:c>
      <x:c r="C4" s="60" t="str">
        <x:f>VLOOKUP(A4,'02_Daily_Master'!$A$2:$AH$82,5,FALSE)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OK</x:v>
      </x:c>
      <x:c r="V4" s="60" t="str">
        <x:v>OK</x:v>
      </x:c>
      <x:c r="W4" s="60" t="str">
        <x:v>OK</x:v>
      </x:c>
      <x:c r="X4" s="60" t="n">
        <x:v>0</x:v>
      </x:c>
      <x:c r="Y4" s="60" t="str">
        <x:v>OK</x:v>
      </x:c>
      <x:c r="Z4" s="29" t="str"/>
    </x:row>
    <x:row r="5">
      <x:c r="A5" s="28" t="n">
        <x:v>3</x:v>
      </x:c>
      <x:c r="B5" s="126" t="n">
        <x:f>'01_Run_Config'!$B$4+A5</x:f>
        <x:v>46245</x:v>
      </x:c>
      <x:c r="C5" s="60" t="str">
        <x:f>VLOOKUP(A5,'02_Daily_Master'!$A$2:$AH$82,5,FALSE)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OK</x:v>
      </x:c>
      <x:c r="V5" s="60" t="str">
        <x:v>OK</x:v>
      </x:c>
      <x:c r="W5" s="60" t="str">
        <x:v>OK</x:v>
      </x:c>
      <x:c r="X5" s="60" t="n">
        <x:v>0</x:v>
      </x:c>
      <x:c r="Y5" s="60" t="str">
        <x:v>OK</x:v>
      </x:c>
      <x:c r="Z5" s="29" t="str"/>
    </x:row>
    <x:row r="6">
      <x:c r="A6" s="28" t="n">
        <x:v>4</x:v>
      </x:c>
      <x:c r="B6" s="126" t="n">
        <x:f>'01_Run_Config'!$B$4+A6</x:f>
        <x:v>46246</x:v>
      </x:c>
      <x:c r="C6" s="60" t="str">
        <x:f>VLOOKUP(A6,'02_Daily_Master'!$A$2:$AH$82,5,FALSE)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OK</x:v>
      </x:c>
      <x:c r="V6" s="60" t="str">
        <x:v>OK</x:v>
      </x:c>
      <x:c r="W6" s="60" t="str">
        <x:v>OK</x:v>
      </x:c>
      <x:c r="X6" s="60" t="n">
        <x:v>0</x:v>
      </x:c>
      <x:c r="Y6" s="60" t="str">
        <x:v>OK</x:v>
      </x:c>
      <x:c r="Z6" s="29" t="str"/>
    </x:row>
    <x:row r="7">
      <x:c r="A7" s="28" t="n">
        <x:v>5</x:v>
      </x:c>
      <x:c r="B7" s="126" t="n">
        <x:f>'01_Run_Config'!$B$4+A7</x:f>
        <x:v>46247</x:v>
      </x:c>
      <x:c r="C7" s="60" t="str">
        <x:f>VLOOKUP(A7,'02_Daily_Master'!$A$2:$AH$82,5,FALSE)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OK</x:v>
      </x:c>
      <x:c r="V7" s="60" t="str">
        <x:v>OK</x:v>
      </x:c>
      <x:c r="W7" s="60" t="str">
        <x:v>OK</x:v>
      </x:c>
      <x:c r="X7" s="60" t="n">
        <x:v>0</x:v>
      </x:c>
      <x:c r="Y7" s="60" t="str">
        <x:v>OK</x:v>
      </x:c>
      <x:c r="Z7" s="29" t="str"/>
    </x:row>
    <x:row r="8">
      <x:c r="A8" s="28" t="n">
        <x:v>6</x:v>
      </x:c>
      <x:c r="B8" s="126" t="n">
        <x:f>'01_Run_Config'!$B$4+A8</x:f>
        <x:v>46248</x:v>
      </x:c>
      <x:c r="C8" s="60" t="str">
        <x:f>VLOOKUP(A8,'02_Daily_Master'!$A$2:$AH$82,5,FALSE)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OK</x:v>
      </x:c>
      <x:c r="V8" s="60" t="str">
        <x:v>OK</x:v>
      </x:c>
      <x:c r="W8" s="60" t="str">
        <x:v>OK</x:v>
      </x:c>
      <x:c r="X8" s="60" t="n">
        <x:v>0</x:v>
      </x:c>
      <x:c r="Y8" s="60" t="str">
        <x:v>OK</x:v>
      </x:c>
      <x:c r="Z8" s="29" t="str"/>
    </x:row>
    <x:row r="9">
      <x:c r="A9" s="28" t="n">
        <x:v>7</x:v>
      </x:c>
      <x:c r="B9" s="126" t="n">
        <x:f>'01_Run_Config'!$B$4+A9</x:f>
        <x:v>46249</x:v>
      </x:c>
      <x:c r="C9" s="60" t="str">
        <x:f>VLOOKUP(A9,'02_Daily_Master'!$A$2:$AH$82,5,FALSE)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OK</x:v>
      </x:c>
      <x:c r="V9" s="60" t="str">
        <x:v>OK</x:v>
      </x:c>
      <x:c r="W9" s="60" t="str">
        <x:v>OK</x:v>
      </x:c>
      <x:c r="X9" s="60" t="n">
        <x:v>0</x:v>
      </x:c>
      <x:c r="Y9" s="60" t="str">
        <x:v>OK</x:v>
      </x:c>
      <x:c r="Z9" s="29" t="str"/>
    </x:row>
    <x:row r="10">
      <x:c r="A10" s="28" t="n">
        <x:v>8</x:v>
      </x:c>
      <x:c r="B10" s="126" t="n">
        <x:f>'01_Run_Config'!$B$4+A10</x:f>
        <x:v>46250</x:v>
      </x:c>
      <x:c r="C10" s="60" t="str">
        <x:f>VLOOKUP(A10,'02_Daily_Master'!$A$2:$AH$82,5,FALSE)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OK</x:v>
      </x:c>
      <x:c r="V10" s="60" t="str">
        <x:v>OK</x:v>
      </x:c>
      <x:c r="W10" s="60" t="str">
        <x:v>OK</x:v>
      </x:c>
      <x:c r="X10" s="60" t="n">
        <x:v>0</x:v>
      </x:c>
      <x:c r="Y10" s="60" t="str">
        <x:v>OK</x:v>
      </x:c>
      <x:c r="Z10" s="29" t="str"/>
    </x:row>
    <x:row r="11">
      <x:c r="A11" s="28" t="n">
        <x:v>9</x:v>
      </x:c>
      <x:c r="B11" s="126" t="n">
        <x:f>'01_Run_Config'!$B$4+A11</x:f>
        <x:v>46251</x:v>
      </x:c>
      <x:c r="C11" s="60" t="str">
        <x:f>VLOOKUP(A11,'02_Daily_Master'!$A$2:$AH$82,5,FALSE)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OK</x:v>
      </x:c>
      <x:c r="V11" s="60" t="str">
        <x:v>OK</x:v>
      </x:c>
      <x:c r="W11" s="60" t="str">
        <x:v>OK</x:v>
      </x:c>
      <x:c r="X11" s="60" t="n">
        <x:v>0</x:v>
      </x:c>
      <x:c r="Y11" s="60" t="str">
        <x:v>OK</x:v>
      </x:c>
      <x:c r="Z11" s="29" t="str"/>
    </x:row>
    <x:row r="12">
      <x:c r="A12" s="28" t="n">
        <x:v>10</x:v>
      </x:c>
      <x:c r="B12" s="126" t="n">
        <x:f>'01_Run_Config'!$B$4+A12</x:f>
        <x:v>46252</x:v>
      </x:c>
      <x:c r="C12" s="60" t="str">
        <x:f>VLOOKUP(A12,'02_Daily_Master'!$A$2:$AH$82,5,FALSE)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OK</x:v>
      </x:c>
      <x:c r="V12" s="60" t="str">
        <x:v>OK</x:v>
      </x:c>
      <x:c r="W12" s="60" t="str">
        <x:v>OK</x:v>
      </x:c>
      <x:c r="X12" s="60" t="n">
        <x:v>0</x:v>
      </x:c>
      <x:c r="Y12" s="60" t="str">
        <x:v>OK</x:v>
      </x:c>
      <x:c r="Z12" s="29" t="str"/>
    </x:row>
    <x:row r="13">
      <x:c r="A13" s="28" t="n">
        <x:v>11</x:v>
      </x:c>
      <x:c r="B13" s="126" t="n">
        <x:f>'01_Run_Config'!$B$4+A13</x:f>
        <x:v>46253</x:v>
      </x:c>
      <x:c r="C13" s="60" t="str">
        <x:f>VLOOKUP(A13,'02_Daily_Master'!$A$2:$AH$82,5,FALSE)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OK</x:v>
      </x:c>
      <x:c r="V13" s="60" t="str">
        <x:v>OK</x:v>
      </x:c>
      <x:c r="W13" s="60" t="str">
        <x:v>OK</x:v>
      </x:c>
      <x:c r="X13" s="60" t="n">
        <x:v>0</x:v>
      </x:c>
      <x:c r="Y13" s="60" t="str">
        <x:v>OK</x:v>
      </x:c>
      <x:c r="Z13" s="29" t="str"/>
    </x:row>
    <x:row r="14">
      <x:c r="A14" s="28" t="n">
        <x:v>12</x:v>
      </x:c>
      <x:c r="B14" s="126" t="n">
        <x:f>'01_Run_Config'!$B$4+A14</x:f>
        <x:v>46254</x:v>
      </x:c>
      <x:c r="C14" s="60" t="str">
        <x:f>VLOOKUP(A14,'02_Daily_Master'!$A$2:$AH$82,5,FALSE)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OK</x:v>
      </x:c>
      <x:c r="V14" s="60" t="str">
        <x:v>OK</x:v>
      </x:c>
      <x:c r="W14" s="60" t="str">
        <x:v>OK</x:v>
      </x:c>
      <x:c r="X14" s="60" t="n">
        <x:v>0</x:v>
      </x:c>
      <x:c r="Y14" s="60" t="str">
        <x:v>OK</x:v>
      </x:c>
      <x:c r="Z14" s="29" t="str"/>
    </x:row>
    <x:row r="15">
      <x:c r="A15" s="28" t="n">
        <x:v>13</x:v>
      </x:c>
      <x:c r="B15" s="126" t="n">
        <x:f>'01_Run_Config'!$B$4+A15</x:f>
        <x:v>46255</x:v>
      </x:c>
      <x:c r="C15" s="60" t="str">
        <x:f>VLOOKUP(A15,'02_Daily_Master'!$A$2:$AH$82,5,FALSE)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OK</x:v>
      </x:c>
      <x:c r="V15" s="60" t="str">
        <x:v>OK</x:v>
      </x:c>
      <x:c r="W15" s="60" t="str">
        <x:v>OK</x:v>
      </x:c>
      <x:c r="X15" s="60" t="n">
        <x:v>0</x:v>
      </x:c>
      <x:c r="Y15" s="60" t="str">
        <x:v>OK</x:v>
      </x:c>
      <x:c r="Z15" s="29" t="str"/>
    </x:row>
    <x:row r="16">
      <x:c r="A16" s="28" t="n">
        <x:v>14</x:v>
      </x:c>
      <x:c r="B16" s="126" t="n">
        <x:f>'01_Run_Config'!$B$4+A16</x:f>
        <x:v>46256</x:v>
      </x:c>
      <x:c r="C16" s="60" t="str">
        <x:f>VLOOKUP(A16,'02_Daily_Master'!$A$2:$AH$82,5,FALSE)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OK</x:v>
      </x:c>
      <x:c r="V16" s="60" t="str">
        <x:v>OK</x:v>
      </x:c>
      <x:c r="W16" s="60" t="str">
        <x:v>OK</x:v>
      </x:c>
      <x:c r="X16" s="60" t="n">
        <x:v>0</x:v>
      </x:c>
      <x:c r="Y16" s="60" t="str">
        <x:v>OK</x:v>
      </x:c>
      <x:c r="Z16" s="29" t="str"/>
    </x:row>
    <x:row r="17">
      <x:c r="A17" s="28" t="n">
        <x:v>15</x:v>
      </x:c>
      <x:c r="B17" s="126" t="n">
        <x:f>'01_Run_Config'!$B$4+A17</x:f>
        <x:v>46257</x:v>
      </x:c>
      <x:c r="C17" s="60" t="str">
        <x:f>VLOOKUP(A17,'02_Daily_Master'!$A$2:$AH$82,5,FALSE)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OK</x:v>
      </x:c>
      <x:c r="V17" s="60" t="str">
        <x:v>OK</x:v>
      </x:c>
      <x:c r="W17" s="60" t="str">
        <x:v>OK</x:v>
      </x:c>
      <x:c r="X17" s="60" t="n">
        <x:v>0</x:v>
      </x:c>
      <x:c r="Y17" s="60" t="str">
        <x:v>OK</x:v>
      </x:c>
      <x:c r="Z17" s="29" t="str"/>
    </x:row>
    <x:row r="18">
      <x:c r="A18" s="28" t="n">
        <x:v>16</x:v>
      </x:c>
      <x:c r="B18" s="126" t="n">
        <x:f>'01_Run_Config'!$B$4+A18</x:f>
        <x:v>46258</x:v>
      </x:c>
      <x:c r="C18" s="60" t="str">
        <x:f>VLOOKUP(A18,'02_Daily_Master'!$A$2:$AH$82,5,FALSE)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OK</x:v>
      </x:c>
      <x:c r="V18" s="60" t="str">
        <x:v>OK</x:v>
      </x:c>
      <x:c r="W18" s="60" t="str">
        <x:v>OK</x:v>
      </x:c>
      <x:c r="X18" s="60" t="n">
        <x:v>0</x:v>
      </x:c>
      <x:c r="Y18" s="60" t="str">
        <x:v>OK</x:v>
      </x:c>
      <x:c r="Z18" s="29" t="str"/>
    </x:row>
    <x:row r="19">
      <x:c r="A19" s="28" t="n">
        <x:v>17</x:v>
      </x:c>
      <x:c r="B19" s="126" t="n">
        <x:f>'01_Run_Config'!$B$4+A19</x:f>
        <x:v>46259</x:v>
      </x:c>
      <x:c r="C19" s="60" t="str">
        <x:f>VLOOKUP(A19,'02_Daily_Master'!$A$2:$AH$82,5,FALSE)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OK</x:v>
      </x:c>
      <x:c r="V19" s="60" t="str">
        <x:v>OK</x:v>
      </x:c>
      <x:c r="W19" s="60" t="str">
        <x:v>OK</x:v>
      </x:c>
      <x:c r="X19" s="60" t="n">
        <x:v>0</x:v>
      </x:c>
      <x:c r="Y19" s="60" t="str">
        <x:v>OK</x:v>
      </x:c>
      <x:c r="Z19" s="29" t="str"/>
    </x:row>
    <x:row r="20">
      <x:c r="A20" s="28" t="n">
        <x:v>18</x:v>
      </x:c>
      <x:c r="B20" s="126" t="n">
        <x:f>'01_Run_Config'!$B$4+A20</x:f>
        <x:v>46260</x:v>
      </x:c>
      <x:c r="C20" s="60" t="str">
        <x:f>VLOOKUP(A20,'02_Daily_Master'!$A$2:$AH$82,5,FALSE)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OK</x:v>
      </x:c>
      <x:c r="V20" s="60" t="str">
        <x:v>OK</x:v>
      </x:c>
      <x:c r="W20" s="60" t="str">
        <x:v>OK</x:v>
      </x:c>
      <x:c r="X20" s="60" t="n">
        <x:v>0</x:v>
      </x:c>
      <x:c r="Y20" s="60" t="str">
        <x:v>OK</x:v>
      </x:c>
      <x:c r="Z20" s="29" t="str"/>
    </x:row>
    <x:row r="21">
      <x:c r="A21" s="28" t="n">
        <x:v>19</x:v>
      </x:c>
      <x:c r="B21" s="126" t="n">
        <x:f>'01_Run_Config'!$B$4+A21</x:f>
        <x:v>46261</x:v>
      </x:c>
      <x:c r="C21" s="60" t="str">
        <x:f>VLOOKUP(A21,'02_Daily_Master'!$A$2:$AH$82,5,FALSE)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OK</x:v>
      </x:c>
      <x:c r="V21" s="60" t="str">
        <x:v>OK</x:v>
      </x:c>
      <x:c r="W21" s="60" t="str">
        <x:v>OK</x:v>
      </x:c>
      <x:c r="X21" s="60" t="n">
        <x:v>0</x:v>
      </x:c>
      <x:c r="Y21" s="60" t="str">
        <x:v>OK</x:v>
      </x:c>
      <x:c r="Z21" s="29" t="str"/>
    </x:row>
    <x:row r="22">
      <x:c r="A22" s="28" t="n">
        <x:v>20</x:v>
      </x:c>
      <x:c r="B22" s="126" t="n">
        <x:f>'01_Run_Config'!$B$4+A22</x:f>
        <x:v>46262</x:v>
      </x:c>
      <x:c r="C22" s="60" t="str">
        <x:f>VLOOKUP(A22,'02_Daily_Master'!$A$2:$AH$82,5,FALSE)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OK</x:v>
      </x:c>
      <x:c r="V22" s="60" t="str">
        <x:v>OK</x:v>
      </x:c>
      <x:c r="W22" s="60" t="str">
        <x:v>OK</x:v>
      </x:c>
      <x:c r="X22" s="60" t="n">
        <x:v>0</x:v>
      </x:c>
      <x:c r="Y22" s="60" t="str">
        <x:v>OK</x:v>
      </x:c>
      <x:c r="Z22" s="29" t="str"/>
    </x:row>
    <x:row r="23">
      <x:c r="A23" s="28" t="n">
        <x:v>21</x:v>
      </x:c>
      <x:c r="B23" s="126" t="n">
        <x:f>'01_Run_Config'!$B$4+A23</x:f>
        <x:v>46263</x:v>
      </x:c>
      <x:c r="C23" s="60" t="str">
        <x:f>VLOOKUP(A23,'02_Daily_Master'!$A$2:$AH$82,5,FALSE)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OK</x:v>
      </x:c>
      <x:c r="V23" s="60" t="str">
        <x:v>OK</x:v>
      </x:c>
      <x:c r="W23" s="60" t="str">
        <x:v>OK</x:v>
      </x:c>
      <x:c r="X23" s="60" t="n">
        <x:v>0</x:v>
      </x:c>
      <x:c r="Y23" s="60" t="str">
        <x:v>OK</x:v>
      </x:c>
      <x:c r="Z23" s="29" t="str"/>
    </x:row>
    <x:row r="24">
      <x:c r="A24" s="28" t="n">
        <x:v>22</x:v>
      </x:c>
      <x:c r="B24" s="126" t="n">
        <x:f>'01_Run_Config'!$B$4+A24</x:f>
        <x:v>46264</x:v>
      </x:c>
      <x:c r="C24" s="60" t="str">
        <x:f>VLOOKUP(A24,'02_Daily_Master'!$A$2:$AH$82,5,FALSE)</x:f>
        <x:v>Preflower / Transition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OK</x:v>
      </x:c>
      <x:c r="V24" s="60" t="str">
        <x:v>OK</x:v>
      </x:c>
      <x:c r="W24" s="60" t="str">
        <x:v>OK</x:v>
      </x:c>
      <x:c r="X24" s="60" t="n">
        <x:v>0</x:v>
      </x:c>
      <x:c r="Y24" s="60" t="str">
        <x:v>OK</x:v>
      </x:c>
      <x:c r="Z24" s="29" t="str"/>
    </x:row>
    <x:row r="25">
      <x:c r="A25" s="28" t="n">
        <x:v>23</x:v>
      </x:c>
      <x:c r="B25" s="126" t="n">
        <x:f>'01_Run_Config'!$B$4+A25</x:f>
        <x:v>46265</x:v>
      </x:c>
      <x:c r="C25" s="60" t="str">
        <x:f>VLOOKUP(A25,'02_Daily_Master'!$A$2:$AH$82,5,FALSE)</x:f>
        <x:v>Preflower / Transition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OK</x:v>
      </x:c>
      <x:c r="V25" s="60" t="str">
        <x:v>OK</x:v>
      </x:c>
      <x:c r="W25" s="60" t="str">
        <x:v>OK</x:v>
      </x:c>
      <x:c r="X25" s="60" t="n">
        <x:v>0</x:v>
      </x:c>
      <x:c r="Y25" s="60" t="str">
        <x:v>OK</x:v>
      </x:c>
      <x:c r="Z25" s="29" t="str"/>
    </x:row>
    <x:row r="26">
      <x:c r="A26" s="28" t="n">
        <x:v>24</x:v>
      </x:c>
      <x:c r="B26" s="126" t="n">
        <x:f>'01_Run_Config'!$B$4+A26</x:f>
        <x:v>46266</x:v>
      </x:c>
      <x:c r="C26" s="60" t="str">
        <x:f>VLOOKUP(A26,'02_Daily_Master'!$A$2:$AH$82,5,FALSE)</x:f>
        <x:v>Preflower / Transition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OK</x:v>
      </x:c>
      <x:c r="V26" s="60" t="str">
        <x:v>OK</x:v>
      </x:c>
      <x:c r="W26" s="60" t="str">
        <x:v>OK</x:v>
      </x:c>
      <x:c r="X26" s="60" t="n">
        <x:v>0</x:v>
      </x:c>
      <x:c r="Y26" s="60" t="str">
        <x:v>OK</x:v>
      </x:c>
      <x:c r="Z26" s="29" t="str"/>
    </x:row>
    <x:row r="27">
      <x:c r="A27" s="28" t="n">
        <x:v>25</x:v>
      </x:c>
      <x:c r="B27" s="126" t="n">
        <x:f>'01_Run_Config'!$B$4+A27</x:f>
        <x:v>46267</x:v>
      </x:c>
      <x:c r="C27" s="60" t="str">
        <x:f>VLOOKUP(A27,'02_Daily_Master'!$A$2:$AH$82,5,FALSE)</x:f>
        <x:v>Preflower / Transition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OK</x:v>
      </x:c>
      <x:c r="V27" s="60" t="str">
        <x:v>OK</x:v>
      </x:c>
      <x:c r="W27" s="60" t="str">
        <x:v>OK</x:v>
      </x:c>
      <x:c r="X27" s="60" t="n">
        <x:v>0</x:v>
      </x:c>
      <x:c r="Y27" s="60" t="str">
        <x:v>OK</x:v>
      </x:c>
      <x:c r="Z27" s="29" t="str"/>
    </x:row>
    <x:row r="28">
      <x:c r="A28" s="28" t="n">
        <x:v>26</x:v>
      </x:c>
      <x:c r="B28" s="126" t="n">
        <x:f>'01_Run_Config'!$B$4+A28</x:f>
        <x:v>46268</x:v>
      </x:c>
      <x:c r="C28" s="60" t="str">
        <x:f>VLOOKUP(A28,'02_Daily_Master'!$A$2:$AH$82,5,FALSE)</x:f>
        <x:v>Preflower / Transition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OK</x:v>
      </x:c>
      <x:c r="V28" s="60" t="str">
        <x:v>OK</x:v>
      </x:c>
      <x:c r="W28" s="60" t="str">
        <x:v>OK</x:v>
      </x:c>
      <x:c r="X28" s="60" t="n">
        <x:v>0</x:v>
      </x:c>
      <x:c r="Y28" s="60" t="str">
        <x:v>OK</x:v>
      </x:c>
      <x:c r="Z28" s="29" t="str"/>
    </x:row>
    <x:row r="29">
      <x:c r="A29" s="28" t="n">
        <x:v>27</x:v>
      </x:c>
      <x:c r="B29" s="126" t="n">
        <x:f>'01_Run_Config'!$B$4+A29</x:f>
        <x:v>46269</x:v>
      </x:c>
      <x:c r="C29" s="60" t="str">
        <x:f>VLOOKUP(A29,'02_Daily_Master'!$A$2:$AH$82,5,FALSE)</x:f>
        <x:v>Preflower / Transition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OK</x:v>
      </x:c>
      <x:c r="V29" s="60" t="str">
        <x:v>OK</x:v>
      </x:c>
      <x:c r="W29" s="60" t="str">
        <x:v>OK</x:v>
      </x:c>
      <x:c r="X29" s="60" t="n">
        <x:v>0</x:v>
      </x:c>
      <x:c r="Y29" s="60" t="str">
        <x:v>OK</x:v>
      </x:c>
      <x:c r="Z29" s="29" t="str"/>
    </x:row>
    <x:row r="30">
      <x:c r="A30" s="28" t="n">
        <x:v>28</x:v>
      </x:c>
      <x:c r="B30" s="126" t="n">
        <x:f>'01_Run_Config'!$B$4+A30</x:f>
        <x:v>46270</x:v>
      </x:c>
      <x:c r="C30" s="60" t="str">
        <x:f>VLOOKUP(A30,'02_Daily_Master'!$A$2:$AH$82,5,FALSE)</x:f>
        <x:v>Preflower / Transition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OK</x:v>
      </x:c>
      <x:c r="V30" s="60" t="str">
        <x:v>OK</x:v>
      </x:c>
      <x:c r="W30" s="60" t="str">
        <x:v>OK</x:v>
      </x:c>
      <x:c r="X30" s="60" t="n">
        <x:v>0</x:v>
      </x:c>
      <x:c r="Y30" s="60" t="str">
        <x:v>OK</x:v>
      </x:c>
      <x:c r="Z30" s="29" t="str"/>
    </x:row>
    <x:row r="31">
      <x:c r="A31" s="28" t="n">
        <x:v>29</x:v>
      </x:c>
      <x:c r="B31" s="126" t="n">
        <x:f>'01_Run_Config'!$B$4+A31</x:f>
        <x:v>46271</x:v>
      </x:c>
      <x:c r="C31" s="60" t="str">
        <x:f>VLOOKUP(A31,'02_Daily_Master'!$A$2:$AH$82,5,FALSE)</x:f>
        <x:v>Stretch / Early Flower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OK</x:v>
      </x:c>
      <x:c r="V31" s="60" t="str">
        <x:v>OK</x:v>
      </x:c>
      <x:c r="W31" s="60" t="str">
        <x:v>OK</x:v>
      </x:c>
      <x:c r="X31" s="60" t="n">
        <x:v>0</x:v>
      </x:c>
      <x:c r="Y31" s="60" t="str">
        <x:v>OK</x:v>
      </x:c>
      <x:c r="Z31" s="29" t="str"/>
    </x:row>
    <x:row r="32">
      <x:c r="A32" s="28" t="n">
        <x:v>30</x:v>
      </x:c>
      <x:c r="B32" s="126" t="n">
        <x:f>'01_Run_Config'!$B$4+A32</x:f>
        <x:v>46272</x:v>
      </x:c>
      <x:c r="C32" s="60" t="str">
        <x:f>VLOOKUP(A32,'02_Daily_Master'!$A$2:$AH$82,5,FALSE)</x:f>
        <x:v>Stretch / Early Flower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OK</x:v>
      </x:c>
      <x:c r="V32" s="60" t="str">
        <x:v>OK</x:v>
      </x:c>
      <x:c r="W32" s="60" t="str">
        <x:v>OK</x:v>
      </x:c>
      <x:c r="X32" s="60" t="n">
        <x:v>0</x:v>
      </x:c>
      <x:c r="Y32" s="60" t="str">
        <x:v>OK</x:v>
      </x:c>
      <x:c r="Z32" s="29" t="str"/>
    </x:row>
    <x:row r="33">
      <x:c r="A33" s="28" t="n">
        <x:v>31</x:v>
      </x:c>
      <x:c r="B33" s="126" t="n">
        <x:f>'01_Run_Config'!$B$4+A33</x:f>
        <x:v>46273</x:v>
      </x:c>
      <x:c r="C33" s="60" t="str">
        <x:f>VLOOKUP(A33,'02_Daily_Master'!$A$2:$AH$82,5,FALSE)</x:f>
        <x:v>Stretch / Early Flower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OK</x:v>
      </x:c>
      <x:c r="V33" s="60" t="str">
        <x:v>OK</x:v>
      </x:c>
      <x:c r="W33" s="60" t="str">
        <x:v>OK</x:v>
      </x:c>
      <x:c r="X33" s="60" t="n">
        <x:v>0</x:v>
      </x:c>
      <x:c r="Y33" s="60" t="str">
        <x:v>OK</x:v>
      </x:c>
      <x:c r="Z33" s="29" t="str"/>
    </x:row>
    <x:row r="34">
      <x:c r="A34" s="28" t="n">
        <x:v>32</x:v>
      </x:c>
      <x:c r="B34" s="126" t="n">
        <x:f>'01_Run_Config'!$B$4+A34</x:f>
        <x:v>46274</x:v>
      </x:c>
      <x:c r="C34" s="60" t="str">
        <x:f>VLOOKUP(A34,'02_Daily_Master'!$A$2:$AH$82,5,FALSE)</x:f>
        <x:v>Stretch / Early Flower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OK</x:v>
      </x:c>
      <x:c r="V34" s="60" t="str">
        <x:v>OK</x:v>
      </x:c>
      <x:c r="W34" s="60" t="str">
        <x:v>OK</x:v>
      </x:c>
      <x:c r="X34" s="60" t="n">
        <x:v>0</x:v>
      </x:c>
      <x:c r="Y34" s="60" t="str">
        <x:v>OK</x:v>
      </x:c>
      <x:c r="Z34" s="29" t="str"/>
    </x:row>
    <x:row r="35">
      <x:c r="A35" s="28" t="n">
        <x:v>33</x:v>
      </x:c>
      <x:c r="B35" s="126" t="n">
        <x:f>'01_Run_Config'!$B$4+A35</x:f>
        <x:v>46275</x:v>
      </x:c>
      <x:c r="C35" s="60" t="str">
        <x:f>VLOOKUP(A35,'02_Daily_Master'!$A$2:$AH$82,5,FALSE)</x:f>
        <x:v>Stretch / Early Flower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OK</x:v>
      </x:c>
      <x:c r="V35" s="60" t="str">
        <x:v>OK</x:v>
      </x:c>
      <x:c r="W35" s="60" t="str">
        <x:v>OK</x:v>
      </x:c>
      <x:c r="X35" s="60" t="n">
        <x:v>0</x:v>
      </x:c>
      <x:c r="Y35" s="60" t="str">
        <x:v>OK</x:v>
      </x:c>
      <x:c r="Z35" s="29" t="str"/>
    </x:row>
    <x:row r="36">
      <x:c r="A36" s="28" t="n">
        <x:v>34</x:v>
      </x:c>
      <x:c r="B36" s="126" t="n">
        <x:f>'01_Run_Config'!$B$4+A36</x:f>
        <x:v>46276</x:v>
      </x:c>
      <x:c r="C36" s="60" t="str">
        <x:f>VLOOKUP(A36,'02_Daily_Master'!$A$2:$AH$82,5,FALSE)</x:f>
        <x:v>Stretch / Early Flower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OK</x:v>
      </x:c>
      <x:c r="V36" s="60" t="str">
        <x:v>OK</x:v>
      </x:c>
      <x:c r="W36" s="60" t="str">
        <x:v>OK</x:v>
      </x:c>
      <x:c r="X36" s="60" t="n">
        <x:v>0</x:v>
      </x:c>
      <x:c r="Y36" s="60" t="str">
        <x:v>OK</x:v>
      </x:c>
      <x:c r="Z36" s="29" t="str"/>
    </x:row>
    <x:row r="37">
      <x:c r="A37" s="28" t="n">
        <x:v>35</x:v>
      </x:c>
      <x:c r="B37" s="126" t="n">
        <x:f>'01_Run_Config'!$B$4+A37</x:f>
        <x:v>46277</x:v>
      </x:c>
      <x:c r="C37" s="60" t="str">
        <x:f>VLOOKUP(A37,'02_Daily_Master'!$A$2:$AH$82,5,FALSE)</x:f>
        <x:v>Stretch / Early Flower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OK</x:v>
      </x:c>
      <x:c r="V37" s="60" t="str">
        <x:v>OK</x:v>
      </x:c>
      <x:c r="W37" s="60" t="str">
        <x:v>OK</x:v>
      </x:c>
      <x:c r="X37" s="60" t="n">
        <x:v>0</x:v>
      </x:c>
      <x:c r="Y37" s="60" t="str">
        <x:v>OK</x:v>
      </x:c>
      <x:c r="Z37" s="29" t="str"/>
    </x:row>
    <x:row r="38">
      <x:c r="A38" s="28" t="n">
        <x:v>36</x:v>
      </x:c>
      <x:c r="B38" s="126" t="n">
        <x:f>'01_Run_Config'!$B$4+A38</x:f>
        <x:v>46278</x:v>
      </x:c>
      <x:c r="C38" s="60" t="str">
        <x:f>VLOOKUP(A38,'02_Daily_Master'!$A$2:$AH$82,5,FALSE)</x:f>
        <x:v>Flower I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OK</x:v>
      </x:c>
      <x:c r="V38" s="60" t="str">
        <x:v>OK</x:v>
      </x:c>
      <x:c r="W38" s="60" t="str">
        <x:v>OK</x:v>
      </x:c>
      <x:c r="X38" s="60" t="n">
        <x:v>0</x:v>
      </x:c>
      <x:c r="Y38" s="60" t="str">
        <x:v>OK</x:v>
      </x:c>
      <x:c r="Z38" s="29" t="str"/>
    </x:row>
    <x:row r="39">
      <x:c r="A39" s="28" t="n">
        <x:v>37</x:v>
      </x:c>
      <x:c r="B39" s="126" t="n">
        <x:f>'01_Run_Config'!$B$4+A39</x:f>
        <x:v>46279</x:v>
      </x:c>
      <x:c r="C39" s="60" t="str">
        <x:f>VLOOKUP(A39,'02_Daily_Master'!$A$2:$AH$82,5,FALSE)</x:f>
        <x:v>Flower I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OK</x:v>
      </x:c>
      <x:c r="V39" s="60" t="str">
        <x:v>OK</x:v>
      </x:c>
      <x:c r="W39" s="60" t="str">
        <x:v>OK</x:v>
      </x:c>
      <x:c r="X39" s="60" t="n">
        <x:v>0</x:v>
      </x:c>
      <x:c r="Y39" s="60" t="str">
        <x:v>OK</x:v>
      </x:c>
      <x:c r="Z39" s="29" t="str"/>
    </x:row>
    <x:row r="40">
      <x:c r="A40" s="28" t="n">
        <x:v>38</x:v>
      </x:c>
      <x:c r="B40" s="126" t="n">
        <x:f>'01_Run_Config'!$B$4+A40</x:f>
        <x:v>46280</x:v>
      </x:c>
      <x:c r="C40" s="60" t="str">
        <x:f>VLOOKUP(A40,'02_Daily_Master'!$A$2:$AH$82,5,FALSE)</x:f>
        <x:v>Flower I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OK</x:v>
      </x:c>
      <x:c r="V40" s="60" t="str">
        <x:v>OK</x:v>
      </x:c>
      <x:c r="W40" s="60" t="str">
        <x:v>OK</x:v>
      </x:c>
      <x:c r="X40" s="60" t="n">
        <x:v>0</x:v>
      </x:c>
      <x:c r="Y40" s="60" t="str">
        <x:v>OK</x:v>
      </x:c>
      <x:c r="Z40" s="29" t="str"/>
    </x:row>
    <x:row r="41">
      <x:c r="A41" s="28" t="n">
        <x:v>39</x:v>
      </x:c>
      <x:c r="B41" s="126" t="n">
        <x:f>'01_Run_Config'!$B$4+A41</x:f>
        <x:v>46281</x:v>
      </x:c>
      <x:c r="C41" s="60" t="str">
        <x:f>VLOOKUP(A41,'02_Daily_Master'!$A$2:$AH$82,5,FALSE)</x:f>
        <x:v>Flower I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OK</x:v>
      </x:c>
      <x:c r="V41" s="60" t="str">
        <x:v>OK</x:v>
      </x:c>
      <x:c r="W41" s="60" t="str">
        <x:v>OK</x:v>
      </x:c>
      <x:c r="X41" s="60" t="n">
        <x:v>0</x:v>
      </x:c>
      <x:c r="Y41" s="60" t="str">
        <x:v>OK</x:v>
      </x:c>
      <x:c r="Z41" s="29" t="str"/>
    </x:row>
    <x:row r="42">
      <x:c r="A42" s="28" t="n">
        <x:v>40</x:v>
      </x:c>
      <x:c r="B42" s="126" t="n">
        <x:f>'01_Run_Config'!$B$4+A42</x:f>
        <x:v>46282</x:v>
      </x:c>
      <x:c r="C42" s="60" t="str">
        <x:f>VLOOKUP(A42,'02_Daily_Master'!$A$2:$AH$82,5,FALSE)</x:f>
        <x:v>Flower I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OK</x:v>
      </x:c>
      <x:c r="V42" s="60" t="str">
        <x:v>OK</x:v>
      </x:c>
      <x:c r="W42" s="60" t="str">
        <x:v>OK</x:v>
      </x:c>
      <x:c r="X42" s="60" t="n">
        <x:v>0</x:v>
      </x:c>
      <x:c r="Y42" s="60" t="str">
        <x:v>OK</x:v>
      </x:c>
      <x:c r="Z42" s="29" t="str"/>
    </x:row>
    <x:row r="43">
      <x:c r="A43" s="28" t="n">
        <x:v>41</x:v>
      </x:c>
      <x:c r="B43" s="126" t="n">
        <x:f>'01_Run_Config'!$B$4+A43</x:f>
        <x:v>46283</x:v>
      </x:c>
      <x:c r="C43" s="60" t="str">
        <x:f>VLOOKUP(A43,'02_Daily_Master'!$A$2:$AH$82,5,FALSE)</x:f>
        <x:v>Flower I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OK</x:v>
      </x:c>
      <x:c r="V43" s="60" t="str">
        <x:v>OK</x:v>
      </x:c>
      <x:c r="W43" s="60" t="str">
        <x:v>OK</x:v>
      </x:c>
      <x:c r="X43" s="60" t="n">
        <x:v>0</x:v>
      </x:c>
      <x:c r="Y43" s="60" t="str">
        <x:v>OK</x:v>
      </x:c>
      <x:c r="Z43" s="29" t="str"/>
    </x:row>
    <x:row r="44">
      <x:c r="A44" s="28" t="n">
        <x:v>42</x:v>
      </x:c>
      <x:c r="B44" s="126" t="n">
        <x:f>'01_Run_Config'!$B$4+A44</x:f>
        <x:v>46284</x:v>
      </x:c>
      <x:c r="C44" s="60" t="str">
        <x:f>VLOOKUP(A44,'02_Daily_Master'!$A$2:$AH$82,5,FALSE)</x:f>
        <x:v>Flower I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OK</x:v>
      </x:c>
      <x:c r="V44" s="60" t="str">
        <x:v>OK</x:v>
      </x:c>
      <x:c r="W44" s="60" t="str">
        <x:v>OK</x:v>
      </x:c>
      <x:c r="X44" s="60" t="n">
        <x:v>0</x:v>
      </x:c>
      <x:c r="Y44" s="60" t="str">
        <x:v>OK</x:v>
      </x:c>
      <x:c r="Z44" s="29" t="str"/>
    </x:row>
    <x:row r="45">
      <x:c r="A45" s="28" t="n">
        <x:v>43</x:v>
      </x:c>
      <x:c r="B45" s="126" t="n">
        <x:f>'01_Run_Config'!$B$4+A45</x:f>
        <x:v>46285</x:v>
      </x:c>
      <x:c r="C45" s="60" t="str">
        <x:f>VLOOKUP(A45,'02_Daily_Master'!$A$2:$AH$82,5,FALSE)</x:f>
        <x:v>Peak Flower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OK</x:v>
      </x:c>
      <x:c r="V45" s="60" t="str">
        <x:v>OK</x:v>
      </x:c>
      <x:c r="W45" s="60" t="str">
        <x:v>OK</x:v>
      </x:c>
      <x:c r="X45" s="60" t="n">
        <x:v>0</x:v>
      </x:c>
      <x:c r="Y45" s="60" t="str">
        <x:v>OK</x:v>
      </x:c>
      <x:c r="Z45" s="29" t="str"/>
    </x:row>
    <x:row r="46">
      <x:c r="A46" s="28" t="n">
        <x:v>44</x:v>
      </x:c>
      <x:c r="B46" s="126" t="n">
        <x:f>'01_Run_Config'!$B$4+A46</x:f>
        <x:v>46286</x:v>
      </x:c>
      <x:c r="C46" s="60" t="str">
        <x:f>VLOOKUP(A46,'02_Daily_Master'!$A$2:$AH$82,5,FALSE)</x:f>
        <x:v>Peak Flower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OK</x:v>
      </x:c>
      <x:c r="V46" s="60" t="str">
        <x:v>OK</x:v>
      </x:c>
      <x:c r="W46" s="60" t="str">
        <x:v>OK</x:v>
      </x:c>
      <x:c r="X46" s="60" t="n">
        <x:v>0</x:v>
      </x:c>
      <x:c r="Y46" s="60" t="str">
        <x:v>OK</x:v>
      </x:c>
      <x:c r="Z46" s="29" t="str"/>
    </x:row>
    <x:row r="47">
      <x:c r="A47" s="28" t="n">
        <x:v>45</x:v>
      </x:c>
      <x:c r="B47" s="126" t="n">
        <x:f>'01_Run_Config'!$B$4+A47</x:f>
        <x:v>46287</x:v>
      </x:c>
      <x:c r="C47" s="60" t="str">
        <x:f>VLOOKUP(A47,'02_Daily_Master'!$A$2:$AH$82,5,FALSE)</x:f>
        <x:v>Peak Flower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OK</x:v>
      </x:c>
      <x:c r="V47" s="60" t="str">
        <x:v>OK</x:v>
      </x:c>
      <x:c r="W47" s="60" t="str">
        <x:v>OK</x:v>
      </x:c>
      <x:c r="X47" s="60" t="n">
        <x:v>0</x:v>
      </x:c>
      <x:c r="Y47" s="60" t="str">
        <x:v>OK</x:v>
      </x:c>
      <x:c r="Z47" s="29" t="str"/>
    </x:row>
    <x:row r="48">
      <x:c r="A48" s="28" t="n">
        <x:v>46</x:v>
      </x:c>
      <x:c r="B48" s="126" t="n">
        <x:f>'01_Run_Config'!$B$4+A48</x:f>
        <x:v>46288</x:v>
      </x:c>
      <x:c r="C48" s="60" t="str">
        <x:f>VLOOKUP(A48,'02_Daily_Master'!$A$2:$AH$82,5,FALSE)</x:f>
        <x:v>Peak Flower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OK</x:v>
      </x:c>
      <x:c r="V48" s="60" t="str">
        <x:v>OK</x:v>
      </x:c>
      <x:c r="W48" s="60" t="str">
        <x:v>OK</x:v>
      </x:c>
      <x:c r="X48" s="60" t="n">
        <x:v>0</x:v>
      </x:c>
      <x:c r="Y48" s="60" t="str">
        <x:v>OK</x:v>
      </x:c>
      <x:c r="Z48" s="29" t="str"/>
    </x:row>
    <x:row r="49">
      <x:c r="A49" s="28" t="n">
        <x:v>47</x:v>
      </x:c>
      <x:c r="B49" s="126" t="n">
        <x:f>'01_Run_Config'!$B$4+A49</x:f>
        <x:v>46289</x:v>
      </x:c>
      <x:c r="C49" s="60" t="str">
        <x:f>VLOOKUP(A49,'02_Daily_Master'!$A$2:$AH$82,5,FALSE)</x:f>
        <x:v>Peak Flower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OK</x:v>
      </x:c>
      <x:c r="V49" s="60" t="str">
        <x:v>OK</x:v>
      </x:c>
      <x:c r="W49" s="60" t="str">
        <x:v>OK</x:v>
      </x:c>
      <x:c r="X49" s="60" t="n">
        <x:v>0</x:v>
      </x:c>
      <x:c r="Y49" s="60" t="str">
        <x:v>OK</x:v>
      </x:c>
      <x:c r="Z49" s="29" t="str"/>
    </x:row>
    <x:row r="50">
      <x:c r="A50" s="28" t="n">
        <x:v>48</x:v>
      </x:c>
      <x:c r="B50" s="126" t="n">
        <x:f>'01_Run_Config'!$B$4+A50</x:f>
        <x:v>46290</x:v>
      </x:c>
      <x:c r="C50" s="60" t="str">
        <x:f>VLOOKUP(A50,'02_Daily_Master'!$A$2:$AH$82,5,FALSE)</x:f>
        <x:v>Peak Flower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OK</x:v>
      </x:c>
      <x:c r="V50" s="60" t="str">
        <x:v>OK</x:v>
      </x:c>
      <x:c r="W50" s="60" t="str">
        <x:v>OK</x:v>
      </x:c>
      <x:c r="X50" s="60" t="n">
        <x:v>0</x:v>
      </x:c>
      <x:c r="Y50" s="60" t="str">
        <x:v>OK</x:v>
      </x:c>
      <x:c r="Z50" s="29" t="str"/>
    </x:row>
    <x:row r="51">
      <x:c r="A51" s="28" t="n">
        <x:v>49</x:v>
      </x:c>
      <x:c r="B51" s="126" t="n">
        <x:f>'01_Run_Config'!$B$4+A51</x:f>
        <x:v>46291</x:v>
      </x:c>
      <x:c r="C51" s="60" t="str">
        <x:f>VLOOKUP(A51,'02_Daily_Master'!$A$2:$AH$82,5,FALSE)</x:f>
        <x:v>Peak Flower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OK</x:v>
      </x:c>
      <x:c r="V51" s="60" t="str">
        <x:v>OK</x:v>
      </x:c>
      <x:c r="W51" s="60" t="str">
        <x:v>OK</x:v>
      </x:c>
      <x:c r="X51" s="60" t="n">
        <x:v>0</x:v>
      </x:c>
      <x:c r="Y51" s="60" t="str">
        <x:v>OK</x:v>
      </x:c>
      <x:c r="Z51" s="29" t="str"/>
    </x:row>
    <x:row r="52">
      <x:c r="A52" s="28" t="n">
        <x:v>50</x:v>
      </x:c>
      <x:c r="B52" s="126" t="n">
        <x:f>'01_Run_Config'!$B$4+A52</x:f>
        <x:v>46292</x:v>
      </x:c>
      <x:c r="C52" s="60" t="str">
        <x:f>VLOOKUP(A52,'02_Daily_Master'!$A$2:$AH$82,5,FALSE)</x:f>
        <x:v>Peak Flower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OK</x:v>
      </x:c>
      <x:c r="V52" s="60" t="str">
        <x:v>OK</x:v>
      </x:c>
      <x:c r="W52" s="60" t="str">
        <x:v>OK</x:v>
      </x:c>
      <x:c r="X52" s="60" t="n">
        <x:v>0</x:v>
      </x:c>
      <x:c r="Y52" s="60" t="str">
        <x:v>OK</x:v>
      </x:c>
      <x:c r="Z52" s="29" t="str"/>
    </x:row>
    <x:row r="53">
      <x:c r="A53" s="28" t="n">
        <x:v>51</x:v>
      </x:c>
      <x:c r="B53" s="126" t="n">
        <x:f>'01_Run_Config'!$B$4+A53</x:f>
        <x:v>46293</x:v>
      </x:c>
      <x:c r="C53" s="60" t="str">
        <x:f>VLOOKUP(A53,'02_Daily_Master'!$A$2:$AH$82,5,FALSE)</x:f>
        <x:v>Peak Flower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OK</x:v>
      </x:c>
      <x:c r="V53" s="60" t="str">
        <x:v>OK</x:v>
      </x:c>
      <x:c r="W53" s="60" t="str">
        <x:v>OK</x:v>
      </x:c>
      <x:c r="X53" s="60" t="n">
        <x:v>0</x:v>
      </x:c>
      <x:c r="Y53" s="60" t="str">
        <x:v>OK</x:v>
      </x:c>
      <x:c r="Z53" s="29" t="str"/>
    </x:row>
    <x:row r="54">
      <x:c r="A54" s="28" t="n">
        <x:v>52</x:v>
      </x:c>
      <x:c r="B54" s="126" t="n">
        <x:f>'01_Run_Config'!$B$4+A54</x:f>
        <x:v>46294</x:v>
      </x:c>
      <x:c r="C54" s="60" t="str">
        <x:f>VLOOKUP(A54,'02_Daily_Master'!$A$2:$AH$82,5,FALSE)</x:f>
        <x:v>Peak Flower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OK</x:v>
      </x:c>
      <x:c r="V54" s="60" t="str">
        <x:v>OK</x:v>
      </x:c>
      <x:c r="W54" s="60" t="str">
        <x:v>OK</x:v>
      </x:c>
      <x:c r="X54" s="60" t="n">
        <x:v>0</x:v>
      </x:c>
      <x:c r="Y54" s="60" t="str">
        <x:v>OK</x:v>
      </x:c>
      <x:c r="Z54" s="29" t="str"/>
    </x:row>
    <x:row r="55">
      <x:c r="A55" s="28" t="n">
        <x:v>53</x:v>
      </x:c>
      <x:c r="B55" s="126" t="n">
        <x:f>'01_Run_Config'!$B$4+A55</x:f>
        <x:v>46295</x:v>
      </x:c>
      <x:c r="C55" s="60" t="str">
        <x:f>VLOOKUP(A55,'02_Daily_Master'!$A$2:$AH$82,5,FALSE)</x:f>
        <x:v>Peak Flower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OK</x:v>
      </x:c>
      <x:c r="V55" s="60" t="str">
        <x:v>OK</x:v>
      </x:c>
      <x:c r="W55" s="60" t="str">
        <x:v>OK</x:v>
      </x:c>
      <x:c r="X55" s="60" t="n">
        <x:v>0</x:v>
      </x:c>
      <x:c r="Y55" s="60" t="str">
        <x:v>OK</x:v>
      </x:c>
      <x:c r="Z55" s="29" t="str"/>
    </x:row>
    <x:row r="56">
      <x:c r="A56" s="28" t="n">
        <x:v>54</x:v>
      </x:c>
      <x:c r="B56" s="126" t="n">
        <x:f>'01_Run_Config'!$B$4+A56</x:f>
        <x:v>46296</x:v>
      </x:c>
      <x:c r="C56" s="60" t="str">
        <x:f>VLOOKUP(A56,'02_Daily_Master'!$A$2:$AH$82,5,FALSE)</x:f>
        <x:v>Peak Flower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OK</x:v>
      </x:c>
      <x:c r="V56" s="60" t="str">
        <x:v>OK</x:v>
      </x:c>
      <x:c r="W56" s="60" t="str">
        <x:v>OK</x:v>
      </x:c>
      <x:c r="X56" s="60" t="n">
        <x:v>0</x:v>
      </x:c>
      <x:c r="Y56" s="60" t="str">
        <x:v>OK</x:v>
      </x:c>
      <x:c r="Z56" s="29" t="str"/>
    </x:row>
    <x:row r="57">
      <x:c r="A57" s="28" t="n">
        <x:v>55</x:v>
      </x:c>
      <x:c r="B57" s="126" t="n">
        <x:f>'01_Run_Config'!$B$4+A57</x:f>
        <x:v>46297</x:v>
      </x:c>
      <x:c r="C57" s="60" t="str">
        <x:f>VLOOKUP(A57,'02_Daily_Master'!$A$2:$AH$82,5,FALSE)</x:f>
        <x:v>Peak Flower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OK</x:v>
      </x:c>
      <x:c r="V57" s="60" t="str">
        <x:v>OK</x:v>
      </x:c>
      <x:c r="W57" s="60" t="str">
        <x:v>OK</x:v>
      </x:c>
      <x:c r="X57" s="60" t="n">
        <x:v>0</x:v>
      </x:c>
      <x:c r="Y57" s="60" t="str">
        <x:v>OK</x:v>
      </x:c>
      <x:c r="Z57" s="29" t="str"/>
    </x:row>
    <x:row r="58">
      <x:c r="A58" s="28" t="n">
        <x:v>56</x:v>
      </x:c>
      <x:c r="B58" s="126" t="n">
        <x:f>'01_Run_Config'!$B$4+A58</x:f>
        <x:v>46298</x:v>
      </x:c>
      <x:c r="C58" s="60" t="str">
        <x:f>VLOOKUP(A58,'02_Daily_Master'!$A$2:$AH$82,5,FALSE)</x:f>
        <x:v>Peak Flower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OK</x:v>
      </x:c>
      <x:c r="V58" s="60" t="str">
        <x:v>OK</x:v>
      </x:c>
      <x:c r="W58" s="60" t="str">
        <x:v>OK</x:v>
      </x:c>
      <x:c r="X58" s="60" t="n">
        <x:v>0</x:v>
      </x:c>
      <x:c r="Y58" s="60" t="str">
        <x:v>OK</x:v>
      </x:c>
      <x:c r="Z58" s="29" t="str"/>
    </x:row>
    <x:row r="59">
      <x:c r="A59" s="28" t="n">
        <x:v>57</x:v>
      </x:c>
      <x:c r="B59" s="126" t="n">
        <x:f>'01_Run_Config'!$B$4+A59</x:f>
        <x:v>46299</x:v>
      </x:c>
      <x:c r="C59" s="60" t="str">
        <x:f>VLOOKUP(A59,'02_Daily_Master'!$A$2:$AH$82,5,FALSE)</x:f>
        <x:v>Late Flower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OK</x:v>
      </x:c>
      <x:c r="V59" s="60" t="str">
        <x:v>OK</x:v>
      </x:c>
      <x:c r="W59" s="60" t="str">
        <x:v>OK</x:v>
      </x:c>
      <x:c r="X59" s="60" t="n">
        <x:v>0</x:v>
      </x:c>
      <x:c r="Y59" s="60" t="str">
        <x:v>OK</x:v>
      </x:c>
      <x:c r="Z59" s="29" t="str"/>
    </x:row>
    <x:row r="60">
      <x:c r="A60" s="28" t="n">
        <x:v>58</x:v>
      </x:c>
      <x:c r="B60" s="126" t="n">
        <x:f>'01_Run_Config'!$B$4+A60</x:f>
        <x:v>46300</x:v>
      </x:c>
      <x:c r="C60" s="60" t="str">
        <x:f>VLOOKUP(A60,'02_Daily_Master'!$A$2:$AH$82,5,FALSE)</x:f>
        <x:v>Late Flower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OK</x:v>
      </x:c>
      <x:c r="V60" s="60" t="str">
        <x:v>OK</x:v>
      </x:c>
      <x:c r="W60" s="60" t="str">
        <x:v>OK</x:v>
      </x:c>
      <x:c r="X60" s="60" t="n">
        <x:v>0</x:v>
      </x:c>
      <x:c r="Y60" s="60" t="str">
        <x:v>OK</x:v>
      </x:c>
      <x:c r="Z60" s="29" t="str"/>
    </x:row>
    <x:row r="61">
      <x:c r="A61" s="28" t="n">
        <x:v>59</x:v>
      </x:c>
      <x:c r="B61" s="126" t="n">
        <x:f>'01_Run_Config'!$B$4+A61</x:f>
        <x:v>46301</x:v>
      </x:c>
      <x:c r="C61" s="60" t="str">
        <x:f>VLOOKUP(A61,'02_Daily_Master'!$A$2:$AH$82,5,FALSE)</x:f>
        <x:v>Late Flower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OK</x:v>
      </x:c>
      <x:c r="V61" s="60" t="str">
        <x:v>OK</x:v>
      </x:c>
      <x:c r="W61" s="60" t="str">
        <x:v>OK</x:v>
      </x:c>
      <x:c r="X61" s="60" t="n">
        <x:v>0</x:v>
      </x:c>
      <x:c r="Y61" s="60" t="str">
        <x:v>OK</x:v>
      </x:c>
      <x:c r="Z61" s="29" t="str"/>
    </x:row>
    <x:row r="62">
      <x:c r="A62" s="28" t="n">
        <x:v>60</x:v>
      </x:c>
      <x:c r="B62" s="126" t="n">
        <x:f>'01_Run_Config'!$B$4+A62</x:f>
        <x:v>46302</x:v>
      </x:c>
      <x:c r="C62" s="60" t="str">
        <x:f>VLOOKUP(A62,'02_Daily_Master'!$A$2:$AH$82,5,FALSE)</x:f>
        <x:v>Late Flower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OK</x:v>
      </x:c>
      <x:c r="V62" s="60" t="str">
        <x:v>OK</x:v>
      </x:c>
      <x:c r="W62" s="60" t="str">
        <x:v>OK</x:v>
      </x:c>
      <x:c r="X62" s="60" t="n">
        <x:v>0</x:v>
      </x:c>
      <x:c r="Y62" s="60" t="str">
        <x:v>OK</x:v>
      </x:c>
      <x:c r="Z62" s="29" t="str"/>
    </x:row>
    <x:row r="63">
      <x:c r="A63" s="28" t="n">
        <x:v>61</x:v>
      </x:c>
      <x:c r="B63" s="126" t="n">
        <x:f>'01_Run_Config'!$B$4+A63</x:f>
        <x:v>46303</x:v>
      </x:c>
      <x:c r="C63" s="60" t="str">
        <x:f>VLOOKUP(A63,'02_Daily_Master'!$A$2:$AH$82,5,FALSE)</x:f>
        <x:v>Late Flower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OK</x:v>
      </x:c>
      <x:c r="V63" s="60" t="str">
        <x:v>OK</x:v>
      </x:c>
      <x:c r="W63" s="60" t="str">
        <x:v>OK</x:v>
      </x:c>
      <x:c r="X63" s="60" t="n">
        <x:v>0</x:v>
      </x:c>
      <x:c r="Y63" s="60" t="str">
        <x:v>OK</x:v>
      </x:c>
      <x:c r="Z63" s="29" t="str"/>
    </x:row>
    <x:row r="64">
      <x:c r="A64" s="28" t="n">
        <x:v>62</x:v>
      </x:c>
      <x:c r="B64" s="126" t="n">
        <x:f>'01_Run_Config'!$B$4+A64</x:f>
        <x:v>46304</x:v>
      </x:c>
      <x:c r="C64" s="60" t="str">
        <x:f>VLOOKUP(A64,'02_Daily_Master'!$A$2:$AH$82,5,FALSE)</x:f>
        <x:v>Late Flower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OK</x:v>
      </x:c>
      <x:c r="V64" s="60" t="str">
        <x:v>OK</x:v>
      </x:c>
      <x:c r="W64" s="60" t="str">
        <x:v>OK</x:v>
      </x:c>
      <x:c r="X64" s="60" t="n">
        <x:v>0</x:v>
      </x:c>
      <x:c r="Y64" s="60" t="str">
        <x:v>OK</x:v>
      </x:c>
      <x:c r="Z64" s="29" t="str"/>
    </x:row>
    <x:row r="65">
      <x:c r="A65" s="28" t="n">
        <x:v>63</x:v>
      </x:c>
      <x:c r="B65" s="126" t="n">
        <x:f>'01_Run_Config'!$B$4+A65</x:f>
        <x:v>46305</x:v>
      </x:c>
      <x:c r="C65" s="60" t="str">
        <x:f>VLOOKUP(A65,'02_Daily_Master'!$A$2:$AH$82,5,FALSE)</x:f>
        <x:v>Late Flower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OK</x:v>
      </x:c>
      <x:c r="V65" s="60" t="str">
        <x:v>OK</x:v>
      </x:c>
      <x:c r="W65" s="60" t="str">
        <x:v>OK</x:v>
      </x:c>
      <x:c r="X65" s="60" t="n">
        <x:v>0</x:v>
      </x:c>
      <x:c r="Y65" s="60" t="str">
        <x:v>OK</x:v>
      </x:c>
      <x:c r="Z65" s="29" t="str"/>
    </x:row>
    <x:row r="66">
      <x:c r="A66" s="28" t="n">
        <x:v>64</x:v>
      </x:c>
      <x:c r="B66" s="126" t="n">
        <x:f>'01_Run_Config'!$B$4+A66</x:f>
        <x:v>46306</x:v>
      </x:c>
      <x:c r="C66" s="60" t="str">
        <x:f>VLOOKUP(A66,'02_Daily_Master'!$A$2:$AH$82,5,FALSE)</x:f>
        <x:v>Ripening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OK</x:v>
      </x:c>
      <x:c r="V66" s="60" t="str">
        <x:v>OK</x:v>
      </x:c>
      <x:c r="W66" s="60" t="str">
        <x:v>OK</x:v>
      </x:c>
      <x:c r="X66" s="60" t="n">
        <x:v>0</x:v>
      </x:c>
      <x:c r="Y66" s="60" t="str">
        <x:v>OK</x:v>
      </x:c>
      <x:c r="Z66" s="29" t="str"/>
    </x:row>
    <x:row r="67">
      <x:c r="A67" s="28" t="n">
        <x:v>65</x:v>
      </x:c>
      <x:c r="B67" s="126" t="n">
        <x:f>'01_Run_Config'!$B$4+A67</x:f>
        <x:v>46307</x:v>
      </x:c>
      <x:c r="C67" s="60" t="str">
        <x:f>VLOOKUP(A67,'02_Daily_Master'!$A$2:$AH$82,5,FALSE)</x:f>
        <x:v>Ripening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OK</x:v>
      </x:c>
      <x:c r="V67" s="60" t="str">
        <x:v>OK</x:v>
      </x:c>
      <x:c r="W67" s="60" t="str">
        <x:v>OK</x:v>
      </x:c>
      <x:c r="X67" s="60" t="n">
        <x:v>0</x:v>
      </x:c>
      <x:c r="Y67" s="60" t="str">
        <x:v>OK</x:v>
      </x:c>
      <x:c r="Z67" s="29" t="str"/>
    </x:row>
    <x:row r="68">
      <x:c r="A68" s="28" t="n">
        <x:v>66</x:v>
      </x:c>
      <x:c r="B68" s="126" t="n">
        <x:f>'01_Run_Config'!$B$4+A68</x:f>
        <x:v>46308</x:v>
      </x:c>
      <x:c r="C68" s="60" t="str">
        <x:f>VLOOKUP(A68,'02_Daily_Master'!$A$2:$AH$82,5,FALSE)</x:f>
        <x:v>Ripening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OK</x:v>
      </x:c>
      <x:c r="V68" s="60" t="str">
        <x:v>OK</x:v>
      </x:c>
      <x:c r="W68" s="60" t="str">
        <x:v>OK</x:v>
      </x:c>
      <x:c r="X68" s="60" t="n">
        <x:v>0</x:v>
      </x:c>
      <x:c r="Y68" s="60" t="str">
        <x:v>OK</x:v>
      </x:c>
      <x:c r="Z68" s="29" t="str"/>
    </x:row>
    <x:row r="69">
      <x:c r="A69" s="28" t="n">
        <x:v>67</x:v>
      </x:c>
      <x:c r="B69" s="126" t="n">
        <x:f>'01_Run_Config'!$B$4+A69</x:f>
        <x:v>46309</x:v>
      </x:c>
      <x:c r="C69" s="60" t="str">
        <x:f>VLOOKUP(A69,'02_Daily_Master'!$A$2:$AH$82,5,FALSE)</x:f>
        <x:v>Ripening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OK</x:v>
      </x:c>
      <x:c r="V69" s="60" t="str">
        <x:v>OK</x:v>
      </x:c>
      <x:c r="W69" s="60" t="str">
        <x:v>OK</x:v>
      </x:c>
      <x:c r="X69" s="60" t="n">
        <x:v>0</x:v>
      </x:c>
      <x:c r="Y69" s="60" t="str">
        <x:v>OK</x:v>
      </x:c>
      <x:c r="Z69" s="29" t="str"/>
    </x:row>
    <x:row r="70">
      <x:c r="A70" s="28" t="n">
        <x:v>68</x:v>
      </x:c>
      <x:c r="B70" s="126" t="n">
        <x:f>'01_Run_Config'!$B$4+A70</x:f>
        <x:v>46310</x:v>
      </x:c>
      <x:c r="C70" s="60" t="str">
        <x:f>VLOOKUP(A70,'02_Daily_Master'!$A$2:$AH$82,5,FALSE)</x:f>
        <x:v>Ripening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OK</x:v>
      </x:c>
      <x:c r="V70" s="60" t="str">
        <x:v>OK</x:v>
      </x:c>
      <x:c r="W70" s="60" t="str">
        <x:v>OK</x:v>
      </x:c>
      <x:c r="X70" s="60" t="n">
        <x:v>0</x:v>
      </x:c>
      <x:c r="Y70" s="60" t="str">
        <x:v>OK</x:v>
      </x:c>
      <x:c r="Z70" s="29" t="str"/>
    </x:row>
    <x:row r="71">
      <x:c r="A71" s="28" t="n">
        <x:v>69</x:v>
      </x:c>
      <x:c r="B71" s="126" t="n">
        <x:f>'01_Run_Config'!$B$4+A71</x:f>
        <x:v>46311</x:v>
      </x:c>
      <x:c r="C71" s="60" t="str">
        <x:f>VLOOKUP(A71,'02_Daily_Master'!$A$2:$AH$82,5,FALSE)</x:f>
        <x:v>Ripening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OK</x:v>
      </x:c>
      <x:c r="V71" s="60" t="str">
        <x:v>OK</x:v>
      </x:c>
      <x:c r="W71" s="60" t="str">
        <x:v>OK</x:v>
      </x:c>
      <x:c r="X71" s="60" t="n">
        <x:v>0</x:v>
      </x:c>
      <x:c r="Y71" s="60" t="str">
        <x:v>OK</x:v>
      </x:c>
      <x:c r="Z71" s="29" t="str"/>
    </x:row>
    <x:row r="72">
      <x:c r="A72" s="28" t="n">
        <x:v>70</x:v>
      </x:c>
      <x:c r="B72" s="126" t="n">
        <x:f>'01_Run_Config'!$B$4+A72</x:f>
        <x:v>46312</x:v>
      </x:c>
      <x:c r="C72" s="60" t="str">
        <x:f>VLOOKUP(A72,'02_Daily_Master'!$A$2:$AH$82,5,FALSE)</x:f>
        <x:v>Ripening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OK</x:v>
      </x:c>
      <x:c r="V72" s="60" t="str">
        <x:v>OK</x:v>
      </x:c>
      <x:c r="W72" s="60" t="str">
        <x:v>OK</x:v>
      </x:c>
      <x:c r="X72" s="60" t="n">
        <x:v>0</x:v>
      </x:c>
      <x:c r="Y72" s="60" t="str">
        <x:v>OK</x:v>
      </x:c>
      <x:c r="Z72" s="29" t="str"/>
    </x:row>
    <x:row r="73">
      <x:c r="A73" s="28" t="n">
        <x:v>71</x:v>
      </x:c>
      <x:c r="B73" s="126" t="n">
        <x:f>'01_Run_Config'!$B$4+A73</x:f>
        <x:v>46313</x:v>
      </x:c>
      <x:c r="C73" s="60" t="str">
        <x:f>VLOOKUP(A73,'02_Daily_Master'!$A$2:$AH$82,5,FALSE)</x:f>
        <x:v>Harvest Window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OK</x:v>
      </x:c>
      <x:c r="V73" s="60" t="str">
        <x:v>OK</x:v>
      </x:c>
      <x:c r="W73" s="60" t="str">
        <x:v>OK</x:v>
      </x:c>
      <x:c r="X73" s="60" t="n">
        <x:v>0</x:v>
      </x:c>
      <x:c r="Y73" s="60" t="str">
        <x:v>OK</x:v>
      </x:c>
      <x:c r="Z73" s="29" t="str"/>
    </x:row>
    <x:row r="74">
      <x:c r="A74" s="28" t="n">
        <x:v>72</x:v>
      </x:c>
      <x:c r="B74" s="126" t="n">
        <x:f>'01_Run_Config'!$B$4+A74</x:f>
        <x:v>46314</x:v>
      </x:c>
      <x:c r="C74" s="60" t="str">
        <x:f>VLOOKUP(A74,'02_Daily_Master'!$A$2:$AH$82,5,FALSE)</x:f>
        <x:v>Harvest Window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OK</x:v>
      </x:c>
      <x:c r="V74" s="60" t="str">
        <x:v>OK</x:v>
      </x:c>
      <x:c r="W74" s="60" t="str">
        <x:v>OK</x:v>
      </x:c>
      <x:c r="X74" s="60" t="n">
        <x:v>0</x:v>
      </x:c>
      <x:c r="Y74" s="60" t="str">
        <x:v>OK</x:v>
      </x:c>
      <x:c r="Z74" s="29" t="str"/>
    </x:row>
    <x:row r="75">
      <x:c r="A75" s="28" t="n">
        <x:v>73</x:v>
      </x:c>
      <x:c r="B75" s="126" t="n">
        <x:f>'01_Run_Config'!$B$4+A75</x:f>
        <x:v>46315</x:v>
      </x:c>
      <x:c r="C75" s="60" t="str">
        <x:f>VLOOKUP(A75,'02_Daily_Master'!$A$2:$AH$82,5,FALSE)</x:f>
        <x:v>Harvest Window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OK</x:v>
      </x:c>
      <x:c r="V75" s="60" t="str">
        <x:v>OK</x:v>
      </x:c>
      <x:c r="W75" s="60" t="str">
        <x:v>OK</x:v>
      </x:c>
      <x:c r="X75" s="60" t="n">
        <x:v>0</x:v>
      </x:c>
      <x:c r="Y75" s="60" t="str">
        <x:v>OK</x:v>
      </x:c>
      <x:c r="Z75" s="29" t="str"/>
    </x:row>
    <x:row r="76">
      <x:c r="A76" s="28" t="n">
        <x:v>74</x:v>
      </x:c>
      <x:c r="B76" s="126" t="n">
        <x:f>'01_Run_Config'!$B$4+A76</x:f>
        <x:v>46316</x:v>
      </x:c>
      <x:c r="C76" s="60" t="str">
        <x:f>VLOOKUP(A76,'02_Daily_Master'!$A$2:$AH$82,5,FALSE)</x:f>
        <x:v>Harvest Window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OK</x:v>
      </x:c>
      <x:c r="V76" s="60" t="str">
        <x:v>OK</x:v>
      </x:c>
      <x:c r="W76" s="60" t="str">
        <x:v>OK</x:v>
      </x:c>
      <x:c r="X76" s="60" t="n">
        <x:v>0</x:v>
      </x:c>
      <x:c r="Y76" s="60" t="str">
        <x:v>OK</x:v>
      </x:c>
      <x:c r="Z76" s="29" t="str"/>
    </x:row>
    <x:row r="77">
      <x:c r="A77" s="28" t="n">
        <x:v>75</x:v>
      </x:c>
      <x:c r="B77" s="126" t="n">
        <x:f>'01_Run_Config'!$B$4+A77</x:f>
        <x:v>46317</x:v>
      </x:c>
      <x:c r="C77" s="60" t="str">
        <x:f>VLOOKUP(A77,'02_Daily_Master'!$A$2:$AH$82,5,FALSE)</x:f>
        <x:v>Harvest Window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OK</x:v>
      </x:c>
      <x:c r="V77" s="60" t="str">
        <x:v>OK</x:v>
      </x:c>
      <x:c r="W77" s="60" t="str">
        <x:v>OK</x:v>
      </x:c>
      <x:c r="X77" s="60" t="n">
        <x:v>0</x:v>
      </x:c>
      <x:c r="Y77" s="60" t="str">
        <x:v>OK</x:v>
      </x:c>
      <x:c r="Z77" s="29" t="str"/>
    </x:row>
    <x:row r="78">
      <x:c r="A78" s="28" t="n">
        <x:v>76</x:v>
      </x:c>
      <x:c r="B78" s="126" t="n">
        <x:f>'01_Run_Config'!$B$4+A78</x:f>
        <x:v>46318</x:v>
      </x:c>
      <x:c r="C78" s="60" t="str">
        <x:f>VLOOKUP(A78,'02_Daily_Master'!$A$2:$AH$82,5,FALSE)</x:f>
        <x:v>Harvest Window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OK</x:v>
      </x:c>
      <x:c r="V78" s="60" t="str">
        <x:v>OK</x:v>
      </x:c>
      <x:c r="W78" s="60" t="str">
        <x:v>OK</x:v>
      </x:c>
      <x:c r="X78" s="60" t="n">
        <x:v>0</x:v>
      </x:c>
      <x:c r="Y78" s="60" t="str">
        <x:v>OK</x:v>
      </x:c>
      <x:c r="Z78" s="29" t="str"/>
    </x:row>
    <x:row r="79">
      <x:c r="A79" s="28" t="n">
        <x:v>77</x:v>
      </x:c>
      <x:c r="B79" s="126" t="n">
        <x:f>'01_Run_Config'!$B$4+A79</x:f>
        <x:v>46319</x:v>
      </x:c>
      <x:c r="C79" s="60" t="str">
        <x:f>VLOOKUP(A79,'02_Daily_Master'!$A$2:$AH$82,5,FALSE)</x:f>
        <x:v>Harvest Window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OK</x:v>
      </x:c>
      <x:c r="V79" s="60" t="str">
        <x:v>OK</x:v>
      </x:c>
      <x:c r="W79" s="60" t="str">
        <x:v>OK</x:v>
      </x:c>
      <x:c r="X79" s="60" t="n">
        <x:v>0</x:v>
      </x:c>
      <x:c r="Y79" s="60" t="str">
        <x:v>OK</x:v>
      </x:c>
      <x:c r="Z79" s="29" t="str"/>
    </x:row>
    <x:row r="80">
      <x:c r="A80" s="28" t="n">
        <x:v>78</x:v>
      </x:c>
      <x:c r="B80" s="126" t="n">
        <x:f>'01_Run_Config'!$B$4+A80</x:f>
        <x:v>46320</x:v>
      </x:c>
      <x:c r="C80" s="60" t="str">
        <x:f>VLOOKUP(A80,'02_Daily_Master'!$A$2:$AH$82,5,FALSE)</x:f>
        <x:v>Harvest Window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OK</x:v>
      </x:c>
      <x:c r="V80" s="60" t="str">
        <x:v>OK</x:v>
      </x:c>
      <x:c r="W80" s="60" t="str">
        <x:v>OK</x:v>
      </x:c>
      <x:c r="X80" s="60" t="n">
        <x:v>0</x:v>
      </x:c>
      <x:c r="Y80" s="60" t="str">
        <x:v>OK</x:v>
      </x:c>
      <x:c r="Z80" s="29" t="str"/>
    </x:row>
    <x:row r="81">
      <x:c r="A81" s="28" t="n">
        <x:v>79</x:v>
      </x:c>
      <x:c r="B81" s="126" t="n">
        <x:f>'01_Run_Config'!$B$4+A81</x:f>
        <x:v>46321</x:v>
      </x:c>
      <x:c r="C81" s="60" t="str">
        <x:f>VLOOKUP(A81,'02_Daily_Master'!$A$2:$AH$82,5,FALSE)</x:f>
        <x:v>Harvest Window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OK</x:v>
      </x:c>
      <x:c r="V81" s="60" t="str">
        <x:v>OK</x:v>
      </x:c>
      <x:c r="W81" s="60" t="str">
        <x:v>OK</x:v>
      </x:c>
      <x:c r="X81" s="60" t="n">
        <x:v>0</x:v>
      </x:c>
      <x:c r="Y81" s="60" t="str">
        <x:v>OK</x:v>
      </x:c>
      <x:c r="Z81" s="29" t="str"/>
    </x:row>
    <x:row r="82">
      <x:c r="A82" s="30" t="n">
        <x:v>80</x:v>
      </x:c>
      <x:c r="B82" s="127" t="n">
        <x:f>'01_Run_Config'!$B$4+A82</x:f>
        <x:v>46322</x:v>
      </x:c>
      <x:c r="C82" s="61" t="str">
        <x:f>VLOOKUP(A82,'02_Daily_Master'!$A$2:$AH$82,5,FALSE)</x:f>
        <x:v>Harvest Window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OK</x:v>
      </x:c>
      <x:c r="V82" s="61" t="str">
        <x:v>OK</x:v>
      </x:c>
      <x:c r="W82" s="61" t="str">
        <x:v>OK</x:v>
      </x:c>
      <x:c r="X82" s="61" t="n">
        <x:v>0</x:v>
      </x:c>
      <x:c r="Y82" s="61" t="str">
        <x:v>OK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Y2:Y82">
    <x:cfRule type="expression" dxfId="9" priority="3">
      <x:formula>Y2="OK"</x:formula>
    </x:cfRule>
    <x:cfRule type="expression" dxfId="10" priority="4">
      <x:formula>Y2="WARN"</x:formula>
    </x:cfRule>
    <x:cfRule type="expression" dxfId="11" priority="5">
      <x:formula>Y2="FAIL"</x:formula>
    </x:cfRule>
  </x:conditionalFormatting>
  <x:conditionalFormatting sqref="A2:Z82">
    <x:cfRule type="expression" dxfId="52" priority="6">
      <x:formula>$A2='01_Run_Config'!$B$5</x:formula>
    </x:cfRule>
  </x:conditionalFormatting>
  <x:dataValidations count="5">
    <x:dataValidation type="list" sqref="U2:U82">
      <x:formula1>"OK,WARN,FAIL,N/A"</x:formula1>
    </x:dataValidation>
    <x:dataValidation type="list" sqref="V2:V82">
      <x:formula1>"OK,WARN,FAIL,N/A"</x:formula1>
    </x:dataValidation>
    <x:dataValidation type="list" sqref="W2:W82">
      <x:formula1>"OK,WARN,FAIL,N/A"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db4c554656a440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288" t="str">
        <x:v>Symptom</x:v>
      </x:c>
      <x:c r="B1" s="1288" t="str">
        <x:v>Zuerst messen</x:v>
      </x:c>
      <x:c r="C1" s="1288" t="str">
        <x:v>Häufige Systemursache</x:v>
      </x:c>
      <x:c r="D1" s="1288" t="str">
        <x:v>NICHT sofort</x:v>
      </x:c>
      <x:c r="E1" s="1288" t="str">
        <x:v>Eingriff 1</x:v>
      </x:c>
      <x:c r="F1" s="1288" t="str">
        <x:v>Eingriff 2</x:v>
      </x:c>
      <x:c r="G1" s="1288" t="str">
        <x:v>Escalation</x:v>
      </x:c>
      <x:c r="H1" s="1288" t="str">
        <x:v>Kommentar</x:v>
      </x:c>
    </x:row>
    <x:row r="2">
      <x:c r="A2" s="32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33" t="str">
        <x:v>EC_out &gt; in+0.3–0.4 ernst nehmen</x:v>
      </x:c>
    </x:row>
    <x:row r="3">
      <x:c r="A3" s="34" t="str">
        <x:v>Rostflecken</x:v>
      </x:c>
      <x:c r="B3" s="63" t="str">
        <x:v>pH, Wasser-Ca/Mg, EC, Blattposition</x:v>
      </x:c>
      <x:c r="C3" s="63" t="str">
        <x:v>pH/Antagonismus statt echter Ca/Mg-Armut</x:v>
      </x:c>
      <x:c r="D3" s="63" t="str">
        <x:v>blind CalMag stapeln</x:v>
      </x:c>
      <x:c r="E3" s="63" t="str">
        <x:v>Wasserwerte prüfen</x:v>
      </x:c>
      <x:c r="F3" s="63" t="str">
        <x:v>K/PK-Last prüfen</x:v>
      </x:c>
      <x:c r="G3" s="63" t="str">
        <x:v>gezielte CalMag-Korrektur</x:v>
      </x:c>
      <x:c r="H3" s="35" t="str">
        <x:v>Mg-Überversorgung kann Ca/K hemmen</x:v>
      </x:c>
    </x:row>
    <x:row r="4">
      <x:c r="A4" s="34" t="str">
        <x:v>Interveinale Chlorose</x:v>
      </x:c>
      <x:c r="B4" s="63" t="str">
        <x:v>Mg, K/PK, pH</x:v>
      </x:c>
      <x:c r="C4" s="63" t="str">
        <x:v>K/P-induzierter Mg-Shift möglich</x:v>
      </x:c>
      <x:c r="D4" s="63" t="str">
        <x:v>PK weiter erhöhen</x:v>
      </x:c>
      <x:c r="E4" s="63" t="str">
        <x:v>Nährstoffstack vereinfachen</x:v>
      </x:c>
      <x:c r="F4" s="63" t="str">
        <x:v>Wasser/Mg prüfen</x:v>
      </x:c>
      <x:c r="G4" s="63" t="str">
        <x:v>gezielt korrigieren</x:v>
      </x:c>
      <x:c r="H4" s="35" t="str">
        <x:v>Symptomkontext entscheidend</x:v>
      </x:c>
    </x:row>
    <x:row r="5">
      <x:c r="A5" s="34" t="str">
        <x:v>Taco/aufgerollt</x:v>
      </x:c>
      <x:c r="B5" s="63" t="str">
        <x:v>Blatttemp, PPFD, VPD</x:v>
      </x:c>
      <x:c r="C5" s="63" t="str">
        <x:v>Licht/Hitze/trockene Luft</x:v>
      </x:c>
      <x:c r="D5" s="63" t="str">
        <x:v>Nährstoffe ändern</x:v>
      </x:c>
      <x:c r="E5" s="63" t="str">
        <x:v>PPFD oder Temp senken</x:v>
      </x:c>
      <x:c r="F5" s="63" t="str">
        <x:v>LF/VPD korrigieren</x:v>
      </x:c>
      <x:c r="G5" s="63" t="str">
        <x:v>48h beobachten</x:v>
      </x:c>
      <x:c r="H5" s="35" t="str">
        <x:v>erst Umwelt, dann Feed</x:v>
      </x:c>
    </x:row>
    <x:row r="6">
      <x:c r="A6" s="34" t="str">
        <x:v>Hängend + nasser Topf</x:v>
      </x:c>
      <x:c r="B6" s="63" t="str">
        <x:v>Topfgewicht, Blumat, Temp</x:v>
      </x:c>
      <x:c r="C6" s="63" t="str">
        <x:v>Überbewässerung/geringe Transpiration</x:v>
      </x:c>
      <x:c r="D6" s="63" t="str">
        <x:v>mehr Wasser</x:v>
      </x:c>
      <x:c r="E6" s="63" t="str">
        <x:v>Blumat trockener</x:v>
      </x:c>
      <x:c r="F6" s="63" t="str">
        <x:v>Luft/Temp prüfen</x:v>
      </x:c>
      <x:c r="G6" s="63" t="str">
        <x:v>Wurzeln kontrollieren</x:v>
      </x:c>
      <x:c r="H6" s="35" t="str">
        <x:v>Wurzel Complex ist kein Ersatz für Bewässerungsfehler</x:v>
      </x:c>
    </x:row>
    <x:row r="7">
      <x:c r="A7" s="34" t="str">
        <x:v>Hängend + leichter Topf</x:v>
      </x:c>
      <x:c r="B7" s="63" t="str">
        <x:v>Blumat/Tank/Schlauch</x:v>
      </x:c>
      <x:c r="C7" s="63" t="str">
        <x:v>Unterbrechung/Knicks/Sensor leer</x:v>
      </x:c>
      <x:c r="D7" s="63" t="str">
        <x:v>Dünger erhöhen</x:v>
      </x:c>
      <x:c r="E7" s="63" t="str">
        <x:v>Wasserzufuhr herstellen</x:v>
      </x:c>
      <x:c r="F7" s="63" t="str">
        <x:v>Sensor neu befüllen/einstellen</x:v>
      </x:c>
      <x:c r="G7" s="63" t="str">
        <x:v>Leck-/Tankcheck</x:v>
      </x:c>
      <x:c r="H7" s="35" t="str">
        <x:v>Blumat Manual</x:v>
      </x:c>
    </x:row>
    <x:row r="8">
      <x:c r="A8" s="34" t="str">
        <x:v>pH drift stark</x:v>
      </x:c>
      <x:c r="B8" s="63" t="str">
        <x:v>Kalibrierung, Wasseralkalinität, Additivstack</x:v>
      </x:c>
      <x:c r="C8" s="63" t="str">
        <x:v>Fremdprodukte/Reservoirbiologie</x:v>
      </x:c>
      <x:c r="D8" s="63" t="str">
        <x:v>Up/Down ping-pong</x:v>
      </x:c>
      <x:c r="E8" s="63" t="str">
        <x:v>frische Lösung minimaler Stack</x:v>
      </x:c>
      <x:c r="F8" s="63" t="str">
        <x:v>Messgerät kalibrieren</x:v>
      </x:c>
      <x:c r="G8" s="63" t="str">
        <x:v>System isolieren</x:v>
      </x:c>
      <x:c r="H8" s="35" t="str">
        <x:v>pH Perfect bei Fremdprodukten nicht garantiert</x:v>
      </x:c>
    </x:row>
    <x:row r="9">
      <x:c r="A9" s="34" t="str">
        <x:v>Schleim/Geruch Tank</x:v>
      </x:c>
      <x:c r="B9" s="63" t="str">
        <x:v>Tanktemp, Mikroben/Carbos</x:v>
      </x:c>
      <x:c r="C9" s="63" t="str">
        <x:v>stagnierende biologische Lösung</x:v>
      </x:c>
      <x:c r="D9" s="63" t="str">
        <x:v>mehr Enzyme</x:v>
      </x:c>
      <x:c r="E9" s="63" t="str">
        <x:v>Tank leeren/reinigen</x:v>
      </x:c>
      <x:c r="F9" s="63" t="str">
        <x:v>Mikroben separat frisch</x:v>
      </x:c>
      <x:c r="G9" s="63" t="str">
        <x:v>Leitungen reinigen</x:v>
      </x:c>
      <x:c r="H9" s="35" t="str">
        <x:v>besonders Blumat-Hybrid</x:v>
      </x:c>
    </x:row>
    <x:row r="10">
      <x:c r="A10" s="34" t="str">
        <x:v>LF Nacht &gt;60%</x:v>
      </x:c>
      <x:c r="B10" s="63" t="str">
        <x:v>Lung-room LF, Abluft, stehendes Wasser</x:v>
      </x:c>
      <x:c r="C10" s="63" t="str">
        <x:v>Transpiration + Tempabfall</x:v>
      </x:c>
      <x:c r="D10" s="63" t="str">
        <x:v>Massenentlaubung zuerst</x:v>
      </x:c>
      <x:c r="E10" s="63" t="str">
        <x:v>Abluft/Lung-room trocknen</x:v>
      </x:c>
      <x:c r="F10" s="63" t="str">
        <x:v>Drain entfernen</x:v>
      </x:c>
      <x:c r="G10" s="63" t="str">
        <x:v>Colas prüfen</x:v>
      </x:c>
      <x:c r="H10" s="35" t="str">
        <x:v>Schimmelrisiko-Ereignis</x:v>
      </x:c>
    </x:row>
    <x:row r="11">
      <x:c r="A11" s="36" t="str">
        <x:v>Bleaching</x:v>
      </x:c>
      <x:c r="B11" s="64" t="str">
        <x:v>PPFD, Lampenabstand, Temp</x:v>
      </x:c>
      <x:c r="C11" s="64" t="str">
        <x:v>zu hohe Photonenlast</x:v>
      </x:c>
      <x:c r="D11" s="64" t="str">
        <x:v>EC erhöhen</x:v>
      </x:c>
      <x:c r="E11" s="64" t="str">
        <x:v>Dimmer/Abstand korrigieren</x:v>
      </x:c>
      <x:c r="F11" s="64" t="str">
        <x:v>24–48h beobachten</x:v>
      </x:c>
      <x:c r="G11" s="64" t="str">
        <x:v>Canopy map</x:v>
      </x:c>
      <x:c r="H11" s="37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</x:row>
    <x:row r="2">
      <x:c r="A2" s="32" t="str">
        <x:v>Ernteentscheidung</x:v>
      </x:c>
      <x:c r="B2" s="62" t="str">
        <x:v>Calyx-/Trichomreife + Gesamtpflanze; nicht nur Pistillen</x:v>
      </x:c>
      <x:c r="C2" s="62" t="str">
        <x:v>gewünschter Reifegrad</x:v>
      </x:c>
      <x:c r="D2" s="62" t="str">
        <x:v>22–24°C im Zelt vor Ernte</x:v>
      </x:c>
      <x:c r="E2" s="62" t="str">
        <x:v>40–47%</x:v>
      </x:c>
      <x:c r="F2" s="62" t="str">
        <x:v>normal</x:v>
      </x:c>
      <x:c r="G2" s="62" t="str">
        <x:v>Makro an Calyxen</x:v>
      </x:c>
      <x:c r="H2" s="33" t="str">
        <x:v>Breeder-Tage sind Fenster, kein Trigger</x:v>
      </x:c>
    </x:row>
    <x:row r="3">
      <x:c r="A3" s="34" t="str">
        <x:v>Vorbereitung</x:v>
      </x:c>
      <x:c r="B3" s="63" t="str">
        <x:v>24–48 h vor Schnitt</x:v>
      </x:c>
      <x:c r="C3" s="63" t="str">
        <x:v>Dry-Room stabil</x:v>
      </x:c>
      <x:c r="D3" s="63" t="str">
        <x:v>18–20°C</x:v>
      </x:c>
      <x:c r="E3" s="63" t="str">
        <x:v>55–60%</x:v>
      </x:c>
      <x:c r="F3" s="63" t="str">
        <x:v>indirekt</x:v>
      </x:c>
      <x:c r="G3" s="63" t="str">
        <x:v>Logger 24h testen</x:v>
      </x:c>
      <x:c r="H3" s="35" t="str">
        <x:v>kein improvisierter heißer Raum</x:v>
      </x:c>
    </x:row>
    <x:row r="4">
      <x:c r="A4" s="34" t="str">
        <x:v>Trocknung</x:v>
      </x:c>
      <x:c r="B4" s="63" t="str">
        <x:v>nach Schnitt</x:v>
      </x:c>
      <x:c r="C4" s="63" t="str">
        <x:v>langsame gleichmäßige Wasserabgabe</x:v>
      </x:c>
      <x:c r="D4" s="63" t="str">
        <x:v>18–20°C</x:v>
      </x:c>
      <x:c r="E4" s="63" t="str">
        <x:v>55–60%</x:v>
      </x:c>
      <x:c r="F4" s="63" t="str">
        <x:v>keine direkte Luft auf Blüten</x:v>
      </x:c>
      <x:c r="G4" s="63" t="str">
        <x:v>Gewicht/Stem feel + Klima</x:v>
      </x:c>
      <x:c r="H4" s="35" t="str">
        <x:v>kein Schnellheizen</x:v>
      </x:c>
    </x:row>
    <x:row r="5">
      <x:c r="A5" s="34" t="str">
        <x:v>Dry QA</x:v>
      </x:c>
      <x:c r="B5" s="63" t="str">
        <x:v>täglich</x:v>
      </x:c>
      <x:c r="C5" s="63" t="str">
        <x:v>kein Schimmel/Ammoniak/Heugeruch</x:v>
      </x:c>
      <x:c r="D5" s="63" t="str">
        <x:v>stabil</x:v>
      </x:c>
      <x:c r="E5" s="63" t="str">
        <x:v>stabil</x:v>
      </x:c>
      <x:c r="F5" s="63" t="str">
        <x:v>sanft</x:v>
      </x:c>
      <x:c r="G5" s="63" t="str">
        <x:v>Geruch + Oberflächencheck</x:v>
      </x:c>
      <x:c r="H5" s="35" t="str">
        <x:v>bei Schimmel isolieren</x:v>
      </x:c>
    </x:row>
    <x:row r="6">
      <x:c r="A6" s="34" t="str">
        <x:v>Cure Start</x:v>
      </x:c>
      <x:c r="B6" s="63" t="str">
        <x:v>trocken genug für Behälter</x:v>
      </x:c>
      <x:c r="C6" s="63" t="str">
        <x:v>langsame Homogenisierung</x:v>
      </x:c>
      <x:c r="D6" s="63" t="str">
        <x:v>18–21°C</x:v>
      </x:c>
      <x:c r="E6" s="63" t="str">
        <x:v>Behälter-RH überwachen</x:v>
      </x:c>
      <x:c r="F6" s="63" t="str">
        <x:v>kein Fan</x:v>
      </x:c>
      <x:c r="G6" s="63" t="str">
        <x:v>RH Logger</x:v>
      </x:c>
      <x:c r="H6" s="35" t="str">
        <x:v>bei zu hoher RH wieder trocknen</x:v>
      </x:c>
    </x:row>
    <x:row r="7">
      <x:c r="A7" s="36" t="str">
        <x:v>Dokumentation</x:v>
      </x:c>
      <x:c r="B7" s="64" t="str">
        <x:v>nach Endgewicht</x:v>
      </x:c>
      <x:c r="C7" s="64" t="str">
        <x:v>Runvergleich</x:v>
      </x:c>
      <x:c r="D7" s="64" t="str">
        <x:v>—</x:v>
      </x:c>
      <x:c r="E7" s="64" t="str">
        <x:v>—</x:v>
      </x:c>
      <x:c r="F7" s="64" t="str">
        <x:v>—</x:v>
      </x:c>
      <x:c r="G7" s="64" t="str">
        <x:v>trockenes Gewicht, g/W, Zyklus, Fotos</x:v>
      </x:c>
      <x:c r="H7" s="37" t="str">
        <x:v>gesetzlichen Bestand berücksichtigen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Default Cycle</x:v>
      </x:c>
      <x:c r="D1" s="14" t="str">
        <x:v>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32" t="str">
        <x:v>Double Grape — Mephisto</x:v>
      </x:c>
      <x:c r="B2" s="62" t="str">
        <x:v>Auto F7</x:v>
      </x:c>
      <x:c r="C2" s="62" t="str">
        <x:v>70–80 d</x:v>
      </x:c>
      <x:c r="D2" s="62" t="str">
        <x:v>55–80 cm</x:v>
      </x:c>
      <x:c r="E2" s="62" t="str">
        <x:v>LST gut</x:v>
      </x:c>
      <x:c r="F2" s="62" t="str">
        <x:v>95/100</x:v>
      </x:c>
      <x:c r="G2" s="62" t="str">
        <x:v>kompakt, harzig, dokumentiert</x:v>
      </x:c>
      <x:c r="H2" s="62" t="str">
        <x:v>hohe Potenz</x:v>
      </x:c>
      <x:c r="I2" s="62" t="str">
        <x:v>Masterplan Default</x:v>
      </x:c>
      <x:c r="J2" s="33" t="str">
        <x:v>https://eu.mephistogenetics.com/products/double-grape</x:v>
      </x:c>
    </x:row>
    <x:row r="3">
      <x:c r="A3" s="34" t="str">
        <x:v>Auto Night Queen — Dutch Passion</x:v>
      </x:c>
      <x:c r="B3" s="63" t="str">
        <x:v>Auto</x:v>
      </x:c>
      <x:c r="C3" s="63" t="str">
        <x:v>~70–77 d</x:v>
      </x:c>
      <x:c r="D3" s="63" t="str">
        <x:v>meist 50–70 cm</x:v>
      </x:c>
      <x:c r="E3" s="63" t="str">
        <x:v>wenig Training nötig</x:v>
      </x:c>
      <x:c r="F3" s="63" t="str">
        <x:v>92/100</x:v>
      </x:c>
      <x:c r="G3" s="63" t="str">
        <x:v>kompakt/robust</x:v>
      </x:c>
      <x:c r="H3" s="63" t="str">
        <x:v>dichte Colas</x:v>
      </x:c>
      <x:c r="I3" s="63" t="str">
        <x:v>LF spät besonders streng</x:v>
      </x:c>
      <x:c r="J3" s="35" t="str">
        <x:v>https://dutch-passion.com/de/hanfsamen/auto-night-queen</x:v>
      </x:c>
    </x:row>
    <x:row r="4">
      <x:c r="A4" s="34" t="str">
        <x:v>Auto Cinderella Jack — Dutch Passion</x:v>
      </x:c>
      <x:c r="B4" s="63" t="str">
        <x:v>Auto</x:v>
      </x:c>
      <x:c r="C4" s="63" t="str">
        <x:v>~70–77+ d</x:v>
      </x:c>
      <x:c r="D4" s="63" t="str">
        <x:v>kompakt–mittel</x:v>
      </x:c>
      <x:c r="E4" s="63" t="str">
        <x:v>vorsichtig</x:v>
      </x:c>
      <x:c r="F4" s="63" t="str">
        <x:v>90/100</x:v>
      </x:c>
      <x:c r="G4" s="63" t="str">
        <x:v>Kleinlampen-Referenzen</x:v>
      </x:c>
      <x:c r="H4" s="63" t="str">
        <x:v>Potenz/Volumen</x:v>
      </x:c>
      <x:c r="I4" s="63" t="str">
        <x:v>Training konservativer</x:v>
      </x:c>
      <x:c r="J4" s="35" t="str">
        <x:v>https://dutch-passion.com/de/hanfsamen/auto-cinderella-jack</x:v>
      </x:c>
    </x:row>
    <x:row r="5">
      <x:c r="A5" s="34" t="str">
        <x:v>Sour Stomper — Mephisto</x:v>
      </x:c>
      <x:c r="B5" s="63" t="str">
        <x:v>Auto F7</x:v>
      </x:c>
      <x:c r="C5" s="63" t="str">
        <x:v>65–75 d</x:v>
      </x:c>
      <x:c r="D5" s="63" t="str">
        <x:v>60–100 cm</x:v>
      </x:c>
      <x:c r="E5" s="63" t="str">
        <x:v>LST</x:v>
      </x:c>
      <x:c r="F5" s="63" t="str">
        <x:v>89/100</x:v>
      </x:c>
      <x:c r="G5" s="63" t="str">
        <x:v>Aroma/Homogenität</x:v>
      </x:c>
      <x:c r="H5" s="63" t="str">
        <x:v>Stretch/Geruch</x:v>
      </x:c>
      <x:c r="I5" s="63" t="str">
        <x:v>früheres LST/Canopylimit</x:v>
      </x:c>
      <x:c r="J5" s="35" t="str">
        <x:v>https://eu.mephistogenetics.com/products/sour-stomper</x:v>
      </x:c>
    </x:row>
    <x:row r="6">
      <x:c r="A6" s="36" t="str">
        <x:v>Banana Purple Punch — Fast Buds</x:v>
      </x:c>
      <x:c r="B6" s="64" t="str">
        <x:v>Auto</x:v>
      </x:c>
      <x:c r="C6" s="64" t="str">
        <x:v>~56–70 d</x:v>
      </x:c>
      <x:c r="D6" s="64" t="str">
        <x:v>80–120 cm</x:v>
      </x:c>
      <x:c r="E6" s="64" t="str">
        <x:v>LST vorsichtig</x:v>
      </x:c>
      <x:c r="F6" s="64" t="str">
        <x:v>87/100</x:v>
      </x:c>
      <x:c r="G6" s="64" t="str">
        <x:v>moderne Harz-/Dessertqualität</x:v>
      </x:c>
      <x:c r="H6" s="64" t="str">
        <x:v>dichte Buds, schneller Zyklus</x:v>
      </x:c>
      <x:c r="I6" s="64" t="str">
        <x:v>Timeline ggf. 1–2 Wochen komprimieren</x:v>
      </x:c>
      <x:c r="J6" s="37" t="str">
        <x:v>https://2fast4buds.com/de/seeds/banana-purple-punch-auto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Blumat-Tank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Nein</x:v>
      </x:c>
      <x:c r="J15" s="63" t="str">
        <x:v>Organische Extrakte</x:v>
      </x:c>
      <x:c r="K15" s="63" t="str">
        <x:v>Nicht in mineralischem Blumat-Reference Stack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Nein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Blumat-Coco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Nein</x:v>
      </x:c>
      <x:c r="J30" s="63" t="str">
        <x:v>organische Inputs</x:v>
      </x:c>
      <x:c r="K30" s="63" t="str">
        <x:v>Blumat-Tank/Biofilm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CLEANING ONLY</x:v>
      </x:c>
      <x:c r="I50" s="63" t="str">
        <x:v>Ja (separat)</x:v>
      </x:c>
      <x:c r="J50" s="63" t="str">
        <x:v>HOCl-Reiniger</x:v>
      </x:c>
      <x:c r="K50" s="63" t="str">
        <x:v>Mechanistischer Konflikt mit lebenden Mikroben: zeitlich trennen</x:v>
      </x:c>
      <x:c r="L50" s="35" t="str">
        <x:v>https://www.advancednutrients.com/products/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Avoid tank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Avoid tank</x:v>
      </x:c>
      <x:c r="J54" s="63" t="str">
        <x:v>Fischhydrolysat + PK + Ca/Mg/Fe/S</x:v>
      </x:c>
      <x:c r="K54" s="63" t="str">
        <x:v>Nicht mineralischer Blumat-Stack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Avoid tank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NO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UKD-HESI Reference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</x:sheetData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a8d8fcf9184d4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32" t="str">
        <x:v>K ↑ → Ca/Mg ↓</x:v>
      </x:c>
      <x:c r="B2" s="62" t="str">
        <x:v>HESI warnt offiziell vor K-Überschuss; Cannabis-Studien zeigen kationische Konkurrenz/verschobene Gewebegehalte</x:v>
      </x:c>
      <x:c r="C2" s="62" t="str">
        <x:v>PK13/14, Big Bud, Big Bud Coco, Bud Ignitor, Overdrive, Rhino Skin, pH Up</x:v>
      </x:c>
      <x:c r="D2" s="62" t="str">
        <x:v>Sehr hoch</x:v>
      </x:c>
      <x:c r="E2" s="62" t="str">
        <x:v>Keine multiplen K/PK-Booster; Ca/Mg-Diagnose nicht automatisch durch mehr CalMag 'reparieren'</x:v>
      </x:c>
      <x:c r="F2" s="62" t="str">
        <x:v>A</x:v>
      </x:c>
      <x:c r="G2" s="33" t="str">
        <x:v>https://hesi.nl/de/PK-13-14 ; https://www.frontiersin.org/journals/plant-science/articles/10.3389/fpls.2024.1501484/full</x:v>
      </x:c>
    </x:row>
    <x:row r="3">
      <x:c r="A3" s="34" t="str">
        <x:v>Mg ↑ → Ca/K-Aufnahme ↓</x:v>
      </x:c>
      <x:c r="B3" s="63" t="str">
        <x:v>Hohe Mg-Versorgung hemmte Ca- und K-Aufnahme/Translokation in Cannabis</x:v>
      </x:c>
      <x:c r="C3" s="63" t="str">
        <x:v>HESI CalMag, Sensi Cal Mag Xtra, Big Bud Coco, Overdrive, Bud Candy</x:v>
      </x:c>
      <x:c r="D3" s="63" t="str">
        <x:v>Sehr hoch</x:v>
      </x:c>
      <x:c r="E3" s="63" t="str">
        <x:v>CalMag nur nach Wasseranalyse/Bedarf; nicht zwei CalMag-Systeme stapeln</x:v>
      </x:c>
      <x:c r="F3" s="63" t="str">
        <x:v>A</x:v>
      </x:c>
      <x:c r="G3" s="35" t="str">
        <x:v>https://pubmed.ncbi.nlm.nih.gov/37514290/</x:v>
      </x:c>
    </x:row>
    <x:row r="4">
      <x:c r="A4" s="34" t="str">
        <x:v>P/K ↑ → Blatt-Mg ↓</x:v>
      </x:c>
      <x:c r="B4" s="63" t="str">
        <x:v>Vegetative Cannabis-RSM: steigendes P und K senkte Mg-Konzentration in Blättern</x:v>
      </x:c>
      <x:c r="C4" s="63" t="str">
        <x:v>PK13/14, Big Bud, Bud Ignitor, Overdrive, pH Down</x:v>
      </x:c>
      <x:c r="D4" s="63" t="str">
        <x:v>Hoch</x:v>
      </x:c>
      <x:c r="E4" s="63" t="str">
        <x:v>PK nicht als universellen Qualitätshebel behandeln</x:v>
      </x:c>
      <x:c r="F4" s="63" t="str">
        <x:v>A</x:v>
      </x:c>
      <x:c r="G4" s="35" t="str">
        <x:v>https://www.frontiersin.org/journals/plant-science/articles/10.3389/fpls.2024.1501484/full</x:v>
      </x:c>
    </x:row>
    <x:row r="5">
      <x:c r="A5" s="34" t="str">
        <x:v>P-Überversorgung</x:v>
      </x:c>
      <x:c r="B5" s="63" t="str">
        <x:v>25–75/90 mg/L P bzw. höhere EC steigerten P-Anreicherung, nicht zuverlässig Ertrag/Cannabinoide</x:v>
      </x:c>
      <x:c r="C5" s="63" t="str">
        <x:v>alle PK-Booster, pH Down als zusätzliche P-Quelle</x:v>
      </x:c>
      <x:c r="D5" s="63" t="str">
        <x:v>Sehr hoch</x:v>
      </x:c>
      <x:c r="E5" s="63" t="str">
        <x:v>Ein Bloom-PK-Regime; keine Booster-Kaskade</x:v>
      </x:c>
      <x:c r="F5" s="63" t="str">
        <x:v>A</x:v>
      </x:c>
      <x:c r="G5" s="35" t="str">
        <x:v>https://www.frontiersin.org/journals/plant-science/articles/10.3389/fpls.2022.1015652/full ; https://www.frontiersin.org/journals/plant-science/articles/10.3389/fpls.2025.1433985/full</x:v>
      </x:c>
    </x:row>
    <x:row r="6">
      <x:c r="A6" s="34" t="str">
        <x:v>K-Überversorgung</x:v>
      </x:c>
      <x:c r="B6" s="63" t="str">
        <x:v>Blütenertrag reagierte im getesteten Bereich nicht auf zusätzliches K; kommerzielle 300–400 mg/L können unnötig hoch sein</x:v>
      </x:c>
      <x:c r="C6" s="63" t="str">
        <x:v>PK13/14, Big Bud/BB Coco, Rhino Skin, pH Up</x:v>
      </x:c>
      <x:c r="D6" s="63" t="str">
        <x:v>Hoch</x:v>
      </x:c>
      <x:c r="E6" s="63" t="str">
        <x:v>K-haltige Additive als Gesamt-K-Last betrachten</x:v>
      </x:c>
      <x:c r="F6" s="63" t="str">
        <x:v>A</x:v>
      </x:c>
      <x:c r="G6" s="35" t="str">
        <x:v>https://www.frontiersin.org/journals/plant-science/articles/10.3389/fpls.2021.764103/full</x:v>
      </x:c>
    </x:row>
    <x:row r="7">
      <x:c r="A7" s="34" t="str">
        <x:v>Ca/Mg im Coco</x:v>
      </x:c>
      <x:c r="B7" s="63" t="str">
        <x:v>Coco-spezifische Basen enthalten bereits Ca/Mg; zusätzlicher Bedarf hängt vom Wasser ab</x:v>
      </x:c>
      <x:c r="C7" s="63" t="str">
        <x:v>HESI Coco, Sensi Coco, Big Bud Coco, CalMag-Produkte</x:v>
      </x:c>
      <x:c r="D7" s="63" t="str">
        <x:v>Sehr hoch</x:v>
      </x:c>
      <x:c r="E7" s="63" t="str">
        <x:v>Wasser zuerst analysieren; Basisinhalt berücksichtigen</x:v>
      </x:c>
      <x:c r="F7" s="63" t="str">
        <x:v>A Hersteller</x:v>
      </x:c>
      <x:c r="G7" s="35" t="str">
        <x:v>https://hesi.nl/de/COCO ; https://www.advancednutrients.com/de/products/ph-perfect-sensi-coco-grow-bloom/</x:v>
      </x:c>
    </x:row>
    <x:row r="8">
      <x:c r="A8" s="34" t="str">
        <x:v>Silizium-Duplikation</x:v>
      </x:c>
      <x:c r="B8" s="63" t="str">
        <x:v>Hesilicio = Orthosilicic Acid; Rhino Skin = Kaliumsilikat</x:v>
      </x:c>
      <x:c r="C8" s="63" t="str">
        <x:v>Hesilicio + Rhino Skin</x:v>
      </x:c>
      <x:c r="D8" s="63" t="str">
        <x:v>Mittel/Hoch</x:v>
      </x:c>
      <x:c r="E8" s="63" t="str">
        <x:v>Eines wählen; Orthosilicic Acid bevorzugt im HESI Reference aus Konsistenzgründen</x:v>
      </x:c>
      <x:c r="F8" s="63" t="str">
        <x:v>A Hersteller + UKD-Inferenz</x:v>
      </x:c>
      <x:c r="G8" s="35" t="str">
        <x:v>https://hesi.nl/de/Hesilicio ; https://www.advancednutrients.com/de/products/rhino-skin/</x:v>
      </x:c>
    </x:row>
    <x:row r="9">
      <x:c r="A9" s="34" t="str">
        <x:v>Enzym-Duplikation</x:v>
      </x:c>
      <x:c r="B9" s="63" t="str">
        <x:v>PowerZyme und Sensizym verfolgen beide den Abbau organischer/Wurzelreste</x:v>
      </x:c>
      <x:c r="C9" s="63" t="str">
        <x:v>PowerZyme + Sensizym</x:v>
      </x:c>
      <x:c r="D9" s="63" t="str">
        <x:v>Mittel</x:v>
      </x:c>
      <x:c r="E9" s="63" t="str">
        <x:v>Eines wählen; PowerZyme im HESI Reference</x:v>
      </x:c>
      <x:c r="F9" s="63" t="str">
        <x:v>A Hersteller</x:v>
      </x:c>
      <x:c r="G9" s="35" t="str">
        <x:v>https://hesi.nl/de/PowerZyme ; https://www.advancednutrients.com/de/products/sensizym/</x:v>
      </x:c>
    </x:row>
    <x:row r="10">
      <x:c r="A10" s="34" t="str">
        <x:v>Mikroben vs. HOCl</x:v>
      </x:c>
      <x:c r="B10" s="63" t="str">
        <x:v>Flo &amp; Gro ist Hypochlorsäure-Reiniger; lebende Mikroben sind biologisch gegensätzliche Betriebsmodi</x:v>
      </x:c>
      <x:c r="C10" s="63" t="str">
        <x:v>Voodoo/Piranha/Tarantula vs Flo &amp; Gro</x:v>
      </x:c>
      <x:c r="D10" s="63" t="str">
        <x:v>Sehr hoch</x:v>
      </x:c>
      <x:c r="E10" s="63" t="str">
        <x:v>Nicht gleichzeitig dosieren; Sanitizing und Inokulation zeitlich trennen</x:v>
      </x:c>
      <x:c r="F10" s="63" t="str">
        <x:v>A Produktidentität + mechanistische Inferenz</x:v>
      </x:c>
      <x:c r="G10" s="35" t="str">
        <x:v>https://www.advancednutrients.com/products/</x:v>
      </x:c>
    </x:row>
    <x:row r="11">
      <x:c r="A11" s="34" t="str">
        <x:v>Kohlenhydrate + Mikroben + Tank</x:v>
      </x:c>
      <x:c r="B11" s="63" t="str">
        <x:v>Carbo-/organische Zusätze ernähren Mikroben; Praxis zeigt höhere Tank-/Biofilm-Komplexität</x:v>
      </x:c>
      <x:c r="C11" s="63" t="str">
        <x:v>Bud Candy, CarboLoad, HESI Boost + Mikroben</x:v>
      </x:c>
      <x:c r="D11" s="63" t="str">
        <x:v>Hoch</x:v>
      </x:c>
      <x:c r="E11" s="63" t="str">
        <x:v>Bei Blumat frisch/manuell testen, nicht warm stagnieren lassen</x:v>
      </x:c>
      <x:c r="F11" s="63" t="str">
        <x:v>B + Systeminferenz</x:v>
      </x:c>
      <x:c r="G11" s="35" t="str">
        <x:v>https://www.blumat.com/de/faq/tropf-blumat ; https://www.rollitup.org/t/reservoir-is-getting-muddy-advanced-nutrients-additives.1041450/</x:v>
      </x:c>
    </x:row>
    <x:row r="12">
      <x:c r="A12" s="36" t="str">
        <x:v>EC ist Summenparameter</x:v>
      </x:c>
      <x:c r="B12" s="64" t="str">
        <x:v>Höhere EC zeigte in Cannabis nicht automatisch höheren Ertrag/Qualität; organisch gebundene Anteile können EC schlecht abbilden</x:v>
      </x:c>
      <x:c r="C12" s="64" t="str">
        <x:v>alle Produkte; besonders TNT</x:v>
      </x:c>
      <x:c r="D12" s="64" t="str">
        <x:v>Sehr hoch</x:v>
      </x:c>
      <x:c r="E12" s="64" t="str">
        <x:v>EC + Dosis + Wasseranalyse + Drain + Symptome gemeinsam interpretieren</x:v>
      </x:c>
      <x:c r="F12" s="64" t="str">
        <x:v>A</x:v>
      </x:c>
      <x:c r="G12" s="37" t="str">
        <x:v>https://www.frontiersin.org/journals/plant-science/articles/10.3389/fpls.2025.1433985/full ; https://hesi.nl/de/TNT-COMPLEX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HESI Reference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Wiederkehrende Nutzer-/Profi-Erfahrung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32" t="str">
        <x:v>HESI Coco Dosis</x:v>
      </x:c>
      <x:c r="B2" s="62" t="str">
        <x:v>5 ml/L bei jedem Gießen</x:v>
      </x:c>
      <x:c r="C2" s="62" t="str">
        <x:v>Grower.ch-Erfahrung empfiehlt häufig deutlich niedriger starten (~1/4) und steigern; Berichte zu guter Performance, aber auch N-reichem Eindruck</x:v>
      </x:c>
      <x:c r="D2" s="62" t="str">
        <x:v>Herstellerdosis als Oberreferenz, UKD konservativ und messwertbasiert</x:v>
      </x:c>
      <x:c r="E2" s="62" t="str">
        <x:v>B</x:v>
      </x:c>
      <x:c r="F2" s="33" t="str">
        <x:v>https://www.grower.ch/forum/threads/hesi-duenger-fuer-coco.155701/ ; https://www.grower.ch/forum/threads/hesi-coco-duenger-erfahrung-kein-a-b.140163/</x:v>
      </x:c>
    </x:row>
    <x:row r="3">
      <x:c r="A3" s="34" t="str">
        <x:v>AN pH Perfect Basis allein</x:v>
      </x:c>
      <x:c r="B3" s="63" t="str">
        <x:v>automatische Stabilisierung 5.5–6.3, bis eine Woche behauptet</x:v>
      </x:c>
      <x:c r="C3" s="63" t="str">
        <x:v>Einige Nutzer berichten gute Alltagstauglichkeit; andere Drift von 0.5–1.0/24 h, besonders RO/Reservoir</x:v>
      </x:c>
      <x:c r="D3" s="63" t="str">
        <x:v>Trotz pH Perfect im UKD messen/loggen; Technologie nicht als Messverbot behandeln</x:v>
      </x:c>
      <x:c r="E3" s="63" t="str">
        <x:v>B</x:v>
      </x:c>
      <x:c r="F3" s="35" t="str">
        <x:v>https://www.grower.ch/forum/threads/ph-stabilster-duenger.185789/ ; https://www.grower.ch/forum/threads/advanced-nutrients-ph-wert-instabil.143518/</x:v>
      </x:c>
    </x:row>
    <x:row r="4">
      <x:c r="A4" s="34" t="str">
        <x:v>AN Full Stack</x:v>
      </x:c>
      <x:c r="B4" s="63" t="str">
        <x:v>Hersteller sagt eigene Produkte sind systematisch kompatibel</x:v>
      </x:c>
      <x:c r="C4" s="63" t="str">
        <x:v>Bei Sensi Coco + Rhino/Sensizym/B-52/BudCandy wurde starker pH-Abfall berichtet; andere Anwender fahren Full Stack erfolgreich</x:v>
      </x:c>
      <x:c r="D4" s="63" t="str">
        <x:v>Kompatibel ≠ optimal; Reference minimal, volle Stacks nur A/B</x:v>
      </x:c>
      <x:c r="E4" s="63" t="str">
        <x:v>B</x:v>
      </x:c>
      <x:c r="F4" s="35" t="str">
        <x:v>https://www.grower.ch/forum/threads/advanced-nutrients-ph-wert-instabil.143518/</x:v>
      </x:c>
    </x:row>
    <x:row r="5">
      <x:c r="A5" s="34" t="str">
        <x:v>AN Additive in Reservoir</x:v>
      </x:c>
      <x:c r="B5" s="63" t="str">
        <x:v>viele Produkte als drip/hydro safe gelistet</x:v>
      </x:c>
      <x:c r="C5" s="63" t="str">
        <x:v>Rollitup berichtet Schleim bei Big Bud Coco/Overdrive in Reservoir; Einzelfälle, aber systemrelevant</x:v>
      </x:c>
      <x:c r="D5" s="63" t="str">
        <x:v>Bei Blumat besonders Carbo/Mikroben/komplexe Additive frisch oder separat</x:v>
      </x:c>
      <x:c r="E5" s="63" t="str">
        <x:v>C/B pattern</x:v>
      </x:c>
      <x:c r="F5" s="35" t="str">
        <x:v>https://www.rollitup.org/t/reservoir-is-getting-muddy-advanced-nutrients-additives.1041450/</x:v>
      </x:c>
    </x:row>
    <x:row r="6">
      <x:c r="A6" s="34" t="str">
        <x:v>AN Produktzufriedenheit</x:v>
      </x:c>
      <x:c r="B6" s="63" t="str">
        <x:v>Hersteller Marketing sehr positiv</x:v>
      </x:c>
      <x:c r="C6" s="63" t="str">
        <x:v>GrowDiaries: Big Bud Coco ~9.3/10 bei ~1K Diaries; viele AN-Produkte ~9.3–9.4 bei Tausenden Diaries</x:v>
      </x:c>
      <x:c r="D6" s="63" t="str">
        <x:v>Zeigt breite Nutzung/Zufriedenheit, aber keine kausale Wirksamkeit</x:v>
      </x:c>
      <x:c r="E6" s="63" t="str">
        <x:v>B descriptive</x:v>
      </x:c>
      <x:c r="F6" s="35" t="str">
        <x:v>https://growdiaries.com/seedbank/advanced-nutrients/big-bud-coco</x:v>
      </x:c>
    </x:row>
    <x:row r="7">
      <x:c r="A7" s="34" t="str">
        <x:v>HESI+AN Hybrid</x:v>
      </x:c>
      <x:c r="B7" s="63" t="str">
        <x:v>AN erklärt viele Additive als kompatibel mit Konkurrenzbasen</x:v>
      </x:c>
      <x:c r="C7" s="63" t="str">
        <x:v>Community nutzt Mischungen, aber Dosierungen werden oft reduziert; häufige Warnung 'more is not better'</x:v>
      </x:c>
      <x:c r="D7" s="63" t="str">
        <x:v>Hybrid technisch plausibel, aber nur wenige ausgewählte Additive</x:v>
      </x:c>
      <x:c r="E7" s="63" t="str">
        <x:v>B</x:v>
      </x:c>
      <x:c r="F7" s="35" t="str">
        <x:v>https://growdiaries.com/grow-questions/14519-nutriment</x:v>
      </x:c>
    </x:row>
    <x:row r="8">
      <x:c r="A8" s="34" t="str">
        <x:v>pH Perfect + Fremdprodukte</x:v>
      </x:c>
      <x:c r="B8" s="63" t="str">
        <x:v>AN: pH-Perfect-Wurzelzonen-pH kann bei Fremdprodukten nicht garantiert werden</x:v>
      </x:c>
      <x:c r="C8" s="63" t="str">
        <x:v>Praxis zeigt variable Ergebnisse</x:v>
      </x:c>
      <x:c r="D8" s="63" t="str">
        <x:v>HESI+AN Hybrid = normales pH-Monitoring, nicht 'pH Perfect'</x:v>
      </x:c>
      <x:c r="E8" s="63" t="str">
        <x:v>A+B</x:v>
      </x:c>
      <x:c r="F8" s="35" t="str">
        <x:v>https://www.advancednutrients.com/de/secret-menu/ph-up-ph-down/</x:v>
      </x:c>
    </x:row>
    <x:row r="9">
      <x:c r="A9" s="36" t="str">
        <x:v>PK-Booster-Kaskade</x:v>
      </x:c>
      <x:c r="B9" s="64" t="str">
        <x:v>AN vermarktet Bud Ignitor→Big Bud→Overdrive als 3 Phasen</x:v>
      </x:c>
      <x:c r="C9" s="64" t="str">
        <x:v>Grower nutzen Sequenz erfolgreich, aber Wissenschaft zeigt wenig Nutzen von P/EC-Überversorgung</x:v>
      </x:c>
      <x:c r="D9" s="64" t="str">
        <x:v>Sequenz in Full-AN denkbar; nicht zusätzlich HESI PK maximieren</x:v>
      </x:c>
      <x:c r="E9" s="64" t="str">
        <x:v>A+B</x:v>
      </x:c>
      <x:c r="F9" s="37" t="str">
        <x:v>https://www.advancednutrients.com/products/ ; https://www.frontiersin.org/journals/plant-science/articles/10.3389/fpls.2025.1433985/full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32" t="str">
        <x:v>Athena Balance</x:v>
      </x:c>
      <x:c r="B12" s="62" t="str">
        <x:v>vor Dünger; besonders RO; pH anheben/puffern</x:v>
      </x:c>
      <x:c r="C12" s="62" t="str">
        <x:v>kein belastbarer Cross-brand-HESI-Großdatensatz</x:v>
      </x:c>
      <x:c r="D12" s="62" t="str">
        <x:v>als bedarfsabhängiges Wasser-Conditioning behandeln, Testbatch protokollieren</x:v>
      </x:c>
      <x:c r="E12" s="62" t="str">
        <x:v>A + Unsicherheit</x:v>
      </x:c>
      <x:c r="F12" s="33" t="str">
        <x:v>https://store.athenaag.com/balance/</x:v>
      </x:c>
    </x:row>
    <x:row r="13">
      <x:c r="A13" s="34" t="str">
        <x:v>Grand Master Vollstack</x:v>
      </x:c>
      <x:c r="B13" s="201" t="str">
        <x:v>klassisches Level kumuliert 13 Additive</x:v>
      </x:c>
      <x:c r="C13" s="201" t="str">
        <x:v>Foren/Diaries berichten wiederholt Überfütterung/zu hohe EC bei blindem Vollschema</x:v>
      </x:c>
      <x:c r="D13" s="201" t="str">
        <x:v>bei Auto/HESI-Hybrid neue Additive 25–50% Label starten; nur erhöhen wenn Daten es tragen</x:v>
      </x:c>
      <x:c r="E13" s="201" t="str">
        <x:v>B/C</x:v>
      </x:c>
      <x:c r="F13" s="35" t="str">
        <x:v>https://www.rollitup.org/t/advanced-nutrients-feeding-chart-chaos.974475/</x:v>
      </x:c>
    </x:row>
    <x:row r="14">
      <x:c r="A14" s="34" t="str">
        <x:v>Grand Master auf Autos</x:v>
      </x:c>
      <x:c r="B14" s="201" t="str">
        <x:v>Herstellercharts sind phasenbezogen, nicht auto-spezifisch</x:v>
      </x:c>
      <x:c r="C14" s="201" t="str">
        <x:v>Auto-Community empfiehlt konservativer und triggerbasiert</x:v>
      </x:c>
      <x:c r="D14" s="201" t="str">
        <x:v>Preflower/Budlets statt starrem Kalendertag; EC und Blattreaktion dominieren</x:v>
      </x:c>
      <x:c r="E14" s="201" t="str">
        <x:v>C</x:v>
      </x:c>
      <x:c r="F14" s="35" t="str">
        <x:v>https://growdiaries.com/grow-questions/72152-autoflowers-nutrients-feeding-plan</x:v>
      </x:c>
    </x:row>
    <x:row r="15">
      <x:c r="A15" s="34" t="str">
        <x:v>Rhino Skin + Balance</x:v>
      </x:c>
      <x:c r="B15" s="201" t="str">
        <x:v>beide sind Silizium/K-Systeme</x:v>
      </x:c>
      <x:c r="C15" s="201" t="str">
        <x:v>kein sinnvoller Grund für Standardduplikation im kleinen System</x:v>
      </x:c>
      <x:c r="D15" s="201" t="str">
        <x:v>Rhino Skin AUS wenn Balance genutzt</x:v>
      </x:c>
      <x:c r="E15" s="201" t="str">
        <x:v>A + Inferenz</x:v>
      </x:c>
      <x:c r="F15" s="35" t="str">
        <x:v>https://www.advancednutrients.com/de/products/rhino-skin/ ; https://store.athenaag.com/balance/</x:v>
      </x:c>
    </x:row>
    <x:row r="16">
      <x:c r="A16" s="36" t="str">
        <x:v>Tasty Terpenes</x:v>
      </x:c>
      <x:c r="B16" s="64" t="str">
        <x:v>Nirvana wurde 1:1 umbenannt</x:v>
      </x:c>
      <x:c r="C16" s="64" t="str">
        <x:v>ältere Erfahrungsberichte unter Nirvana bleiben produktbezogen relevant</x:v>
      </x:c>
      <x:c r="D16" s="64" t="str">
        <x:v>in Quellen beide Namen suchen, Workbook nutzt aktuellen Namen</x:v>
      </x:c>
      <x:c r="E16" s="64" t="str">
        <x:v>A</x:v>
      </x:c>
      <x:c r="F16" s="37" t="str">
        <x:v>https://www.advancednutrients.com/de/products/tasty-terpenes/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32" t="str">
        <x:v>Pflanzenzahl</x:v>
      </x:c>
      <x:c r="B2" s="62" t="str">
        <x:v>max. 3 lebende Cannabispflanzen gleichzeitig pro erwachsene Person am Wohnsitz</x:v>
      </x:c>
      <x:c r="C2" s="62" t="str">
        <x:v>Reference = 1 Pflanze</x:v>
      </x:c>
      <x:c r="D2" s="62" t="str">
        <x:v>vor Keimung/neuem Run</x:v>
      </x:c>
      <x:c r="E2" s="62" t="str">
        <x:v>Pflanzenzahl protokollieren</x:v>
      </x:c>
      <x:c r="F2" s="33" t="str">
        <x:v>https://www.gesetze-im-internet.de/kcang/__9.html</x:v>
      </x:c>
    </x:row>
    <x:row r="3">
      <x:c r="A3" s="34" t="str">
        <x:v>Besitz am Wohnsitz</x:v>
      </x:c>
      <x:c r="B3" s="63" t="str">
        <x:v>bis 50 g Cannabis, bezogen auf Trockengewicht</x:v>
      </x:c>
      <x:c r="C3" s="63" t="str">
        <x:v>Dry-weight Log</x:v>
      </x:c>
      <x:c r="D3" s="63" t="str">
        <x:v>nach Trocknung</x:v>
      </x:c>
      <x:c r="E3" s="63" t="str">
        <x:v>Bestand prüfen und gesetzeskonform handhaben</x:v>
      </x:c>
      <x:c r="F3" s="35" t="str">
        <x:v>https://www.gesetze-im-internet.de/kcang/__3.html</x:v>
      </x:c>
    </x:row>
    <x:row r="4">
      <x:c r="A4" s="34" t="str">
        <x:v>Weitergabe</x:v>
      </x:c>
      <x:c r="B4" s="63" t="str">
        <x:v>Cannabis aus privatem Eigenanbau nicht an Dritte weitergeben</x:v>
      </x:c>
      <x:c r="C4" s="63" t="str">
        <x:v>keine Weitergabe</x:v>
      </x:c>
      <x:c r="D4" s="63" t="str">
        <x:v>jederzeit</x:v>
      </x:c>
      <x:c r="E4" s="63" t="str">
        <x:v>Zugriff kontrollieren</x:v>
      </x:c>
      <x:c r="F4" s="35" t="str">
        <x:v>https://www.gesetze-im-internet.de/kcang/__9.html</x:v>
      </x:c>
    </x:row>
    <x:row r="5">
      <x:c r="A5" s="34" t="str">
        <x:v>Zugriffsschutz</x:v>
      </x:c>
      <x:c r="B5" s="63" t="str">
        <x:v>Cannabis/Vermehrungsmaterial vor Dritten, besonders Minderjährigen schützen</x:v>
      </x:c>
      <x:c r="C5" s="63" t="str">
        <x:v>abschließbarer Bereich</x:v>
      </x:c>
      <x:c r="D5" s="63" t="str">
        <x:v>jederzeit</x:v>
      </x:c>
      <x:c r="E5" s="63" t="str">
        <x:v>Lock/Access Check</x:v>
      </x:c>
      <x:c r="F5" s="35" t="str">
        <x:v>https://www.gesetze-im-internet.de/kcang/</x:v>
      </x:c>
    </x:row>
    <x:row r="6">
      <x:c r="A6" s="34" t="str">
        <x:v>Elektrik/Wasser</x:v>
      </x:c>
      <x:c r="B6" s="63" t="str">
        <x:v>FI/RCD, Tropfschleifen, Steckverbindungen außerhalb Wanne</x:v>
      </x:c>
      <x:c r="C6" s="63" t="str">
        <x:v>keine Netzteile auf Boden</x:v>
      </x:c>
      <x:c r="D6" s="63" t="str">
        <x:v>Leck/Feuchte</x:v>
      </x:c>
      <x:c r="E6" s="63" t="str">
        <x:v>Strom trennen</x:v>
      </x:c>
      <x:c r="F6" s="35" t="str">
        <x:v>UKD Engineering</x:v>
      </x:c>
    </x:row>
    <x:row r="7">
      <x:c r="A7" s="36" t="str">
        <x:v>Blumat Indoor</x:v>
      </x:c>
      <x:c r="B7" s="64" t="str">
        <x:v>Hersteller weist Tropf-Blumat als nicht für Indoor vorgesehen aus</x:v>
      </x:c>
      <x:c r="C7" s="64" t="str">
        <x:v>nur mit redundanter Schadensbegrenzung verwenden</x:v>
      </x:c>
      <x:c r="D7" s="64" t="str">
        <x:v>Installation</x:v>
      </x:c>
      <x:c r="E7" s="64" t="str">
        <x:v>Wanne + Alarm + Reservoirlimit + Shutoff</x:v>
      </x:c>
      <x:c r="F7" s="37" t="str">
        <x:v>https://www.blumat.com/de/app/what-should-i-do-if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nicht für Indoor vorgesehen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Nirvana umbenannt; 2 ml/L G1–4; B3–7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5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211" t="str">
        <x:v>Punkt</x:v>
      </x:c>
      <x:c r="B3" s="1211" t="str">
        <x:v>Regel</x:v>
      </x:c>
    </x:row>
    <x:row r="4">
      <x:c r="A4" s="32" t="str">
        <x:v>1</x:v>
      </x:c>
      <x:c r="B4" s="33" t="str">
        <x:v>Der Plan ist ein optimierter Start-/Regelrahmen, keine Ertrags- oder Laborwertgarantie.</x:v>
      </x:c>
    </x:row>
    <x:row r="5">
      <x:c r="A5" s="34" t="str">
        <x:v>2</x:v>
      </x:c>
      <x:c r="B5" s="35" t="str">
        <x:v>PPFD, Blattzustand, Temperatur, Wasseraufnahme, Input-/Drain-EC und pH haben Vorrang vor Watt, Lampenabstand und ml/L.</x:v>
      </x:c>
    </x:row>
    <x:row r="6">
      <x:c r="A6" s="34" t="str">
        <x:v>3</x:v>
      </x:c>
      <x:c r="B6" s="35" t="str">
        <x:v>TNT→Coco ist phasengetrennt. Bei Auto entscheidet echte Preflower, nicht nur der Kalendertag.</x:v>
      </x:c>
    </x:row>
    <x:row r="7">
      <x:c r="A7" s="34" t="str">
        <x:v>4</x:v>
      </x:c>
      <x:c r="B7" s="35" t="str">
        <x:v>pH Perfect ist eine Eigenschaft abgestimmter AN-Basislinien. Im HESI-Hybrid bleibt pH-Messung Pflicht.</x:v>
      </x:c>
    </x:row>
    <x:row r="8">
      <x:c r="A8" s="34" t="str">
        <x:v>5</x:v>
      </x:c>
      <x:c r="B8" s="35" t="str">
        <x:v>Alle AN-Produkte stehen im Produktkatalog; Reference=0 bedeutet bewusst nicht verwendet, nicht 'inkompatibel'.</x:v>
      </x:c>
    </x:row>
    <x:row r="9">
      <x:c r="A9" s="34" t="str">
        <x:v>6</x:v>
      </x:c>
      <x:c r="B9" s="35" t="str">
        <x:v>Bei A/B-Tests pro Run möglichst nur eine Funktionsklasse ändern.</x:v>
      </x:c>
    </x:row>
    <x:row r="10">
      <x:c r="A10" s="34" t="str">
        <x:v>7</x:v>
      </x:c>
      <x:c r="B10" s="35" t="str">
        <x:v>Blumat ist bedarfsgerecht; Wasser-Literwerte sind Planungsbänder. Ein Sensor-/Gewichts-/Leckage-Regelkreis entscheidet real.</x:v>
      </x:c>
    </x:row>
    <x:row r="11">
      <x:c r="A11" s="34" t="str">
        <x:v>8</x:v>
      </x:c>
      <x:c r="B11" s="35" t="str">
        <x:v>Tropf-Blumat wird vom Hersteller nicht für Indoor freigegeben; Indoor-Betrieb braucht redundante Schadensbegrenzung.</x:v>
      </x:c>
    </x:row>
    <x:row r="12">
      <x:c r="A12" s="34" t="str">
        <x:v>9</x:v>
      </x:c>
      <x:c r="B12" s="35" t="str">
        <x:v>Nährstoffantagonismen sind wichtiger als 'mehr Booster': K↔Ca/Mg und Mg↔Ca/K beachten.</x:v>
      </x:c>
    </x:row>
    <x:row r="13">
      <x:c r="A13" s="34" t="str">
        <x:v>10</x:v>
      </x:c>
      <x:c r="B13" s="35" t="str">
        <x:v>Datenqualität: A = Hersteller/Primärliteratur/Gesetz; B = wiederkehrende Communityerfahrung; C = Einzelbericht; D = Hersteller-Wirkversprechen.</x:v>
      </x:c>
    </x:row>
    <x:row r="14">
      <x:c r="A14" s="34" t="str">
        <x:v>11</x:v>
      </x:c>
      <x:c r="B14" s="35" t="str">
        <x:v>Reifeentscheidung an Gesamtpflanze/Calyx/Trichomen; Breeder-Tage sind nur Fenster.</x:v>
      </x:c>
    </x:row>
    <x:row r="15">
      <x:c r="A15" s="36" t="str">
        <x:v>12</x:v>
      </x:c>
      <x:c r="B15" s="37" t="str">
        <x:v>Die Tabelle ist für den legalen Eigenanbau im Rahmen der geltenden deutschen Regeln konzipiert.</x:v>
      </x:c>
    </x:row>
    <x:row r="17">
      <x:c r="A17" s="1209" t="str">
        <x:v>v2-Korrektur</x:v>
      </x:c>
      <x:c r="B17" s="1209" t="str">
        <x:v>Bedeutung</x:v>
      </x:c>
    </x:row>
    <x:row r="18">
      <x:c r="A18" s="32" t="str">
        <x:v>Athena Balance</x:v>
      </x:c>
      <x:c r="B18" s="33" t="str">
        <x:v>Das im UKD gewünschte pH-Produkt ist Athena Balance: pH+ / RO-Puffer / Kaliumsilikat. pH Perfect bleibt nur AN-Basis-Technologie.</x:v>
      </x:c>
    </x:row>
    <x:row r="19">
      <x:c r="A19" s="34" t="str">
        <x:v>Balance-Dosierung</x:v>
      </x:c>
      <x:c r="B19" s="35" t="str">
        <x:v>Nicht kalenderfix: Growland nennt 5–26 ml/10 L, tatsächliche Menge wird per Wasser-/pH-Titration bestimmt.</x:v>
      </x:c>
    </x:row>
    <x:row r="20">
      <x:c r="A20" s="34" t="str">
        <x:v>pH Down</x:v>
      </x:c>
      <x:c r="B20" s="35" t="str">
        <x:v>Nur final nach komplettem Nährstoffmix, falls der End-pH zu hoch ist. Säurekonzentration variiert → keine universelle ml/L-Dosis.</x:v>
      </x:c>
    </x:row>
    <x:row r="21">
      <x:c r="A21" s="34" t="str">
        <x:v>Silizium</x:v>
      </x:c>
      <x:c r="B21" s="35" t="str">
        <x:v>Bei aktivem Athena Balance sind Hesilicio und Rhino Skin im Reference-Stack AUS.</x:v>
      </x:c>
    </x:row>
    <x:row r="22">
      <x:c r="A22" s="34" t="str">
        <x:v>Grand Master</x:v>
      </x:c>
      <x:c r="B22" s="35" t="str">
        <x:v>Alle 13 klassischen kumulativen Additive sind in 25_AN_GrandMaster dokumentiert.</x:v>
      </x:c>
    </x:row>
    <x:row r="23">
      <x:c r="A23" s="34" t="str">
        <x:v>Grand Master Hybrid</x:v>
      </x:c>
      <x:c r="B23" s="35" t="str">
        <x:v>Die Datei empfiehlt sie nicht alle gleichzeitig mit HESI; stattdessen einzelne A/B-Module, typischer konservativer Start 25–50% Label für neue Additive.</x:v>
      </x:c>
    </x:row>
    <x:row r="24">
      <x:c r="A24" s="34" t="str">
        <x:v>Biologischer Trigger</x:v>
      </x:c>
      <x:c r="B24" s="35" t="str">
        <x:v>Bei Autoflower bestimmt echte Preflower/Blütenentwicklung die Bloom-Wochen, nicht ein starres Tagesdatum.</x:v>
      </x:c>
    </x:row>
    <x:row r="25">
      <x:c r="A25" s="36" t="str">
        <x:v>Evidenz</x:v>
      </x:c>
      <x:c r="B25" s="37" t="str">
        <x:v>Herstellerdosen sind A-Spezifikation; UKD-Reduktionen sind konservative Systeminferenz gestützt durch wiederkehrende Praxisberichte.</x:v>
      </x:c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pH+ / Wasserpuffer / Kaliumsilikat im UKD-HESI-System</x:v>
      </x:c>
      <x:c r="B1" s="1269"/>
      <x:c r="C1" s="1269"/>
      <x:c r="D1" s="1269"/>
      <x:c r="E1" s="1269"/>
      <x:c r="F1" s="1269"/>
      <x:c r="G1" s="1269"/>
      <x:c r="H1" s="1269"/>
      <x:c r="I1" s="1269"/>
      <x:c r="J1" s="1269"/>
    </x:row>
    <x:row r="3">
      <x:c r="A3" s="1209" t="str">
        <x:v>Aspekt</x:v>
      </x:c>
      <x:c r="B3" s="1209" t="str">
        <x:v>Fakt</x:v>
      </x:c>
      <x:c r="C3" s="1209" t="str">
        <x:v>UKD Bedeutung</x:v>
      </x:c>
      <x:c r="D3" s="1209" t="str">
        <x:v>Mit HESI</x:v>
      </x:c>
      <x:c r="E3" s="1209" t="str">
        <x:v>Mit Balance</x:v>
      </x:c>
      <x:c r="F3" s="1209" t="str">
        <x:v>Mit pH Down</x:v>
      </x:c>
      <x:c r="G3" s="1209" t="str">
        <x:v>Mit PK</x:v>
      </x:c>
      <x:c r="H3" s="1209" t="str">
        <x:v>Blumat/Tank</x:v>
      </x:c>
      <x:c r="I3" s="1209" t="str">
        <x:v>Evidenz</x:v>
      </x:c>
      <x:c r="J3" s="1209" t="str">
        <x:v>Quelle</x:v>
      </x:c>
    </x:row>
    <x:row r="4">
      <x:c r="A4" s="32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sedimentfrei; Reservoir geeignet laut Händler</x:v>
      </x:c>
      <x:c r="I4" s="62" t="str">
        <x:v>A/B</x:v>
      </x:c>
      <x:c r="J4" s="33" t="str">
        <x:v>https://store.athenaag.com/balance/ ; https://www.growland.net/Athena-Balance-946-ml</x:v>
      </x:c>
    </x:row>
    <x:row r="5">
      <x:c r="A5" s="34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35" t="str">
        <x:v>https://www.athenaag.com/water-conditioners</x:v>
      </x:c>
    </x:row>
    <x:row r="6">
      <x:c r="A6" s="34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35" t="str">
        <x:v>https://www.athenaag.com/water-conditioners</x:v>
      </x:c>
    </x:row>
    <x:row r="7">
      <x:c r="A7" s="34" t="str">
        <x:v>Dosierung</x:v>
      </x:c>
      <x:c r="B7" s="201" t="str">
        <x:v>Growland 5–26 ml/10 L; pH-abhängig</x:v>
      </x:c>
      <x:c r="C7" s="201" t="str">
        <x:v>0.5–2.6 ml/L ist kein Kalenderwert, sondern Titrationsbereich</x:v>
      </x:c>
      <x:c r="D7" s="201" t="str">
        <x:v>nicht pauschal täglich gleiche ml/L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</x:v>
      </x:c>
      <x:c r="I7" s="201" t="str">
        <x:v>B/A Händler</x:v>
      </x:c>
      <x:c r="J7" s="35" t="str">
        <x:v>https://www.growland.net/Athena-Balance-946-ml</x:v>
      </x:c>
    </x:row>
    <x:row r="8">
      <x:c r="A8" s="34" t="str">
        <x:v>Ziel-pH Coco</x:v>
      </x:c>
      <x:c r="B8" s="201" t="str">
        <x:v>Athena nennt Coco/Steinwolle typ. 5.8–6.2</x:v>
      </x:c>
      <x:c r="C8" s="201" t="str">
        <x:v>UKD-Endmix 5.8–6.0/6.1</x:v>
      </x:c>
      <x:c r="D8" s="201" t="str">
        <x:v>passend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</x:v>
      </x:c>
      <x:c r="J8" s="35" t="str">
        <x:v>https://de.athenaag.com/blog/how-to-grow-cannabis</x:v>
      </x:c>
    </x:row>
    <x:row r="9">
      <x:c r="A9" s="34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35" t="str">
        <x:v>https://store.athenaag.com/balance/</x:v>
      </x:c>
    </x:row>
    <x:row r="10">
      <x:c r="A10" s="34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35" t="str">
        <x:v>Wasseranalyse erforderlich</x:v>
      </x:c>
    </x:row>
    <x:row r="11">
      <x:c r="A11" s="34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35" t="str">
        <x:v>https://www.advancednutrients.com/de/products/rhino-skin/</x:v>
      </x:c>
    </x:row>
    <x:row r="12">
      <x:c r="A12" s="34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35" t="str">
        <x:v>https://hesi.nl/de/Hesilicio</x:v>
      </x:c>
    </x:row>
    <x:row r="13">
      <x:c r="A13" s="36" t="str">
        <x:v>pH Perfect</x:v>
      </x:c>
      <x:c r="B13" s="64" t="str">
        <x:v>AN-Basis-Technologie</x:v>
      </x:c>
      <x:c r="C13" s="64" t="str">
        <x:v>nicht Bestandteil von Athena Balance</x:v>
      </x:c>
      <x:c r="D13" s="64" t="str">
        <x:v>irrelevant im HESI-Reference</x:v>
      </x:c>
      <x:c r="E13" s="64" t="str">
        <x:v>—</x:v>
      </x:c>
      <x:c r="F13" s="64" t="str">
        <x:v>—</x:v>
      </x:c>
      <x:c r="G13" s="64" t="str">
        <x:v>—</x:v>
      </x:c>
      <x:c r="H13" s="64" t="str">
        <x:v>—</x:v>
      </x:c>
      <x:c r="I13" s="64" t="str">
        <x:v>A</x:v>
      </x:c>
      <x:c r="J13" s="37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AusgangspH/Alkalinität niedrig</x:v>
      </x:c>
      <x:c r="C17" s="62" t="str">
        <x:v>JA, vorsichtig titrieren</x:v>
      </x:c>
      <x:c r="D17" s="62" t="str">
        <x:v>nur falls Endmix zu hoch</x:v>
      </x:c>
      <x:c r="E17" s="62" t="str">
        <x:v>NEIN</x:v>
      </x:c>
      <x:c r="F17" s="33" t="str">
        <x:v>Balance vor Dünger; Endmix messen</x:v>
      </x:c>
    </x:row>
    <x:row r="18">
      <x:c r="A18" s="34" t="str">
        <x:v>2</x:v>
      </x:c>
      <x:c r="B18" s="201" t="str">
        <x:v>Leitungswasser + Endmix bereits 5.8–6.1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</x:row>
    <x:row r="20">
      <x:c r="A20" s="34" t="str">
        <x:v>4</x:v>
      </x:c>
      <x:c r="B20" s="201" t="str">
        <x:v>Endmix &lt;5.7 trotz sauberer Basis</x:v>
      </x:c>
      <x:c r="C20" s="201" t="str">
        <x:v>JA, nächster Batch testweise vorpuffern</x:v>
      </x:c>
      <x:c r="D20" s="201" t="str">
        <x:v>NEIN</x:v>
      </x:c>
      <x:c r="E20" s="201" t="str">
        <x:v>NEIN</x:v>
      </x:c>
      <x:c r="F20" s="35" t="str">
        <x:v>Balance in kleinen Schritten testen</x:v>
      </x:c>
    </x:row>
    <x:row r="21">
      <x:c r="A21" s="36" t="str">
        <x:v>5</x:v>
      </x:c>
      <x:c r="B21" s="64" t="str">
        <x:v>Balance nötig + Grand Master</x:v>
      </x:c>
      <x:c r="C21" s="64" t="str">
        <x:v>JA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</x:row>
  </x:sheetData>
  <x:mergeCells>
    <x:mergeCell ref="A1:J1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klassisches GRAND MASTER GROWER LEVEL (kumulativ) + UKD-HESI/ATHENA-Empfehlung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UKD Startdosis</x:v>
      </x:c>
      <x:c r="I3" s="1213" t="str">
        <x:v>Mit HESI</x:v>
      </x:c>
      <x:c r="J3" s="1213" t="str">
        <x:v>Mit Athena Balance</x:v>
      </x:c>
      <x:c r="K3" s="1213" t="str">
        <x:v>Blumat/Tank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273" t="str">
        <x:v>Hobbyist</x:v>
      </x:c>
      <x:c r="B4" s="1274" t="str">
        <x:v>Voodoo Juice</x:v>
      </x:c>
      <x:c r="C4" s="1274" t="str">
        <x:v>Bacillus/Wurzel</x:v>
      </x:c>
      <x:c r="D4" s="1274" t="str">
        <x:v>G1–G2</x:v>
      </x:c>
      <x:c r="E4" s="1274" t="str">
        <x:v>B1–B2</x:v>
      </x:c>
      <x:c r="F4" s="1274" t="str">
        <x:v>2 ml/L</x:v>
      </x:c>
      <x:c r="G4" s="1274" t="str">
        <x:v>JA – definiert</x:v>
      </x:c>
      <x:c r="H4" s="1274" t="str">
        <x:v>1–2 ml/L frisch</x:v>
      </x:c>
      <x:c r="I4" s="1274" t="str">
        <x:v>kompatibel; Wurzel Complex nicht zwangsläufig gleiche Gießgabe</x:v>
      </x:c>
      <x:c r="J4" s="1274" t="str">
        <x:v>JA; Balance zuerst</x:v>
      </x:c>
      <x:c r="K4" s="1274" t="str">
        <x:v>Frisch/Manual</x:v>
      </x:c>
      <x:c r="L4" s="1274" t="str">
        <x:v>Piranha/Tarantula erweitern Mikrobenspektrum</x:v>
      </x:c>
      <x:c r="M4" s="1274" t="str">
        <x:v>D4/11 + B1/B2 nach Preflower</x:v>
      </x:c>
      <x:c r="N4" s="1274" t="str">
        <x:v>keine Desinfektionsmittel/HOCl gleichzeitig</x:v>
      </x:c>
      <x:c r="O4" s="1274" t="str">
        <x:v>A</x:v>
      </x:c>
      <x:c r="P4" s="1274" t="str">
        <x:v>https://www.advancednutrients.com/de/products/voodoo-juice/</x:v>
      </x:c>
      <x:c r="Q4" s="1275" t="str">
        <x:v>Reference-AN-Additiv im HESI-Hybrid.</x:v>
      </x:c>
    </x:row>
    <x:row r="5">
      <x:c r="A5" s="359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A/B STATT HESI PK</x:v>
      </x:c>
      <x:c r="H5" s="1276" t="str">
        <x:v>0.5–1.0 ml/L erster Hybridtest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</x:v>
      </x:c>
      <x:c r="P5" s="1276" t="str">
        <x:v>https://www.advancednutrients.com/de/products/big-bud/</x:v>
      </x:c>
      <x:c r="Q5" s="360" t="str">
        <x:v>Label 2 ml/L; UKD-Startdosis ist konservative Inferenz für 140-W-Auto-Hybrid.</x:v>
      </x:c>
    </x:row>
    <x:row r="6">
      <x:c r="A6" s="359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OPTION / A-B</x:v>
      </x:c>
      <x:c r="H6" s="1276" t="str">
        <x:v>0.5–1.0 ml/L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</x:v>
      </x:c>
      <x:c r="P6" s="1276" t="str">
        <x:v>https://www.advancednutrients.com/de/products/b-52/</x:v>
      </x:c>
      <x:c r="Q6" s="360" t="str">
        <x:v>Nicht notwendig für Reference.</x:v>
      </x:c>
    </x:row>
    <x:row r="7">
      <x:c r="A7" s="359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A/B STATT spätem HESI PK</x:v>
      </x:c>
      <x:c r="H7" s="1276" t="str">
        <x:v>0.5–1.0 ml/L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</x:v>
      </x:c>
      <x:c r="P7" s="1276" t="str">
        <x:v>https://www.advancednutrients.com/de/products/overdrive/</x:v>
      </x:c>
      <x:c r="Q7" s="360" t="str">
        <x:v>Nicht mit Big Bud gleichzeitig als Voll-PK-Kaskade im HESI-Test.</x:v>
      </x:c>
    </x:row>
    <x:row r="8">
      <x:c r="A8" s="127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A/B ONLY</x:v>
      </x:c>
      <x:c r="H8" s="1278" t="str">
        <x:v>0.5–1.0 ml/L frisch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</x:v>
      </x:c>
      <x:c r="P8" s="1278" t="str">
        <x:v>https://www.advancednutrients.com/de/products/piranha/</x:v>
      </x:c>
      <x:c r="Q8" s="460" t="str">
        <x:v>Reference=0 wegen Rhiza.</x:v>
      </x:c>
    </x:row>
    <x:row r="9">
      <x:c r="A9" s="127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A/B ONLY</x:v>
      </x:c>
      <x:c r="H9" s="1278" t="str">
        <x:v>0.5–1.0 ml/L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A+B</x:v>
      </x:c>
      <x:c r="P9" s="1278" t="str">
        <x:v>https://www.advancednutrients.com/de/products/bud-candy/</x:v>
      </x:c>
      <x:c r="Q9" s="460" t="str">
        <x:v>Hersteller drip-safe; UKD-Tankwarnung ist Systemvorsicht.</x:v>
      </x:c>
    </x:row>
    <x:row r="10">
      <x:c r="A10" s="127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NICHT Reference; optional Endtest</x:v>
      </x:c>
      <x:c r="H10" s="1278" t="str">
        <x:v>Label 2 ml/L nur separater Finaltest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A/D</x:v>
      </x:c>
      <x:c r="P10" s="1278" t="str">
        <x:v>https://www.advancednutrients.com/de/products/flawless-finish/</x:v>
      </x:c>
      <x:c r="Q10" s="460" t="str">
        <x:v>Hersteller-Wirkclaims nicht als unabhängigen Nachweis behandeln.</x:v>
      </x:c>
    </x:row>
    <x:row r="11">
      <x:c r="A11" s="127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A/B ONLY</x:v>
      </x:c>
      <x:c r="H11" s="1280" t="str">
        <x:v>0.5–1.0 ml/L frisch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</x:v>
      </x:c>
      <x:c r="P11" s="1280" t="str">
        <x:v>https://www.advancednutrients.com/de/products/tarantula/</x:v>
      </x:c>
      <x:c r="Q11" s="1281" t="str">
        <x:v>Reference nur Voodoo.</x:v>
      </x:c>
    </x:row>
    <x:row r="12">
      <x:c r="A12" s="1279" t="str">
        <x:v>Professional</x:v>
      </x:c>
      <x:c r="B12" s="1280" t="str">
        <x:v>Tasty Terpenes (früher Nirvana)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A/B ONLY</x:v>
      </x:c>
      <x:c r="H12" s="1280" t="str">
        <x:v>0.5–1.0 ml/L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</x:v>
      </x:c>
      <x:c r="P12" s="1280" t="str">
        <x:v>https://www.advancednutrients.com/de/products/tasty-terpenes/</x:v>
      </x:c>
      <x:c r="Q12" s="1281" t="str">
        <x:v>Aktueller Name 2026; gleiche Formulierung wie Nirvana laut AN.</x:v>
      </x:c>
    </x:row>
    <x:row r="13">
      <x:c r="A13" s="127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ALTERNATIVE zu PowerZyme</x:v>
      </x:c>
      <x:c r="H13" s="1280" t="str">
        <x:v>1–2 ml/L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</x:v>
      </x:c>
      <x:c r="P13" s="1280" t="str">
        <x:v>https://www.advancednutrients.com/de/products/sensizym/</x:v>
      </x:c>
      <x:c r="Q13" s="1281" t="str">
        <x:v>Sauberer A/B-Vergleich möglich.</x:v>
      </x:c>
    </x:row>
    <x:row r="14">
      <x:c r="A14" s="1282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A/B ONLY</x:v>
      </x:c>
      <x:c r="H14" s="1283" t="str">
        <x:v>0.5–1.0 ml/L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</x:v>
      </x:c>
      <x:c r="P14" s="1283" t="str">
        <x:v>https://www.advancednutrients.com/de/products/bud-ignitor/</x:v>
      </x:c>
      <x:c r="Q14" s="1284" t="str">
        <x:v>Für Autos biologischen Trigger verwenden.</x:v>
      </x:c>
    </x:row>
    <x:row r="15">
      <x:c r="A15" s="1282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NEIN wenn Athena Balance aktiv</x:v>
      </x:c>
      <x:c r="H15" s="1283" t="str">
        <x:v>0; alternativ 0.5–1 ml/L wenn Balance=0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</x:v>
      </x:c>
      <x:c r="P15" s="1283" t="str">
        <x:v>https://www.advancednutrients.com/de/products/rhino-skin/</x:v>
      </x:c>
      <x:c r="Q15" s="1284" t="str">
        <x:v>Wichtigste Änderung durch Athena Balance.</x:v>
      </x:c>
    </x:row>
    <x:row r="16">
      <x:c r="A16" s="1285" t="str">
        <x:v>Grand Master</x:v>
      </x:c>
      <x:c r="B16" s="1286" t="str">
        <x:v>Bud Factor X</x:v>
      </x:c>
      <x:c r="C16" s="1286" t="str">
        <x:v>Biostimulanz/Harz-Claim</x:v>
      </x:c>
      <x:c r="D16" s="1286" t="str">
        <x:v>G2–G4</x:v>
      </x:c>
      <x:c r="E16" s="1286" t="str">
        <x:v>B1–B7</x:v>
      </x:c>
      <x:c r="F16" s="1286" t="str">
        <x:v>2 ml/L</x:v>
      </x:c>
      <x:c r="G16" s="1286" t="str">
        <x:v>A/B ONLY</x:v>
      </x:c>
      <x:c r="H16" s="1286" t="str">
        <x:v>0.5–1.0 ml/L</x:v>
      </x:c>
      <x:c r="I16" s="1286" t="str">
        <x:v>JA</x:v>
      </x:c>
      <x:c r="J16" s="1286" t="str">
        <x:v>JA</x:v>
      </x:c>
      <x:c r="K16" s="1286" t="str">
        <x:v>Manual bevorzugt</x:v>
      </x:c>
      <x:c r="L16" s="1286" t="str">
        <x:v>keine starke NPK-Duplikation, aber zusätzliche Variable/Marketingclaims</x:v>
      </x:c>
      <x:c r="M16" s="1286" t="str">
        <x:v>B1–B6 wenn eigener Test</x:v>
      </x:c>
      <x:c r="N16" s="1286" t="str">
        <x:v>keine zweite neue Biostim-Variable</x:v>
      </x:c>
      <x:c r="O16" s="1286" t="str">
        <x:v>A/D</x:v>
      </x:c>
      <x:c r="P16" s="1286" t="str">
        <x:v>https://www.advancednutrients.com/products/bud-factor-x/</x:v>
      </x:c>
      <x:c r="Q16" s="1287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34" t="str">
        <x:v>Praxis Full Stack</x:v>
      </x:c>
      <x:c r="B38" s="201" t="str">
        <x:v>Community berichtet wiederholt, dass Vollschemata bei Autos/Coco zu hoher EC-Last führen können</x:v>
      </x:c>
      <x:c r="C38" s="201" t="str">
        <x:v>UKD Hybrid startet typ. 25–50% Label für neue Additive und steigt nur messwertbasiert</x:v>
      </x:c>
      <x:c r="D38" s="201" t="str">
        <x:v>B/C</x:v>
      </x:c>
      <x:c r="E38" s="201" t="str">
        <x:v>https://www.rollitup.org/t/advanced-nutrients-feeding-chart-chaos.974475/</x:v>
      </x:c>
      <x:c r="F38" s="35" t="str">
        <x:v>wiederkehrendes Muster, keine Primärstudie</x:v>
      </x:c>
    </x:row>
    <x:row r="39">
      <x:c r="A39" s="34" t="str">
        <x:v>Auto-spezifisch</x:v>
      </x:c>
      <x:c r="B39" s="201" t="str">
        <x:v>Community warnt vor blindem Vollstack bei Autos</x:v>
      </x:c>
      <x:c r="C39" s="201" t="str">
        <x:v>biologischer Trigger + EC/Drain/Pflanzenreaktion über Kalender</x:v>
      </x:c>
      <x:c r="D39" s="201" t="str">
        <x:v>C</x:v>
      </x:c>
      <x:c r="E39" s="201" t="str">
        <x:v>https://growdiaries.com/grow-questions/72152-autoflowers-nutrients-feeding-plan</x:v>
      </x:c>
      <x:c r="F39" s="35" t="str">
        <x:v>Community-Evidenz</x:v>
      </x:c>
    </x:row>
    <x:row r="40">
      <x:c r="A40" s="36" t="str">
        <x:v>Referenzdesign</x:v>
      </x:c>
      <x:c r="B40" s="64" t="str">
        <x:v>jede zusätzliche Flasche ist eine zusätzliche Variable</x:v>
      </x:c>
      <x:c r="C40" s="64" t="str">
        <x:v>Reference minimal; Grand-Master-Produkte nacheinander A/B testen</x:v>
      </x:c>
      <x:c r="D40" s="64" t="str">
        <x:v>UKD Methodik</x:v>
      </x:c>
      <x:c r="E40" s="64" t="str">
        <x:v>—</x:v>
      </x:c>
      <x:c r="F40" s="37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