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7ce25ad4d46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9f116e05defc40cb"/>
    <x:sheet xmlns:r="http://schemas.openxmlformats.org/officeDocument/2006/relationships" name="01_Run_Config" sheetId="2" r:id="Rc0cf6eaaf95a4715"/>
    <x:sheet xmlns:r="http://schemas.openxmlformats.org/officeDocument/2006/relationships" name="02_Daily_Master" sheetId="3" r:id="R0648406007964e18"/>
    <x:sheet xmlns:r="http://schemas.openxmlformats.org/officeDocument/2006/relationships" name="03_Weekly_Master" sheetId="4" r:id="Rdc0a4ee438a74b40"/>
    <x:sheet xmlns:r="http://schemas.openxmlformats.org/officeDocument/2006/relationships" name="04_Monthly_Master" sheetId="5" r:id="R47ec6d2593034f6e"/>
    <x:sheet xmlns:r="http://schemas.openxmlformats.org/officeDocument/2006/relationships" name="05_Mix_Calculator" sheetId="6" r:id="Rfcda105a38f8424e"/>
    <x:sheet xmlns:r="http://schemas.openxmlformats.org/officeDocument/2006/relationships" name="06_HESI_Reference" sheetId="7" r:id="R3a6f005057d2459b"/>
    <x:sheet xmlns:r="http://schemas.openxmlformats.org/officeDocument/2006/relationships" name="07_AN_pHPerfect" sheetId="8" r:id="Rf86178ad9813476a"/>
    <x:sheet xmlns:r="http://schemas.openxmlformats.org/officeDocument/2006/relationships" name="08_Hybrid_AB" sheetId="9" r:id="R3d4e93cb71bd4536"/>
    <x:sheet xmlns:r="http://schemas.openxmlformats.org/officeDocument/2006/relationships" name="09_Irrigation_Blumat" sheetId="10" r:id="R9754459947c44749"/>
    <x:sheet xmlns:r="http://schemas.openxmlformats.org/officeDocument/2006/relationships" name="10_Climate_Light" sheetId="11" r:id="Rf2aa189fe3994779"/>
    <x:sheet xmlns:r="http://schemas.openxmlformats.org/officeDocument/2006/relationships" name="11_Training_Canopy" sheetId="12" r:id="Rbd93acf4b204432b"/>
    <x:sheet xmlns:r="http://schemas.openxmlformats.org/officeDocument/2006/relationships" name="12_Daily_Log" sheetId="13" r:id="R542483154cf541dc"/>
    <x:sheet xmlns:r="http://schemas.openxmlformats.org/officeDocument/2006/relationships" name="13_Diagnostics" sheetId="14" r:id="R10d0284f35fc4cfc"/>
    <x:sheet xmlns:r="http://schemas.openxmlformats.org/officeDocument/2006/relationships" name="14_Harvest_Dry" sheetId="15" r:id="R149d9bcaf021467c"/>
    <x:sheet xmlns:r="http://schemas.openxmlformats.org/officeDocument/2006/relationships" name="15_Strains" sheetId="16" r:id="R3abe3cbd5e894d8f"/>
    <x:sheet xmlns:r="http://schemas.openxmlformats.org/officeDocument/2006/relationships" name="16_Compatibility" sheetId="17" r:id="Rbd534cc2cb464814"/>
    <x:sheet xmlns:r="http://schemas.openxmlformats.org/officeDocument/2006/relationships" name="17_All_Products" sheetId="18" r:id="R53f4b229db9546f3"/>
    <x:sheet xmlns:r="http://schemas.openxmlformats.org/officeDocument/2006/relationships" name="18_Mineral_Interactions" sheetId="19" r:id="R3a211082f38e46bd"/>
    <x:sheet xmlns:r="http://schemas.openxmlformats.org/officeDocument/2006/relationships" name="19_Do_Not_Stack" sheetId="20" r:id="R8bed35051dd247c7"/>
    <x:sheet xmlns:r="http://schemas.openxmlformats.org/officeDocument/2006/relationships" name="20_Practice_Evidence" sheetId="21" r:id="Rc60accf03f0f4f8e"/>
    <x:sheet xmlns:r="http://schemas.openxmlformats.org/officeDocument/2006/relationships" name="21_Legal_Safety" sheetId="22" r:id="Rcd7abef63fa54e63"/>
    <x:sheet xmlns:r="http://schemas.openxmlformats.org/officeDocument/2006/relationships" name="22_Sources" sheetId="23" r:id="R1c4f814e37cb4b9e"/>
    <x:sheet xmlns:r="http://schemas.openxmlformats.org/officeDocument/2006/relationships" name="23_README" sheetId="24" r:id="R17942b8a993044cd"/>
    <x:sheet xmlns:r="http://schemas.openxmlformats.org/officeDocument/2006/relationships" name="24_Athena_Balance" sheetId="25" r:id="R8805cb7b060e462d"/>
    <x:sheet xmlns:r="http://schemas.openxmlformats.org/officeDocument/2006/relationships" name="25_AN_GrandMaster" sheetId="26" r:id="R66442c74fcf84ac5"/>
    <x:sheet xmlns:r="http://schemas.openxmlformats.org/officeDocument/2006/relationships" name="26_Audit_Report" sheetId="27" r:id="R6855cc42a05348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"/>
    <x:numFmt numFmtId="202" formatCode="0 &quot; / &quot;&amp;0"/>
    <x:numFmt numFmtId="203" formatCode="@"/>
    <x:numFmt numFmtId="204" formatCode="0.0%"/>
  </x:numFmts>
  <x:fonts count="29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b/>
      <x:sz val="11"/>
      <x:color rgb="FF14213D"/>
      <x:name val="Carlito"/>
    </x:font>
    <x:font>
      <x:sz val="11"/>
      <x:color rgb="FF2021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9"/>
      <x:color rgb="FFFFFFFF"/>
      <x:name val="Carlito"/>
    </x:font>
    <x:font>
      <x:i/>
      <x:sz val="10"/>
      <x:color rgb="FF52606D"/>
      <x:name val="Carlito"/>
    </x:font>
    <x:font>
      <x:b/>
      <x:sz val="9"/>
      <x:color rgb="FFFFFFFF"/>
      <x:name val="Carlito"/>
    </x:font>
    <x:font>
      <x:b/>
      <x:sz val="13"/>
      <x:color rgb="FF172B4D"/>
      <x:name val="Carlito"/>
    </x:font>
    <x:font>
      <x:sz val="9"/>
      <x:color rgb="FF52606D"/>
      <x:name val="Carlito"/>
    </x:font>
    <x:font>
      <x:sz val="10"/>
      <x:color rgb="FF172B4D"/>
      <x:name val="Carlito"/>
    </x:font>
    <x:font>
      <x:b/>
      <x:sz val="9"/>
      <x:color rgb="FFC62828"/>
      <x:name val="Carlito"/>
    </x:font>
    <x:font>
      <x:b/>
      <x:sz val="11"/>
      <x:color rgb="FF1565C0"/>
      <x:name val="Carlito"/>
    </x:font>
    <x:font>
      <x:b/>
      <x:sz val="11"/>
      <x:color rgb="FFE65100"/>
      <x:name val="Carlito"/>
    </x:font>
    <x:font>
      <x:b/>
      <x:sz val="11"/>
      <x:color rgb="FF2E7D32"/>
      <x:name val="Carlito"/>
    </x:font>
    <x:font>
      <x:b/>
      <x:sz val="11"/>
      <x:color rgb="FF6A1B9A"/>
      <x:name val="Carlito"/>
    </x:font>
    <x:font>
      <x:b/>
      <x:sz val="11"/>
      <x:color rgb="FFC62828"/>
      <x:name val="Carlito"/>
    </x:font>
    <x:font>
      <x:sz val="11"/>
      <x:color rgb="FF172B4D"/>
      <x:name val="Carlito"/>
    </x:font>
    <x:font>
      <x:b/>
      <x:sz val="14"/>
      <x:color rgb="FF102A43"/>
      <x:name val="Carlito"/>
    </x:font>
    <x:font>
      <x:b/>
      <x:sz val="11"/>
      <x:color rgb="FF172B4D"/>
      <x:name val="Carlito"/>
    </x:font>
    <x:font>
      <x:b/>
      <x:sz val="14"/>
      <x:color rgb="FFFFFFFF"/>
      <x:name val="Carlito"/>
    </x:font>
    <x:font>
      <x:b/>
      <x:sz val="11"/>
      <x:color rgb="FFA66A00"/>
      <x:name val="Carlito"/>
    </x:font>
    <x:font>
      <x:b/>
      <x:sz val="11"/>
      <x:color rgb="FF52606D"/>
      <x:name val="Carlito"/>
    </x:font>
    <x:font>
      <x:b/>
      <x:sz val="11"/>
      <x:color rgb="FF102A43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b/>
      <x:sz val="11"/>
      <x:color rgb="FF8E1B1B"/>
      <x:name val="Carlito"/>
    </x:font>
  </x:fonts>
  <x:fills count="50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2F5597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4213D"/>
      </x:patternFill>
    </x:fill>
    <x:fill>
      <x:patternFill patternType="solid">
        <x:fgColor rgb="FF102A43"/>
      </x:patternFill>
    </x:fill>
    <x:fill>
      <x:patternFill patternType="solid">
        <x:fgColor rgb="FFEEF2F6"/>
      </x:patternFill>
    </x:fill>
    <x:fill>
      <x:patternFill patternType="solid">
        <x:fgColor rgb="FF1565C0"/>
      </x:patternFill>
    </x:fill>
    <x:fill>
      <x:patternFill patternType="solid">
        <x:fgColor rgb="FFDCEEFF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DFF5F7"/>
      </x:patternFill>
    </x:fill>
    <x:fill>
      <x:patternFill patternType="solid">
        <x:fgColor rgb="FF2E7D32"/>
      </x:patternFill>
    </x:fill>
    <x:fill>
      <x:patternFill patternType="solid">
        <x:fgColor rgb="FFE7F4E8"/>
      </x:patternFill>
    </x:fill>
    <x:fill>
      <x:patternFill patternType="solid">
        <x:fgColor rgb="FF6A1B9A"/>
      </x:patternFill>
    </x:fill>
    <x:fill>
      <x:patternFill patternType="solid">
        <x:fgColor rgb="FFF1E6F7"/>
      </x:patternFill>
    </x:fill>
    <x:fill>
      <x:patternFill patternType="solid">
        <x:fgColor rgb="FFA66A00"/>
      </x:patternFill>
    </x:fill>
    <x:fill>
      <x:patternFill patternType="solid">
        <x:fgColor rgb="FFFFF6D9"/>
      </x:patternFill>
    </x:fill>
    <x:fill>
      <x:patternFill patternType="solid">
        <x:fgColor rgb="FFE65100"/>
      </x:patternFill>
    </x:fill>
    <x:fill>
      <x:patternFill patternType="solid">
        <x:fgColor rgb="FFFFF0E6"/>
      </x:patternFill>
    </x:fill>
    <x:fill>
      <x:patternFill patternType="solid">
        <x:fgColor rgb="FFFDECEC"/>
      </x:patternFill>
    </x:fill>
    <x:fill>
      <x:patternFill patternType="solid">
        <x:fgColor rgb="FFC62828"/>
      </x:patternFill>
    </x:fill>
    <x:fill>
      <x:patternFill patternType="solid">
        <x:fgColor rgb="FF52606D"/>
      </x:patternFill>
    </x:fill>
    <x:fill>
      <x:patternFill patternType="solid">
        <x:fgColor rgb="FFFFE082"/>
      </x:patternFill>
    </x:fill>
    <x:fill>
      <x:patternFill patternType="solid">
        <x:fgColor rgb="FFC62828"/>
      </x:patternFill>
    </x:fill>
    <x:fill>
      <x:patternFill patternType="solid">
        <x:fgColor rgb="FFFFF6D9"/>
      </x:patternFill>
    </x:fill>
    <x:fill>
      <x:patternFill patternType="solid">
        <x:fgColor rgb="FFFDECEC"/>
      </x:patternFill>
    </x:fill>
    <x:fill>
      <x:patternFill patternType="solid">
        <x:fgColor rgb="FF0B7285"/>
      </x:patternFill>
    </x:fill>
    <x:fill>
      <x:patternFill patternType="solid">
        <x:fgColor rgb="FFE7F4E8"/>
      </x:patternFill>
    </x:fill>
    <x:fill>
      <x:patternFill patternType="solid">
        <x:fgColor rgb="FFDCEEFF"/>
      </x:patternFill>
    </x:fill>
    <x:fill>
      <x:patternFill patternType="solid">
        <x:fgColor rgb="FFEEF2F6"/>
      </x:patternFill>
    </x:fill>
    <x:fill>
      <x:patternFill patternType="solid">
        <x:fgColor rgb="FF102A43"/>
      </x:patternFill>
    </x:fill>
    <x:fill>
      <x:patternFill patternType="solid">
        <x:fgColor rgb="FF1565C0"/>
      </x:patternFill>
    </x:fill>
    <x:fill>
      <x:patternFill patternType="solid">
        <x:fgColor rgb="FF2E7D32"/>
      </x:patternFill>
    </x:fill>
    <x:fill>
      <x:patternFill patternType="solid">
        <x:fgColor rgb="FFFFF6D9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FFF6D9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102A43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DECEC"/>
      </x:patternFill>
    </x:fill>
  </x:fills>
  <x:borders count="81">
    <x:border/>
    <x:border/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bottom style="thin">
        <x:color rgb="FFC9B458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right style="thin">
        <x:color rgb="FFD0D7DE"/>
      </x:right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bottom style="thin">
        <x:color rgb="FFD7DEE7"/>
      </x:bottom>
    </x:border>
    <x:border>
      <x:right style="thin">
        <x:color rgb="FFD0D7DE"/>
      </x:right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</x:border>
    <x:border>
      <x:left style="thin">
        <x:color rgb="FFD7DEE7"/>
      </x:left>
    </x:border>
    <x:border>
      <x:right style="thin">
        <x:color rgb="FFD7DEE7"/>
      </x:right>
    </x:border>
    <x:border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</x:border>
    <x:border>
      <x:left style="thin">
        <x:color rgb="FFD0D7DE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0D7DE"/>
      </x:right>
    </x:border>
    <x:border>
      <x:left style="thin">
        <x:color rgb="FFD0D7DE"/>
      </x:left>
      <x:right style="thin">
        <x:color rgb="FFD7DEE7"/>
      </x:right>
    </x:border>
    <x:border>
      <x:left style="thin">
        <x:color rgb="FFD7DEE7"/>
      </x:left>
      <x:right style="thin">
        <x:color rgb="FFD0D7DE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0D7DE"/>
      </x:bottom>
    </x:border>
    <x:border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0D7DE"/>
      </x:bottom>
    </x:border>
    <x:border>
      <x:top style="thin">
        <x:color rgb="FFD7DEE7"/>
      </x:top>
      <x:bottom style="thin">
        <x:color rgb="FFD0D7DE"/>
      </x:bottom>
    </x:border>
    <x:border>
      <x:left style="thin">
        <x:color rgb="FFC9B458"/>
      </x:left>
      <x:right style="thin">
        <x:color rgb="FFD7DEE7"/>
      </x:right>
      <x:top style="thin">
        <x:color rgb="FFD7DEE7"/>
      </x:top>
    </x:border>
    <x:border>
      <x:left style="thin">
        <x:color rgb="FFC9B458"/>
      </x:left>
      <x:right style="thin">
        <x:color rgb="FFD7DEE7"/>
      </x:right>
    </x:border>
    <x:border>
      <x:left style="thin">
        <x:color rgb="FFC9B458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medium">
        <x:color rgb="FFA66A00"/>
      </x:left>
      <x:right style="medium">
        <x:color rgb="FFA66A00"/>
      </x:right>
      <x:top style="medium">
        <x:color rgb="FFA66A00"/>
      </x:top>
      <x:bottom style="medium">
        <x:color rgb="FFA66A00"/>
      </x:bottom>
    </x:border>
    <x:border>
      <x:left style="thin">
        <x:color rgb="FFD7DEE7"/>
      </x:left>
      <x:top style="thin">
        <x:color rgb="FFD0D7DE"/>
      </x:top>
    </x:border>
    <x:border>
      <x:right style="thin">
        <x:color rgb="FFD7DEE7"/>
      </x:right>
      <x:top style="thin">
        <x:color rgb="FFD0D7DE"/>
      </x:top>
    </x:border>
    <x:border>
      <x:left style="thin">
        <x:color rgb="FFD7DEE7"/>
      </x:left>
      <x:right style="thin">
        <x:color rgb="FFD7DEE7"/>
      </x:right>
      <x:bottom style="thin">
        <x:color rgb="FFC9B458"/>
      </x:bottom>
    </x:border>
    <x:border>
      <x:left style="thin">
        <x:color rgb="FFD7DEE7"/>
      </x:left>
      <x:bottom style="thin">
        <x:color rgb="FFD0D7DE"/>
      </x:bottom>
    </x:border>
    <x:border>
      <x:right style="thin">
        <x:color rgb="FFD7DEE7"/>
      </x:right>
      <x:bottom style="thin">
        <x:color rgb="FFD0D7DE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7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vertical="top" wrapText="1"/>
    </x:xf>
    <x:xf numFmtId="200" fontId="4" fillId="5" borderId="18" xfId="0" applyNumberFormat="1" applyFont="1" applyFill="1" applyBorder="1" applyAlignment="1">
      <x:alignment vertical="top" wrapText="1"/>
    </x:xf>
    <x:xf numFmtId="200" fontId="4" fillId="5" borderId="21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201" fontId="0" fillId="0" borderId="15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14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14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14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2" borderId="8" xfId="0" applyNumberFormat="1" applyFont="1" applyFill="1" applyBorder="1" applyAlignment="1">
      <x:alignment wrapText="1"/>
    </x:xf>
    <x:xf numFmtId="0" fontId="0" fillId="2" borderId="16" xfId="0" applyNumberFormat="1" applyFont="1" applyFill="1" applyBorder="1" applyAlignment="1">
      <x:alignment wrapText="1"/>
    </x:xf>
    <x:xf numFmtId="0" fontId="0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left" wrapText="1"/>
    </x:xf>
    <x:xf numFmtId="0" fontId="1" fillId="2" borderId="16" xfId="0" applyNumberFormat="1" applyFont="1" applyFill="1" applyBorder="1" applyAlignment="1">
      <x:alignment horizontal="left" wrapText="1"/>
    </x:xf>
    <x:xf numFmtId="0" fontId="1" fillId="2" borderId="9" xfId="0" applyNumberFormat="1" applyFont="1" applyFill="1" applyBorder="1" applyAlignment="1">
      <x:alignment horizontal="left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1" fillId="2" borderId="16" xfId="0" applyNumberFormat="1" applyFont="1" applyFill="1" applyBorder="1" applyAlignment="1">
      <x:alignment horizontal="left"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24" xfId="0" applyNumberFormat="1" applyFont="1" applyFill="1" applyBorder="1" applyAlignment="1">
      <x:alignment vertical="top" wrapText="1"/>
    </x:xf>
    <x:xf numFmtId="0" fontId="0" fillId="8" borderId="25" xfId="0" applyNumberFormat="1" applyFont="1" applyFill="1" applyBorder="1" applyAlignment="1">
      <x:alignment vertical="top" wrapText="1"/>
    </x:xf>
    <x:xf numFmtId="0" fontId="0" fillId="8" borderId="26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4" fillId="8" borderId="18" xfId="0" applyNumberFormat="1" applyFont="1" applyFill="1" applyBorder="1"/>
    <x:xf numFmtId="0" fontId="4" fillId="8" borderId="19" xfId="0" applyNumberFormat="1" applyFont="1" applyFill="1" applyBorder="1"/>
    <x:xf numFmtId="0" fontId="4" fillId="8" borderId="20" xfId="0" applyNumberFormat="1" applyFont="1" applyFill="1" applyBorder="1"/>
    <x:xf numFmtId="0" fontId="0" fillId="8" borderId="0" xfId="0" applyNumberFormat="1" applyFont="1" applyFill="1" applyBorder="1"/>
    <x:xf numFmtId="0" fontId="4" fillId="8" borderId="24" xfId="0" applyNumberFormat="1" applyFont="1" applyFill="1" applyBorder="1"/>
    <x:xf numFmtId="0" fontId="4" fillId="8" borderId="25" xfId="0" applyNumberFormat="1" applyFont="1" applyFill="1" applyBorder="1"/>
    <x:xf numFmtId="0" fontId="4" fillId="8" borderId="27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4" fillId="8" borderId="24" xfId="0" applyNumberFormat="1" applyFont="1" applyFill="1" applyBorder="1" applyAlignment="1">
      <x:alignment wrapText="1"/>
    </x:xf>
    <x:xf numFmtId="0" fontId="4" fillId="8" borderId="25" xfId="0" applyNumberFormat="1" applyFont="1" applyFill="1" applyBorder="1" applyAlignment="1">
      <x:alignment wrapText="1"/>
    </x:xf>
    <x:xf numFmtId="0" fontId="4" fillId="8" borderId="27" xfId="0" applyNumberFormat="1" applyFont="1" applyFill="1" applyBorder="1" applyAlignment="1">
      <x:alignment wrapText="1"/>
    </x:xf>
    <x:xf numFmtId="0" fontId="0" fillId="8" borderId="25" xfId="0" applyNumberFormat="1" applyFont="1" applyFill="1" applyBorder="1" applyAlignment="1">
      <x:alignment wrapText="1"/>
    </x:xf>
    <x:xf numFmtId="0" fontId="0" fillId="8" borderId="26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5" xfId="0" applyNumberFormat="1" applyFont="1" applyFill="1" applyBorder="1" applyAlignment="1">
      <x:alignment horizontal="center" vertical="top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15" xfId="0" applyNumberFormat="1" applyFont="1" applyFill="1" applyBorder="1" applyAlignment="1">
      <x:alignment horizontal="center" vertical="top" wrapText="1"/>
    </x:xf>
    <x:xf numFmtId="0" fontId="2" fillId="3" borderId="7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center" wrapText="1"/>
    </x:xf>
    <x:xf numFmtId="0" fontId="0" fillId="0" borderId="29" xfId="0" applyNumberFormat="1" applyFont="1" applyFill="1" applyBorder="1" applyAlignment="1">
      <x:alignment horizontal="center" wrapText="1"/>
    </x:xf>
    <x:xf numFmtId="0" fontId="0" fillId="0" borderId="30" xfId="0" applyNumberFormat="1" applyFont="1" applyFill="1" applyBorder="1" applyAlignment="1">
      <x:alignment horizontal="center" wrapText="1"/>
    </x:xf>
    <x:xf numFmtId="0" fontId="0" fillId="0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5" borderId="24" xfId="0" applyNumberFormat="1" applyFont="1" applyFill="1" applyBorder="1" applyAlignment="1">
      <x:alignment vertical="top" wrapText="1"/>
    </x:xf>
    <x:xf numFmtId="0" fontId="0" fillId="5" borderId="25" xfId="0" applyNumberFormat="1" applyFont="1" applyFill="1" applyBorder="1" applyAlignment="1">
      <x:alignment vertical="top" wrapText="1"/>
    </x:xf>
    <x:xf numFmtId="0" fontId="0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7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4" fillId="5" borderId="24" xfId="0" applyNumberFormat="1" applyFont="1" applyFill="1" applyBorder="1" applyAlignment="1">
      <x:alignment wrapText="1"/>
    </x:xf>
    <x:xf numFmtId="0" fontId="4" fillId="5" borderId="25" xfId="0" applyNumberFormat="1" applyFont="1" applyFill="1" applyBorder="1" applyAlignment="1">
      <x:alignment wrapText="1"/>
    </x:xf>
    <x:xf numFmtId="0" fontId="4" fillId="5" borderId="27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5" fillId="3" borderId="4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 vertical="center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left"/>
    </x:xf>
    <x:xf numFmtId="0" fontId="8" fillId="11" borderId="0" xfId="0" applyNumberFormat="1" applyFont="1" applyFill="1" applyBorder="1" applyAlignment="1">
      <x:alignment horizontal="left" vertical="center"/>
    </x:xf>
    <x:xf numFmtId="0" fontId="0" fillId="12" borderId="2" xfId="0" applyNumberFormat="1" applyFont="1" applyFill="1" applyBorder="1" applyAlignment="1">
      <x:alignment vertical="top" wrapText="1"/>
    </x:xf>
    <x:xf numFmtId="0" fontId="0" fillId="12" borderId="3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2" xfId="0" applyNumberFormat="1" applyFont="1" applyFill="1" applyBorder="1" applyAlignment="1">
      <x:alignment vertical="top" wrapText="1"/>
    </x:xf>
    <x:xf numFmtId="0" fontId="9" fillId="12" borderId="3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/>
    <x:xf numFmtId="0" fontId="9" fillId="12" borderId="32" xfId="0" applyNumberFormat="1" applyFont="1" applyFill="1" applyBorder="1" applyAlignment="1">
      <x:alignment vertical="top" wrapText="1"/>
    </x:xf>
    <x:xf numFmtId="0" fontId="9" fillId="12" borderId="33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/>
    <x:xf numFmtId="0" fontId="9" fillId="12" borderId="32" xfId="0" applyNumberFormat="1" applyFont="1" applyFill="1" applyBorder="1" applyAlignment="1">
      <x:alignment horizontal="center" vertical="top" wrapText="1"/>
    </x:xf>
    <x:xf numFmtId="0" fontId="9" fillId="12" borderId="33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 wrapText="1"/>
    </x:xf>
    <x:xf numFmtId="0" fontId="9" fillId="12" borderId="33" xfId="0" applyNumberFormat="1" applyFont="1" applyFill="1" applyBorder="1" applyAlignment="1">
      <x:alignment horizontal="center" vertical="center" wrapText="1"/>
    </x:xf>
    <x:xf numFmtId="0" fontId="9" fillId="12" borderId="34" xfId="0" applyNumberFormat="1" applyFont="1" applyFill="1" applyBorder="1" applyAlignment="1">
      <x:alignment horizontal="center" vertical="center"/>
    </x:xf>
    <x:xf numFmtId="0" fontId="0" fillId="13" borderId="4" xfId="0" applyNumberFormat="1" applyFont="1" applyFill="1" applyBorder="1" applyAlignment="1">
      <x:alignment vertical="top" wrapText="1"/>
    </x:xf>
    <x:xf numFmtId="0" fontId="0" fillId="13" borderId="5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0" fillId="13" borderId="4" xfId="0" applyNumberFormat="1" applyFont="1" applyFill="1" applyBorder="1" applyAlignment="1">
      <x:alignment vertical="top" wrapText="1"/>
    </x:xf>
    <x:xf numFmtId="0" fontId="10" fillId="13" borderId="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/>
    <x:xf numFmtId="0" fontId="10" fillId="13" borderId="35" xfId="0" applyNumberFormat="1" applyFont="1" applyFill="1" applyBorder="1" applyAlignment="1">
      <x:alignment vertical="top" wrapText="1"/>
    </x:xf>
    <x:xf numFmtId="0" fontId="10" fillId="13" borderId="36" xfId="0" applyNumberFormat="1" applyFont="1" applyFill="1" applyBorder="1" applyAlignment="1">
      <x:alignment vertical="top" wrapText="1"/>
    </x:xf>
    <x:xf numFmtId="0" fontId="10" fillId="13" borderId="37" xfId="0" applyNumberFormat="1" applyFont="1" applyFill="1" applyBorder="1"/>
    <x:xf numFmtId="0" fontId="10" fillId="13" borderId="38" xfId="0" applyNumberFormat="1" applyFont="1" applyFill="1" applyBorder="1" applyAlignment="1">
      <x:alignment vertical="top" wrapText="1"/>
    </x:xf>
    <x:xf numFmtId="0" fontId="10" fillId="13" borderId="39" xfId="0" applyNumberFormat="1" applyFont="1" applyFill="1" applyBorder="1" applyAlignment="1">
      <x:alignment vertical="top" wrapText="1"/>
    </x:xf>
    <x:xf numFmtId="0" fontId="10" fillId="13" borderId="40" xfId="0" applyNumberFormat="1" applyFont="1" applyFill="1" applyBorder="1"/>
    <x:xf numFmtId="0" fontId="10" fillId="13" borderId="37" xfId="0" applyNumberFormat="1" applyFont="1" applyFill="1" applyBorder="1" applyAlignment="1">
      <x:alignment wrapText="1"/>
    </x:xf>
    <x:xf numFmtId="0" fontId="10" fillId="13" borderId="40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vertical="top" wrapText="1"/>
    </x:xf>
    <x:xf numFmtId="0" fontId="10" fillId="13" borderId="36" xfId="0" applyNumberFormat="1" applyFont="1" applyFill="1" applyBorder="1" applyAlignment="1">
      <x:alignment horizontal="center" vertical="top" wrapText="1"/>
    </x:xf>
    <x:xf numFmtId="0" fontId="10" fillId="13" borderId="37" xfId="0" applyNumberFormat="1" applyFont="1" applyFill="1" applyBorder="1" applyAlignment="1">
      <x:alignment horizontal="center" wrapText="1"/>
    </x:xf>
    <x:xf numFmtId="0" fontId="10" fillId="13" borderId="38" xfId="0" applyNumberFormat="1" applyFont="1" applyFill="1" applyBorder="1" applyAlignment="1">
      <x:alignment horizontal="center" vertical="top" wrapText="1"/>
    </x:xf>
    <x:xf numFmtId="0" fontId="10" fillId="13" borderId="39" xfId="0" applyNumberFormat="1" applyFont="1" applyFill="1" applyBorder="1" applyAlignment="1">
      <x:alignment horizontal="center" vertical="top" wrapText="1"/>
    </x:xf>
    <x:xf numFmtId="0" fontId="10" fillId="13" borderId="40" xfId="0" applyNumberFormat="1" applyFont="1" applyFill="1" applyBorder="1" applyAlignment="1">
      <x:alignment horizontal="center" wrapText="1"/>
    </x:xf>
    <x:xf numFmtId="0" fontId="10" fillId="13" borderId="35" xfId="0" applyNumberFormat="1" applyFont="1" applyFill="1" applyBorder="1" applyAlignment="1">
      <x:alignment horizontal="center" vertical="center" wrapText="1"/>
    </x:xf>
    <x:xf numFmtId="0" fontId="10" fillId="13" borderId="36" xfId="0" applyNumberFormat="1" applyFont="1" applyFill="1" applyBorder="1" applyAlignment="1">
      <x:alignment horizontal="center" vertical="center" wrapText="1"/>
    </x:xf>
    <x:xf numFmtId="0" fontId="10" fillId="13" borderId="37" xfId="0" applyNumberFormat="1" applyFont="1" applyFill="1" applyBorder="1" applyAlignment="1">
      <x:alignment horizontal="center" vertical="center" wrapText="1"/>
    </x:xf>
    <x:xf numFmtId="0" fontId="10" fillId="13" borderId="38" xfId="0" applyNumberFormat="1" applyFont="1" applyFill="1" applyBorder="1" applyAlignment="1">
      <x:alignment horizontal="center" vertical="center" wrapText="1"/>
    </x:xf>
    <x:xf numFmtId="0" fontId="10" fillId="13" borderId="39" xfId="0" applyNumberFormat="1" applyFont="1" applyFill="1" applyBorder="1" applyAlignment="1">
      <x:alignment horizontal="center" vertical="center" wrapText="1"/>
    </x:xf>
    <x:xf numFmtId="0" fontId="10" fillId="13" borderId="40" xfId="0" applyNumberFormat="1" applyFont="1" applyFill="1" applyBorder="1" applyAlignment="1">
      <x:alignment horizontal="center" vertical="center" wrapText="1"/>
    </x:xf>
    <x:xf numFmtId="202" fontId="10" fillId="13" borderId="35" xfId="0" applyNumberFormat="1" applyFont="1" applyFill="1" applyBorder="1" applyAlignment="1">
      <x:alignment horizontal="center" vertical="center" wrapText="1"/>
    </x:xf>
    <x:xf numFmtId="202" fontId="10" fillId="13" borderId="36" xfId="0" applyNumberFormat="1" applyFont="1" applyFill="1" applyBorder="1" applyAlignment="1">
      <x:alignment horizontal="center" vertical="center" wrapText="1"/>
    </x:xf>
    <x:xf numFmtId="202" fontId="10" fillId="13" borderId="37" xfId="0" applyNumberFormat="1" applyFont="1" applyFill="1" applyBorder="1" applyAlignment="1">
      <x:alignment horizontal="center" vertical="center" wrapText="1"/>
    </x:xf>
    <x:xf numFmtId="202" fontId="10" fillId="13" borderId="38" xfId="0" applyNumberFormat="1" applyFont="1" applyFill="1" applyBorder="1" applyAlignment="1">
      <x:alignment horizontal="center" vertical="center" wrapText="1"/>
    </x:xf>
    <x:xf numFmtId="202" fontId="10" fillId="13" borderId="39" xfId="0" applyNumberFormat="1" applyFont="1" applyFill="1" applyBorder="1" applyAlignment="1">
      <x:alignment horizontal="center" vertical="center" wrapText="1"/>
    </x:xf>
    <x:xf numFmtId="202" fontId="10" fillId="13" borderId="40" xfId="0" applyNumberFormat="1" applyFont="1" applyFill="1" applyBorder="1" applyAlignment="1">
      <x:alignment horizontal="center" vertical="center" wrapText="1"/>
    </x:xf>
    <x:xf numFmtId="0" fontId="0" fillId="14" borderId="4" xfId="0" applyNumberFormat="1" applyFont="1" applyFill="1" applyBorder="1" applyAlignment="1">
      <x:alignment vertical="top" wrapText="1"/>
    </x:xf>
    <x:xf numFmtId="0" fontId="0" fillId="14" borderId="5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1" fillId="14" borderId="4" xfId="0" applyNumberFormat="1" applyFont="1" applyFill="1" applyBorder="1" applyAlignment="1">
      <x:alignment vertical="top" wrapText="1"/>
    </x:xf>
    <x:xf numFmtId="0" fontId="11" fillId="14" borderId="5" xfId="0" applyNumberFormat="1" applyFont="1" applyFill="1" applyBorder="1" applyAlignment="1">
      <x:alignment vertical="top" wrapText="1"/>
    </x:xf>
    <x:xf numFmtId="0" fontId="11" fillId="14" borderId="0" xfId="0" applyNumberFormat="1" applyFont="1" applyFill="1" applyBorder="1"/>
    <x:xf numFmtId="0" fontId="11" fillId="14" borderId="32" xfId="0" applyNumberFormat="1" applyFont="1" applyFill="1" applyBorder="1" applyAlignment="1">
      <x:alignment vertical="top" wrapText="1"/>
    </x:xf>
    <x:xf numFmtId="0" fontId="11" fillId="14" borderId="33" xfId="0" applyNumberFormat="1" applyFont="1" applyFill="1" applyBorder="1" applyAlignment="1">
      <x:alignment vertical="top" wrapText="1"/>
    </x:xf>
    <x:xf numFmtId="0" fontId="11" fillId="14" borderId="34" xfId="0" applyNumberFormat="1" applyFont="1" applyFill="1" applyBorder="1"/>
    <x:xf numFmtId="0" fontId="11" fillId="14" borderId="32" xfId="0" applyNumberFormat="1" applyFont="1" applyFill="1" applyBorder="1" applyAlignment="1">
      <x:alignment horizontal="center" vertical="top" wrapText="1"/>
    </x:xf>
    <x:xf numFmtId="0" fontId="11" fillId="14" borderId="33" xfId="0" applyNumberFormat="1" applyFont="1" applyFill="1" applyBorder="1" applyAlignment="1">
      <x:alignment horizontal="center" vertical="top" wrapText="1"/>
    </x:xf>
    <x:xf numFmtId="0" fontId="11" fillId="14" borderId="34" xfId="0" applyNumberFormat="1" applyFont="1" applyFill="1" applyBorder="1" applyAlignment="1">
      <x:alignment horizontal="center"/>
    </x:xf>
    <x:xf numFmtId="0" fontId="0" fillId="15" borderId="2" xfId="0" applyNumberFormat="1" applyFont="1" applyFill="1" applyBorder="1" applyAlignment="1">
      <x:alignment vertical="top" wrapText="1"/>
    </x:xf>
    <x:xf numFmtId="0" fontId="0" fillId="15" borderId="14" xfId="0" applyNumberFormat="1" applyFont="1" applyFill="1" applyBorder="1" applyAlignment="1">
      <x:alignment vertical="top" wrapText="1"/>
    </x:xf>
    <x:xf numFmtId="0" fontId="9" fillId="15" borderId="2" xfId="0" applyNumberFormat="1" applyFont="1" applyFill="1" applyBorder="1" applyAlignment="1">
      <x:alignment vertical="top" wrapText="1"/>
    </x:xf>
    <x:xf numFmtId="0" fontId="9" fillId="15" borderId="1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vertical="top" wrapText="1"/>
    </x:xf>
    <x:xf numFmtId="0" fontId="9" fillId="15" borderId="41" xfId="0" applyNumberFormat="1" applyFont="1" applyFill="1" applyBorder="1" applyAlignment="1">
      <x:alignment vertical="top" wrapText="1"/>
    </x:xf>
    <x:xf numFmtId="0" fontId="9" fillId="15" borderId="3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 vertical="top" wrapText="1"/>
    </x:xf>
    <x:xf numFmtId="0" fontId="9" fillId="15" borderId="41" xfId="0" applyNumberFormat="1" applyFont="1" applyFill="1" applyBorder="1" applyAlignment="1">
      <x:alignment horizontal="center" vertical="top" wrapText="1"/>
    </x:xf>
    <x:xf numFmtId="0" fontId="9" fillId="15" borderId="34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 applyAlignment="1">
      <x:alignment horizontal="center" vertical="center" wrapText="1"/>
    </x:xf>
    <x:xf numFmtId="0" fontId="9" fillId="15" borderId="34" xfId="0" applyNumberFormat="1" applyFont="1" applyFill="1" applyBorder="1" applyAlignment="1">
      <x:alignment horizontal="center" vertical="center" wrapText="1"/>
    </x:xf>
    <x:xf numFmtId="0" fontId="0" fillId="16" borderId="4" xfId="0" applyNumberFormat="1" applyFont="1" applyFill="1" applyBorder="1" applyAlignment="1">
      <x:alignment vertical="top" wrapText="1"/>
    </x:xf>
    <x:xf numFmtId="0" fontId="0" fillId="16" xfId="0" applyNumberFormat="1" applyFont="1" applyFill="1" applyBorder="0" applyAlignment="1">
      <x:alignment vertical="top" wrapText="1"/>
    </x:xf>
    <x:xf numFmtId="0" fontId="10" fillId="16" borderId="4" xfId="0" applyNumberFormat="1" applyFont="1" applyFill="1" applyBorder="1" applyAlignment="1">
      <x:alignment vertical="top" wrapText="1"/>
    </x:xf>
    <x:xf numFmtId="0" fontId="10" fillId="16" xfId="0" applyNumberFormat="1" applyFont="1" applyFill="1" applyBorder="0" applyAlignment="1">
      <x:alignment vertical="top" wrapText="1"/>
    </x:xf>
    <x:xf numFmtId="0" fontId="10" fillId="16" borderId="35" xfId="0" applyNumberFormat="1" applyFont="1" applyFill="1" applyBorder="1" applyAlignment="1">
      <x:alignment vertical="top" wrapText="1"/>
    </x:xf>
    <x:xf numFmtId="0" fontId="10" fillId="16" borderId="42" xfId="0" applyNumberFormat="1" applyFont="1" applyFill="1" applyBorder="1" applyAlignment="1">
      <x:alignment vertical="top" wrapText="1"/>
    </x:xf>
    <x:xf numFmtId="0" fontId="10" fillId="16" borderId="37" xfId="0" applyNumberFormat="1" applyFont="1" applyFill="1" applyBorder="1" applyAlignment="1">
      <x:alignment vertical="top" wrapText="1"/>
    </x:xf>
    <x:xf numFmtId="0" fontId="10" fillId="16" borderId="43" xfId="0" applyNumberFormat="1" applyFont="1" applyFill="1" applyBorder="1" applyAlignment="1">
      <x:alignment vertical="top" wrapText="1"/>
    </x:xf>
    <x:xf numFmtId="0" fontId="10" fillId="16" borderId="44" xfId="0" applyNumberFormat="1" applyFont="1" applyFill="1" applyBorder="1" applyAlignment="1">
      <x:alignment vertical="top" wrapText="1"/>
    </x:xf>
    <x:xf numFmtId="0" fontId="10" fillId="16" borderId="38" xfId="0" applyNumberFormat="1" applyFont="1" applyFill="1" applyBorder="1" applyAlignment="1">
      <x:alignment vertical="top" wrapText="1"/>
    </x:xf>
    <x:xf numFmtId="0" fontId="10" fillId="16" borderId="45" xfId="0" applyNumberFormat="1" applyFont="1" applyFill="1" applyBorder="1" applyAlignment="1">
      <x:alignment vertical="top" wrapText="1"/>
    </x:xf>
    <x:xf numFmtId="0" fontId="10" fillId="16" borderId="40" xfId="0" applyNumberFormat="1" applyFont="1" applyFill="1" applyBorder="1" applyAlignment="1">
      <x:alignment vertical="top" wrapText="1"/>
    </x:xf>
    <x:xf numFmtId="0" fontId="10" fillId="16" borderId="35" xfId="0" applyNumberFormat="1" applyFont="1" applyFill="1" applyBorder="1" applyAlignment="1">
      <x:alignment horizontal="center" vertical="top" wrapText="1"/>
    </x:xf>
    <x:xf numFmtId="0" fontId="10" fillId="16" borderId="42" xfId="0" applyNumberFormat="1" applyFont="1" applyFill="1" applyBorder="1" applyAlignment="1">
      <x:alignment horizontal="center" vertical="top" wrapText="1"/>
    </x:xf>
    <x:xf numFmtId="0" fontId="10" fillId="16" borderId="37" xfId="0" applyNumberFormat="1" applyFont="1" applyFill="1" applyBorder="1" applyAlignment="1">
      <x:alignment horizontal="center" vertical="top" wrapText="1"/>
    </x:xf>
    <x:xf numFmtId="0" fontId="10" fillId="16" borderId="43" xfId="0" applyNumberFormat="1" applyFont="1" applyFill="1" applyBorder="1" applyAlignment="1">
      <x:alignment horizontal="center" vertical="top" wrapText="1"/>
    </x:xf>
    <x:xf numFmtId="0" fontId="10" fillId="16" xfId="0" applyNumberFormat="1" applyFont="1" applyFill="1" applyBorder="0" applyAlignment="1">
      <x:alignment horizontal="center" vertical="top" wrapText="1"/>
    </x:xf>
    <x:xf numFmtId="0" fontId="10" fillId="16" borderId="44" xfId="0" applyNumberFormat="1" applyFont="1" applyFill="1" applyBorder="1" applyAlignment="1">
      <x:alignment horizontal="center" vertical="top" wrapText="1"/>
    </x:xf>
    <x:xf numFmtId="0" fontId="10" fillId="16" borderId="38" xfId="0" applyNumberFormat="1" applyFont="1" applyFill="1" applyBorder="1" applyAlignment="1">
      <x:alignment horizontal="center" vertical="top" wrapText="1"/>
    </x:xf>
    <x:xf numFmtId="0" fontId="10" fillId="16" borderId="45" xfId="0" applyNumberFormat="1" applyFont="1" applyFill="1" applyBorder="1" applyAlignment="1">
      <x:alignment horizontal="center" vertical="top" wrapText="1"/>
    </x:xf>
    <x:xf numFmtId="0" fontId="10" fillId="16" borderId="40" xfId="0" applyNumberFormat="1" applyFont="1" applyFill="1" applyBorder="1" applyAlignment="1">
      <x:alignment horizontal="center" vertical="top" wrapText="1"/>
    </x:xf>
    <x:xf numFmtId="0" fontId="10" fillId="16" borderId="35" xfId="0" applyNumberFormat="1" applyFont="1" applyFill="1" applyBorder="1" applyAlignment="1">
      <x:alignment horizontal="center" vertical="center" wrapText="1"/>
    </x:xf>
    <x:xf numFmtId="0" fontId="10" fillId="16" borderId="42" xfId="0" applyNumberFormat="1" applyFont="1" applyFill="1" applyBorder="1" applyAlignment="1">
      <x:alignment horizontal="center" vertical="center" wrapText="1"/>
    </x:xf>
    <x:xf numFmtId="0" fontId="10" fillId="16" borderId="37" xfId="0" applyNumberFormat="1" applyFont="1" applyFill="1" applyBorder="1" applyAlignment="1">
      <x:alignment horizontal="center" vertical="center" wrapText="1"/>
    </x:xf>
    <x:xf numFmtId="0" fontId="10" fillId="16" borderId="43" xfId="0" applyNumberFormat="1" applyFont="1" applyFill="1" applyBorder="1" applyAlignment="1">
      <x:alignment horizontal="center" vertical="center" wrapText="1"/>
    </x:xf>
    <x:xf numFmtId="0" fontId="10" fillId="16" xfId="0" applyNumberFormat="1" applyFont="1" applyFill="1" applyBorder="0" applyAlignment="1">
      <x:alignment horizontal="center" vertical="center" wrapText="1"/>
    </x:xf>
    <x:xf numFmtId="0" fontId="10" fillId="16" borderId="44" xfId="0" applyNumberFormat="1" applyFont="1" applyFill="1" applyBorder="1" applyAlignment="1">
      <x:alignment horizontal="center" vertical="center" wrapText="1"/>
    </x:xf>
    <x:xf numFmtId="0" fontId="10" fillId="16" borderId="38" xfId="0" applyNumberFormat="1" applyFont="1" applyFill="1" applyBorder="1" applyAlignment="1">
      <x:alignment horizontal="center" vertical="center" wrapText="1"/>
    </x:xf>
    <x:xf numFmtId="0" fontId="10" fillId="16" borderId="45" xfId="0" applyNumberFormat="1" applyFont="1" applyFill="1" applyBorder="1" applyAlignment="1">
      <x:alignment horizontal="center" vertical="center" wrapText="1"/>
    </x:xf>
    <x:xf numFmtId="0" fontId="10" fillId="16" borderId="40" xfId="0" applyNumberFormat="1" applyFont="1" applyFill="1" applyBorder="1" applyAlignment="1">
      <x:alignment horizontal="center" vertical="center" wrapText="1"/>
    </x:xf>
    <x:xf numFmtId="0" fontId="0" fillId="17" borderId="3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2" xfId="0" applyNumberFormat="1" applyFont="1" applyFill="1" applyBorder="1" applyAlignment="1">
      <x:alignment horizontal="center"/>
    </x:xf>
    <x:xf numFmtId="0" fontId="9" fillId="17" borderId="3" xfId="0" applyNumberFormat="1" applyFont="1" applyFill="1" applyBorder="1" applyAlignment="1">
      <x:alignment vertical="top" wrapText="1"/>
    </x:xf>
    <x:xf numFmtId="0" fontId="9" fillId="17" borderId="0" xfId="0" applyNumberFormat="1" applyFont="1" applyFill="1" applyBorder="1"/>
    <x:xf numFmtId="0" fontId="9" fillId="17" borderId="2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vertical="top" wrapText="1"/>
    </x:xf>
    <x:xf numFmtId="0" fontId="9" fillId="17" borderId="41" xfId="0" applyNumberFormat="1" applyFont="1" applyFill="1" applyBorder="1"/>
    <x:xf numFmtId="0" fontId="9" fillId="17" borderId="47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top" wrapText="1"/>
    </x:xf>
    <x:xf numFmtId="0" fontId="9" fillId="17" borderId="41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/>
    </x:xf>
    <x:xf numFmtId="0" fontId="9" fillId="17" borderId="47" xfId="0" applyNumberFormat="1" applyFont="1" applyFill="1" applyBorder="1" applyAlignment="1">
      <x:alignment horizontal="center" vertical="center"/>
    </x:xf>
    <x:xf numFmtId="0" fontId="0" fillId="18" borderId="5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0" fillId="18" borderId="4" xfId="0" applyNumberFormat="1" applyFont="1" applyFill="1" applyBorder="1" applyAlignment="1">
      <x:alignment horizontal="center"/>
    </x:xf>
    <x:xf numFmtId="0" fontId="10" fillId="18" borderId="5" xfId="0" applyNumberFormat="1" applyFont="1" applyFill="1" applyBorder="1" applyAlignment="1">
      <x:alignment vertical="top" wrapText="1"/>
    </x:xf>
    <x:xf numFmtId="0" fontId="10" fillId="18" borderId="0" xfId="0" applyNumberFormat="1" applyFont="1" applyFill="1" applyBorder="1"/>
    <x:xf numFmtId="0" fontId="10" fillId="18" borderId="4" xfId="0" applyNumberFormat="1" applyFont="1" applyFill="1" applyBorder="1" applyAlignment="1">
      <x:alignment horizontal="center"/>
    </x:xf>
    <x:xf numFmtId="0" fontId="10" fillId="18" borderId="48" xfId="0" applyNumberFormat="1" applyFont="1" applyFill="1" applyBorder="1" applyAlignment="1">
      <x:alignment vertical="top" wrapText="1"/>
    </x:xf>
    <x:xf numFmtId="0" fontId="10" fillId="18" borderId="42" xfId="0" applyNumberFormat="1" applyFont="1" applyFill="1" applyBorder="1"/>
    <x:xf numFmtId="0" fontId="10" fillId="18" borderId="49" xfId="0" applyNumberFormat="1" applyFont="1" applyFill="1" applyBorder="1" applyAlignment="1">
      <x:alignment horizontal="center"/>
    </x:xf>
    <x:xf numFmtId="0" fontId="10" fillId="18" borderId="50" xfId="0" applyNumberFormat="1" applyFont="1" applyFill="1" applyBorder="1" applyAlignment="1">
      <x:alignment vertical="top" wrapText="1"/>
    </x:xf>
    <x:xf numFmtId="0" fontId="10" fillId="18" xfId="0" applyNumberFormat="1" applyFont="1" applyFill="1" applyBorder="0"/>
    <x:xf numFmtId="0" fontId="10" fillId="18" borderId="51" xfId="0" applyNumberFormat="1" applyFont="1" applyFill="1" applyBorder="1" applyAlignment="1">
      <x:alignment horizontal="center"/>
    </x:xf>
    <x:xf numFmtId="0" fontId="10" fillId="18" borderId="52" xfId="0" applyNumberFormat="1" applyFont="1" applyFill="1" applyBorder="1" applyAlignment="1">
      <x:alignment vertical="top" wrapText="1"/>
    </x:xf>
    <x:xf numFmtId="0" fontId="10" fillId="18" borderId="45" xfId="0" applyNumberFormat="1" applyFont="1" applyFill="1" applyBorder="1"/>
    <x:xf numFmtId="0" fontId="10" fillId="18" borderId="53" xfId="0" applyNumberFormat="1" applyFont="1" applyFill="1" applyBorder="1" applyAlignment="1">
      <x:alignment horizontal="center"/>
    </x:xf>
    <x:xf numFmtId="0" fontId="10" fillId="18" borderId="42" xfId="0" applyNumberFormat="1" applyFont="1" applyFill="1" applyBorder="1" applyAlignment="1">
      <x:alignment wrapText="1"/>
    </x:xf>
    <x:xf numFmtId="0" fontId="10" fillId="18" borderId="49" xfId="0" applyNumberFormat="1" applyFont="1" applyFill="1" applyBorder="1" applyAlignment="1">
      <x:alignment horizontal="center" wrapText="1"/>
    </x:xf>
    <x:xf numFmtId="0" fontId="10" fillId="18" xfId="0" applyNumberFormat="1" applyFont="1" applyFill="1" applyBorder="0" applyAlignment="1">
      <x:alignment wrapText="1"/>
    </x:xf>
    <x:xf numFmtId="0" fontId="10" fillId="18" borderId="51" xfId="0" applyNumberFormat="1" applyFont="1" applyFill="1" applyBorder="1" applyAlignment="1">
      <x:alignment horizontal="center" wrapText="1"/>
    </x:xf>
    <x:xf numFmtId="0" fontId="10" fillId="18" borderId="45" xfId="0" applyNumberFormat="1" applyFont="1" applyFill="1" applyBorder="1" applyAlignment="1">
      <x:alignment wrapText="1"/>
    </x:xf>
    <x:xf numFmtId="0" fontId="10" fillId="18" borderId="53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top" wrapText="1"/>
    </x:xf>
    <x:xf numFmtId="0" fontId="10" fillId="18" borderId="42" xfId="0" applyNumberFormat="1" applyFont="1" applyFill="1" applyBorder="1" applyAlignment="1">
      <x:alignment horizontal="center" wrapText="1"/>
    </x:xf>
    <x:xf numFmtId="0" fontId="10" fillId="18" borderId="50" xfId="0" applyNumberFormat="1" applyFont="1" applyFill="1" applyBorder="1" applyAlignment="1">
      <x:alignment horizontal="center" vertical="top" wrapText="1"/>
    </x:xf>
    <x:xf numFmtId="0" fontId="10" fillId="18" xfId="0" applyNumberFormat="1" applyFont="1" applyFill="1" applyBorder="0" applyAlignment="1">
      <x:alignment horizontal="center" wrapText="1"/>
    </x:xf>
    <x:xf numFmtId="0" fontId="10" fillId="18" borderId="52" xfId="0" applyNumberFormat="1" applyFont="1" applyFill="1" applyBorder="1" applyAlignment="1">
      <x:alignment horizontal="center" vertical="top" wrapText="1"/>
    </x:xf>
    <x:xf numFmtId="0" fontId="10" fillId="18" borderId="45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center" wrapText="1"/>
    </x:xf>
    <x:xf numFmtId="0" fontId="10" fillId="18" borderId="42" xfId="0" applyNumberFormat="1" applyFont="1" applyFill="1" applyBorder="1" applyAlignment="1">
      <x:alignment horizontal="center" vertical="center" wrapText="1"/>
    </x:xf>
    <x:xf numFmtId="0" fontId="10" fillId="18" borderId="49" xfId="0" applyNumberFormat="1" applyFont="1" applyFill="1" applyBorder="1" applyAlignment="1">
      <x:alignment horizontal="center" vertical="center" wrapText="1"/>
    </x:xf>
    <x:xf numFmtId="0" fontId="10" fillId="18" borderId="50" xfId="0" applyNumberFormat="1" applyFont="1" applyFill="1" applyBorder="1" applyAlignment="1">
      <x:alignment horizontal="center" vertical="center" wrapText="1"/>
    </x:xf>
    <x:xf numFmtId="0" fontId="10" fillId="18" xfId="0" applyNumberFormat="1" applyFont="1" applyFill="1" applyBorder="0" applyAlignment="1">
      <x:alignment horizontal="center" vertical="center" wrapText="1"/>
    </x:xf>
    <x:xf numFmtId="0" fontId="10" fillId="18" borderId="51" xfId="0" applyNumberFormat="1" applyFont="1" applyFill="1" applyBorder="1" applyAlignment="1">
      <x:alignment horizontal="center" vertical="center" wrapText="1"/>
    </x:xf>
    <x:xf numFmtId="0" fontId="10" fillId="18" borderId="52" xfId="0" applyNumberFormat="1" applyFont="1" applyFill="1" applyBorder="1" applyAlignment="1">
      <x:alignment horizontal="center" vertical="center" wrapText="1"/>
    </x:xf>
    <x:xf numFmtId="0" fontId="10" fillId="18" borderId="45" xfId="0" applyNumberFormat="1" applyFont="1" applyFill="1" applyBorder="1" applyAlignment="1">
      <x:alignment horizontal="center" vertical="center" wrapText="1"/>
    </x:xf>
    <x:xf numFmtId="0" fontId="10" fillId="18" borderId="53" xfId="0" applyNumberFormat="1" applyFont="1" applyFill="1" applyBorder="1" applyAlignment="1">
      <x:alignment horizontal="center" vertical="center" wrapText="1"/>
    </x:xf>
    <x:xf numFmtId="0" fontId="0" fillId="19" borderId="14" xfId="0" applyNumberFormat="1" applyFont="1" applyFill="1" applyBorder="1" applyAlignment="1">
      <x:alignment horizontal="center"/>
    </x:xf>
    <x:xf numFmtId="0" fontId="9" fillId="19" borderId="1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/>
    </x:xf>
    <x:xf numFmtId="0" fontId="9" fillId="19" borderId="41" xfId="0" applyNumberFormat="1" applyFont="1" applyFill="1" applyBorder="1" applyAlignment="1">
      <x:alignment horizontal="center"/>
    </x:xf>
    <x:xf numFmtId="0" fontId="9" fillId="19" borderId="3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 vertical="center"/>
    </x:xf>
    <x:xf numFmtId="0" fontId="9" fillId="19" borderId="41" xfId="0" applyNumberFormat="1" applyFont="1" applyFill="1" applyBorder="1" applyAlignment="1">
      <x:alignment horizontal="center" vertical="center"/>
    </x:xf>
    <x:xf numFmtId="0" fontId="9" fillId="19" borderId="34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 applyAlignment="1">
      <x:alignment horizontal="center"/>
    </x:xf>
    <x:xf numFmtId="0" fontId="10" fillId="20" borderId="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/>
    </x:xf>
    <x:xf numFmtId="0" fontId="10" fillId="20" borderId="42" xfId="0" applyNumberFormat="1" applyFont="1" applyFill="1" applyBorder="1" applyAlignment="1">
      <x:alignment horizontal="center"/>
    </x:xf>
    <x:xf numFmtId="0" fontId="10" fillId="20" borderId="37" xfId="0" applyNumberFormat="1" applyFont="1" applyFill="1" applyBorder="1" applyAlignment="1">
      <x:alignment horizontal="center"/>
    </x:xf>
    <x:xf numFmtId="0" fontId="10" fillId="20" borderId="43" xfId="0" applyNumberFormat="1" applyFont="1" applyFill="1" applyBorder="1" applyAlignment="1">
      <x:alignment horizontal="center"/>
    </x:xf>
    <x:xf numFmtId="0" fontId="10" fillId="20" xfId="0" applyNumberFormat="1" applyFont="1" applyFill="1" applyBorder="0" applyAlignment="1">
      <x:alignment horizontal="center"/>
    </x:xf>
    <x:xf numFmtId="0" fontId="10" fillId="20" borderId="44" xfId="0" applyNumberFormat="1" applyFont="1" applyFill="1" applyBorder="1" applyAlignment="1">
      <x:alignment horizontal="center"/>
    </x:xf>
    <x:xf numFmtId="0" fontId="10" fillId="20" borderId="38" xfId="0" applyNumberFormat="1" applyFont="1" applyFill="1" applyBorder="1" applyAlignment="1">
      <x:alignment horizontal="center"/>
    </x:xf>
    <x:xf numFmtId="0" fontId="10" fillId="20" borderId="45" xfId="0" applyNumberFormat="1" applyFont="1" applyFill="1" applyBorder="1" applyAlignment="1">
      <x:alignment horizontal="center"/>
    </x:xf>
    <x:xf numFmtId="0" fontId="10" fillId="20" borderId="4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 wrapText="1"/>
    </x:xf>
    <x:xf numFmtId="0" fontId="10" fillId="20" borderId="42" xfId="0" applyNumberFormat="1" applyFont="1" applyFill="1" applyBorder="1" applyAlignment="1">
      <x:alignment horizontal="center" wrapText="1"/>
    </x:xf>
    <x:xf numFmtId="0" fontId="10" fillId="20" borderId="37" xfId="0" applyNumberFormat="1" applyFont="1" applyFill="1" applyBorder="1" applyAlignment="1">
      <x:alignment horizontal="center" wrapText="1"/>
    </x:xf>
    <x:xf numFmtId="0" fontId="10" fillId="20" borderId="43" xfId="0" applyNumberFormat="1" applyFont="1" applyFill="1" applyBorder="1" applyAlignment="1">
      <x:alignment horizontal="center" wrapText="1"/>
    </x:xf>
    <x:xf numFmtId="0" fontId="10" fillId="20" xfId="0" applyNumberFormat="1" applyFont="1" applyFill="1" applyBorder="0" applyAlignment="1">
      <x:alignment horizontal="center" wrapText="1"/>
    </x:xf>
    <x:xf numFmtId="0" fontId="10" fillId="20" borderId="44" xfId="0" applyNumberFormat="1" applyFont="1" applyFill="1" applyBorder="1" applyAlignment="1">
      <x:alignment horizontal="center" wrapText="1"/>
    </x:xf>
    <x:xf numFmtId="0" fontId="10" fillId="20" borderId="38" xfId="0" applyNumberFormat="1" applyFont="1" applyFill="1" applyBorder="1" applyAlignment="1">
      <x:alignment horizontal="center" wrapText="1"/>
    </x:xf>
    <x:xf numFmtId="0" fontId="10" fillId="20" borderId="45" xfId="0" applyNumberFormat="1" applyFont="1" applyFill="1" applyBorder="1" applyAlignment="1">
      <x:alignment horizontal="center" wrapText="1"/>
    </x:xf>
    <x:xf numFmtId="0" fontId="10" fillId="20" borderId="40" xfId="0" applyNumberFormat="1" applyFont="1" applyFill="1" applyBorder="1" applyAlignment="1">
      <x:alignment horizontal="center" wrapText="1"/>
    </x:xf>
    <x:xf numFmtId="0" fontId="10" fillId="20" borderId="35" xfId="0" applyNumberFormat="1" applyFont="1" applyFill="1" applyBorder="1" applyAlignment="1">
      <x:alignment horizontal="center" vertical="center" wrapText="1"/>
    </x:xf>
    <x:xf numFmtId="0" fontId="10" fillId="20" borderId="42" xfId="0" applyNumberFormat="1" applyFont="1" applyFill="1" applyBorder="1" applyAlignment="1">
      <x:alignment horizontal="center" vertical="center" wrapText="1"/>
    </x:xf>
    <x:xf numFmtId="0" fontId="10" fillId="20" borderId="37" xfId="0" applyNumberFormat="1" applyFont="1" applyFill="1" applyBorder="1" applyAlignment="1">
      <x:alignment horizontal="center" vertical="center" wrapText="1"/>
    </x:xf>
    <x:xf numFmtId="0" fontId="10" fillId="20" borderId="43" xfId="0" applyNumberFormat="1" applyFont="1" applyFill="1" applyBorder="1" applyAlignment="1">
      <x:alignment horizontal="center" vertical="center" wrapText="1"/>
    </x:xf>
    <x:xf numFmtId="0" fontId="10" fillId="20" xfId="0" applyNumberFormat="1" applyFont="1" applyFill="1" applyBorder="0" applyAlignment="1">
      <x:alignment horizontal="center" vertical="center" wrapText="1"/>
    </x:xf>
    <x:xf numFmtId="0" fontId="10" fillId="20" borderId="44" xfId="0" applyNumberFormat="1" applyFont="1" applyFill="1" applyBorder="1" applyAlignment="1">
      <x:alignment horizontal="center" vertical="center" wrapText="1"/>
    </x:xf>
    <x:xf numFmtId="0" fontId="10" fillId="20" borderId="38" xfId="0" applyNumberFormat="1" applyFont="1" applyFill="1" applyBorder="1" applyAlignment="1">
      <x:alignment horizontal="center" vertical="center" wrapText="1"/>
    </x:xf>
    <x:xf numFmtId="0" fontId="10" fillId="20" borderId="45" xfId="0" applyNumberFormat="1" applyFont="1" applyFill="1" applyBorder="1" applyAlignment="1">
      <x:alignment horizontal="center" vertical="center" wrapText="1"/>
    </x:xf>
    <x:xf numFmtId="0" fontId="10" fillId="20" borderId="40" xfId="0" applyNumberFormat="1" applyFont="1" applyFill="1" applyBorder="1" applyAlignment="1">
      <x:alignment horizontal="center" vertical="center" wrapText="1"/>
    </x:xf>
    <x:xf numFmtId="0" fontId="0" fillId="21" borderId="14" xfId="0" applyNumberFormat="1" applyFont="1" applyFill="1" applyBorder="1" applyAlignment="1">
      <x:alignment horizontal="center"/>
    </x:xf>
    <x:xf numFmtId="0" fontId="0" fillId="21" borderId="3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9" fillId="21" borderId="14" xfId="0" applyNumberFormat="1" applyFont="1" applyFill="1" applyBorder="1" applyAlignment="1">
      <x:alignment horizontal="center"/>
    </x:xf>
    <x:xf numFmtId="0" fontId="9" fillId="21" borderId="3" xfId="0" applyNumberFormat="1" applyFont="1" applyFill="1" applyBorder="1" applyAlignment="1">
      <x:alignment horizontal="center"/>
    </x:xf>
    <x:xf numFmtId="0" fontId="9" fillId="21" borderId="0" xfId="0" applyNumberFormat="1" applyFont="1" applyFill="1" applyBorder="1"/>
    <x:xf numFmtId="0" fontId="9" fillId="21" borderId="32" xfId="0" applyNumberFormat="1" applyFont="1" applyFill="1" applyBorder="1" applyAlignment="1">
      <x:alignment horizontal="center"/>
    </x:xf>
    <x:xf numFmtId="0" fontId="9" fillId="21" borderId="33" xfId="0" applyNumberFormat="1" applyFont="1" applyFill="1" applyBorder="1" applyAlignment="1">
      <x:alignment horizontal="center"/>
    </x:xf>
    <x:xf numFmtId="0" fontId="9" fillId="21" borderId="34" xfId="0" applyNumberFormat="1" applyFont="1" applyFill="1" applyBorder="1"/>
    <x:xf numFmtId="0" fontId="9" fillId="21" borderId="34" xfId="0" applyNumberFormat="1" applyFont="1" applyFill="1" applyBorder="1" applyAlignment="1">
      <x:alignment horizontal="center"/>
    </x:xf>
    <x:xf numFmtId="0" fontId="9" fillId="21" borderId="32" xfId="0" applyNumberFormat="1" applyFont="1" applyFill="1" applyBorder="1" applyAlignment="1">
      <x:alignment horizontal="center" vertical="center"/>
    </x:xf>
    <x:xf numFmtId="0" fontId="9" fillId="21" borderId="33" xfId="0" applyNumberFormat="1" applyFont="1" applyFill="1" applyBorder="1" applyAlignment="1">
      <x:alignment horizontal="center" vertical="center"/>
    </x:xf>
    <x:xf numFmtId="0" fontId="9" fillId="21" borderId="34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horizontal="center"/>
    </x:xf>
    <x:xf numFmtId="0" fontId="0" fillId="22" borderId="5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 applyAlignment="1">
      <x:alignment horizontal="center"/>
    </x:xf>
    <x:xf numFmtId="0" fontId="10" fillId="22" borderId="5" xfId="0" applyNumberFormat="1" applyFont="1" applyFill="1" applyBorder="1" applyAlignment="1">
      <x:alignment horizontal="center"/>
    </x:xf>
    <x:xf numFmtId="0" fontId="10" fillId="22" borderId="0" xfId="0" applyNumberFormat="1" applyFont="1" applyFill="1" applyBorder="1"/>
    <x:xf numFmtId="0" fontId="10" fillId="22" borderId="35" xfId="0" applyNumberFormat="1" applyFont="1" applyFill="1" applyBorder="1" applyAlignment="1">
      <x:alignment horizontal="center"/>
    </x:xf>
    <x:xf numFmtId="0" fontId="10" fillId="22" borderId="36" xfId="0" applyNumberFormat="1" applyFont="1" applyFill="1" applyBorder="1" applyAlignment="1">
      <x:alignment horizontal="center"/>
    </x:xf>
    <x:xf numFmtId="0" fontId="10" fillId="22" borderId="37" xfId="0" applyNumberFormat="1" applyFont="1" applyFill="1" applyBorder="1"/>
    <x:xf numFmtId="0" fontId="10" fillId="22" borderId="43" xfId="0" applyNumberFormat="1" applyFont="1" applyFill="1" applyBorder="1" applyAlignment="1">
      <x:alignment horizontal="center"/>
    </x:xf>
    <x:xf numFmtId="0" fontId="10" fillId="22" borderId="44" xfId="0" applyNumberFormat="1" applyFont="1" applyFill="1" applyBorder="1"/>
    <x:xf numFmtId="0" fontId="10" fillId="22" borderId="38" xfId="0" applyNumberFormat="1" applyFont="1" applyFill="1" applyBorder="1" applyAlignment="1">
      <x:alignment horizontal="center"/>
    </x:xf>
    <x:xf numFmtId="0" fontId="10" fillId="22" borderId="39" xfId="0" applyNumberFormat="1" applyFont="1" applyFill="1" applyBorder="1" applyAlignment="1">
      <x:alignment horizontal="center"/>
    </x:xf>
    <x:xf numFmtId="0" fontId="10" fillId="22" borderId="40" xfId="0" applyNumberFormat="1" applyFont="1" applyFill="1" applyBorder="1"/>
    <x:xf numFmtId="0" fontId="10" fillId="22" borderId="35" xfId="0" applyNumberFormat="1" applyFont="1" applyFill="1" applyBorder="1" applyAlignment="1">
      <x:alignment horizontal="center" wrapText="1"/>
    </x:xf>
    <x:xf numFmtId="0" fontId="10" fillId="22" borderId="36" xfId="0" applyNumberFormat="1" applyFont="1" applyFill="1" applyBorder="1" applyAlignment="1">
      <x:alignment horizontal="center" wrapText="1"/>
    </x:xf>
    <x:xf numFmtId="0" fontId="10" fillId="22" borderId="37" xfId="0" applyNumberFormat="1" applyFont="1" applyFill="1" applyBorder="1" applyAlignment="1">
      <x:alignment wrapText="1"/>
    </x:xf>
    <x:xf numFmtId="0" fontId="10" fillId="22" borderId="43" xfId="0" applyNumberFormat="1" applyFont="1" applyFill="1" applyBorder="1" applyAlignment="1">
      <x:alignment horizontal="center" wrapText="1"/>
    </x:xf>
    <x:xf numFmtId="0" fontId="10" fillId="22" borderId="5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wrapText="1"/>
    </x:xf>
    <x:xf numFmtId="0" fontId="10" fillId="22" borderId="38" xfId="0" applyNumberFormat="1" applyFont="1" applyFill="1" applyBorder="1" applyAlignment="1">
      <x:alignment horizontal="center" wrapText="1"/>
    </x:xf>
    <x:xf numFmtId="0" fontId="10" fillId="22" borderId="39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wrapText="1"/>
    </x:xf>
    <x:xf numFmtId="0" fontId="10" fillId="22" borderId="37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horizontal="center" wrapText="1"/>
    </x:xf>
    <x:xf numFmtId="0" fontId="10" fillId="22" borderId="35" xfId="0" applyNumberFormat="1" applyFont="1" applyFill="1" applyBorder="1" applyAlignment="1">
      <x:alignment horizontal="center" vertical="center" wrapText="1"/>
    </x:xf>
    <x:xf numFmtId="0" fontId="10" fillId="22" borderId="36" xfId="0" applyNumberFormat="1" applyFont="1" applyFill="1" applyBorder="1" applyAlignment="1">
      <x:alignment horizontal="center" vertical="center" wrapText="1"/>
    </x:xf>
    <x:xf numFmtId="0" fontId="10" fillId="22" borderId="37" xfId="0" applyNumberFormat="1" applyFont="1" applyFill="1" applyBorder="1" applyAlignment="1">
      <x:alignment horizontal="center" vertical="center" wrapText="1"/>
    </x:xf>
    <x:xf numFmtId="0" fontId="10" fillId="22" borderId="43" xfId="0" applyNumberFormat="1" applyFont="1" applyFill="1" applyBorder="1" applyAlignment="1">
      <x:alignment horizontal="center" vertical="center" wrapText="1"/>
    </x:xf>
    <x:xf numFmtId="0" fontId="10" fillId="22" borderId="5" xfId="0" applyNumberFormat="1" applyFont="1" applyFill="1" applyBorder="1" applyAlignment="1">
      <x:alignment horizontal="center" vertical="center" wrapText="1"/>
    </x:xf>
    <x:xf numFmtId="0" fontId="10" fillId="22" borderId="44" xfId="0" applyNumberFormat="1" applyFont="1" applyFill="1" applyBorder="1" applyAlignment="1">
      <x:alignment horizontal="center" vertical="center" wrapText="1"/>
    </x:xf>
    <x:xf numFmtId="0" fontId="10" fillId="22" borderId="38" xfId="0" applyNumberFormat="1" applyFont="1" applyFill="1" applyBorder="1" applyAlignment="1">
      <x:alignment horizontal="center" vertical="center" wrapText="1"/>
    </x:xf>
    <x:xf numFmtId="0" fontId="10" fillId="22" borderId="39" xfId="0" applyNumberFormat="1" applyFont="1" applyFill="1" applyBorder="1" applyAlignment="1">
      <x:alignment horizontal="center" vertical="center" wrapText="1"/>
    </x:xf>
    <x:xf numFmtId="0" fontId="10" fillId="22" borderId="40" xfId="0" applyNumberFormat="1" applyFont="1" applyFill="1" applyBorder="1" applyAlignment="1">
      <x:alignment horizontal="center" vertical="center" wrapText="1"/>
    </x:xf>
    <x:xf numFmtId="0" fontId="0" fillId="12" borderId="4" xfId="0" applyNumberFormat="1" applyFont="1" applyFill="1" applyBorder="1" applyAlignment="1">
      <x:alignment vertical="top" wrapText="1"/>
    </x:xf>
    <x:xf numFmtId="0" fontId="0" fillId="12" borderId="5" xfId="0" applyNumberFormat="1" applyFont="1" applyFill="1" applyBorder="1" applyAlignment="1">
      <x:alignment vertical="top" wrapText="1"/>
    </x:xf>
    <x:xf numFmtId="0" fontId="0" fillId="12" xfId="0" applyNumberFormat="1" applyFont="1" applyFill="1" applyBorder="0" applyAlignment="1">
      <x:alignment vertical="top" wrapText="1"/>
    </x:xf>
    <x:xf numFmtId="0" fontId="0" fillId="12" borderId="4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vertical="top" wrapText="1"/>
    </x:xf>
    <x:xf numFmtId="0" fontId="5" fillId="12" borderId="5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/>
    <x:xf numFmtId="0" fontId="5" fillId="12" xfId="0" applyNumberFormat="1" applyFont="1" applyFill="1" applyBorder="0" applyAlignment="1">
      <x:alignment vertical="top" wrapText="1"/>
    </x:xf>
    <x:xf numFmtId="0" fontId="5" fillId="12" borderId="4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/>
    </x:xf>
    <x:xf numFmtId="0" fontId="5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horizontal="left" vertical="top" wrapText="1"/>
    </x:xf>
    <x:xf numFmtId="0" fontId="5" fillId="12" borderId="5" xfId="0" applyNumberFormat="1" applyFont="1" applyFill="1" applyBorder="1" applyAlignment="1">
      <x:alignment horizontal="left" vertical="top" wrapText="1"/>
    </x:xf>
    <x:xf numFmtId="0" fontId="5" fillId="12" borderId="0" xfId="0" applyNumberFormat="1" applyFont="1" applyFill="1" applyBorder="1" applyAlignment="1">
      <x:alignment horizontal="left"/>
    </x:xf>
    <x:xf numFmtId="0" fontId="5" fillId="12" xfId="0" applyNumberFormat="1" applyFont="1" applyFill="1" applyBorder="0" applyAlignment="1">
      <x:alignment horizontal="left" vertical="top" wrapText="1"/>
    </x:xf>
    <x:xf numFmtId="0" fontId="5" fillId="12" borderId="4" xfId="0" applyNumberFormat="1" applyFont="1" applyFill="1" applyBorder="1" applyAlignment="1">
      <x:alignment horizontal="left"/>
    </x:xf>
    <x:xf numFmtId="0" fontId="5" fillId="12" borderId="5" xfId="0" applyNumberFormat="1" applyFont="1" applyFill="1" applyBorder="1" applyAlignment="1">
      <x:alignment horizontal="left"/>
    </x:xf>
    <x:xf numFmtId="0" fontId="5" fillId="12" borderId="4" xfId="0" applyNumberFormat="1" applyFont="1" applyFill="1" applyBorder="1" applyAlignment="1">
      <x:alignment horizontal="left" vertical="center" wrapText="1"/>
    </x:xf>
    <x:xf numFmtId="0" fontId="5" fillId="12" borderId="5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/>
    </x:xf>
    <x:xf numFmtId="0" fontId="5" fillId="12" xfId="0" applyNumberFormat="1" applyFont="1" applyFill="1" applyBorder="0" applyAlignment="1">
      <x:alignment horizontal="left" vertical="center" wrapText="1"/>
    </x:xf>
    <x:xf numFmtId="0" fontId="5" fillId="12" borderId="4" xfId="0" applyNumberFormat="1" applyFont="1" applyFill="1" applyBorder="1" applyAlignment="1">
      <x:alignment horizontal="left" vertical="center"/>
    </x:xf>
    <x:xf numFmtId="0" fontId="5" fillId="12" borderId="5" xfId="0" applyNumberFormat="1" applyFont="1" applyFill="1" applyBorder="1" applyAlignment="1">
      <x:alignment horizontal="left" vertical="center"/>
    </x:xf>
    <x:xf numFmtId="0" fontId="0" fillId="15" borderId="6" xfId="0" applyNumberFormat="1" applyFont="1" applyFill="1" applyBorder="1" applyAlignment="1">
      <x:alignment vertical="top" wrapText="1"/>
    </x:xf>
    <x:xf numFmtId="0" fontId="0" fillId="15" borderId="7" xfId="0" applyNumberFormat="1" applyFont="1" applyFill="1" applyBorder="1" applyAlignment="1">
      <x:alignment vertical="top" wrapText="1"/>
    </x:xf>
    <x:xf numFmtId="0" fontId="9" fillId="15" borderId="6" xfId="0" applyNumberFormat="1" applyFont="1" applyFill="1" applyBorder="1" applyAlignment="1">
      <x:alignment vertical="top" wrapText="1"/>
    </x:xf>
    <x:xf numFmtId="0" fontId="9" fillId="15" borderId="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35" xfId="0" applyNumberFormat="1" applyFont="1" applyFill="1" applyBorder="1"/>
    <x:xf numFmtId="0" fontId="10" fillId="16" borderId="37" xfId="0" applyNumberFormat="1" applyFont="1" applyFill="1" applyBorder="1"/>
    <x:xf numFmtId="0" fontId="10" fillId="16" borderId="38" xfId="0" applyNumberFormat="1" applyFont="1" applyFill="1" applyBorder="1" applyAlignment="1">
      <x:alignment wrapText="1"/>
    </x:xf>
    <x:xf numFmtId="0" fontId="10" fillId="16" borderId="40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wrapText="1"/>
    </x:xf>
    <x:xf numFmtId="0" fontId="10" fillId="16" borderId="37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horizontal="center" wrapText="1"/>
    </x:xf>
    <x:xf numFmtId="0" fontId="10" fillId="16" borderId="37" xfId="0" applyNumberFormat="1" applyFont="1" applyFill="1" applyBorder="1" applyAlignment="1">
      <x:alignment horizontal="center" wrapText="1"/>
    </x:xf>
    <x:xf numFmtId="0" fontId="10" fillId="16" borderId="38" xfId="0" applyNumberFormat="1" applyFont="1" applyFill="1" applyBorder="1" applyAlignment="1">
      <x:alignment horizontal="center" wrapText="1"/>
    </x:xf>
    <x:xf numFmtId="0" fontId="10" fillId="16" borderId="4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32" xfId="0" applyNumberFormat="1" applyFont="1" applyFill="1" applyBorder="1"/>
    <x:xf numFmtId="0" fontId="9" fillId="15" borderId="47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/>
    </x:xf>
    <x:xf numFmtId="0" fontId="9" fillId="15" borderId="47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/>
    </x:xf>
    <x:xf numFmtId="0" fontId="9" fillId="15" borderId="47" xfId="0" applyNumberFormat="1" applyFont="1" applyFill="1" applyBorder="1" applyAlignment="1">
      <x:alignment horizontal="center" vertical="center" wrapText="1"/>
    </x:xf>
    <x:xf numFmtId="0" fontId="0" fillId="16" borderId="6" xfId="0" applyNumberFormat="1" applyFont="1" applyFill="1" applyBorder="1" applyAlignment="1">
      <x:alignment vertical="top" wrapText="1"/>
    </x:xf>
    <x:xf numFmtId="0" fontId="10" fillId="16" borderId="6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horizontal="center" vertical="top" wrapText="1"/>
    </x:xf>
    <x:xf numFmtId="0" fontId="10" fillId="16" borderId="54" xfId="0" applyNumberFormat="1" applyFont="1" applyFill="1" applyBorder="1" applyAlignment="1">
      <x:alignment horizontal="center" vertical="center" wrapText="1"/>
    </x:xf>
    <x:xf numFmtId="0" fontId="0" fillId="12" borderId="15" xfId="0" applyNumberFormat="1" applyFont="1" applyFill="1" applyBorder="1" applyAlignment="1">
      <x:alignment vertical="top" wrapText="1"/>
    </x:xf>
    <x:xf numFmtId="0" fontId="9" fillId="12" borderId="15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 vertical="center" wrapText="1"/>
    </x:xf>
    <x:xf numFmtId="0" fontId="0" fillId="13" borderId="15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wrapText="1"/>
    </x:xf>
    <x:xf numFmtId="0" fontId="10" fillId="13" borderId="1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vertical="top" wrapText="1"/>
    </x:xf>
    <x:xf numFmtId="0" fontId="10" fillId="13" borderId="56" xfId="0" applyNumberFormat="1" applyFont="1" applyFill="1" applyBorder="1" applyAlignment="1">
      <x:alignment vertical="top" wrapText="1"/>
    </x:xf>
    <x:xf numFmtId="0" fontId="10" fillId="13" borderId="38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horizontal="center" vertical="top" wrapText="1"/>
    </x:xf>
    <x:xf numFmtId="0" fontId="10" fillId="13" borderId="56" xfId="0" applyNumberFormat="1" applyFont="1" applyFill="1" applyBorder="1" applyAlignment="1">
      <x:alignment horizontal="center" vertical="top" wrapText="1"/>
    </x:xf>
    <x:xf numFmtId="0" fontId="10" fillId="13" borderId="38" xfId="0" applyNumberFormat="1" applyFont="1" applyFill="1" applyBorder="1" applyAlignment="1">
      <x:alignment horizontal="center" wrapText="1"/>
    </x:xf>
    <x:xf numFmtId="0" fontId="10" fillId="13" borderId="55" xfId="0" applyNumberFormat="1" applyFont="1" applyFill="1" applyBorder="1" applyAlignment="1">
      <x:alignment horizontal="center" vertical="center" wrapText="1"/>
    </x:xf>
    <x:xf numFmtId="0" fontId="10" fillId="13" borderId="56" xfId="0" applyNumberFormat="1" applyFont="1" applyFill="1" applyBorder="1" applyAlignment="1">
      <x:alignment horizontal="center" vertical="center" wrapText="1"/>
    </x:xf>
    <x:xf numFmtId="0" fontId="0" fillId="12" borderId="7" xfId="0" applyNumberFormat="1" applyFont="1" applyFill="1" applyBorder="1" applyAlignment="1">
      <x:alignment vertical="top" wrapText="1"/>
    </x:xf>
    <x:xf numFmtId="0" fontId="9" fillId="12" borderId="7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horizontal="center" vertical="top" wrapText="1"/>
    </x:xf>
    <x:xf numFmtId="0" fontId="9" fillId="12" borderId="46" xfId="0" applyNumberFormat="1" applyFont="1" applyFill="1" applyBorder="1" applyAlignment="1">
      <x:alignment horizontal="center" vertical="center" wrapText="1"/>
    </x:xf>
    <x:xf numFmtId="0" fontId="0" fillId="13" borderId="7" xfId="0" applyNumberFormat="1" applyFont="1" applyFill="1" applyBorder="1" applyAlignment="1">
      <x:alignment vertical="top" wrapText="1"/>
    </x:xf>
    <x:xf numFmtId="0" fontId="10" fillId="13" borderId="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horizontal="center" vertical="top" wrapText="1"/>
    </x:xf>
    <x:xf numFmtId="0" fontId="10" fillId="13" borderId="57" xfId="0" applyNumberFormat="1" applyFont="1" applyFill="1" applyBorder="1" applyAlignment="1">
      <x:alignment horizontal="center" vertical="center" wrapText="1"/>
    </x:xf>
    <x:xf numFmtId="0" fontId="0" fillId="23" borderId="6" xfId="0" applyNumberFormat="1" applyFont="1" applyFill="1" applyBorder="1" applyAlignment="1">
      <x:alignment horizontal="center"/>
    </x:xf>
    <x:xf numFmtId="0" fontId="0" fillId="23" borderId="15" xfId="0" applyNumberFormat="1" applyFont="1" applyFill="1" applyBorder="1" applyAlignment="1">
      <x:alignment horizontal="center"/>
    </x:xf>
    <x:xf numFmtId="0" fontId="9" fillId="23" borderId="6" xfId="0" applyNumberFormat="1" applyFont="1" applyFill="1" applyBorder="1" applyAlignment="1">
      <x:alignment horizontal="center"/>
    </x:xf>
    <x:xf numFmtId="0" fontId="9" fillId="23" borderId="15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 vertical="center"/>
    </x:xf>
    <x:xf numFmtId="0" fontId="9" fillId="23" borderId="34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wrapText="1"/>
    </x:xf>
    <x:xf numFmtId="0" fontId="10" fillId="24" borderId="35" xfId="0" applyNumberFormat="1" applyFont="1" applyFill="1" applyBorder="1"/>
    <x:xf numFmtId="0" fontId="10" fillId="24" borderId="37" xfId="0" applyNumberFormat="1" applyFont="1" applyFill="1" applyBorder="1"/>
    <x:xf numFmtId="0" fontId="10" fillId="24" borderId="38" xfId="0" applyNumberFormat="1" applyFont="1" applyFill="1" applyBorder="1" applyAlignment="1">
      <x:alignment wrapText="1"/>
    </x:xf>
    <x:xf numFmtId="0" fontId="10" fillId="24" borderId="40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wrapText="1"/>
    </x:xf>
    <x:xf numFmtId="0" fontId="10" fillId="24" borderId="37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horizontal="center" wrapText="1"/>
    </x:xf>
    <x:xf numFmtId="0" fontId="10" fillId="24" borderId="37" xfId="0" applyNumberFormat="1" applyFont="1" applyFill="1" applyBorder="1" applyAlignment="1">
      <x:alignment horizontal="center" wrapText="1"/>
    </x:xf>
    <x:xf numFmtId="0" fontId="10" fillId="24" borderId="38" xfId="0" applyNumberFormat="1" applyFont="1" applyFill="1" applyBorder="1" applyAlignment="1">
      <x:alignment horizontal="center" wrapText="1"/>
    </x:xf>
    <x:xf numFmtId="0" fontId="10" fillId="24" borderId="40" xfId="0" applyNumberFormat="1" applyFont="1" applyFill="1" applyBorder="1" applyAlignment="1">
      <x:alignment horizontal="center" wrapText="1"/>
    </x:xf>
    <x:xf numFmtId="0" fontId="10" fillId="24" borderId="35" xfId="0" applyNumberFormat="1" applyFont="1" applyFill="1" applyBorder="1" applyAlignment="1">
      <x:alignment horizontal="center" vertical="center" wrapText="1"/>
    </x:xf>
    <x:xf numFmtId="0" fontId="10" fillId="24" borderId="37" xfId="0" applyNumberFormat="1" applyFont="1" applyFill="1" applyBorder="1" applyAlignment="1">
      <x:alignment horizontal="center" vertical="center" wrapText="1"/>
    </x:xf>
    <x:xf numFmtId="0" fontId="10" fillId="24" borderId="38" xfId="0" applyNumberFormat="1" applyFont="1" applyFill="1" applyBorder="1" applyAlignment="1">
      <x:alignment horizontal="center" vertical="center" wrapText="1"/>
    </x:xf>
    <x:xf numFmtId="0" fontId="10" fillId="24" borderId="40" xfId="0" applyNumberFormat="1" applyFont="1" applyFill="1" applyBorder="1" applyAlignment="1">
      <x:alignment horizontal="center" vertical="center" wrapText="1"/>
    </x:xf>
    <x:xf numFmtId="0" fontId="0" fillId="23" borderId="7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9" fillId="23" borderId="7" xfId="0" applyNumberFormat="1" applyFont="1" applyFill="1" applyBorder="1" applyAlignment="1">
      <x:alignment horizontal="center"/>
    </x:xf>
    <x:xf numFmtId="0" fontId="9" fillId="23" borderId="0" xfId="0" applyNumberFormat="1" applyFont="1" applyFill="1" applyBorder="1"/>
    <x:xf numFmtId="0" fontId="9" fillId="23" borderId="33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/>
    <x:xf numFmtId="0" fontId="9" fillId="23" borderId="33" xfId="0" applyNumberFormat="1" applyFont="1" applyFill="1" applyBorder="1" applyAlignment="1">
      <x:alignment horizontal="center" vertical="center"/>
    </x:xf>
    <x:xf numFmtId="0" fontId="10" fillId="24" borderId="42" xfId="0" applyNumberFormat="1" applyFont="1" applyFill="1" applyBorder="1"/>
    <x:xf numFmtId="0" fontId="10" fillId="24" borderId="45" xfId="0" applyNumberFormat="1" applyFont="1" applyFill="1" applyBorder="1" applyAlignment="1">
      <x:alignment wrapText="1"/>
    </x:xf>
    <x:xf numFmtId="0" fontId="10" fillId="24" borderId="40" xfId="0" applyNumberFormat="1" applyFont="1" applyFill="1" applyBorder="1"/>
    <x:xf numFmtId="0" fontId="10" fillId="24" borderId="42" xfId="0" applyNumberFormat="1" applyFont="1" applyFill="1" applyBorder="1" applyAlignment="1">
      <x:alignment wrapText="1"/>
    </x:xf>
    <x:xf numFmtId="0" fontId="10" fillId="24" borderId="42" xfId="0" applyNumberFormat="1" applyFont="1" applyFill="1" applyBorder="1" applyAlignment="1">
      <x:alignment horizontal="center" wrapText="1"/>
    </x:xf>
    <x:xf numFmtId="0" fontId="10" fillId="24" borderId="45" xfId="0" applyNumberFormat="1" applyFont="1" applyFill="1" applyBorder="1" applyAlignment="1">
      <x:alignment horizontal="center" wrapText="1"/>
    </x:xf>
    <x:xf numFmtId="0" fontId="10" fillId="24" borderId="42" xfId="0" applyNumberFormat="1" applyFont="1" applyFill="1" applyBorder="1" applyAlignment="1">
      <x:alignment horizontal="center" vertical="center" wrapText="1"/>
    </x:xf>
    <x:xf numFmtId="0" fontId="10" fillId="24" borderId="45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horizontal="left"/>
    </x:xf>
    <x:xf numFmtId="0" fontId="5" fillId="15" borderId="0" xfId="0" applyNumberFormat="1" applyFont="1" applyFill="1" applyBorder="1" applyAlignment="1">
      <x:alignment horizontal="left" vertical="center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0" fontId="9" fillId="17" borderId="32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 wrapText="1"/>
    </x:xf>
    <x:xf numFmtId="0" fontId="9" fillId="17" borderId="34" xfId="0" applyNumberFormat="1" applyFont="1" applyFill="1" applyBorder="1" applyAlignment="1">
      <x:alignment horizontal="center" vertical="center" wrapText="1"/>
    </x:xf>
    <x:xf numFmtId="0" fontId="0" fillId="18" borderId="2" xfId="0" applyNumberFormat="1" applyFont="1" applyFill="1" applyBorder="1"/>
    <x:xf numFmtId="0" fontId="0" fillId="18" borderId="14" xfId="0" applyNumberFormat="1" applyFont="1" applyFill="1" applyBorder="1"/>
    <x:xf numFmtId="0" fontId="0" fillId="18" borderId="4" xfId="0" applyNumberFormat="1" applyFont="1" applyFill="1" applyBorder="1"/>
    <x:xf numFmtId="0" fontId="10" fillId="18" borderId="2" xfId="0" applyNumberFormat="1" applyFont="1" applyFill="1" applyBorder="1"/>
    <x:xf numFmtId="0" fontId="10" fillId="18" borderId="14" xfId="0" applyNumberFormat="1" applyFont="1" applyFill="1" applyBorder="1"/>
    <x:xf numFmtId="0" fontId="10" fillId="18" borderId="4" xfId="0" applyNumberFormat="1" applyFont="1" applyFill="1" applyBorder="1"/>
    <x:xf numFmtId="0" fontId="10" fillId="18" borderId="35" xfId="0" applyNumberFormat="1" applyFont="1" applyFill="1" applyBorder="1"/>
    <x:xf numFmtId="0" fontId="10" fillId="18" borderId="37" xfId="0" applyNumberFormat="1" applyFont="1" applyFill="1" applyBorder="1"/>
    <x:xf numFmtId="0" fontId="10" fillId="18" borderId="38" xfId="0" applyNumberFormat="1" applyFont="1" applyFill="1" applyBorder="1"/>
    <x:xf numFmtId="0" fontId="10" fillId="18" borderId="40" xfId="0" applyNumberFormat="1" applyFont="1" applyFill="1" applyBorder="1"/>
    <x:xf numFmtId="0" fontId="10" fillId="18" borderId="35" xfId="0" applyNumberFormat="1" applyFont="1" applyFill="1" applyBorder="1" applyAlignment="1">
      <x:alignment wrapText="1"/>
    </x:xf>
    <x:xf numFmtId="0" fontId="10" fillId="18" borderId="37" xfId="0" applyNumberFormat="1" applyFont="1" applyFill="1" applyBorder="1" applyAlignment="1">
      <x:alignment wrapText="1"/>
    </x:xf>
    <x:xf numFmtId="0" fontId="10" fillId="18" borderId="38" xfId="0" applyNumberFormat="1" applyFont="1" applyFill="1" applyBorder="1" applyAlignment="1">
      <x:alignment wrapText="1"/>
    </x:xf>
    <x:xf numFmtId="0" fontId="10" fillId="18" borderId="40" xfId="0" applyNumberFormat="1" applyFont="1" applyFill="1" applyBorder="1" applyAlignment="1">
      <x:alignment wrapText="1"/>
    </x:xf>
    <x:xf numFmtId="0" fontId="10" fillId="18" borderId="35" xfId="0" applyNumberFormat="1" applyFont="1" applyFill="1" applyBorder="1" applyAlignment="1">
      <x:alignment horizontal="center" wrapText="1"/>
    </x:xf>
    <x:xf numFmtId="0" fontId="10" fillId="18" borderId="37" xfId="0" applyNumberFormat="1" applyFont="1" applyFill="1" applyBorder="1" applyAlignment="1">
      <x:alignment horizontal="center" wrapText="1"/>
    </x:xf>
    <x:xf numFmtId="0" fontId="10" fillId="18" borderId="38" xfId="0" applyNumberFormat="1" applyFont="1" applyFill="1" applyBorder="1" applyAlignment="1">
      <x:alignment horizontal="center" wrapText="1"/>
    </x:xf>
    <x:xf numFmtId="0" fontId="10" fillId="18" borderId="40" xfId="0" applyNumberFormat="1" applyFont="1" applyFill="1" applyBorder="1" applyAlignment="1">
      <x:alignment horizontal="center" wrapText="1"/>
    </x:xf>
    <x:xf numFmtId="0" fontId="10" fillId="18" borderId="35" xfId="0" applyNumberFormat="1" applyFont="1" applyFill="1" applyBorder="1" applyAlignment="1">
      <x:alignment horizontal="center" vertical="center" wrapText="1"/>
    </x:xf>
    <x:xf numFmtId="0" fontId="10" fillId="18" borderId="37" xfId="0" applyNumberFormat="1" applyFont="1" applyFill="1" applyBorder="1" applyAlignment="1">
      <x:alignment horizontal="center" vertical="center" wrapText="1"/>
    </x:xf>
    <x:xf numFmtId="0" fontId="10" fillId="18" borderId="38" xfId="0" applyNumberFormat="1" applyFont="1" applyFill="1" applyBorder="1" applyAlignment="1">
      <x:alignment horizontal="center" vertical="center" wrapText="1"/>
    </x:xf>
    <x:xf numFmtId="0" fontId="10" fillId="18" borderId="40" xfId="0" applyNumberFormat="1" applyFont="1" applyFill="1" applyBorder="1" applyAlignment="1">
      <x:alignment horizontal="center" vertical="center" wrapText="1"/>
    </x:xf>
    <x:xf numFmtId="0" fontId="0" fillId="18" borderId="3" xfId="0" applyNumberFormat="1" applyFont="1" applyFill="1" applyBorder="1"/>
    <x:xf numFmtId="0" fontId="0" fillId="18" borderId="5" xfId="0" applyNumberFormat="1" applyFont="1" applyFill="1" applyBorder="1"/>
    <x:xf numFmtId="0" fontId="10" fillId="18" borderId="3" xfId="0" applyNumberFormat="1" applyFont="1" applyFill="1" applyBorder="1"/>
    <x:xf numFmtId="0" fontId="10" fillId="18" borderId="5" xfId="0" applyNumberFormat="1" applyFont="1" applyFill="1" applyBorder="1"/>
    <x:xf numFmtId="0" fontId="9" fillId="12" borderId="32" xfId="0" applyNumberFormat="1" applyFont="1" applyFill="1" applyBorder="1"/>
    <x:xf numFmtId="0" fontId="9" fillId="12" borderId="41" xfId="0" applyNumberFormat="1" applyFont="1" applyFill="1" applyBorder="1"/>
    <x:xf numFmtId="0" fontId="9" fillId="12" borderId="32" xfId="0" applyNumberFormat="1" applyFont="1" applyFill="1" applyBorder="1" applyAlignment="1">
      <x:alignment horizontal="center"/>
    </x:xf>
    <x:xf numFmtId="0" fontId="9" fillId="12" borderId="41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/>
    </x:xf>
    <x:xf numFmtId="0" fontId="9" fillId="12" borderId="41" xfId="0" applyNumberFormat="1" applyFont="1" applyFill="1" applyBorder="1" applyAlignment="1">
      <x:alignment horizontal="center" vertical="center"/>
    </x:xf>
    <x:xf numFmtId="0" fontId="10" fillId="13" borderId="35" xfId="0" applyNumberFormat="1" applyFont="1" applyFill="1" applyBorder="1"/>
    <x:xf numFmtId="0" fontId="10" fillId="13" borderId="42" xfId="0" applyNumberFormat="1" applyFont="1" applyFill="1" applyBorder="1"/>
    <x:xf numFmtId="0" fontId="10" fillId="13" borderId="38" xfId="0" applyNumberFormat="1" applyFont="1" applyFill="1" applyBorder="1"/>
    <x:xf numFmtId="0" fontId="10" fillId="13" borderId="45" xfId="0" applyNumberFormat="1" applyFont="1" applyFill="1" applyBorder="1"/>
    <x:xf numFmtId="0" fontId="10" fillId="13" borderId="35" xfId="0" applyNumberFormat="1" applyFont="1" applyFill="1" applyBorder="1" applyAlignment="1">
      <x:alignment wrapText="1"/>
    </x:xf>
    <x:xf numFmtId="0" fontId="10" fillId="13" borderId="42" xfId="0" applyNumberFormat="1" applyFont="1" applyFill="1" applyBorder="1" applyAlignment="1">
      <x:alignment wrapText="1"/>
    </x:xf>
    <x:xf numFmtId="0" fontId="10" fillId="13" borderId="45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wrapText="1"/>
    </x:xf>
    <x:xf numFmtId="0" fontId="10" fillId="13" borderId="4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vertical="center" wrapText="1"/>
    </x:xf>
    <x:xf numFmtId="0" fontId="10" fillId="13" borderId="45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/>
    <x:xf numFmtId="0" fontId="9" fillId="15" borderId="34" xfId="0" applyNumberFormat="1" applyFont="1" applyFill="1" applyBorder="1"/>
    <x:xf numFmtId="0" fontId="9" fillId="15" borderId="41" xfId="0" applyNumberFormat="1" applyFont="1" applyFill="1" applyBorder="1" applyAlignment="1">
      <x:alignment horizontal="center"/>
    </x:xf>
    <x:xf numFmtId="0" fontId="9" fillId="15" borderId="34" xfId="0" applyNumberFormat="1" applyFont="1" applyFill="1" applyBorder="1" applyAlignment="1">
      <x:alignment horizontal="center"/>
    </x:xf>
    <x:xf numFmtId="0" fontId="9" fillId="15" borderId="41" xfId="0" applyNumberFormat="1" applyFont="1" applyFill="1" applyBorder="1" applyAlignment="1">
      <x:alignment horizontal="center" vertical="center"/>
    </x:xf>
    <x:xf numFmtId="0" fontId="9" fillId="15" borderId="34" xfId="0" applyNumberFormat="1" applyFont="1" applyFill="1" applyBorder="1" applyAlignment="1">
      <x:alignment horizontal="center" vertical="center"/>
    </x:xf>
    <x:xf numFmtId="0" fontId="10" fillId="16" borderId="42" xfId="0" applyNumberFormat="1" applyFont="1" applyFill="1" applyBorder="1"/>
    <x:xf numFmtId="0" fontId="10" fillId="16" borderId="38" xfId="0" applyNumberFormat="1" applyFont="1" applyFill="1" applyBorder="1"/>
    <x:xf numFmtId="0" fontId="10" fillId="16" borderId="45" xfId="0" applyNumberFormat="1" applyFont="1" applyFill="1" applyBorder="1"/>
    <x:xf numFmtId="0" fontId="10" fillId="16" borderId="40" xfId="0" applyNumberFormat="1" applyFont="1" applyFill="1" applyBorder="1"/>
    <x:xf numFmtId="0" fontId="10" fillId="16" borderId="42" xfId="0" applyNumberFormat="1" applyFont="1" applyFill="1" applyBorder="1" applyAlignment="1">
      <x:alignment wrapText="1"/>
    </x:xf>
    <x:xf numFmtId="0" fontId="10" fillId="16" borderId="45" xfId="0" applyNumberFormat="1" applyFont="1" applyFill="1" applyBorder="1" applyAlignment="1">
      <x:alignment wrapText="1"/>
    </x:xf>
    <x:xf numFmtId="0" fontId="10" fillId="16" borderId="42" xfId="0" applyNumberFormat="1" applyFont="1" applyFill="1" applyBorder="1" applyAlignment="1">
      <x:alignment horizontal="center" wrapText="1"/>
    </x:xf>
    <x:xf numFmtId="0" fontId="10" fillId="16" borderId="45" xfId="0" applyNumberFormat="1" applyFont="1" applyFill="1" applyBorder="1" applyAlignment="1">
      <x:alignment horizontal="center" wrapText="1"/>
    </x:xf>
    <x:xf numFmtId="0" fontId="0" fillId="17" borderId="4" xfId="0" applyNumberFormat="1" applyFont="1" applyFill="1" applyBorder="1"/>
    <x:xf numFmtId="0" fontId="0" fillId="17" borderId="5" xfId="0" applyNumberFormat="1" applyFont="1" applyFill="1" applyBorder="1"/>
    <x:xf numFmtId="0" fontId="5" fillId="17" borderId="4" xfId="0" applyNumberFormat="1" applyFont="1" applyFill="1" applyBorder="1"/>
    <x:xf numFmtId="0" fontId="5" fillId="17" borderId="0" xfId="0" applyNumberFormat="1" applyFont="1" applyFill="1" applyBorder="1"/>
    <x:xf numFmtId="0" fontId="5" fillId="17" borderId="5" xfId="0" applyNumberFormat="1" applyFont="1" applyFill="1" applyBorder="1"/>
    <x:xf numFmtId="0" fontId="5" fillId="17" borderId="4" xfId="0" applyNumberFormat="1" applyFont="1" applyFill="1" applyBorder="1" applyAlignment="1">
      <x:alignment horizontal="left"/>
    </x:xf>
    <x:xf numFmtId="0" fontId="5" fillId="17" borderId="0" xfId="0" applyNumberFormat="1" applyFont="1" applyFill="1" applyBorder="1" applyAlignment="1">
      <x:alignment horizontal="left"/>
    </x:xf>
    <x:xf numFmtId="0" fontId="5" fillId="17" borderId="5" xfId="0" applyNumberFormat="1" applyFont="1" applyFill="1" applyBorder="1" applyAlignment="1">
      <x:alignment horizontal="left"/>
    </x:xf>
    <x:xf numFmtId="0" fontId="5" fillId="17" borderId="4" xfId="0" applyNumberFormat="1" applyFont="1" applyFill="1" applyBorder="1" applyAlignment="1">
      <x:alignment horizontal="left" vertical="center"/>
    </x:xf>
    <x:xf numFmtId="0" fontId="5" fillId="17" borderId="0" xfId="0" applyNumberFormat="1" applyFont="1" applyFill="1" applyBorder="1" applyAlignment="1">
      <x:alignment horizontal="left" vertical="center"/>
    </x:xf>
    <x:xf numFmtId="0" fontId="5" fillId="17" borderId="5" xfId="0" applyNumberFormat="1" applyFont="1" applyFill="1" applyBorder="1" applyAlignment="1">
      <x:alignment horizontal="left" vertical="center"/>
    </x:xf>
    <x:xf numFmtId="0" fontId="0" fillId="10" borderId="4" xfId="0" applyNumberFormat="1" applyFont="1" applyFill="1" applyBorder="1"/>
    <x:xf numFmtId="0" fontId="2" fillId="10" borderId="4" xfId="0" applyNumberFormat="1" applyFont="1" applyFill="1" applyBorder="1"/>
    <x:xf numFmtId="0" fontId="2" fillId="10" borderId="0" xfId="0" applyNumberFormat="1" applyFont="1" applyFill="1" applyBorder="1"/>
    <x:xf numFmtId="0" fontId="2" fillId="10" borderId="4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5" xfId="0" applyNumberFormat="1" applyFont="1" applyFill="1" applyBorder="1"/>
    <x:xf numFmtId="0" fontId="2" fillId="10" borderId="5" xfId="0" applyNumberFormat="1" applyFont="1" applyFill="1" applyBorder="1"/>
    <x:xf numFmtId="0" fontId="2" fillId="10" borderId="5" xfId="0" applyNumberFormat="1" applyFont="1" applyFill="1" applyBorder="1" applyAlignment="1">
      <x:alignment wrapText="1"/>
    </x:xf>
    <x:xf numFmtId="0" fontId="2" fillId="10" borderId="5" xfId="0" applyNumberFormat="1" applyFont="1" applyFill="1" applyBorder="1" applyAlignment="1">
      <x:alignment horizontal="center" wrapText="1"/>
    </x:xf>
    <x:xf numFmtId="0" fontId="2" fillId="10" borderId="5" xfId="0" applyNumberFormat="1" applyFont="1" applyFill="1" applyBorder="1" applyAlignment="1">
      <x:alignment horizontal="center" vertical="center" wrapText="1"/>
    </x:xf>
    <x:xf numFmtId="0" fontId="12" fillId="18" borderId="4" xfId="0" applyNumberFormat="1" applyFont="1" applyFill="1" applyBorder="1"/>
    <x:xf numFmtId="0" fontId="12" fillId="18" borderId="0" xfId="0" applyNumberFormat="1" applyFont="1" applyFill="1" applyBorder="1"/>
    <x:xf numFmtId="0" fontId="12" fillId="18" borderId="35" xfId="0" applyNumberFormat="1" applyFont="1" applyFill="1" applyBorder="1"/>
    <x:xf numFmtId="0" fontId="12" fillId="18" borderId="42" xfId="0" applyNumberFormat="1" applyFont="1" applyFill="1" applyBorder="1"/>
    <x:xf numFmtId="0" fontId="12" fillId="18" borderId="37" xfId="0" applyNumberFormat="1" applyFont="1" applyFill="1" applyBorder="1"/>
    <x:xf numFmtId="0" fontId="12" fillId="18" borderId="43" xfId="0" applyNumberFormat="1" applyFont="1" applyFill="1" applyBorder="1"/>
    <x:xf numFmtId="0" fontId="12" fillId="18" xfId="0" applyNumberFormat="1" applyFont="1" applyFill="1" applyBorder="0"/>
    <x:xf numFmtId="0" fontId="12" fillId="18" borderId="44" xfId="0" applyNumberFormat="1" applyFont="1" applyFill="1" applyBorder="1"/>
    <x:xf numFmtId="0" fontId="12" fillId="18" borderId="38" xfId="0" applyNumberFormat="1" applyFont="1" applyFill="1" applyBorder="1"/>
    <x:xf numFmtId="0" fontId="12" fillId="18" borderId="45" xfId="0" applyNumberFormat="1" applyFont="1" applyFill="1" applyBorder="1"/>
    <x:xf numFmtId="0" fontId="12" fillId="18" borderId="40" xfId="0" applyNumberFormat="1" applyFont="1" applyFill="1" applyBorder="1"/>
    <x:xf numFmtId="0" fontId="12" fillId="18" borderId="35" xfId="0" applyNumberFormat="1" applyFont="1" applyFill="1" applyBorder="1" applyAlignment="1">
      <x:alignment wrapText="1"/>
    </x:xf>
    <x:xf numFmtId="0" fontId="12" fillId="18" borderId="42" xfId="0" applyNumberFormat="1" applyFont="1" applyFill="1" applyBorder="1" applyAlignment="1">
      <x:alignment wrapText="1"/>
    </x:xf>
    <x:xf numFmtId="0" fontId="12" fillId="18" borderId="37" xfId="0" applyNumberFormat="1" applyFont="1" applyFill="1" applyBorder="1" applyAlignment="1">
      <x:alignment wrapText="1"/>
    </x:xf>
    <x:xf numFmtId="0" fontId="12" fillId="18" borderId="43" xfId="0" applyNumberFormat="1" applyFont="1" applyFill="1" applyBorder="1" applyAlignment="1">
      <x:alignment wrapText="1"/>
    </x:xf>
    <x:xf numFmtId="0" fontId="12" fillId="18" xfId="0" applyNumberFormat="1" applyFont="1" applyFill="1" applyBorder="0" applyAlignment="1">
      <x:alignment wrapText="1"/>
    </x:xf>
    <x:xf numFmtId="0" fontId="12" fillId="18" borderId="44" xfId="0" applyNumberFormat="1" applyFont="1" applyFill="1" applyBorder="1" applyAlignment="1">
      <x:alignment wrapText="1"/>
    </x:xf>
    <x:xf numFmtId="0" fontId="12" fillId="18" borderId="38" xfId="0" applyNumberFormat="1" applyFont="1" applyFill="1" applyBorder="1" applyAlignment="1">
      <x:alignment wrapText="1"/>
    </x:xf>
    <x:xf numFmtId="0" fontId="12" fillId="18" borderId="45" xfId="0" applyNumberFormat="1" applyFont="1" applyFill="1" applyBorder="1" applyAlignment="1">
      <x:alignment wrapText="1"/>
    </x:xf>
    <x:xf numFmtId="0" fontId="12" fillId="18" borderId="40" xfId="0" applyNumberFormat="1" applyFont="1" applyFill="1" applyBorder="1" applyAlignment="1">
      <x:alignment wrapText="1"/>
    </x:xf>
    <x:xf numFmtId="0" fontId="12" fillId="18" borderId="35" xfId="0" applyNumberFormat="1" applyFont="1" applyFill="1" applyBorder="1" applyAlignment="1">
      <x:alignment vertical="top" wrapText="1"/>
    </x:xf>
    <x:xf numFmtId="0" fontId="12" fillId="18" borderId="42" xfId="0" applyNumberFormat="1" applyFont="1" applyFill="1" applyBorder="1" applyAlignment="1">
      <x:alignment vertical="top" wrapText="1"/>
    </x:xf>
    <x:xf numFmtId="0" fontId="12" fillId="18" borderId="37" xfId="0" applyNumberFormat="1" applyFont="1" applyFill="1" applyBorder="1" applyAlignment="1">
      <x:alignment vertical="top" wrapText="1"/>
    </x:xf>
    <x:xf numFmtId="0" fontId="12" fillId="18" borderId="43" xfId="0" applyNumberFormat="1" applyFont="1" applyFill="1" applyBorder="1" applyAlignment="1">
      <x:alignment vertical="top" wrapText="1"/>
    </x:xf>
    <x:xf numFmtId="0" fontId="12" fillId="18" xfId="0" applyNumberFormat="1" applyFont="1" applyFill="1" applyBorder="0" applyAlignment="1">
      <x:alignment vertical="top" wrapText="1"/>
    </x:xf>
    <x:xf numFmtId="0" fontId="12" fillId="18" borderId="44" xfId="0" applyNumberFormat="1" applyFont="1" applyFill="1" applyBorder="1" applyAlignment="1">
      <x:alignment vertical="top" wrapText="1"/>
    </x:xf>
    <x:xf numFmtId="0" fontId="12" fillId="18" borderId="38" xfId="0" applyNumberFormat="1" applyFont="1" applyFill="1" applyBorder="1" applyAlignment="1">
      <x:alignment vertical="top" wrapText="1"/>
    </x:xf>
    <x:xf numFmtId="0" fontId="12" fillId="18" borderId="45" xfId="0" applyNumberFormat="1" applyFont="1" applyFill="1" applyBorder="1" applyAlignment="1">
      <x:alignment vertical="top" wrapText="1"/>
    </x:xf>
    <x:xf numFmtId="0" fontId="12" fillId="18" borderId="4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0" fillId="20" borderId="5" xfId="0" applyNumberFormat="1" applyFont="1" applyFill="1" applyBorder="1"/>
    <x:xf numFmtId="0" fontId="12" fillId="20" borderId="0" xfId="0" applyNumberFormat="1" applyFont="1" applyFill="1" applyBorder="1"/>
    <x:xf numFmtId="0" fontId="12" fillId="20" borderId="5" xfId="0" applyNumberFormat="1" applyFont="1" applyFill="1" applyBorder="1"/>
    <x:xf numFmtId="0" fontId="12" fillId="20" borderId="35" xfId="0" applyNumberFormat="1" applyFont="1" applyFill="1" applyBorder="1"/>
    <x:xf numFmtId="0" fontId="12" fillId="20" borderId="42" xfId="0" applyNumberFormat="1" applyFont="1" applyFill="1" applyBorder="1"/>
    <x:xf numFmtId="0" fontId="12" fillId="20" borderId="37" xfId="0" applyNumberFormat="1" applyFont="1" applyFill="1" applyBorder="1"/>
    <x:xf numFmtId="0" fontId="12" fillId="20" borderId="43" xfId="0" applyNumberFormat="1" applyFont="1" applyFill="1" applyBorder="1"/>
    <x:xf numFmtId="0" fontId="12" fillId="20" xfId="0" applyNumberFormat="1" applyFont="1" applyFill="1" applyBorder="0"/>
    <x:xf numFmtId="0" fontId="12" fillId="20" borderId="44" xfId="0" applyNumberFormat="1" applyFont="1" applyFill="1" applyBorder="1"/>
    <x:xf numFmtId="0" fontId="12" fillId="20" borderId="38" xfId="0" applyNumberFormat="1" applyFont="1" applyFill="1" applyBorder="1"/>
    <x:xf numFmtId="0" fontId="12" fillId="20" borderId="45" xfId="0" applyNumberFormat="1" applyFont="1" applyFill="1" applyBorder="1"/>
    <x:xf numFmtId="0" fontId="12" fillId="20" borderId="40" xfId="0" applyNumberFormat="1" applyFont="1" applyFill="1" applyBorder="1"/>
    <x:xf numFmtId="0" fontId="12" fillId="20" borderId="35" xfId="0" applyNumberFormat="1" applyFont="1" applyFill="1" applyBorder="1" applyAlignment="1">
      <x:alignment wrapText="1"/>
    </x:xf>
    <x:xf numFmtId="0" fontId="12" fillId="20" borderId="42" xfId="0" applyNumberFormat="1" applyFont="1" applyFill="1" applyBorder="1" applyAlignment="1">
      <x:alignment wrapText="1"/>
    </x:xf>
    <x:xf numFmtId="0" fontId="12" fillId="20" borderId="37" xfId="0" applyNumberFormat="1" applyFont="1" applyFill="1" applyBorder="1" applyAlignment="1">
      <x:alignment wrapText="1"/>
    </x:xf>
    <x:xf numFmtId="0" fontId="12" fillId="20" borderId="43" xfId="0" applyNumberFormat="1" applyFont="1" applyFill="1" applyBorder="1" applyAlignment="1">
      <x:alignment wrapText="1"/>
    </x:xf>
    <x:xf numFmtId="0" fontId="12" fillId="20" xfId="0" applyNumberFormat="1" applyFont="1" applyFill="1" applyBorder="0" applyAlignment="1">
      <x:alignment wrapText="1"/>
    </x:xf>
    <x:xf numFmtId="0" fontId="12" fillId="20" borderId="44" xfId="0" applyNumberFormat="1" applyFont="1" applyFill="1" applyBorder="1" applyAlignment="1">
      <x:alignment wrapText="1"/>
    </x:xf>
    <x:xf numFmtId="0" fontId="12" fillId="20" borderId="38" xfId="0" applyNumberFormat="1" applyFont="1" applyFill="1" applyBorder="1" applyAlignment="1">
      <x:alignment wrapText="1"/>
    </x:xf>
    <x:xf numFmtId="0" fontId="12" fillId="20" borderId="45" xfId="0" applyNumberFormat="1" applyFont="1" applyFill="1" applyBorder="1" applyAlignment="1">
      <x:alignment wrapText="1"/>
    </x:xf>
    <x:xf numFmtId="0" fontId="12" fillId="20" borderId="40" xfId="0" applyNumberFormat="1" applyFont="1" applyFill="1" applyBorder="1" applyAlignment="1">
      <x:alignment wrapText="1"/>
    </x:xf>
    <x:xf numFmtId="0" fontId="12" fillId="20" borderId="35" xfId="0" applyNumberFormat="1" applyFont="1" applyFill="1" applyBorder="1" applyAlignment="1">
      <x:alignment vertical="top" wrapText="1"/>
    </x:xf>
    <x:xf numFmtId="0" fontId="12" fillId="20" borderId="42" xfId="0" applyNumberFormat="1" applyFont="1" applyFill="1" applyBorder="1" applyAlignment="1">
      <x:alignment vertical="top" wrapText="1"/>
    </x:xf>
    <x:xf numFmtId="0" fontId="12" fillId="20" borderId="37" xfId="0" applyNumberFormat="1" applyFont="1" applyFill="1" applyBorder="1" applyAlignment="1">
      <x:alignment vertical="top" wrapText="1"/>
    </x:xf>
    <x:xf numFmtId="0" fontId="12" fillId="20" borderId="43" xfId="0" applyNumberFormat="1" applyFont="1" applyFill="1" applyBorder="1" applyAlignment="1">
      <x:alignment vertical="top" wrapText="1"/>
    </x:xf>
    <x:xf numFmtId="0" fontId="12" fillId="20" xfId="0" applyNumberFormat="1" applyFont="1" applyFill="1" applyBorder="0" applyAlignment="1">
      <x:alignment vertical="top" wrapText="1"/>
    </x:xf>
    <x:xf numFmtId="0" fontId="12" fillId="20" borderId="44" xfId="0" applyNumberFormat="1" applyFont="1" applyFill="1" applyBorder="1" applyAlignment="1">
      <x:alignment vertical="top" wrapText="1"/>
    </x:xf>
    <x:xf numFmtId="0" fontId="12" fillId="20" borderId="38" xfId="0" applyNumberFormat="1" applyFont="1" applyFill="1" applyBorder="1" applyAlignment="1">
      <x:alignment vertical="top" wrapText="1"/>
    </x:xf>
    <x:xf numFmtId="0" fontId="12" fillId="20" borderId="45" xfId="0" applyNumberFormat="1" applyFont="1" applyFill="1" applyBorder="1" applyAlignment="1">
      <x:alignment vertical="top" wrapText="1"/>
    </x:xf>
    <x:xf numFmtId="0" fontId="12" fillId="20" borderId="40" xfId="0" applyNumberFormat="1" applyFont="1" applyFill="1" applyBorder="1" applyAlignment="1">
      <x:alignment vertical="top" wrapText="1"/>
    </x:xf>
    <x:xf numFmtId="0" fontId="12" fillId="13" borderId="0" xfId="0" applyNumberFormat="1" applyFont="1" applyFill="1" applyBorder="1"/>
    <x:xf numFmtId="0" fontId="12" fillId="13" borderId="35" xfId="0" applyNumberFormat="1" applyFont="1" applyFill="1" applyBorder="1"/>
    <x:xf numFmtId="0" fontId="12" fillId="13" borderId="42" xfId="0" applyNumberFormat="1" applyFont="1" applyFill="1" applyBorder="1"/>
    <x:xf numFmtId="0" fontId="12" fillId="13" borderId="37" xfId="0" applyNumberFormat="1" applyFont="1" applyFill="1" applyBorder="1"/>
    <x:xf numFmtId="0" fontId="12" fillId="13" borderId="43" xfId="0" applyNumberFormat="1" applyFont="1" applyFill="1" applyBorder="1"/>
    <x:xf numFmtId="0" fontId="12" fillId="13" xfId="0" applyNumberFormat="1" applyFont="1" applyFill="1" applyBorder="0"/>
    <x:xf numFmtId="0" fontId="12" fillId="13" borderId="44" xfId="0" applyNumberFormat="1" applyFont="1" applyFill="1" applyBorder="1"/>
    <x:xf numFmtId="0" fontId="12" fillId="13" borderId="38" xfId="0" applyNumberFormat="1" applyFont="1" applyFill="1" applyBorder="1"/>
    <x:xf numFmtId="0" fontId="12" fillId="13" borderId="45" xfId="0" applyNumberFormat="1" applyFont="1" applyFill="1" applyBorder="1"/>
    <x:xf numFmtId="0" fontId="12" fillId="13" borderId="40" xfId="0" applyNumberFormat="1" applyFont="1" applyFill="1" applyBorder="1"/>
    <x:xf numFmtId="0" fontId="12" fillId="13" borderId="35" xfId="0" applyNumberFormat="1" applyFont="1" applyFill="1" applyBorder="1" applyAlignment="1">
      <x:alignment wrapText="1"/>
    </x:xf>
    <x:xf numFmtId="0" fontId="12" fillId="13" borderId="42" xfId="0" applyNumberFormat="1" applyFont="1" applyFill="1" applyBorder="1" applyAlignment="1">
      <x:alignment wrapText="1"/>
    </x:xf>
    <x:xf numFmtId="0" fontId="12" fillId="13" borderId="37" xfId="0" applyNumberFormat="1" applyFont="1" applyFill="1" applyBorder="1" applyAlignment="1">
      <x:alignment wrapText="1"/>
    </x:xf>
    <x:xf numFmtId="0" fontId="12" fillId="13" borderId="43" xfId="0" applyNumberFormat="1" applyFont="1" applyFill="1" applyBorder="1" applyAlignment="1">
      <x:alignment wrapText="1"/>
    </x:xf>
    <x:xf numFmtId="0" fontId="12" fillId="13" xfId="0" applyNumberFormat="1" applyFont="1" applyFill="1" applyBorder="0" applyAlignment="1">
      <x:alignment wrapText="1"/>
    </x:xf>
    <x:xf numFmtId="0" fontId="12" fillId="13" borderId="44" xfId="0" applyNumberFormat="1" applyFont="1" applyFill="1" applyBorder="1" applyAlignment="1">
      <x:alignment wrapText="1"/>
    </x:xf>
    <x:xf numFmtId="0" fontId="12" fillId="13" borderId="38" xfId="0" applyNumberFormat="1" applyFont="1" applyFill="1" applyBorder="1" applyAlignment="1">
      <x:alignment wrapText="1"/>
    </x:xf>
    <x:xf numFmtId="0" fontId="12" fillId="13" borderId="45" xfId="0" applyNumberFormat="1" applyFont="1" applyFill="1" applyBorder="1" applyAlignment="1">
      <x:alignment wrapText="1"/>
    </x:xf>
    <x:xf numFmtId="0" fontId="12" fillId="13" borderId="40" xfId="0" applyNumberFormat="1" applyFont="1" applyFill="1" applyBorder="1" applyAlignment="1">
      <x:alignment wrapText="1"/>
    </x:xf>
    <x:xf numFmtId="0" fontId="12" fillId="13" borderId="35" xfId="0" applyNumberFormat="1" applyFont="1" applyFill="1" applyBorder="1" applyAlignment="1">
      <x:alignment vertical="top" wrapText="1"/>
    </x:xf>
    <x:xf numFmtId="0" fontId="12" fillId="13" borderId="42" xfId="0" applyNumberFormat="1" applyFont="1" applyFill="1" applyBorder="1" applyAlignment="1">
      <x:alignment vertical="top" wrapText="1"/>
    </x:xf>
    <x:xf numFmtId="0" fontId="12" fillId="13" borderId="37" xfId="0" applyNumberFormat="1" applyFont="1" applyFill="1" applyBorder="1" applyAlignment="1">
      <x:alignment vertical="top" wrapText="1"/>
    </x:xf>
    <x:xf numFmtId="0" fontId="12" fillId="13" borderId="43" xfId="0" applyNumberFormat="1" applyFont="1" applyFill="1" applyBorder="1" applyAlignment="1">
      <x:alignment vertical="top" wrapText="1"/>
    </x:xf>
    <x:xf numFmtId="0" fontId="12" fillId="13" xfId="0" applyNumberFormat="1" applyFont="1" applyFill="1" applyBorder="0" applyAlignment="1">
      <x:alignment vertical="top" wrapText="1"/>
    </x:xf>
    <x:xf numFmtId="0" fontId="12" fillId="13" borderId="44" xfId="0" applyNumberFormat="1" applyFont="1" applyFill="1" applyBorder="1" applyAlignment="1">
      <x:alignment vertical="top" wrapText="1"/>
    </x:xf>
    <x:xf numFmtId="0" fontId="12" fillId="13" borderId="38" xfId="0" applyNumberFormat="1" applyFont="1" applyFill="1" applyBorder="1" applyAlignment="1">
      <x:alignment vertical="top" wrapText="1"/>
    </x:xf>
    <x:xf numFmtId="0" fontId="12" fillId="13" borderId="45" xfId="0" applyNumberFormat="1" applyFont="1" applyFill="1" applyBorder="1" applyAlignment="1">
      <x:alignment vertical="top" wrapText="1"/>
    </x:xf>
    <x:xf numFmtId="0" fontId="12" fillId="13" borderId="4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13" fillId="25" borderId="0" xfId="0" applyNumberFormat="1" applyFont="1" applyFill="1" applyBorder="1"/>
    <x:xf numFmtId="0" fontId="13" fillId="25" borderId="35" xfId="0" applyNumberFormat="1" applyFont="1" applyFill="1" applyBorder="1"/>
    <x:xf numFmtId="0" fontId="13" fillId="25" borderId="42" xfId="0" applyNumberFormat="1" applyFont="1" applyFill="1" applyBorder="1"/>
    <x:xf numFmtId="0" fontId="13" fillId="25" borderId="37" xfId="0" applyNumberFormat="1" applyFont="1" applyFill="1" applyBorder="1"/>
    <x:xf numFmtId="0" fontId="13" fillId="25" borderId="43" xfId="0" applyNumberFormat="1" applyFont="1" applyFill="1" applyBorder="1"/>
    <x:xf numFmtId="0" fontId="13" fillId="25" xfId="0" applyNumberFormat="1" applyFont="1" applyFill="1" applyBorder="0"/>
    <x:xf numFmtId="0" fontId="13" fillId="25" borderId="44" xfId="0" applyNumberFormat="1" applyFont="1" applyFill="1" applyBorder="1"/>
    <x:xf numFmtId="0" fontId="13" fillId="25" borderId="38" xfId="0" applyNumberFormat="1" applyFont="1" applyFill="1" applyBorder="1"/>
    <x:xf numFmtId="0" fontId="13" fillId="25" borderId="45" xfId="0" applyNumberFormat="1" applyFont="1" applyFill="1" applyBorder="1"/>
    <x:xf numFmtId="0" fontId="13" fillId="25" borderId="40" xfId="0" applyNumberFormat="1" applyFont="1" applyFill="1" applyBorder="1"/>
    <x:xf numFmtId="0" fontId="13" fillId="25" borderId="35" xfId="0" applyNumberFormat="1" applyFont="1" applyFill="1" applyBorder="1" applyAlignment="1">
      <x:alignment wrapText="1"/>
    </x:xf>
    <x:xf numFmtId="0" fontId="13" fillId="25" borderId="42" xfId="0" applyNumberFormat="1" applyFont="1" applyFill="1" applyBorder="1" applyAlignment="1">
      <x:alignment wrapText="1"/>
    </x:xf>
    <x:xf numFmtId="0" fontId="13" fillId="25" borderId="37" xfId="0" applyNumberFormat="1" applyFont="1" applyFill="1" applyBorder="1" applyAlignment="1">
      <x:alignment wrapText="1"/>
    </x:xf>
    <x:xf numFmtId="0" fontId="13" fillId="25" borderId="43" xfId="0" applyNumberFormat="1" applyFont="1" applyFill="1" applyBorder="1" applyAlignment="1">
      <x:alignment wrapText="1"/>
    </x:xf>
    <x:xf numFmtId="0" fontId="13" fillId="25" xfId="0" applyNumberFormat="1" applyFont="1" applyFill="1" applyBorder="0" applyAlignment="1">
      <x:alignment wrapText="1"/>
    </x:xf>
    <x:xf numFmtId="0" fontId="13" fillId="25" borderId="44" xfId="0" applyNumberFormat="1" applyFont="1" applyFill="1" applyBorder="1" applyAlignment="1">
      <x:alignment wrapText="1"/>
    </x:xf>
    <x:xf numFmtId="0" fontId="13" fillId="25" borderId="38" xfId="0" applyNumberFormat="1" applyFont="1" applyFill="1" applyBorder="1" applyAlignment="1">
      <x:alignment wrapText="1"/>
    </x:xf>
    <x:xf numFmtId="0" fontId="13" fillId="25" borderId="45" xfId="0" applyNumberFormat="1" applyFont="1" applyFill="1" applyBorder="1" applyAlignment="1">
      <x:alignment wrapText="1"/>
    </x:xf>
    <x:xf numFmtId="0" fontId="13" fillId="25" borderId="40" xfId="0" applyNumberFormat="1" applyFont="1" applyFill="1" applyBorder="1" applyAlignment="1">
      <x:alignment wrapText="1"/>
    </x:xf>
    <x:xf numFmtId="0" fontId="13" fillId="25" borderId="35" xfId="0" applyNumberFormat="1" applyFont="1" applyFill="1" applyBorder="1" applyAlignment="1">
      <x:alignment vertical="top" wrapText="1"/>
    </x:xf>
    <x:xf numFmtId="0" fontId="13" fillId="25" borderId="42" xfId="0" applyNumberFormat="1" applyFont="1" applyFill="1" applyBorder="1" applyAlignment="1">
      <x:alignment vertical="top" wrapText="1"/>
    </x:xf>
    <x:xf numFmtId="0" fontId="13" fillId="25" borderId="37" xfId="0" applyNumberFormat="1" applyFont="1" applyFill="1" applyBorder="1" applyAlignment="1">
      <x:alignment vertical="top" wrapText="1"/>
    </x:xf>
    <x:xf numFmtId="0" fontId="13" fillId="25" borderId="43" xfId="0" applyNumberFormat="1" applyFont="1" applyFill="1" applyBorder="1" applyAlignment="1">
      <x:alignment vertical="top" wrapText="1"/>
    </x:xf>
    <x:xf numFmtId="0" fontId="13" fillId="25" xfId="0" applyNumberFormat="1" applyFont="1" applyFill="1" applyBorder="0" applyAlignment="1">
      <x:alignment vertical="top" wrapText="1"/>
    </x:xf>
    <x:xf numFmtId="0" fontId="13" fillId="25" borderId="44" xfId="0" applyNumberFormat="1" applyFont="1" applyFill="1" applyBorder="1" applyAlignment="1">
      <x:alignment vertical="top" wrapText="1"/>
    </x:xf>
    <x:xf numFmtId="0" fontId="13" fillId="25" borderId="38" xfId="0" applyNumberFormat="1" applyFont="1" applyFill="1" applyBorder="1" applyAlignment="1">
      <x:alignment vertical="top" wrapText="1"/>
    </x:xf>
    <x:xf numFmtId="0" fontId="13" fillId="25" borderId="45" xfId="0" applyNumberFormat="1" applyFont="1" applyFill="1" applyBorder="1" applyAlignment="1">
      <x:alignment vertical="top" wrapText="1"/>
    </x:xf>
    <x:xf numFmtId="0" fontId="13" fillId="25" borderId="40" xfId="0" applyNumberFormat="1" applyFont="1" applyFill="1" applyBorder="1" applyAlignment="1">
      <x:alignment vertical="top" wrapText="1"/>
    </x:xf>
    <x:xf numFmtId="0" fontId="5" fillId="10" borderId="4" xfId="0" applyNumberFormat="1" applyFont="1" applyFill="1" applyBorder="1"/>
    <x:xf numFmtId="0" fontId="5" fillId="10" borderId="0" xfId="0" applyNumberFormat="1" applyFont="1" applyFill="1" applyBorder="1"/>
    <x:xf numFmtId="0" fontId="5" fillId="10" borderId="5" xfId="0" applyNumberFormat="1" applyFont="1" applyFill="1" applyBorder="1"/>
    <x:xf numFmtId="0" fontId="5" fillId="10" borderId="4" xfId="0" applyNumberFormat="1" applyFont="1" applyFill="1" applyBorder="1" applyAlignment="1">
      <x:alignment horizontal="left"/>
    </x:xf>
    <x:xf numFmtId="0" fontId="5" fillId="10" borderId="0" xfId="0" applyNumberFormat="1" applyFont="1" applyFill="1" applyBorder="1" applyAlignment="1">
      <x:alignment horizontal="left"/>
    </x:xf>
    <x:xf numFmtId="0" fontId="5" fillId="10" borderId="5" xfId="0" applyNumberFormat="1" applyFont="1" applyFill="1" applyBorder="1" applyAlignment="1">
      <x:alignment horizontal="left"/>
    </x:xf>
    <x:xf numFmtId="0" fontId="5" fillId="10" borderId="4" xfId="0" applyNumberFormat="1" applyFont="1" applyFill="1" applyBorder="1" applyAlignment="1">
      <x:alignment horizontal="left" vertical="center"/>
    </x:xf>
    <x:xf numFmtId="0" fontId="5" fillId="10" borderId="0" xfId="0" applyNumberFormat="1" applyFont="1" applyFill="1" applyBorder="1" applyAlignment="1">
      <x:alignment horizontal="left" vertical="center"/>
    </x:xf>
    <x:xf numFmtId="0" fontId="5" fillId="10" borderId="5" xfId="0" applyNumberFormat="1" applyFont="1" applyFill="1" applyBorder="1" applyAlignment="1">
      <x:alignment horizontal="left" vertical="center"/>
    </x:xf>
    <x:xf numFmtId="0" fontId="0" fillId="12" borderId="6" xfId="0" applyNumberFormat="1" applyFont="1" applyFill="1" applyBorder="1"/>
    <x:xf numFmtId="0" fontId="0" fillId="12" borderId="15" xfId="0" applyNumberFormat="1" applyFont="1" applyFill="1" applyBorder="1"/>
    <x:xf numFmtId="0" fontId="2" fillId="12" borderId="6" xfId="0" applyNumberFormat="1" applyFont="1" applyFill="1" applyBorder="1"/>
    <x:xf numFmtId="0" fontId="2" fillId="12" borderId="15" xfId="0" applyNumberFormat="1" applyFont="1" applyFill="1" applyBorder="1"/>
    <x:xf numFmtId="0" fontId="2" fillId="12" borderId="0" xfId="0" applyNumberFormat="1" applyFont="1" applyFill="1" applyBorder="1"/>
    <x:xf numFmtId="0" fontId="2" fillId="12" borderId="55" xfId="0" applyNumberFormat="1" applyFont="1" applyFill="1" applyBorder="1"/>
    <x:xf numFmtId="0" fontId="2" fillId="12" borderId="58" xfId="0" applyNumberFormat="1" applyFont="1" applyFill="1" applyBorder="1"/>
    <x:xf numFmtId="0" fontId="2" fillId="12" borderId="56" xfId="0" applyNumberFormat="1" applyFont="1" applyFill="1" applyBorder="1"/>
    <x:xf numFmtId="0" fontId="2" fillId="12" borderId="38" xfId="0" applyNumberFormat="1" applyFont="1" applyFill="1" applyBorder="1"/>
    <x:xf numFmtId="0" fontId="2" fillId="12" borderId="45" xfId="0" applyNumberFormat="1" applyFont="1" applyFill="1" applyBorder="1"/>
    <x:xf numFmtId="0" fontId="2" fillId="12" borderId="40" xfId="0" applyNumberFormat="1" applyFont="1" applyFill="1" applyBorder="1"/>
    <x:xf numFmtId="0" fontId="2" fillId="12" borderId="55" xfId="0" applyNumberFormat="1" applyFont="1" applyFill="1" applyBorder="1" applyAlignment="1">
      <x:alignment horizontal="center"/>
    </x:xf>
    <x:xf numFmtId="0" fontId="2" fillId="12" borderId="58" xfId="0" applyNumberFormat="1" applyFont="1" applyFill="1" applyBorder="1" applyAlignment="1">
      <x:alignment horizontal="center"/>
    </x:xf>
    <x:xf numFmtId="0" fontId="2" fillId="12" borderId="56" xfId="0" applyNumberFormat="1" applyFont="1" applyFill="1" applyBorder="1" applyAlignment="1">
      <x:alignment horizontal="center"/>
    </x:xf>
    <x:xf numFmtId="0" fontId="2" fillId="12" borderId="38" xfId="0" applyNumberFormat="1" applyFont="1" applyFill="1" applyBorder="1" applyAlignment="1">
      <x:alignment horizontal="center"/>
    </x:xf>
    <x:xf numFmtId="0" fontId="2" fillId="12" borderId="45" xfId="0" applyNumberFormat="1" applyFont="1" applyFill="1" applyBorder="1" applyAlignment="1">
      <x:alignment horizontal="center"/>
    </x:xf>
    <x:xf numFmtId="0" fontId="2" fillId="12" borderId="40" xfId="0" applyNumberFormat="1" applyFont="1" applyFill="1" applyBorder="1" applyAlignment="1">
      <x:alignment horizontal="center"/>
    </x:xf>
    <x:xf numFmtId="0" fontId="2" fillId="12" borderId="55" xfId="0" applyNumberFormat="1" applyFont="1" applyFill="1" applyBorder="1" applyAlignment="1">
      <x:alignment horizontal="center" vertical="center"/>
    </x:xf>
    <x:xf numFmtId="0" fontId="2" fillId="12" borderId="58" xfId="0" applyNumberFormat="1" applyFont="1" applyFill="1" applyBorder="1" applyAlignment="1">
      <x:alignment horizontal="center" vertical="center"/>
    </x:xf>
    <x:xf numFmtId="0" fontId="2" fillId="12" borderId="56" xfId="0" applyNumberFormat="1" applyFont="1" applyFill="1" applyBorder="1" applyAlignment="1">
      <x:alignment horizontal="center" vertical="center"/>
    </x:xf>
    <x:xf numFmtId="0" fontId="2" fillId="12" borderId="38" xfId="0" applyNumberFormat="1" applyFont="1" applyFill="1" applyBorder="1" applyAlignment="1">
      <x:alignment horizontal="center" vertical="center"/>
    </x:xf>
    <x:xf numFmtId="0" fontId="2" fillId="12" borderId="45" xfId="0" applyNumberFormat="1" applyFont="1" applyFill="1" applyBorder="1" applyAlignment="1">
      <x:alignment horizontal="center" vertical="center"/>
    </x:xf>
    <x:xf numFmtId="0" fontId="2" fillId="12" borderId="40" xfId="0" applyNumberFormat="1" applyFont="1" applyFill="1" applyBorder="1" applyAlignment="1">
      <x:alignment horizontal="center" vertical="center"/>
    </x:xf>
    <x:xf numFmtId="0" fontId="0" fillId="15" borderId="15" xfId="0" applyNumberFormat="1" applyFont="1" applyFill="1" applyBorder="1"/>
    <x:xf numFmtId="0" fontId="0" fillId="15" borderId="7" xfId="0" applyNumberFormat="1" applyFont="1" applyFill="1" applyBorder="1"/>
    <x:xf numFmtId="0" fontId="2" fillId="15" borderId="15" xfId="0" applyNumberFormat="1" applyFont="1" applyFill="1" applyBorder="1"/>
    <x:xf numFmtId="0" fontId="2" fillId="15" borderId="7" xfId="0" applyNumberFormat="1" applyFont="1" applyFill="1" applyBorder="1"/>
    <x:xf numFmtId="0" fontId="2" fillId="15" borderId="0" xfId="0" applyNumberFormat="1" applyFont="1" applyFill="1" applyBorder="1"/>
    <x:xf numFmtId="0" fontId="2" fillId="15" borderId="55" xfId="0" applyNumberFormat="1" applyFont="1" applyFill="1" applyBorder="1"/>
    <x:xf numFmtId="0" fontId="2" fillId="15" borderId="58" xfId="0" applyNumberFormat="1" applyFont="1" applyFill="1" applyBorder="1"/>
    <x:xf numFmtId="0" fontId="2" fillId="15" borderId="56" xfId="0" applyNumberFormat="1" applyFont="1" applyFill="1" applyBorder="1"/>
    <x:xf numFmtId="0" fontId="2" fillId="15" borderId="38" xfId="0" applyNumberFormat="1" applyFont="1" applyFill="1" applyBorder="1"/>
    <x:xf numFmtId="0" fontId="2" fillId="15" borderId="45" xfId="0" applyNumberFormat="1" applyFont="1" applyFill="1" applyBorder="1"/>
    <x:xf numFmtId="0" fontId="2" fillId="15" borderId="40" xfId="0" applyNumberFormat="1" applyFont="1" applyFill="1" applyBorder="1"/>
    <x:xf numFmtId="0" fontId="2" fillId="15" borderId="55" xfId="0" applyNumberFormat="1" applyFont="1" applyFill="1" applyBorder="1" applyAlignment="1">
      <x:alignment horizontal="center"/>
    </x:xf>
    <x:xf numFmtId="0" fontId="2" fillId="15" borderId="58" xfId="0" applyNumberFormat="1" applyFont="1" applyFill="1" applyBorder="1" applyAlignment="1">
      <x:alignment horizontal="center"/>
    </x:xf>
    <x:xf numFmtId="0" fontId="2" fillId="15" borderId="56" xfId="0" applyNumberFormat="1" applyFont="1" applyFill="1" applyBorder="1" applyAlignment="1">
      <x:alignment horizontal="center"/>
    </x:xf>
    <x:xf numFmtId="0" fontId="2" fillId="15" borderId="38" xfId="0" applyNumberFormat="1" applyFont="1" applyFill="1" applyBorder="1" applyAlignment="1">
      <x:alignment horizontal="center"/>
    </x:xf>
    <x:xf numFmtId="0" fontId="2" fillId="15" borderId="45" xfId="0" applyNumberFormat="1" applyFont="1" applyFill="1" applyBorder="1" applyAlignment="1">
      <x:alignment horizontal="center"/>
    </x:xf>
    <x:xf numFmtId="0" fontId="2" fillId="15" borderId="40" xfId="0" applyNumberFormat="1" applyFont="1" applyFill="1" applyBorder="1" applyAlignment="1">
      <x:alignment horizontal="center"/>
    </x:xf>
    <x:xf numFmtId="0" fontId="2" fillId="15" borderId="55" xfId="0" applyNumberFormat="1" applyFont="1" applyFill="1" applyBorder="1" applyAlignment="1">
      <x:alignment horizontal="center" vertical="center"/>
    </x:xf>
    <x:xf numFmtId="0" fontId="2" fillId="15" borderId="58" xfId="0" applyNumberFormat="1" applyFont="1" applyFill="1" applyBorder="1" applyAlignment="1">
      <x:alignment horizontal="center" vertical="center"/>
    </x:xf>
    <x:xf numFmtId="0" fontId="2" fillId="15" borderId="56" xfId="0" applyNumberFormat="1" applyFont="1" applyFill="1" applyBorder="1" applyAlignment="1">
      <x:alignment horizontal="center" vertical="center"/>
    </x:xf>
    <x:xf numFmtId="0" fontId="2" fillId="15" borderId="38" xfId="0" applyNumberFormat="1" applyFont="1" applyFill="1" applyBorder="1" applyAlignment="1">
      <x:alignment horizontal="center" vertical="center"/>
    </x:xf>
    <x:xf numFmtId="0" fontId="2" fillId="15" borderId="45" xfId="0" applyNumberFormat="1" applyFont="1" applyFill="1" applyBorder="1" applyAlignment="1">
      <x:alignment horizontal="center" vertical="center"/>
    </x:xf>
    <x:xf numFmtId="0" fontId="2" fillId="15" borderId="40" xfId="0" applyNumberFormat="1" applyFont="1" applyFill="1" applyBorder="1" applyAlignment="1">
      <x:alignment horizontal="center" vertical="center"/>
    </x:xf>
    <x:xf numFmtId="0" fontId="2" fillId="17" borderId="0" xfId="0" applyNumberFormat="1" applyFont="1" applyFill="1" applyBorder="1"/>
    <x:xf numFmtId="0" fontId="2" fillId="17" borderId="35" xfId="0" applyNumberFormat="1" applyFont="1" applyFill="1" applyBorder="1"/>
    <x:xf numFmtId="0" fontId="2" fillId="17" borderId="42" xfId="0" applyNumberFormat="1" applyFont="1" applyFill="1" applyBorder="1"/>
    <x:xf numFmtId="0" fontId="2" fillId="17" borderId="37" xfId="0" applyNumberFormat="1" applyFont="1" applyFill="1" applyBorder="1"/>
    <x:xf numFmtId="0" fontId="2" fillId="17" borderId="38" xfId="0" applyNumberFormat="1" applyFont="1" applyFill="1" applyBorder="1"/>
    <x:xf numFmtId="0" fontId="2" fillId="17" borderId="45" xfId="0" applyNumberFormat="1" applyFont="1" applyFill="1" applyBorder="1"/>
    <x:xf numFmtId="0" fontId="2" fillId="17" borderId="40" xfId="0" applyNumberFormat="1" applyFont="1" applyFill="1" applyBorder="1"/>
    <x:xf numFmtId="0" fontId="2" fillId="17" borderId="35" xfId="0" applyNumberFormat="1" applyFont="1" applyFill="1" applyBorder="1" applyAlignment="1">
      <x:alignment horizontal="center"/>
    </x:xf>
    <x:xf numFmtId="0" fontId="2" fillId="17" borderId="42" xfId="0" applyNumberFormat="1" applyFont="1" applyFill="1" applyBorder="1" applyAlignment="1">
      <x:alignment horizontal="center"/>
    </x:xf>
    <x:xf numFmtId="0" fontId="2" fillId="17" borderId="37" xfId="0" applyNumberFormat="1" applyFont="1" applyFill="1" applyBorder="1" applyAlignment="1">
      <x:alignment horizontal="center"/>
    </x:xf>
    <x:xf numFmtId="0" fontId="2" fillId="17" borderId="38" xfId="0" applyNumberFormat="1" applyFont="1" applyFill="1" applyBorder="1" applyAlignment="1">
      <x:alignment horizontal="center"/>
    </x:xf>
    <x:xf numFmtId="0" fontId="2" fillId="17" borderId="45" xfId="0" applyNumberFormat="1" applyFont="1" applyFill="1" applyBorder="1" applyAlignment="1">
      <x:alignment horizontal="center"/>
    </x:xf>
    <x:xf numFmtId="0" fontId="2" fillId="17" borderId="40" xfId="0" applyNumberFormat="1" applyFont="1" applyFill="1" applyBorder="1" applyAlignment="1">
      <x:alignment horizontal="center"/>
    </x:xf>
    <x:xf numFmtId="0" fontId="2" fillId="17" borderId="35" xfId="0" applyNumberFormat="1" applyFont="1" applyFill="1" applyBorder="1" applyAlignment="1">
      <x:alignment horizontal="center" vertical="center"/>
    </x:xf>
    <x:xf numFmtId="0" fontId="2" fillId="17" borderId="42" xfId="0" applyNumberFormat="1" applyFont="1" applyFill="1" applyBorder="1" applyAlignment="1">
      <x:alignment horizontal="center" vertical="center"/>
    </x:xf>
    <x:xf numFmtId="0" fontId="2" fillId="17" borderId="37" xfId="0" applyNumberFormat="1" applyFont="1" applyFill="1" applyBorder="1" applyAlignment="1">
      <x:alignment horizontal="center" vertical="center"/>
    </x:xf>
    <x:xf numFmtId="0" fontId="2" fillId="17" borderId="38" xfId="0" applyNumberFormat="1" applyFont="1" applyFill="1" applyBorder="1" applyAlignment="1">
      <x:alignment horizontal="center" vertical="center"/>
    </x:xf>
    <x:xf numFmtId="0" fontId="2" fillId="17" borderId="45" xfId="0" applyNumberFormat="1" applyFont="1" applyFill="1" applyBorder="1" applyAlignment="1">
      <x:alignment horizontal="center" vertical="center"/>
    </x:xf>
    <x:xf numFmtId="0" fontId="2" fillId="17" borderId="4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35" xfId="0" applyNumberFormat="1" applyFont="1" applyFill="1" applyBorder="1"/>
    <x:xf numFmtId="0" fontId="2" fillId="19" borderId="42" xfId="0" applyNumberFormat="1" applyFont="1" applyFill="1" applyBorder="1"/>
    <x:xf numFmtId="0" fontId="2" fillId="19" borderId="37" xfId="0" applyNumberFormat="1" applyFont="1" applyFill="1" applyBorder="1"/>
    <x:xf numFmtId="0" fontId="2" fillId="19" borderId="38" xfId="0" applyNumberFormat="1" applyFont="1" applyFill="1" applyBorder="1"/>
    <x:xf numFmtId="0" fontId="2" fillId="19" borderId="45" xfId="0" applyNumberFormat="1" applyFont="1" applyFill="1" applyBorder="1"/>
    <x:xf numFmtId="0" fontId="2" fillId="19" borderId="40" xfId="0" applyNumberFormat="1" applyFont="1" applyFill="1" applyBorder="1"/>
    <x:xf numFmtId="0" fontId="2" fillId="19" borderId="35" xfId="0" applyNumberFormat="1" applyFont="1" applyFill="1" applyBorder="1" applyAlignment="1">
      <x:alignment horizontal="center"/>
    </x:xf>
    <x:xf numFmtId="0" fontId="2" fillId="19" borderId="42" xfId="0" applyNumberFormat="1" applyFont="1" applyFill="1" applyBorder="1" applyAlignment="1">
      <x:alignment horizontal="center"/>
    </x:xf>
    <x:xf numFmtId="0" fontId="2" fillId="19" borderId="37" xfId="0" applyNumberFormat="1" applyFont="1" applyFill="1" applyBorder="1" applyAlignment="1">
      <x:alignment horizontal="center"/>
    </x:xf>
    <x:xf numFmtId="0" fontId="2" fillId="19" borderId="38" xfId="0" applyNumberFormat="1" applyFont="1" applyFill="1" applyBorder="1" applyAlignment="1">
      <x:alignment horizontal="center"/>
    </x:xf>
    <x:xf numFmtId="0" fontId="2" fillId="19" borderId="45" xfId="0" applyNumberFormat="1" applyFont="1" applyFill="1" applyBorder="1" applyAlignment="1">
      <x:alignment horizontal="center"/>
    </x:xf>
    <x:xf numFmtId="0" fontId="2" fillId="19" borderId="40" xfId="0" applyNumberFormat="1" applyFont="1" applyFill="1" applyBorder="1" applyAlignment="1">
      <x:alignment horizontal="center"/>
    </x:xf>
    <x:xf numFmtId="0" fontId="2" fillId="19" borderId="35" xfId="0" applyNumberFormat="1" applyFont="1" applyFill="1" applyBorder="1" applyAlignment="1">
      <x:alignment horizontal="center" vertical="center"/>
    </x:xf>
    <x:xf numFmtId="0" fontId="2" fillId="19" borderId="42" xfId="0" applyNumberFormat="1" applyFont="1" applyFill="1" applyBorder="1" applyAlignment="1">
      <x:alignment horizontal="center" vertical="center"/>
    </x:xf>
    <x:xf numFmtId="0" fontId="2" fillId="19" borderId="37" xfId="0" applyNumberFormat="1" applyFont="1" applyFill="1" applyBorder="1" applyAlignment="1">
      <x:alignment horizontal="center" vertical="center"/>
    </x:xf>
    <x:xf numFmtId="0" fontId="2" fillId="19" borderId="38" xfId="0" applyNumberFormat="1" applyFont="1" applyFill="1" applyBorder="1" applyAlignment="1">
      <x:alignment horizontal="center" vertical="center"/>
    </x:xf>
    <x:xf numFmtId="0" fontId="2" fillId="19" borderId="45" xfId="0" applyNumberFormat="1" applyFont="1" applyFill="1" applyBorder="1" applyAlignment="1">
      <x:alignment horizontal="center" vertical="center"/>
    </x:xf>
    <x:xf numFmtId="0" fontId="2" fillId="19" borderId="40" xfId="0" applyNumberFormat="1" applyFont="1" applyFill="1" applyBorder="1" applyAlignment="1">
      <x:alignment horizontal="center" vertical="center"/>
    </x:xf>
    <x:xf numFmtId="0" fontId="2" fillId="23" borderId="0" xfId="0" applyNumberFormat="1" applyFont="1" applyFill="1" applyBorder="1"/>
    <x:xf numFmtId="0" fontId="2" fillId="23" borderId="35" xfId="0" applyNumberFormat="1" applyFont="1" applyFill="1" applyBorder="1"/>
    <x:xf numFmtId="0" fontId="2" fillId="23" borderId="42" xfId="0" applyNumberFormat="1" applyFont="1" applyFill="1" applyBorder="1"/>
    <x:xf numFmtId="0" fontId="2" fillId="23" borderId="37" xfId="0" applyNumberFormat="1" applyFont="1" applyFill="1" applyBorder="1"/>
    <x:xf numFmtId="0" fontId="2" fillId="23" borderId="38" xfId="0" applyNumberFormat="1" applyFont="1" applyFill="1" applyBorder="1"/>
    <x:xf numFmtId="0" fontId="2" fillId="23" borderId="45" xfId="0" applyNumberFormat="1" applyFont="1" applyFill="1" applyBorder="1"/>
    <x:xf numFmtId="0" fontId="2" fillId="23" borderId="40" xfId="0" applyNumberFormat="1" applyFont="1" applyFill="1" applyBorder="1"/>
    <x:xf numFmtId="0" fontId="2" fillId="23" borderId="35" xfId="0" applyNumberFormat="1" applyFont="1" applyFill="1" applyBorder="1" applyAlignment="1">
      <x:alignment horizontal="center"/>
    </x:xf>
    <x:xf numFmtId="0" fontId="2" fillId="23" borderId="42" xfId="0" applyNumberFormat="1" applyFont="1" applyFill="1" applyBorder="1" applyAlignment="1">
      <x:alignment horizontal="center"/>
    </x:xf>
    <x:xf numFmtId="0" fontId="2" fillId="23" borderId="37" xfId="0" applyNumberFormat="1" applyFont="1" applyFill="1" applyBorder="1" applyAlignment="1">
      <x:alignment horizontal="center"/>
    </x:xf>
    <x:xf numFmtId="0" fontId="2" fillId="23" borderId="38" xfId="0" applyNumberFormat="1" applyFont="1" applyFill="1" applyBorder="1" applyAlignment="1">
      <x:alignment horizontal="center"/>
    </x:xf>
    <x:xf numFmtId="0" fontId="2" fillId="23" borderId="45" xfId="0" applyNumberFormat="1" applyFont="1" applyFill="1" applyBorder="1" applyAlignment="1">
      <x:alignment horizontal="center"/>
    </x:xf>
    <x:xf numFmtId="0" fontId="2" fillId="23" borderId="40" xfId="0" applyNumberFormat="1" applyFont="1" applyFill="1" applyBorder="1" applyAlignment="1">
      <x:alignment horizontal="center"/>
    </x:xf>
    <x:xf numFmtId="0" fontId="2" fillId="23" borderId="35" xfId="0" applyNumberFormat="1" applyFont="1" applyFill="1" applyBorder="1" applyAlignment="1">
      <x:alignment horizontal="center" vertical="center"/>
    </x:xf>
    <x:xf numFmtId="0" fontId="2" fillId="23" borderId="42" xfId="0" applyNumberFormat="1" applyFont="1" applyFill="1" applyBorder="1" applyAlignment="1">
      <x:alignment horizontal="center" vertical="center"/>
    </x:xf>
    <x:xf numFmtId="0" fontId="2" fillId="23" borderId="37" xfId="0" applyNumberFormat="1" applyFont="1" applyFill="1" applyBorder="1" applyAlignment="1">
      <x:alignment horizontal="center" vertical="center"/>
    </x:xf>
    <x:xf numFmtId="0" fontId="2" fillId="23" borderId="38" xfId="0" applyNumberFormat="1" applyFont="1" applyFill="1" applyBorder="1" applyAlignment="1">
      <x:alignment horizontal="center" vertical="center"/>
    </x:xf>
    <x:xf numFmtId="0" fontId="2" fillId="23" borderId="45" xfId="0" applyNumberFormat="1" applyFont="1" applyFill="1" applyBorder="1" applyAlignment="1">
      <x:alignment horizontal="center" vertical="center"/>
    </x:xf>
    <x:xf numFmtId="0" fontId="2" fillId="23" borderId="40" xfId="0" applyNumberFormat="1" applyFont="1" applyFill="1" applyBorder="1" applyAlignment="1">
      <x:alignment horizontal="center" vertical="center"/>
    </x:xf>
    <x:xf numFmtId="0" fontId="2" fillId="15" borderId="35" xfId="0" applyNumberFormat="1" applyFont="1" applyFill="1" applyBorder="1"/>
    <x:xf numFmtId="0" fontId="2" fillId="15" borderId="42" xfId="0" applyNumberFormat="1" applyFont="1" applyFill="1" applyBorder="1"/>
    <x:xf numFmtId="0" fontId="2" fillId="15" borderId="37" xfId="0" applyNumberFormat="1" applyFont="1" applyFill="1" applyBorder="1"/>
    <x:xf numFmtId="0" fontId="2" fillId="15" borderId="35" xfId="0" applyNumberFormat="1" applyFont="1" applyFill="1" applyBorder="1" applyAlignment="1">
      <x:alignment horizontal="center"/>
    </x:xf>
    <x:xf numFmtId="0" fontId="2" fillId="15" borderId="42" xfId="0" applyNumberFormat="1" applyFont="1" applyFill="1" applyBorder="1" applyAlignment="1">
      <x:alignment horizontal="center"/>
    </x:xf>
    <x:xf numFmtId="0" fontId="2" fillId="15" borderId="37" xfId="0" applyNumberFormat="1" applyFont="1" applyFill="1" applyBorder="1" applyAlignment="1">
      <x:alignment horizontal="center"/>
    </x:xf>
    <x:xf numFmtId="0" fontId="2" fillId="15" borderId="35" xfId="0" applyNumberFormat="1" applyFont="1" applyFill="1" applyBorder="1" applyAlignment="1">
      <x:alignment horizontal="center" vertical="center"/>
    </x:xf>
    <x:xf numFmtId="0" fontId="2" fillId="15" borderId="42" xfId="0" applyNumberFormat="1" applyFont="1" applyFill="1" applyBorder="1" applyAlignment="1">
      <x:alignment horizontal="center" vertical="center"/>
    </x:xf>
    <x:xf numFmtId="0" fontId="2" fillId="15" borderId="37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35" xfId="0" applyNumberFormat="1" applyFont="1" applyFill="1" applyBorder="1"/>
    <x:xf numFmtId="0" fontId="2" fillId="26" borderId="42" xfId="0" applyNumberFormat="1" applyFont="1" applyFill="1" applyBorder="1"/>
    <x:xf numFmtId="0" fontId="2" fillId="26" borderId="37" xfId="0" applyNumberFormat="1" applyFont="1" applyFill="1" applyBorder="1"/>
    <x:xf numFmtId="0" fontId="2" fillId="26" borderId="38" xfId="0" applyNumberFormat="1" applyFont="1" applyFill="1" applyBorder="1"/>
    <x:xf numFmtId="0" fontId="2" fillId="26" borderId="45" xfId="0" applyNumberFormat="1" applyFont="1" applyFill="1" applyBorder="1"/>
    <x:xf numFmtId="0" fontId="2" fillId="26" borderId="40" xfId="0" applyNumberFormat="1" applyFont="1" applyFill="1" applyBorder="1"/>
    <x:xf numFmtId="0" fontId="2" fillId="26" borderId="35" xfId="0" applyNumberFormat="1" applyFont="1" applyFill="1" applyBorder="1" applyAlignment="1">
      <x:alignment horizontal="center"/>
    </x:xf>
    <x:xf numFmtId="0" fontId="2" fillId="26" borderId="42" xfId="0" applyNumberFormat="1" applyFont="1" applyFill="1" applyBorder="1" applyAlignment="1">
      <x:alignment horizontal="center"/>
    </x:xf>
    <x:xf numFmtId="0" fontId="2" fillId="26" borderId="37" xfId="0" applyNumberFormat="1" applyFont="1" applyFill="1" applyBorder="1" applyAlignment="1">
      <x:alignment horizontal="center"/>
    </x:xf>
    <x:xf numFmtId="0" fontId="2" fillId="26" borderId="38" xfId="0" applyNumberFormat="1" applyFont="1" applyFill="1" applyBorder="1" applyAlignment="1">
      <x:alignment horizontal="center"/>
    </x:xf>
    <x:xf numFmtId="0" fontId="2" fillId="26" borderId="45" xfId="0" applyNumberFormat="1" applyFont="1" applyFill="1" applyBorder="1" applyAlignment="1">
      <x:alignment horizontal="center"/>
    </x:xf>
    <x:xf numFmtId="0" fontId="2" fillId="26" borderId="40" xfId="0" applyNumberFormat="1" applyFont="1" applyFill="1" applyBorder="1" applyAlignment="1">
      <x:alignment horizontal="center"/>
    </x:xf>
    <x:xf numFmtId="0" fontId="2" fillId="26" borderId="35" xfId="0" applyNumberFormat="1" applyFont="1" applyFill="1" applyBorder="1" applyAlignment="1">
      <x:alignment horizontal="center" vertical="center"/>
    </x:xf>
    <x:xf numFmtId="0" fontId="2" fillId="26" borderId="42" xfId="0" applyNumberFormat="1" applyFont="1" applyFill="1" applyBorder="1" applyAlignment="1">
      <x:alignment horizontal="center" vertical="center"/>
    </x:xf>
    <x:xf numFmtId="0" fontId="2" fillId="26" borderId="37" xfId="0" applyNumberFormat="1" applyFont="1" applyFill="1" applyBorder="1" applyAlignment="1">
      <x:alignment horizontal="center" vertical="center"/>
    </x:xf>
    <x:xf numFmtId="0" fontId="2" fillId="26" borderId="38" xfId="0" applyNumberFormat="1" applyFont="1" applyFill="1" applyBorder="1" applyAlignment="1">
      <x:alignment horizontal="center" vertical="center"/>
    </x:xf>
    <x:xf numFmtId="0" fontId="2" fillId="26" borderId="45" xfId="0" applyNumberFormat="1" applyFont="1" applyFill="1" applyBorder="1" applyAlignment="1">
      <x:alignment horizontal="center" vertical="center"/>
    </x:xf>
    <x:xf numFmtId="0" fontId="2" fillId="26" borderId="4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horizontal="left"/>
    </x:xf>
    <x:xf numFmtId="0" fontId="5" fillId="27" borderId="0" xfId="0" applyNumberFormat="1" applyFont="1" applyFill="1" applyBorder="1" applyAlignment="1">
      <x:alignment horizontal="left" vertical="center"/>
    </x:xf>
    <x:xf numFmtId="0" fontId="14" fillId="13" borderId="0" xfId="0" applyNumberFormat="1" applyFont="1" applyFill="1" applyBorder="1"/>
    <x:xf numFmtId="0" fontId="14" fillId="13" borderId="35" xfId="0" applyNumberFormat="1" applyFont="1" applyFill="1" applyBorder="1"/>
    <x:xf numFmtId="0" fontId="14" fillId="13" borderId="42" xfId="0" applyNumberFormat="1" applyFont="1" applyFill="1" applyBorder="1"/>
    <x:xf numFmtId="0" fontId="14" fillId="13" borderId="37" xfId="0" applyNumberFormat="1" applyFont="1" applyFill="1" applyBorder="1"/>
    <x:xf numFmtId="0" fontId="14" fillId="13" borderId="38" xfId="0" applyNumberFormat="1" applyFont="1" applyFill="1" applyBorder="1"/>
    <x:xf numFmtId="0" fontId="14" fillId="13" borderId="45" xfId="0" applyNumberFormat="1" applyFont="1" applyFill="1" applyBorder="1"/>
    <x:xf numFmtId="0" fontId="14" fillId="13" borderId="40" xfId="0" applyNumberFormat="1" applyFont="1" applyFill="1" applyBorder="1"/>
    <x:xf numFmtId="0" fontId="14" fillId="13" borderId="35" xfId="0" applyNumberFormat="1" applyFont="1" applyFill="1" applyBorder="1" applyAlignment="1">
      <x:alignment horizontal="center"/>
    </x:xf>
    <x:xf numFmtId="0" fontId="14" fillId="13" borderId="42" xfId="0" applyNumberFormat="1" applyFont="1" applyFill="1" applyBorder="1" applyAlignment="1">
      <x:alignment horizontal="center"/>
    </x:xf>
    <x:xf numFmtId="0" fontId="14" fillId="13" borderId="37" xfId="0" applyNumberFormat="1" applyFont="1" applyFill="1" applyBorder="1" applyAlignment="1">
      <x:alignment horizontal="center"/>
    </x:xf>
    <x:xf numFmtId="0" fontId="14" fillId="13" borderId="38" xfId="0" applyNumberFormat="1" applyFont="1" applyFill="1" applyBorder="1" applyAlignment="1">
      <x:alignment horizontal="center"/>
    </x:xf>
    <x:xf numFmtId="0" fontId="14" fillId="13" borderId="45" xfId="0" applyNumberFormat="1" applyFont="1" applyFill="1" applyBorder="1" applyAlignment="1">
      <x:alignment horizontal="center"/>
    </x:xf>
    <x:xf numFmtId="0" fontId="14" fillId="13" borderId="40" xfId="0" applyNumberFormat="1" applyFont="1" applyFill="1" applyBorder="1" applyAlignment="1">
      <x:alignment horizontal="center"/>
    </x:xf>
    <x:xf numFmtId="0" fontId="14" fillId="13" borderId="35" xfId="0" applyNumberFormat="1" applyFont="1" applyFill="1" applyBorder="1" applyAlignment="1">
      <x:alignment horizontal="center" vertical="center"/>
    </x:xf>
    <x:xf numFmtId="0" fontId="14" fillId="13" borderId="42" xfId="0" applyNumberFormat="1" applyFont="1" applyFill="1" applyBorder="1" applyAlignment="1">
      <x:alignment horizontal="center" vertical="center"/>
    </x:xf>
    <x:xf numFmtId="0" fontId="14" fillId="13" borderId="37" xfId="0" applyNumberFormat="1" applyFont="1" applyFill="1" applyBorder="1" applyAlignment="1">
      <x:alignment horizontal="center" vertical="center"/>
    </x:xf>
    <x:xf numFmtId="0" fontId="14" fillId="13" borderId="38" xfId="0" applyNumberFormat="1" applyFont="1" applyFill="1" applyBorder="1" applyAlignment="1">
      <x:alignment horizontal="center" vertical="center"/>
    </x:xf>
    <x:xf numFmtId="0" fontId="14" fillId="13" borderId="45" xfId="0" applyNumberFormat="1" applyFont="1" applyFill="1" applyBorder="1" applyAlignment="1">
      <x:alignment horizontal="center" vertical="center"/>
    </x:xf>
    <x:xf numFmtId="0" fontId="14" fillId="13" borderId="40" xfId="0" applyNumberFormat="1" applyFont="1" applyFill="1" applyBorder="1" applyAlignment="1">
      <x:alignment horizontal="center" vertical="center"/>
    </x:xf>
    <x:xf numFmtId="0" fontId="15" fillId="24" borderId="0" xfId="0" applyNumberFormat="1" applyFont="1" applyFill="1" applyBorder="1"/>
    <x:xf numFmtId="0" fontId="15" fillId="24" borderId="35" xfId="0" applyNumberFormat="1" applyFont="1" applyFill="1" applyBorder="1"/>
    <x:xf numFmtId="0" fontId="15" fillId="24" borderId="42" xfId="0" applyNumberFormat="1" applyFont="1" applyFill="1" applyBorder="1"/>
    <x:xf numFmtId="0" fontId="15" fillId="24" borderId="37" xfId="0" applyNumberFormat="1" applyFont="1" applyFill="1" applyBorder="1"/>
    <x:xf numFmtId="0" fontId="15" fillId="24" borderId="38" xfId="0" applyNumberFormat="1" applyFont="1" applyFill="1" applyBorder="1"/>
    <x:xf numFmtId="0" fontId="15" fillId="24" borderId="45" xfId="0" applyNumberFormat="1" applyFont="1" applyFill="1" applyBorder="1"/>
    <x:xf numFmtId="0" fontId="15" fillId="24" borderId="40" xfId="0" applyNumberFormat="1" applyFont="1" applyFill="1" applyBorder="1"/>
    <x:xf numFmtId="0" fontId="15" fillId="24" borderId="35" xfId="0" applyNumberFormat="1" applyFont="1" applyFill="1" applyBorder="1" applyAlignment="1">
      <x:alignment horizontal="center"/>
    </x:xf>
    <x:xf numFmtId="0" fontId="15" fillId="24" borderId="42" xfId="0" applyNumberFormat="1" applyFont="1" applyFill="1" applyBorder="1" applyAlignment="1">
      <x:alignment horizontal="center"/>
    </x:xf>
    <x:xf numFmtId="0" fontId="15" fillId="24" borderId="37" xfId="0" applyNumberFormat="1" applyFont="1" applyFill="1" applyBorder="1" applyAlignment="1">
      <x:alignment horizontal="center"/>
    </x:xf>
    <x:xf numFmtId="0" fontId="15" fillId="24" borderId="38" xfId="0" applyNumberFormat="1" applyFont="1" applyFill="1" applyBorder="1" applyAlignment="1">
      <x:alignment horizontal="center"/>
    </x:xf>
    <x:xf numFmtId="0" fontId="15" fillId="24" borderId="45" xfId="0" applyNumberFormat="1" applyFont="1" applyFill="1" applyBorder="1" applyAlignment="1">
      <x:alignment horizontal="center"/>
    </x:xf>
    <x:xf numFmtId="0" fontId="15" fillId="24" borderId="40" xfId="0" applyNumberFormat="1" applyFont="1" applyFill="1" applyBorder="1" applyAlignment="1">
      <x:alignment horizontal="center"/>
    </x:xf>
    <x:xf numFmtId="0" fontId="15" fillId="24" borderId="35" xfId="0" applyNumberFormat="1" applyFont="1" applyFill="1" applyBorder="1" applyAlignment="1">
      <x:alignment horizontal="center" vertical="center"/>
    </x:xf>
    <x:xf numFmtId="0" fontId="15" fillId="24" borderId="42" xfId="0" applyNumberFormat="1" applyFont="1" applyFill="1" applyBorder="1" applyAlignment="1">
      <x:alignment horizontal="center" vertical="center"/>
    </x:xf>
    <x:xf numFmtId="0" fontId="15" fillId="24" borderId="37" xfId="0" applyNumberFormat="1" applyFont="1" applyFill="1" applyBorder="1" applyAlignment="1">
      <x:alignment horizontal="center" vertical="center"/>
    </x:xf>
    <x:xf numFmtId="0" fontId="15" fillId="24" borderId="38" xfId="0" applyNumberFormat="1" applyFont="1" applyFill="1" applyBorder="1" applyAlignment="1">
      <x:alignment horizontal="center" vertical="center"/>
    </x:xf>
    <x:xf numFmtId="0" fontId="15" fillId="24" borderId="45" xfId="0" applyNumberFormat="1" applyFont="1" applyFill="1" applyBorder="1" applyAlignment="1">
      <x:alignment horizontal="center" vertical="center"/>
    </x:xf>
    <x:xf numFmtId="0" fontId="15" fillId="24" borderId="40" xfId="0" applyNumberFormat="1" applyFont="1" applyFill="1" applyBorder="1" applyAlignment="1">
      <x:alignment horizontal="center" vertical="center"/>
    </x:xf>
    <x:xf numFmtId="0" fontId="16" fillId="18" borderId="0" xfId="0" applyNumberFormat="1" applyFont="1" applyFill="1" applyBorder="1"/>
    <x:xf numFmtId="0" fontId="16" fillId="18" borderId="35" xfId="0" applyNumberFormat="1" applyFont="1" applyFill="1" applyBorder="1"/>
    <x:xf numFmtId="0" fontId="16" fillId="18" borderId="42" xfId="0" applyNumberFormat="1" applyFont="1" applyFill="1" applyBorder="1"/>
    <x:xf numFmtId="0" fontId="16" fillId="18" borderId="37" xfId="0" applyNumberFormat="1" applyFont="1" applyFill="1" applyBorder="1"/>
    <x:xf numFmtId="0" fontId="16" fillId="18" borderId="38" xfId="0" applyNumberFormat="1" applyFont="1" applyFill="1" applyBorder="1"/>
    <x:xf numFmtId="0" fontId="16" fillId="18" borderId="45" xfId="0" applyNumberFormat="1" applyFont="1" applyFill="1" applyBorder="1"/>
    <x:xf numFmtId="0" fontId="16" fillId="18" borderId="40" xfId="0" applyNumberFormat="1" applyFont="1" applyFill="1" applyBorder="1"/>
    <x:xf numFmtId="0" fontId="16" fillId="18" borderId="35" xfId="0" applyNumberFormat="1" applyFont="1" applyFill="1" applyBorder="1" applyAlignment="1">
      <x:alignment horizontal="center"/>
    </x:xf>
    <x:xf numFmtId="0" fontId="16" fillId="18" borderId="42" xfId="0" applyNumberFormat="1" applyFont="1" applyFill="1" applyBorder="1" applyAlignment="1">
      <x:alignment horizontal="center"/>
    </x:xf>
    <x:xf numFmtId="0" fontId="16" fillId="18" borderId="37" xfId="0" applyNumberFormat="1" applyFont="1" applyFill="1" applyBorder="1" applyAlignment="1">
      <x:alignment horizontal="center"/>
    </x:xf>
    <x:xf numFmtId="0" fontId="16" fillId="18" borderId="38" xfId="0" applyNumberFormat="1" applyFont="1" applyFill="1" applyBorder="1" applyAlignment="1">
      <x:alignment horizontal="center"/>
    </x:xf>
    <x:xf numFmtId="0" fontId="16" fillId="18" borderId="45" xfId="0" applyNumberFormat="1" applyFont="1" applyFill="1" applyBorder="1" applyAlignment="1">
      <x:alignment horizontal="center"/>
    </x:xf>
    <x:xf numFmtId="0" fontId="16" fillId="18" borderId="40" xfId="0" applyNumberFormat="1" applyFont="1" applyFill="1" applyBorder="1" applyAlignment="1">
      <x:alignment horizontal="center"/>
    </x:xf>
    <x:xf numFmtId="0" fontId="16" fillId="18" borderId="35" xfId="0" applyNumberFormat="1" applyFont="1" applyFill="1" applyBorder="1" applyAlignment="1">
      <x:alignment horizontal="center" vertical="center"/>
    </x:xf>
    <x:xf numFmtId="0" fontId="16" fillId="18" borderId="42" xfId="0" applyNumberFormat="1" applyFont="1" applyFill="1" applyBorder="1" applyAlignment="1">
      <x:alignment horizontal="center" vertical="center"/>
    </x:xf>
    <x:xf numFmtId="0" fontId="16" fillId="18" borderId="37" xfId="0" applyNumberFormat="1" applyFont="1" applyFill="1" applyBorder="1" applyAlignment="1">
      <x:alignment horizontal="center" vertical="center"/>
    </x:xf>
    <x:xf numFmtId="0" fontId="16" fillId="18" borderId="38" xfId="0" applyNumberFormat="1" applyFont="1" applyFill="1" applyBorder="1" applyAlignment="1">
      <x:alignment horizontal="center" vertical="center"/>
    </x:xf>
    <x:xf numFmtId="0" fontId="16" fillId="18" borderId="45" xfId="0" applyNumberFormat="1" applyFont="1" applyFill="1" applyBorder="1" applyAlignment="1">
      <x:alignment horizontal="center" vertical="center"/>
    </x:xf>
    <x:xf numFmtId="0" fontId="16" fillId="18" borderId="40" xfId="0" applyNumberFormat="1" applyFont="1" applyFill="1" applyBorder="1" applyAlignment="1">
      <x:alignment horizontal="center" vertical="center"/>
    </x:xf>
    <x:xf numFmtId="0" fontId="17" fillId="20" borderId="0" xfId="0" applyNumberFormat="1" applyFont="1" applyFill="1" applyBorder="1"/>
    <x:xf numFmtId="0" fontId="17" fillId="20" borderId="35" xfId="0" applyNumberFormat="1" applyFont="1" applyFill="1" applyBorder="1"/>
    <x:xf numFmtId="0" fontId="17" fillId="20" borderId="42" xfId="0" applyNumberFormat="1" applyFont="1" applyFill="1" applyBorder="1"/>
    <x:xf numFmtId="0" fontId="17" fillId="20" borderId="37" xfId="0" applyNumberFormat="1" applyFont="1" applyFill="1" applyBorder="1"/>
    <x:xf numFmtId="0" fontId="17" fillId="20" borderId="38" xfId="0" applyNumberFormat="1" applyFont="1" applyFill="1" applyBorder="1"/>
    <x:xf numFmtId="0" fontId="17" fillId="20" borderId="45" xfId="0" applyNumberFormat="1" applyFont="1" applyFill="1" applyBorder="1"/>
    <x:xf numFmtId="0" fontId="17" fillId="20" borderId="40" xfId="0" applyNumberFormat="1" applyFont="1" applyFill="1" applyBorder="1"/>
    <x:xf numFmtId="0" fontId="17" fillId="20" borderId="35" xfId="0" applyNumberFormat="1" applyFont="1" applyFill="1" applyBorder="1" applyAlignment="1">
      <x:alignment horizontal="center"/>
    </x:xf>
    <x:xf numFmtId="0" fontId="17" fillId="20" borderId="42" xfId="0" applyNumberFormat="1" applyFont="1" applyFill="1" applyBorder="1" applyAlignment="1">
      <x:alignment horizontal="center"/>
    </x:xf>
    <x:xf numFmtId="0" fontId="17" fillId="20" borderId="37" xfId="0" applyNumberFormat="1" applyFont="1" applyFill="1" applyBorder="1" applyAlignment="1">
      <x:alignment horizontal="center"/>
    </x:xf>
    <x:xf numFmtId="0" fontId="17" fillId="20" borderId="38" xfId="0" applyNumberFormat="1" applyFont="1" applyFill="1" applyBorder="1" applyAlignment="1">
      <x:alignment horizontal="center"/>
    </x:xf>
    <x:xf numFmtId="0" fontId="17" fillId="20" borderId="45" xfId="0" applyNumberFormat="1" applyFont="1" applyFill="1" applyBorder="1" applyAlignment="1">
      <x:alignment horizontal="center"/>
    </x:xf>
    <x:xf numFmtId="0" fontId="17" fillId="20" borderId="40" xfId="0" applyNumberFormat="1" applyFont="1" applyFill="1" applyBorder="1" applyAlignment="1">
      <x:alignment horizontal="center"/>
    </x:xf>
    <x:xf numFmtId="0" fontId="17" fillId="20" borderId="35" xfId="0" applyNumberFormat="1" applyFont="1" applyFill="1" applyBorder="1" applyAlignment="1">
      <x:alignment horizontal="center" vertical="center"/>
    </x:xf>
    <x:xf numFmtId="0" fontId="17" fillId="20" borderId="42" xfId="0" applyNumberFormat="1" applyFont="1" applyFill="1" applyBorder="1" applyAlignment="1">
      <x:alignment horizontal="center" vertical="center"/>
    </x:xf>
    <x:xf numFmtId="0" fontId="17" fillId="20" borderId="37" xfId="0" applyNumberFormat="1" applyFont="1" applyFill="1" applyBorder="1" applyAlignment="1">
      <x:alignment horizontal="center" vertical="center"/>
    </x:xf>
    <x:xf numFmtId="0" fontId="17" fillId="20" borderId="38" xfId="0" applyNumberFormat="1" applyFont="1" applyFill="1" applyBorder="1" applyAlignment="1">
      <x:alignment horizontal="center" vertical="center"/>
    </x:xf>
    <x:xf numFmtId="0" fontId="17" fillId="20" borderId="45" xfId="0" applyNumberFormat="1" applyFont="1" applyFill="1" applyBorder="1" applyAlignment="1">
      <x:alignment horizontal="center" vertical="center"/>
    </x:xf>
    <x:xf numFmtId="0" fontId="17" fillId="20" borderId="40" xfId="0" applyNumberFormat="1" applyFont="1" applyFill="1" applyBorder="1" applyAlignment="1">
      <x:alignment horizontal="center" vertical="center"/>
    </x:xf>
    <x:xf numFmtId="0" fontId="18" fillId="25" borderId="0" xfId="0" applyNumberFormat="1" applyFont="1" applyFill="1" applyBorder="1"/>
    <x:xf numFmtId="0" fontId="18" fillId="25" borderId="35" xfId="0" applyNumberFormat="1" applyFont="1" applyFill="1" applyBorder="1"/>
    <x:xf numFmtId="0" fontId="18" fillId="25" borderId="42" xfId="0" applyNumberFormat="1" applyFont="1" applyFill="1" applyBorder="1"/>
    <x:xf numFmtId="0" fontId="18" fillId="25" borderId="37" xfId="0" applyNumberFormat="1" applyFont="1" applyFill="1" applyBorder="1"/>
    <x:xf numFmtId="0" fontId="18" fillId="25" borderId="38" xfId="0" applyNumberFormat="1" applyFont="1" applyFill="1" applyBorder="1"/>
    <x:xf numFmtId="0" fontId="18" fillId="25" borderId="45" xfId="0" applyNumberFormat="1" applyFont="1" applyFill="1" applyBorder="1"/>
    <x:xf numFmtId="0" fontId="18" fillId="25" borderId="40" xfId="0" applyNumberFormat="1" applyFont="1" applyFill="1" applyBorder="1"/>
    <x:xf numFmtId="0" fontId="18" fillId="25" borderId="35" xfId="0" applyNumberFormat="1" applyFont="1" applyFill="1" applyBorder="1" applyAlignment="1">
      <x:alignment horizontal="center"/>
    </x:xf>
    <x:xf numFmtId="0" fontId="18" fillId="25" borderId="42" xfId="0" applyNumberFormat="1" applyFont="1" applyFill="1" applyBorder="1" applyAlignment="1">
      <x:alignment horizontal="center"/>
    </x:xf>
    <x:xf numFmtId="0" fontId="18" fillId="25" borderId="37" xfId="0" applyNumberFormat="1" applyFont="1" applyFill="1" applyBorder="1" applyAlignment="1">
      <x:alignment horizontal="center"/>
    </x:xf>
    <x:xf numFmtId="0" fontId="18" fillId="25" borderId="38" xfId="0" applyNumberFormat="1" applyFont="1" applyFill="1" applyBorder="1" applyAlignment="1">
      <x:alignment horizontal="center"/>
    </x:xf>
    <x:xf numFmtId="0" fontId="18" fillId="25" borderId="45" xfId="0" applyNumberFormat="1" applyFont="1" applyFill="1" applyBorder="1" applyAlignment="1">
      <x:alignment horizontal="center"/>
    </x:xf>
    <x:xf numFmtId="0" fontId="18" fillId="25" borderId="40" xfId="0" applyNumberFormat="1" applyFont="1" applyFill="1" applyBorder="1" applyAlignment="1">
      <x:alignment horizontal="center"/>
    </x:xf>
    <x:xf numFmtId="0" fontId="18" fillId="25" borderId="35" xfId="0" applyNumberFormat="1" applyFont="1" applyFill="1" applyBorder="1" applyAlignment="1">
      <x:alignment horizontal="center" vertical="center"/>
    </x:xf>
    <x:xf numFmtId="0" fontId="18" fillId="25" borderId="42" xfId="0" applyNumberFormat="1" applyFont="1" applyFill="1" applyBorder="1" applyAlignment="1">
      <x:alignment horizontal="center" vertical="center"/>
    </x:xf>
    <x:xf numFmtId="0" fontId="18" fillId="25" borderId="37" xfId="0" applyNumberFormat="1" applyFont="1" applyFill="1" applyBorder="1" applyAlignment="1">
      <x:alignment horizontal="center" vertical="center"/>
    </x:xf>
    <x:xf numFmtId="0" fontId="18" fillId="25" borderId="38" xfId="0" applyNumberFormat="1" applyFont="1" applyFill="1" applyBorder="1" applyAlignment="1">
      <x:alignment horizontal="center" vertical="center"/>
    </x:xf>
    <x:xf numFmtId="0" fontId="18" fillId="25" borderId="45" xfId="0" applyNumberFormat="1" applyFont="1" applyFill="1" applyBorder="1" applyAlignment="1">
      <x:alignment horizontal="center" vertical="center"/>
    </x:xf>
    <x:xf numFmtId="0" fontId="18" fillId="25" borderId="40" xfId="0" applyNumberFormat="1" applyFont="1" applyFill="1" applyBorder="1" applyAlignment="1">
      <x:alignment horizontal="center" vertical="center"/>
    </x:xf>
    <x:xf numFmtId="0" fontId="0" fillId="0" borderId="35" xfId="0" applyNumberFormat="1" applyFont="1" applyFill="1" applyBorder="1" applyAlignment="1">
      <x:alignment vertical="top" wrapText="1"/>
    </x:xf>
    <x:xf numFmtId="200" fontId="4" fillId="5" borderId="59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4" fillId="5" borderId="60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4" fillId="5" borderId="61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center" wrapText="1"/>
    </x:xf>
    <x:xf numFmtId="200" fontId="4" fillId="5" borderId="59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center" wrapText="1"/>
    </x:xf>
    <x:xf numFmtId="0" fontId="4" fillId="5" borderId="60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4" fillId="5" borderId="61" xfId="0" applyNumberFormat="1" applyFont="1" applyFill="1" applyBorder="1" applyAlignment="1">
      <x:alignment vertical="center" wrapText="1"/>
    </x:xf>
    <x:xf numFmtId="200" fontId="4" fillId="22" borderId="59" xfId="0" applyNumberFormat="1" applyFont="1" applyFill="1" applyBorder="1" applyAlignment="1">
      <x:alignment vertical="center" wrapText="1"/>
    </x:xf>
    <x:xf numFmtId="0" fontId="4" fillId="22" borderId="60" xfId="0" applyNumberFormat="1" applyFont="1" applyFill="1" applyBorder="1" applyAlignment="1">
      <x:alignment vertical="center" wrapText="1"/>
    </x:xf>
    <x:xf numFmtId="0" fontId="4" fillId="22" borderId="61" xfId="0" applyNumberFormat="1" applyFont="1" applyFill="1" applyBorder="1" applyAlignment="1">
      <x:alignment vertical="center" wrapText="1"/>
    </x:xf>
    <x:xf numFmtId="200" fontId="19" fillId="22" borderId="59" xfId="0" applyNumberFormat="1" applyFont="1" applyFill="1" applyBorder="1" applyAlignment="1">
      <x:alignment vertical="center" wrapText="1"/>
    </x:xf>
    <x:xf numFmtId="0" fontId="19" fillId="22" borderId="60" xfId="0" applyNumberFormat="1" applyFont="1" applyFill="1" applyBorder="1" applyAlignment="1">
      <x:alignment vertical="center" wrapText="1"/>
    </x:xf>
    <x:xf numFmtId="0" fontId="19" fillId="22" borderId="61" xfId="0" applyNumberFormat="1" applyFont="1" applyFill="1" applyBorder="1" applyAlignment="1">
      <x:alignment vertical="center" wrapText="1"/>
    </x:xf>
    <x:xf numFmtId="200" fontId="19" fillId="22" borderId="62" xfId="0" applyNumberFormat="1" applyFont="1" applyFill="1" applyBorder="1" applyAlignment="1">
      <x:alignment vertical="center" wrapText="1"/>
    </x:xf>
    <x:xf numFmtId="0" fontId="19" fillId="22" borderId="63" xfId="0" applyNumberFormat="1" applyFont="1" applyFill="1" applyBorder="1" applyAlignment="1">
      <x:alignment vertical="center" wrapText="1"/>
    </x:xf>
    <x:xf numFmtId="0" fontId="19" fillId="22" borderId="64" xfId="0" applyNumberFormat="1" applyFont="1" applyFill="1" applyBorder="1" applyAlignment="1">
      <x:alignment vertical="center" wrapText="1"/>
    </x:xf>
    <x:xf numFmtId="0" fontId="0" fillId="22" borderId="24" xfId="0" applyNumberFormat="1" applyFont="1" applyFill="1" applyBorder="1" applyAlignment="1">
      <x:alignment vertical="top" wrapText="1"/>
    </x:xf>
    <x:xf numFmtId="0" fontId="0" fillId="22" borderId="25" xfId="0" applyNumberFormat="1" applyFont="1" applyFill="1" applyBorder="1" applyAlignment="1">
      <x:alignment vertical="top" wrapText="1"/>
    </x:xf>
    <x:xf numFmtId="0" fontId="0" fillId="22" borderId="26" xfId="0" applyNumberFormat="1" applyFont="1" applyFill="1" applyBorder="1" applyAlignment="1">
      <x:alignment vertical="top" wrapText="1"/>
    </x:xf>
    <x:xf numFmtId="0" fontId="19" fillId="22" borderId="24" xfId="0" applyNumberFormat="1" applyFont="1" applyFill="1" applyBorder="1" applyAlignment="1">
      <x:alignment vertical="top" wrapText="1"/>
    </x:xf>
    <x:xf numFmtId="0" fontId="19" fillId="22" borderId="25" xfId="0" applyNumberFormat="1" applyFont="1" applyFill="1" applyBorder="1" applyAlignment="1">
      <x:alignment vertical="top" wrapText="1"/>
    </x:xf>
    <x:xf numFmtId="0" fontId="19" fillId="22" borderId="26" xfId="0" applyNumberFormat="1" applyFont="1" applyFill="1" applyBorder="1" applyAlignment="1">
      <x:alignment vertical="top" wrapText="1"/>
    </x:xf>
    <x:xf numFmtId="0" fontId="19" fillId="22" borderId="62" xfId="0" applyNumberFormat="1" applyFont="1" applyFill="1" applyBorder="1" applyAlignment="1">
      <x:alignment vertical="top" wrapText="1"/>
    </x:xf>
    <x:xf numFmtId="0" fontId="19" fillId="22" borderId="63" xfId="0" applyNumberFormat="1" applyFont="1" applyFill="1" applyBorder="1" applyAlignment="1">
      <x:alignment vertical="top" wrapText="1"/>
    </x:xf>
    <x:xf numFmtId="0" fontId="19" fillId="22" borderId="64" xfId="0" applyNumberFormat="1" applyFont="1" applyFill="1" applyBorder="1" applyAlignment="1">
      <x:alignment vertical="top" wrapText="1"/>
    </x:xf>
    <x:xf numFmtId="0" fontId="19" fillId="28" borderId="63" xfId="0" applyNumberFormat="1" applyFont="1" applyFill="1" applyBorder="1" applyAlignment="1">
      <x:alignment vertical="center" wrapText="1"/>
    </x:xf>
    <x:xf numFmtId="0" fontId="20" fillId="28" borderId="63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horizontal="center" vertical="center" wrapText="1"/>
    </x:xf>
    <x:xf numFmtId="0" fontId="2" fillId="10" borderId="35" xfId="0" applyNumberFormat="1" applyFont="1" applyFill="1" applyBorder="1" applyAlignment="1">
      <x:alignment horizontal="center" vertical="center" wrapText="1"/>
    </x:xf>
    <x:xf numFmtId="0" fontId="2" fillId="10" borderId="42" xfId="0" applyNumberFormat="1" applyFont="1" applyFill="1" applyBorder="1" applyAlignment="1">
      <x:alignment horizontal="center" vertical="center" wrapText="1"/>
    </x:xf>
    <x:xf numFmtId="0" fontId="2" fillId="10" borderId="37" xfId="0" applyNumberFormat="1" applyFont="1" applyFill="1" applyBorder="1" applyAlignment="1">
      <x:alignment horizontal="center" vertical="center" wrapText="1"/>
    </x:xf>
    <x:xf numFmtId="0" fontId="0" fillId="0" borderId="66" xfId="0" applyNumberFormat="1" applyFont="1" applyFill="1" applyBorder="1" applyAlignment="1">
      <x:alignment vertical="top" wrapText="1"/>
    </x:xf>
    <x:xf numFmtId="0" fontId="0" fillId="0" borderId="67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66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0" fontId="0" fillId="0" borderId="67" xfId="0" applyNumberFormat="1" applyFont="1" applyFill="1" applyBorder="1" applyAlignment="1">
      <x:alignment vertical="center" wrapText="1"/>
    </x:xf>
    <x:xf numFmtId="201" fontId="0" fillId="0" xfId="0" applyNumberFormat="1" applyFont="1" applyFill="1" applyBorder="0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23" borderId="0" xfId="0" applyNumberFormat="1" applyFont="1" applyFill="1" applyBorder="1" applyAlignment="1">
      <x:alignment horizontal="center" vertic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left" vertical="center"/>
    </x:xf>
    <x:xf numFmtId="0" fontId="5" fillId="15" borderId="2" xfId="0" applyNumberFormat="1" applyFont="1" applyFill="1" applyBorder="1" applyAlignment="1">
      <x:alignment horizontal="center" vertical="center" wrapText="1"/>
    </x:xf>
    <x:xf numFmtId="0" fontId="5" fillId="15" borderId="3" xfId="0" applyNumberFormat="1" applyFont="1" applyFill="1" applyBorder="1" applyAlignment="1">
      <x:alignment horizontal="center" vertical="center" wrapText="1"/>
    </x:xf>
    <x:xf numFmtId="0" fontId="2" fillId="15" borderId="2" xfId="0" applyNumberFormat="1" applyFont="1" applyFill="1" applyBorder="1" applyAlignment="1">
      <x:alignment horizontal="center" vertical="center" wrapText="1"/>
    </x:xf>
    <x:xf numFmtId="0" fontId="2" fillId="15" borderId="3" xfId="0" applyNumberFormat="1" applyFont="1" applyFill="1" applyBorder="1" applyAlignment="1">
      <x:alignment horizontal="center" vertical="center" wrapText="1"/>
    </x:xf>
    <x:xf numFmtId="0" fontId="4" fillId="22" borderId="24" xfId="0" applyNumberFormat="1" applyFont="1" applyFill="1" applyBorder="1" applyAlignment="1">
      <x:alignment wrapText="1"/>
    </x:xf>
    <x:xf numFmtId="0" fontId="4" fillId="22" borderId="25" xfId="0" applyNumberFormat="1" applyFont="1" applyFill="1" applyBorder="1" applyAlignment="1">
      <x:alignment wrapText="1"/>
    </x:xf>
    <x:xf numFmtId="0" fontId="4" fillId="22" borderId="27" xfId="0" applyNumberFormat="1" applyFont="1" applyFill="1" applyBorder="1" applyAlignment="1">
      <x:alignment wrapText="1"/>
    </x:xf>
    <x:xf numFmtId="0" fontId="0" fillId="22" borderId="25" xfId="0" applyNumberFormat="1" applyFont="1" applyFill="1" applyBorder="1" applyAlignment="1">
      <x:alignment wrapText="1"/>
    </x:xf>
    <x:xf numFmtId="0" fontId="0" fillId="22" borderId="26" xfId="0" applyNumberFormat="1" applyFont="1" applyFill="1" applyBorder="1" applyAlignment="1">
      <x:alignment wrapText="1"/>
    </x:xf>
    <x:xf numFmtId="0" fontId="21" fillId="22" borderId="24" xfId="0" applyNumberFormat="1" applyFont="1" applyFill="1" applyBorder="1" applyAlignment="1">
      <x:alignment wrapText="1"/>
    </x:xf>
    <x:xf numFmtId="0" fontId="21" fillId="22" borderId="25" xfId="0" applyNumberFormat="1" applyFont="1" applyFill="1" applyBorder="1" applyAlignment="1">
      <x:alignment wrapText="1"/>
    </x:xf>
    <x:xf numFmtId="0" fontId="21" fillId="22" borderId="27" xfId="0" applyNumberFormat="1" applyFont="1" applyFill="1" applyBorder="1" applyAlignment="1">
      <x:alignment wrapText="1"/>
    </x:xf>
    <x:xf numFmtId="0" fontId="21" fillId="22" borderId="26" xfId="0" applyNumberFormat="1" applyFont="1" applyFill="1" applyBorder="1" applyAlignment="1">
      <x:alignment wrapText="1"/>
    </x:xf>
    <x:xf numFmtId="0" fontId="21" fillId="22" borderId="62" xfId="0" applyNumberFormat="1" applyFont="1" applyFill="1" applyBorder="1" applyAlignment="1">
      <x:alignment wrapText="1"/>
    </x:xf>
    <x:xf numFmtId="0" fontId="21" fillId="22" borderId="63" xfId="0" applyNumberFormat="1" applyFont="1" applyFill="1" applyBorder="1" applyAlignment="1">
      <x:alignment wrapText="1"/>
    </x:xf>
    <x:xf numFmtId="0" fontId="21" fillId="22" borderId="68" xfId="0" applyNumberFormat="1" applyFont="1" applyFill="1" applyBorder="1" applyAlignment="1">
      <x:alignment wrapText="1"/>
    </x:xf>
    <x:xf numFmtId="0" fontId="21" fillId="22" borderId="64" xfId="0" applyNumberFormat="1" applyFont="1" applyFill="1" applyBorder="1" applyAlignment="1">
      <x:alignment wrapText="1"/>
    </x:xf>
    <x:xf numFmtId="201" fontId="0" fillId="0" borderId="42" xfId="0" applyNumberFormat="1" applyFont="1" applyFill="1" applyBorder="1" applyAlignment="1">
      <x:alignment vertical="top" wrapText="1"/>
    </x:xf>
    <x:xf numFmtId="0" fontId="0" fillId="0" borderId="69" xfId="0" applyNumberFormat="1" applyFont="1" applyFill="1" applyBorder="1" applyAlignment="1">
      <x:alignment vertical="top" wrapText="1"/>
    </x:xf>
    <x:xf numFmtId="0" fontId="0" fillId="0" borderId="70" xfId="0" applyNumberFormat="1" applyFont="1" applyFill="1" applyBorder="1" applyAlignment="1">
      <x:alignment vertical="top" wrapText="1"/>
    </x:xf>
    <x:xf numFmtId="201" fontId="0" fillId="0" borderId="42" xfId="0" applyNumberFormat="1" applyFont="1" applyFill="1" applyBorder="1" applyAlignment="1">
      <x:alignment vertical="center" wrapText="1"/>
    </x:xf>
    <x:xf numFmtId="0" fontId="0" fillId="0" borderId="69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70" xfId="0" applyNumberFormat="1" applyFont="1" applyFill="1" applyBorder="1" applyAlignment="1">
      <x:alignment vertical="center" wrapText="1"/>
    </x:xf>
    <x:xf numFmtId="0" fontId="0" fillId="16" borderId="35" xfId="0" applyNumberFormat="1" applyFont="1" applyFill="1" applyBorder="1" applyAlignment="1">
      <x:alignment vertical="center" wrapText="1"/>
    </x:xf>
    <x:xf numFmtId="201" fontId="0" fillId="16" borderId="42" xfId="0" applyNumberFormat="1" applyFont="1" applyFill="1" applyBorder="1" applyAlignment="1">
      <x:alignment vertical="center" wrapText="1"/>
    </x:xf>
    <x:xf numFmtId="0" fontId="0" fillId="16" borderId="42" xfId="0" applyNumberFormat="1" applyFont="1" applyFill="1" applyBorder="1" applyAlignment="1">
      <x:alignment vertical="center" wrapText="1"/>
    </x:xf>
    <x:xf numFmtId="0" fontId="0" fillId="16" borderId="37" xfId="0" applyNumberFormat="1" applyFont="1" applyFill="1" applyBorder="1" applyAlignment="1">
      <x:alignment vertical="center" wrapText="1"/>
    </x:xf>
    <x:xf numFmtId="0" fontId="0" fillId="18" borderId="43" xfId="0" applyNumberFormat="1" applyFont="1" applyFill="1" applyBorder="1" applyAlignment="1">
      <x:alignment vertical="center" wrapText="1"/>
    </x:xf>
    <x:xf numFmtId="201" fontId="0" fillId="18" xfId="0" applyNumberFormat="1" applyFont="1" applyFill="1" applyBorder="0" applyAlignment="1">
      <x:alignment vertical="center" wrapText="1"/>
    </x:xf>
    <x:xf numFmtId="0" fontId="0" fillId="18" xfId="0" applyNumberFormat="1" applyFont="1" applyFill="1" applyBorder="0" applyAlignment="1">
      <x:alignment vertical="center" wrapText="1"/>
    </x:xf>
    <x:xf numFmtId="0" fontId="0" fillId="18" borderId="44" xfId="0" applyNumberFormat="1" applyFont="1" applyFill="1" applyBorder="1" applyAlignment="1">
      <x:alignment vertical="center" wrapText="1"/>
    </x:xf>
    <x:xf numFmtId="0" fontId="0" fillId="20" borderId="69" xfId="0" applyNumberFormat="1" applyFont="1" applyFill="1" applyBorder="1" applyAlignment="1">
      <x:alignment vertical="center" wrapText="1"/>
    </x:xf>
    <x:xf numFmtId="201" fontId="0" fillId="20" borderId="15" xfId="0" applyNumberFormat="1" applyFont="1" applyFill="1" applyBorder="1" applyAlignment="1">
      <x:alignment vertical="center" wrapText="1"/>
    </x:xf>
    <x:xf numFmtId="0" fontId="0" fillId="20" borderId="15" xfId="0" applyNumberFormat="1" applyFont="1" applyFill="1" applyBorder="1" applyAlignment="1">
      <x:alignment vertical="center" wrapText="1"/>
    </x:xf>
    <x:xf numFmtId="0" fontId="0" fillId="20" borderId="70" xfId="0" applyNumberFormat="1" applyFont="1" applyFill="1" applyBorder="1" applyAlignment="1">
      <x:alignment vertical="center" wrapText="1"/>
    </x:xf>
    <x:xf numFmtId="0" fontId="0" fillId="16" borderId="43" xfId="0" applyNumberFormat="1" applyFont="1" applyFill="1" applyBorder="1" applyAlignment="1">
      <x:alignment vertical="center" wrapText="1"/>
    </x:xf>
    <x:xf numFmtId="201" fontId="0" fillId="16" xfId="0" applyNumberFormat="1" applyFont="1" applyFill="1" applyBorder="0" applyAlignment="1">
      <x:alignment vertical="center" wrapText="1"/>
    </x:xf>
    <x:xf numFmtId="0" fontId="0" fillId="16" xfId="0" applyNumberFormat="1" applyFont="1" applyFill="1" applyBorder="0" applyAlignment="1">
      <x:alignment vertical="center" wrapText="1"/>
    </x:xf>
    <x:xf numFmtId="0" fontId="0" fillId="16" borderId="44" xfId="0" applyNumberFormat="1" applyFont="1" applyFill="1" applyBorder="1" applyAlignment="1">
      <x:alignment vertical="center" wrapText="1"/>
    </x:xf>
    <x:xf numFmtId="0" fontId="0" fillId="20" borderId="43" xfId="0" applyNumberFormat="1" applyFont="1" applyFill="1" applyBorder="1" applyAlignment="1">
      <x:alignment vertical="center" wrapText="1"/>
    </x:xf>
    <x:xf numFmtId="0" fontId="0" fillId="20" xfId="0" applyNumberFormat="1" applyFont="1" applyFill="1" applyBorder="0" applyAlignment="1">
      <x:alignment vertical="center" wrapText="1"/>
    </x:xf>
    <x:xf numFmtId="0" fontId="0" fillId="20" borderId="44" xfId="0" applyNumberFormat="1" applyFont="1" applyFill="1" applyBorder="1" applyAlignment="1">
      <x:alignment vertical="center" wrapText="1"/>
    </x:xf>
    <x:xf numFmtId="0" fontId="0" fillId="11" borderId="43" xfId="0" applyNumberFormat="1" applyFont="1" applyFill="1" applyBorder="1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0" fontId="0" fillId="11" borderId="44" xfId="0" applyNumberFormat="1" applyFont="1" applyFill="1" applyBorder="1" applyAlignment="1">
      <x:alignment vertical="center" wrapText="1"/>
    </x:xf>
    <x:xf numFmtId="0" fontId="0" fillId="11" borderId="38" xfId="0" applyNumberFormat="1" applyFont="1" applyFill="1" applyBorder="1" applyAlignment="1">
      <x:alignment vertical="center" wrapText="1"/>
    </x:xf>
    <x:xf numFmtId="0" fontId="0" fillId="11" borderId="45" xfId="0" applyNumberFormat="1" applyFont="1" applyFill="1" applyBorder="1" applyAlignment="1">
      <x:alignment vertical="center" wrapText="1"/>
    </x:xf>
    <x:xf numFmtId="0" fontId="0" fillId="11" borderId="40" xfId="0" applyNumberFormat="1" applyFont="1" applyFill="1" applyBorder="1" applyAlignment="1">
      <x:alignment vertical="center" wrapText="1"/>
    </x:xf>
    <x:xf numFmtId="0" fontId="2" fillId="3" borderId="43" xfId="0" applyNumberFormat="1" applyFont="1" applyFill="1" applyBorder="1" applyAlignment="1">
      <x:alignment horizontal="center" vertical="top" wrapText="1"/>
    </x:xf>
    <x:xf numFmtId="0" fontId="2" fillId="3" borderId="44" xfId="0" applyNumberFormat="1" applyFont="1" applyFill="1" applyBorder="1" applyAlignment="1">
      <x:alignment horizontal="center" vertical="top" wrapText="1"/>
    </x:xf>
    <x:xf numFmtId="0" fontId="2" fillId="3" borderId="43" xfId="0" applyNumberFormat="1" applyFont="1" applyFill="1" applyBorder="1" applyAlignment="1">
      <x:alignment horizontal="center" vertical="center" wrapText="1"/>
    </x:xf>
    <x:xf numFmtId="0" fontId="2" fillId="3" borderId="44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left" vertical="center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6" fillId="19" borderId="0" xfId="0" applyNumberFormat="1" applyFont="1" applyFill="1" applyBorder="1" applyAlignment="1">
      <x:alignment horizontal="left" vertical="center"/>
    </x:xf>
    <x:xf numFmtId="0" fontId="5" fillId="19" borderId="0" xfId="0" applyNumberFormat="1" applyFont="1" applyFill="1" applyBorder="1" applyAlignment="1">
      <x:alignment horizontal="center" vertical="center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13" borderId="14" xfId="0" applyNumberFormat="1" applyFont="1" applyFill="1" applyBorder="1" applyAlignment="1">
      <x:alignment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0" fillId="13" xfId="0" applyNumberFormat="1" applyFont="1" applyFill="1" applyBorder="0" applyAlignment="1">
      <x:alignment vertical="top" wrapText="1"/>
    </x:xf>
    <x:xf numFmtId="0" fontId="0" fillId="18" borderId="4" xfId="0" applyNumberFormat="1" applyFont="1" applyFill="1" applyBorder="1" applyAlignment="1">
      <x:alignment vertical="top" wrapText="1"/>
    </x:xf>
    <x:xf numFmtId="0" fontId="0" fillId="18" xfId="0" applyNumberFormat="1" applyFont="1" applyFill="1" applyBorder="0" applyAlignment="1">
      <x:alignment vertical="top" wrapText="1"/>
    </x:xf>
    <x:xf numFmtId="0" fontId="0" fillId="24" borderId="4" xfId="0" applyNumberFormat="1" applyFont="1" applyFill="1" applyBorder="1" applyAlignment="1">
      <x:alignment vertical="top" wrapText="1"/>
    </x:xf>
    <x:xf numFmtId="0" fontId="0" fillId="24" xfId="0" applyNumberFormat="1" applyFont="1" applyFill="1" applyBorder="0" applyAlignment="1">
      <x:alignment vertical="top" wrapText="1"/>
    </x:xf>
    <x:xf numFmtId="0" fontId="0" fillId="24" borderId="5" xfId="0" applyNumberFormat="1" applyFont="1" applyFill="1" applyBorder="1" applyAlignment="1">
      <x:alignment vertical="top" wrapText="1"/>
    </x:xf>
    <x:xf numFmtId="0" fontId="0" fillId="20" borderId="4" xfId="0" applyNumberFormat="1" applyFont="1" applyFill="1" applyBorder="1" applyAlignment="1">
      <x:alignment vertical="top" wrapText="1"/>
    </x:xf>
    <x:xf numFmtId="0" fontId="0" fillId="20" xfId="0" applyNumberFormat="1" applyFont="1" applyFill="1" applyBorder="0" applyAlignment="1">
      <x:alignment vertical="top" wrapText="1"/>
    </x:xf>
    <x:xf numFmtId="0" fontId="0" fillId="20" borderId="5" xfId="0" applyNumberFormat="1" applyFont="1" applyFill="1" applyBorder="1" applyAlignment="1">
      <x:alignment vertical="top" wrapText="1"/>
    </x:xf>
    <x:xf numFmtId="0" fontId="0" fillId="20" borderId="6" xfId="0" applyNumberFormat="1" applyFont="1" applyFill="1" applyBorder="1" applyAlignment="1">
      <x:alignment vertical="top" wrapText="1"/>
    </x:xf>
    <x:xf numFmtId="0" fontId="0" fillId="20" borderId="15" xfId="0" applyNumberFormat="1" applyFont="1" applyFill="1" applyBorder="1" applyAlignment="1">
      <x:alignment vertical="top" wrapText="1"/>
    </x:xf>
    <x:xf numFmtId="0" fontId="0" fillId="20" borderId="7" xfId="0" applyNumberFormat="1" applyFont="1" applyFill="1" applyBorder="1" applyAlignment="1">
      <x:alignment vertical="top" wrapText="1"/>
    </x:xf>
    <x:xf numFmtId="0" fontId="2" fillId="26" borderId="0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horizontal="left" vertical="center" wrapText="1"/>
    </x:xf>
    <x:xf numFmtId="0" fontId="1" fillId="10" borderId="14" xfId="0" applyNumberFormat="1" applyFont="1" applyFill="1" applyBorder="1" applyAlignment="1">
      <x:alignment horizontal="left" vertical="center" wrapText="1"/>
    </x:xf>
    <x:xf numFmtId="0" fontId="1" fillId="10" borderId="3" xfId="0" applyNumberFormat="1" applyFont="1" applyFill="1" applyBorder="1" applyAlignment="1">
      <x:alignment horizontal="left" vertical="center" wrapText="1"/>
    </x:xf>
    <x:xf numFmtId="0" fontId="22" fillId="10" borderId="2" xfId="0" applyNumberFormat="1" applyFont="1" applyFill="1" applyBorder="1" applyAlignment="1">
      <x:alignment horizontal="left" vertical="center" wrapText="1"/>
    </x:xf>
    <x:xf numFmtId="0" fontId="22" fillId="10" borderId="14" xfId="0" applyNumberFormat="1" applyFont="1" applyFill="1" applyBorder="1" applyAlignment="1">
      <x:alignment horizontal="left" vertical="center" wrapText="1"/>
    </x:xf>
    <x:xf numFmtId="0" fontId="22" fillId="10" borderId="3" xfId="0" applyNumberFormat="1" applyFont="1" applyFill="1" applyBorder="1" applyAlignment="1">
      <x:alignment horizontal="left" vertical="center" wrapText="1"/>
    </x:xf>
    <x:xf numFmtId="0" fontId="22" fillId="10" borderId="0" xfId="0" applyNumberFormat="1" applyFont="1" applyFill="1" applyBorder="1"/>
    <x:xf numFmtId="0" fontId="22" fillId="10" borderId="0" xfId="0" applyNumberFormat="1" applyFont="1" applyFill="1" applyBorder="1" applyAlignment="1">
      <x:alignment horizontal="left"/>
    </x:xf>
    <x:xf numFmtId="0" fontId="22" fillId="10" borderId="0" xfId="0" applyNumberFormat="1" applyFont="1" applyFill="1" applyBorder="1" applyAlignment="1">
      <x:alignment horizontal="left" vertical="center"/>
    </x:xf>
    <x:xf numFmtId="0" fontId="5" fillId="10" borderId="4" xfId="0" applyNumberFormat="1" applyFont="1" applyFill="1" applyBorder="1" applyAlignment="1">
      <x:alignment horizontal="center" vertical="center" wrapText="1"/>
    </x:xf>
    <x:xf numFmtId="203" fontId="10" fillId="13" borderId="35" xfId="0" applyNumberFormat="1" applyFont="1" applyFill="1" applyBorder="1" applyAlignment="1">
      <x:alignment horizontal="center" vertical="center" wrapText="1"/>
    </x:xf>
    <x:xf numFmtId="203" fontId="10" fillId="13" borderId="36" xfId="0" applyNumberFormat="1" applyFont="1" applyFill="1" applyBorder="1" applyAlignment="1">
      <x:alignment horizontal="center" vertical="center" wrapText="1"/>
    </x:xf>
    <x:xf numFmtId="203" fontId="10" fillId="13" borderId="37" xfId="0" applyNumberFormat="1" applyFont="1" applyFill="1" applyBorder="1" applyAlignment="1">
      <x:alignment horizontal="center" vertical="center" wrapText="1"/>
    </x:xf>
    <x:xf numFmtId="203" fontId="10" fillId="13" borderId="38" xfId="0" applyNumberFormat="1" applyFont="1" applyFill="1" applyBorder="1" applyAlignment="1">
      <x:alignment horizontal="center" vertical="center" wrapText="1"/>
    </x:xf>
    <x:xf numFmtId="203" fontId="10" fillId="13" borderId="39" xfId="0" applyNumberFormat="1" applyFont="1" applyFill="1" applyBorder="1" applyAlignment="1">
      <x:alignment horizontal="center" vertical="center" wrapText="1"/>
    </x:xf>
    <x:xf numFmtId="203" fontId="10" fillId="13" borderId="40" xfId="0" applyNumberFormat="1" applyFont="1" applyFill="1" applyBorder="1" applyAlignment="1">
      <x:alignment horizontal="center" vertical="center" wrapText="1"/>
    </x:xf>
    <x:xf numFmtId="0" fontId="2" fillId="12" borderId="55" xfId="0" applyNumberFormat="1" applyFont="1" applyFill="1" applyBorder="1" applyAlignment="1">
      <x:alignment horizontal="center" vertical="center" wrapText="1"/>
    </x:xf>
    <x:xf numFmtId="0" fontId="2" fillId="12" borderId="58" xfId="0" applyNumberFormat="1" applyFont="1" applyFill="1" applyBorder="1" applyAlignment="1">
      <x:alignment horizontal="center" vertical="center" wrapText="1"/>
    </x:xf>
    <x:xf numFmtId="0" fontId="2" fillId="12" borderId="56" xfId="0" applyNumberFormat="1" applyFont="1" applyFill="1" applyBorder="1" applyAlignment="1">
      <x:alignment horizontal="center" vertical="center" wrapText="1"/>
    </x:xf>
    <x:xf numFmtId="0" fontId="2" fillId="12" borderId="38" xfId="0" applyNumberFormat="1" applyFont="1" applyFill="1" applyBorder="1" applyAlignment="1">
      <x:alignment horizontal="center" vertical="center" wrapText="1"/>
    </x:xf>
    <x:xf numFmtId="0" fontId="2" fillId="12" borderId="45" xfId="0" applyNumberFormat="1" applyFont="1" applyFill="1" applyBorder="1" applyAlignment="1">
      <x:alignment horizontal="center" vertical="center" wrapText="1"/>
    </x:xf>
    <x:xf numFmtId="0" fontId="2" fillId="12" borderId="40" xfId="0" applyNumberFormat="1" applyFont="1" applyFill="1" applyBorder="1" applyAlignment="1">
      <x:alignment horizontal="center" vertical="center" wrapText="1"/>
    </x:xf>
    <x:xf numFmtId="0" fontId="2" fillId="15" borderId="55" xfId="0" applyNumberFormat="1" applyFont="1" applyFill="1" applyBorder="1" applyAlignment="1">
      <x:alignment horizontal="center" vertical="center" wrapText="1"/>
    </x:xf>
    <x:xf numFmtId="0" fontId="2" fillId="15" borderId="58" xfId="0" applyNumberFormat="1" applyFont="1" applyFill="1" applyBorder="1" applyAlignment="1">
      <x:alignment horizontal="center" vertical="center" wrapText="1"/>
    </x:xf>
    <x:xf numFmtId="0" fontId="2" fillId="15" borderId="56" xfId="0" applyNumberFormat="1" applyFont="1" applyFill="1" applyBorder="1" applyAlignment="1">
      <x:alignment horizontal="center" vertical="center" wrapText="1"/>
    </x:xf>
    <x:xf numFmtId="0" fontId="2" fillId="15" borderId="38" xfId="0" applyNumberFormat="1" applyFont="1" applyFill="1" applyBorder="1" applyAlignment="1">
      <x:alignment horizontal="center" vertical="center" wrapText="1"/>
    </x:xf>
    <x:xf numFmtId="0" fontId="2" fillId="15" borderId="45" xfId="0" applyNumberFormat="1" applyFont="1" applyFill="1" applyBorder="1" applyAlignment="1">
      <x:alignment horizontal="center" vertical="center" wrapText="1"/>
    </x:xf>
    <x:xf numFmtId="0" fontId="2" fillId="15" borderId="40" xfId="0" applyNumberFormat="1" applyFont="1" applyFill="1" applyBorder="1" applyAlignment="1">
      <x:alignment horizontal="center" vertical="center" wrapText="1"/>
    </x:xf>
    <x:xf numFmtId="0" fontId="2" fillId="17" borderId="35" xfId="0" applyNumberFormat="1" applyFont="1" applyFill="1" applyBorder="1" applyAlignment="1">
      <x:alignment horizontal="center" vertical="center" wrapText="1"/>
    </x:xf>
    <x:xf numFmtId="0" fontId="2" fillId="17" borderId="42" xfId="0" applyNumberFormat="1" applyFont="1" applyFill="1" applyBorder="1" applyAlignment="1">
      <x:alignment horizontal="center" vertical="center" wrapText="1"/>
    </x:xf>
    <x:xf numFmtId="0" fontId="2" fillId="17" borderId="37" xfId="0" applyNumberFormat="1" applyFont="1" applyFill="1" applyBorder="1" applyAlignment="1">
      <x:alignment horizontal="center" vertical="center" wrapText="1"/>
    </x:xf>
    <x:xf numFmtId="0" fontId="2" fillId="17" borderId="38" xfId="0" applyNumberFormat="1" applyFont="1" applyFill="1" applyBorder="1" applyAlignment="1">
      <x:alignment horizontal="center" vertical="center" wrapText="1"/>
    </x:xf>
    <x:xf numFmtId="0" fontId="2" fillId="17" borderId="45" xfId="0" applyNumberFormat="1" applyFont="1" applyFill="1" applyBorder="1" applyAlignment="1">
      <x:alignment horizontal="center" vertical="center" wrapText="1"/>
    </x:xf>
    <x:xf numFmtId="0" fontId="2" fillId="17" borderId="40" xfId="0" applyNumberFormat="1" applyFont="1" applyFill="1" applyBorder="1" applyAlignment="1">
      <x:alignment horizontal="center" vertical="center" wrapText="1"/>
    </x:xf>
    <x:xf numFmtId="0" fontId="2" fillId="19" borderId="35" xfId="0" applyNumberFormat="1" applyFont="1" applyFill="1" applyBorder="1" applyAlignment="1">
      <x:alignment horizontal="center" vertical="center" wrapText="1"/>
    </x:xf>
    <x:xf numFmtId="0" fontId="2" fillId="19" borderId="42" xfId="0" applyNumberFormat="1" applyFont="1" applyFill="1" applyBorder="1" applyAlignment="1">
      <x:alignment horizontal="center" vertical="center" wrapText="1"/>
    </x:xf>
    <x:xf numFmtId="0" fontId="2" fillId="19" borderId="37" xfId="0" applyNumberFormat="1" applyFont="1" applyFill="1" applyBorder="1" applyAlignment="1">
      <x:alignment horizontal="center" vertical="center" wrapText="1"/>
    </x:xf>
    <x:xf numFmtId="0" fontId="2" fillId="19" borderId="38" xfId="0" applyNumberFormat="1" applyFont="1" applyFill="1" applyBorder="1" applyAlignment="1">
      <x:alignment horizontal="center" vertical="center" wrapText="1"/>
    </x:xf>
    <x:xf numFmtId="0" fontId="2" fillId="19" borderId="45" xfId="0" applyNumberFormat="1" applyFont="1" applyFill="1" applyBorder="1" applyAlignment="1">
      <x:alignment horizontal="center" vertical="center" wrapText="1"/>
    </x:xf>
    <x:xf numFmtId="0" fontId="2" fillId="19" borderId="40" xfId="0" applyNumberFormat="1" applyFont="1" applyFill="1" applyBorder="1" applyAlignment="1">
      <x:alignment horizontal="center" vertical="center" wrapText="1"/>
    </x:xf>
    <x:xf numFmtId="0" fontId="2" fillId="23" borderId="35" xfId="0" applyNumberFormat="1" applyFont="1" applyFill="1" applyBorder="1" applyAlignment="1">
      <x:alignment horizontal="center" vertical="center" wrapText="1"/>
    </x:xf>
    <x:xf numFmtId="0" fontId="2" fillId="23" borderId="42" xfId="0" applyNumberFormat="1" applyFont="1" applyFill="1" applyBorder="1" applyAlignment="1">
      <x:alignment horizontal="center" vertical="center" wrapText="1"/>
    </x:xf>
    <x:xf numFmtId="0" fontId="2" fillId="23" borderId="37" xfId="0" applyNumberFormat="1" applyFont="1" applyFill="1" applyBorder="1" applyAlignment="1">
      <x:alignment horizontal="center" vertical="center" wrapText="1"/>
    </x:xf>
    <x:xf numFmtId="0" fontId="2" fillId="23" borderId="38" xfId="0" applyNumberFormat="1" applyFont="1" applyFill="1" applyBorder="1" applyAlignment="1">
      <x:alignment horizontal="center" vertical="center" wrapText="1"/>
    </x:xf>
    <x:xf numFmtId="0" fontId="2" fillId="23" borderId="45" xfId="0" applyNumberFormat="1" applyFont="1" applyFill="1" applyBorder="1" applyAlignment="1">
      <x:alignment horizontal="center" vertical="center" wrapText="1"/>
    </x:xf>
    <x:xf numFmtId="0" fontId="2" fillId="23" borderId="40" xfId="0" applyNumberFormat="1" applyFont="1" applyFill="1" applyBorder="1" applyAlignment="1">
      <x:alignment horizontal="center" vertical="center" wrapText="1"/>
    </x:xf>
    <x:xf numFmtId="0" fontId="2" fillId="15" borderId="35" xfId="0" applyNumberFormat="1" applyFont="1" applyFill="1" applyBorder="1" applyAlignment="1">
      <x:alignment horizontal="center" vertical="center" wrapText="1"/>
    </x:xf>
    <x:xf numFmtId="0" fontId="2" fillId="15" borderId="42" xfId="0" applyNumberFormat="1" applyFont="1" applyFill="1" applyBorder="1" applyAlignment="1">
      <x:alignment horizontal="center" vertical="center" wrapText="1"/>
    </x:xf>
    <x:xf numFmtId="0" fontId="2" fillId="15" borderId="37" xfId="0" applyNumberFormat="1" applyFont="1" applyFill="1" applyBorder="1" applyAlignment="1">
      <x:alignment horizontal="center" vertical="center" wrapText="1"/>
    </x:xf>
    <x:xf numFmtId="0" fontId="2" fillId="26" borderId="35" xfId="0" applyNumberFormat="1" applyFont="1" applyFill="1" applyBorder="1" applyAlignment="1">
      <x:alignment horizontal="center" vertical="center" wrapText="1"/>
    </x:xf>
    <x:xf numFmtId="0" fontId="2" fillId="26" borderId="42" xfId="0" applyNumberFormat="1" applyFont="1" applyFill="1" applyBorder="1" applyAlignment="1">
      <x:alignment horizontal="center" vertical="center" wrapText="1"/>
    </x:xf>
    <x:xf numFmtId="0" fontId="2" fillId="26" borderId="37" xfId="0" applyNumberFormat="1" applyFont="1" applyFill="1" applyBorder="1" applyAlignment="1">
      <x:alignment horizontal="center" vertical="center" wrapText="1"/>
    </x:xf>
    <x:xf numFmtId="0" fontId="2" fillId="26" borderId="38" xfId="0" applyNumberFormat="1" applyFont="1" applyFill="1" applyBorder="1" applyAlignment="1">
      <x:alignment horizontal="center" vertical="center" wrapText="1"/>
    </x:xf>
    <x:xf numFmtId="0" fontId="2" fillId="26" borderId="45" xfId="0" applyNumberFormat="1" applyFont="1" applyFill="1" applyBorder="1" applyAlignment="1">
      <x:alignment horizontal="center" vertical="center" wrapText="1"/>
    </x:xf>
    <x:xf numFmtId="0" fontId="2" fillId="26" borderId="40" xfId="0" applyNumberFormat="1" applyFont="1" applyFill="1" applyBorder="1" applyAlignment="1">
      <x:alignment horizontal="center" vertical="center" wrapText="1"/>
    </x:xf>
    <x:xf numFmtId="0" fontId="0" fillId="0" borderId="35" xfId="0" applyNumberFormat="1" applyFont="1" applyFill="1" applyBorder="1"/>
    <x:xf numFmtId="0" fontId="0" fillId="0" borderId="42" xfId="0" applyNumberFormat="1" applyFont="1" applyFill="1" applyBorder="1"/>
    <x:xf numFmtId="0" fontId="0" fillId="0" borderId="37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8" xfId="0" applyNumberFormat="1" applyFont="1" applyFill="1" applyBorder="1"/>
    <x:xf numFmtId="0" fontId="0" fillId="0" borderId="45" xfId="0" applyNumberFormat="1" applyFont="1" applyFill="1" applyBorder="1"/>
    <x:xf numFmtId="0" fontId="0" fillId="0" borderId="40" xfId="0" applyNumberFormat="1" applyFont="1" applyFill="1" applyBorder="1"/>
    <x:xf numFmtId="0" fontId="0" fillId="0" borderId="35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10" fillId="16" borderId="32" xfId="0" applyNumberFormat="1" applyFont="1" applyFill="1" applyBorder="1" applyAlignment="1">
      <x:alignment horizontal="center" vertical="center" wrapText="1"/>
    </x:xf>
    <x:xf numFmtId="0" fontId="10" fillId="16" borderId="34" xfId="0" applyNumberFormat="1" applyFont="1" applyFill="1" applyBorder="1" applyAlignment="1">
      <x:alignment horizontal="center" vertical="center" wrapText="1"/>
    </x:xf>
    <x:xf numFmtId="0" fontId="10" fillId="16" borderId="47" xfId="0" applyNumberFormat="1" applyFont="1" applyFill="1" applyBorder="1" applyAlignment="1">
      <x:alignment horizontal="center" vertical="center" wrapText="1"/>
    </x:xf>
    <x:xf numFmtId="0" fontId="10" fillId="13" borderId="32" xfId="0" applyNumberFormat="1" applyFont="1" applyFill="1" applyBorder="1" applyAlignment="1">
      <x:alignment horizontal="center" vertical="center" wrapText="1"/>
    </x:xf>
    <x:xf numFmtId="0" fontId="10" fillId="13" borderId="34" xfId="0" applyNumberFormat="1" applyFont="1" applyFill="1" applyBorder="1" applyAlignment="1">
      <x:alignment horizontal="center" vertical="center" wrapText="1"/>
    </x:xf>
    <x:xf numFmtId="0" fontId="10" fillId="13" borderId="46" xfId="0" applyNumberFormat="1" applyFont="1" applyFill="1" applyBorder="1" applyAlignment="1">
      <x:alignment horizontal="center" vertical="center" wrapText="1"/>
    </x:xf>
    <x:xf numFmtId="0" fontId="10" fillId="24" borderId="32" xfId="0" applyNumberFormat="1" applyFont="1" applyFill="1" applyBorder="1" applyAlignment="1">
      <x:alignment horizontal="center" vertical="center" wrapText="1"/>
    </x:xf>
    <x:xf numFmtId="0" fontId="10" fillId="24" borderId="34" xfId="0" applyNumberFormat="1" applyFont="1" applyFill="1" applyBorder="1" applyAlignment="1">
      <x:alignment horizontal="center" vertical="center" wrapText="1"/>
    </x:xf>
    <x:xf numFmtId="0" fontId="10" fillId="24" borderId="41" xfId="0" applyNumberFormat="1" applyFont="1" applyFill="1" applyBorder="1" applyAlignment="1">
      <x:alignment horizontal="center" vertical="center" wrapText="1"/>
    </x:xf>
    <x:xf numFmtId="0" fontId="10" fillId="18" borderId="32" xfId="0" applyNumberFormat="1" applyFont="1" applyFill="1" applyBorder="1" applyAlignment="1">
      <x:alignment horizontal="center" vertical="center" wrapText="1"/>
    </x:xf>
    <x:xf numFmtId="0" fontId="10" fillId="18" borderId="41" xfId="0" applyNumberFormat="1" applyFont="1" applyFill="1" applyBorder="1" applyAlignment="1">
      <x:alignment horizontal="center" vertical="center" wrapText="1"/>
    </x:xf>
    <x:xf numFmtId="0" fontId="10" fillId="18" borderId="34" xfId="0" applyNumberFormat="1" applyFont="1" applyFill="1" applyBorder="1" applyAlignment="1">
      <x:alignment horizontal="center" vertical="center" wrapText="1"/>
    </x:xf>
    <x:xf numFmtId="0" fontId="10" fillId="13" borderId="41" xfId="0" applyNumberFormat="1" applyFont="1" applyFill="1" applyBorder="1" applyAlignment="1">
      <x:alignment horizontal="center" vertical="center" wrapText="1"/>
    </x:xf>
    <x:xf numFmtId="0" fontId="10" fillId="16" borderId="41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2" fillId="14" borderId="32" xfId="0" applyNumberFormat="1" applyFont="1" applyFill="1" applyBorder="1" applyAlignment="1">
      <x:alignment horizontal="center" vertical="center" wrapText="1"/>
    </x:xf>
    <x:xf numFmtId="0" fontId="2" fillId="14" borderId="34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5" fillId="29" borderId="0" xfId="0" applyNumberFormat="1" applyFont="1" applyFill="1" applyBorder="1"/>
    <x:xf numFmtId="0" fontId="5" fillId="29" borderId="0" xfId="0" applyNumberFormat="1" applyFont="1" applyFill="1" applyBorder="1" applyAlignment="1">
      <x:alignment horizontal="left"/>
    </x:xf>
    <x:xf numFmtId="0" fontId="5" fillId="29" borderId="0" xfId="0" applyNumberFormat="1" applyFont="1" applyFill="1" applyBorder="1" applyAlignment="1">
      <x:alignment horizontal="left" vertical="center"/>
    </x:xf>
    <x:xf numFmtId="0" fontId="0" fillId="30" borderId="37" xfId="0" applyNumberFormat="1" applyFont="1" applyFill="1" applyBorder="1" applyAlignment="1">
      <x:alignment vertical="top" wrapText="1"/>
    </x:xf>
    <x:xf numFmtId="0" fontId="0" fillId="30" borderId="44" xfId="0" applyNumberFormat="1" applyFont="1" applyFill="1" applyBorder="1" applyAlignment="1">
      <x:alignment vertical="top" wrapText="1"/>
    </x:xf>
    <x:xf numFmtId="0" fontId="19" fillId="30" borderId="37" xfId="0" applyNumberFormat="1" applyFont="1" applyFill="1" applyBorder="1" applyAlignment="1">
      <x:alignment vertical="top" wrapText="1"/>
    </x:xf>
    <x:xf numFmtId="0" fontId="19" fillId="30" borderId="44" xfId="0" applyNumberFormat="1" applyFont="1" applyFill="1" applyBorder="1" applyAlignment="1">
      <x:alignment vertical="top" wrapText="1"/>
    </x:xf>
    <x:xf numFmtId="0" fontId="19" fillId="30" borderId="62" xfId="0" applyNumberFormat="1" applyFont="1" applyFill="1" applyBorder="1" applyAlignment="1">
      <x:alignment vertical="top" wrapText="1"/>
    </x:xf>
    <x:xf numFmtId="0" fontId="19" fillId="30" borderId="63" xfId="0" applyNumberFormat="1" applyFont="1" applyFill="1" applyBorder="1" applyAlignment="1">
      <x:alignment vertical="top" wrapText="1"/>
    </x:xf>
    <x:xf numFmtId="0" fontId="19" fillId="30" borderId="64" xfId="0" applyNumberFormat="1" applyFont="1" applyFill="1" applyBorder="1" applyAlignment="1">
      <x:alignment vertical="top" wrapText="1"/>
    </x:xf>
    <x:xf numFmtId="0" fontId="0" fillId="31" borderId="0" xfId="0" applyNumberFormat="1" applyFont="1" applyFill="1" applyBorder="1"/>
    <x:xf numFmtId="0" fontId="18" fillId="31" borderId="0" xfId="0" applyNumberFormat="1" applyFont="1" applyFill="1" applyBorder="1"/>
    <x:xf numFmtId="0" fontId="18" fillId="31" borderId="32" xfId="0" applyNumberFormat="1" applyFont="1" applyFill="1" applyBorder="1"/>
    <x:xf numFmtId="0" fontId="18" fillId="31" borderId="41" xfId="0" applyNumberFormat="1" applyFont="1" applyFill="1" applyBorder="1"/>
    <x:xf numFmtId="0" fontId="18" fillId="31" borderId="34" xfId="0" applyNumberFormat="1" applyFont="1" applyFill="1" applyBorder="1"/>
    <x:xf numFmtId="0" fontId="18" fillId="31" borderId="32" xfId="0" applyNumberFormat="1" applyFont="1" applyFill="1" applyBorder="1" applyAlignment="1">
      <x:alignment wrapText="1"/>
    </x:xf>
    <x:xf numFmtId="0" fontId="18" fillId="31" borderId="41" xfId="0" applyNumberFormat="1" applyFont="1" applyFill="1" applyBorder="1" applyAlignment="1">
      <x:alignment wrapText="1"/>
    </x:xf>
    <x:xf numFmtId="0" fontId="18" fillId="31" borderId="34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5" fillId="32" borderId="0" xfId="0" applyNumberFormat="1" applyFont="1" applyFill="1" applyBorder="1"/>
    <x:xf numFmtId="0" fontId="5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horizontal="center" wrapText="1"/>
    </x:xf>
    <x:xf numFmtId="0" fontId="5" fillId="32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23" fillId="30" borderId="0" xfId="0" applyNumberFormat="1" applyFont="1" applyFill="1" applyBorder="1"/>
    <x:xf numFmtId="0" fontId="23" fillId="30" borderId="32" xfId="0" applyNumberFormat="1" applyFont="1" applyFill="1" applyBorder="1"/>
    <x:xf numFmtId="0" fontId="23" fillId="30" borderId="41" xfId="0" applyNumberFormat="1" applyFont="1" applyFill="1" applyBorder="1"/>
    <x:xf numFmtId="0" fontId="23" fillId="30" borderId="34" xfId="0" applyNumberFormat="1" applyFont="1" applyFill="1" applyBorder="1"/>
    <x:xf numFmtId="0" fontId="23" fillId="30" borderId="32" xfId="0" applyNumberFormat="1" applyFont="1" applyFill="1" applyBorder="1" applyAlignment="1">
      <x:alignment wrapText="1"/>
    </x:xf>
    <x:xf numFmtId="0" fontId="23" fillId="30" borderId="41" xfId="0" applyNumberFormat="1" applyFont="1" applyFill="1" applyBorder="1" applyAlignment="1">
      <x:alignment wrapText="1"/>
    </x:xf>
    <x:xf numFmtId="0" fontId="23" fillId="30" borderId="34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6" fillId="33" borderId="0" xfId="0" applyNumberFormat="1" applyFont="1" applyFill="1" applyBorder="1"/>
    <x:xf numFmtId="0" fontId="16" fillId="33" borderId="32" xfId="0" applyNumberFormat="1" applyFont="1" applyFill="1" applyBorder="1"/>
    <x:xf numFmtId="0" fontId="16" fillId="33" borderId="41" xfId="0" applyNumberFormat="1" applyFont="1" applyFill="1" applyBorder="1"/>
    <x:xf numFmtId="0" fontId="16" fillId="33" borderId="34" xfId="0" applyNumberFormat="1" applyFont="1" applyFill="1" applyBorder="1"/>
    <x:xf numFmtId="0" fontId="2" fillId="12" borderId="35" xfId="0" applyNumberFormat="1" applyFont="1" applyFill="1" applyBorder="1" applyAlignment="1">
      <x:alignment horizontal="center" vertical="center" wrapText="1"/>
    </x:xf>
    <x:xf numFmtId="0" fontId="2" fillId="12" borderId="37" xfId="0" applyNumberFormat="1" applyFont="1" applyFill="1" applyBorder="1" applyAlignment="1">
      <x:alignment horizontal="center" vertical="center" wrapText="1"/>
    </x:xf>
    <x:xf numFmtId="0" fontId="2" fillId="12" borderId="35" xfId="0" applyNumberFormat="1" applyFont="1" applyFill="1" applyBorder="1" applyAlignment="1">
      <x:alignment horizontal="center" vertical="top" wrapText="1"/>
    </x:xf>
    <x:xf numFmtId="0" fontId="2" fillId="12" borderId="37" xfId="0" applyNumberFormat="1" applyFont="1" applyFill="1" applyBorder="1" applyAlignment="1">
      <x:alignment horizontal="center" vertical="top" wrapText="1"/>
    </x:xf>
    <x:xf numFmtId="0" fontId="21" fillId="22" borderId="62" xfId="0" applyNumberFormat="1" applyFont="1" applyFill="1" applyBorder="1" applyAlignment="1">
      <x:alignment vertical="top" wrapText="1"/>
    </x:xf>
    <x:xf numFmtId="0" fontId="21" fillId="22" borderId="63" xfId="0" applyNumberFormat="1" applyFont="1" applyFill="1" applyBorder="1" applyAlignment="1">
      <x:alignment vertical="top" wrapText="1"/>
    </x:xf>
    <x:xf numFmtId="0" fontId="21" fillId="22" borderId="68" xfId="0" applyNumberFormat="1" applyFont="1" applyFill="1" applyBorder="1" applyAlignment="1">
      <x:alignment vertical="top" wrapText="1"/>
    </x:xf>
    <x:xf numFmtId="0" fontId="21" fillId="22" borderId="64" xfId="0" applyNumberFormat="1" applyFont="1" applyFill="1" applyBorder="1" applyAlignment="1">
      <x:alignment vertical="top" wrapText="1"/>
    </x:xf>
    <x:xf numFmtId="0" fontId="21" fillId="30" borderId="63" xfId="0" applyNumberFormat="1" applyFont="1" applyFill="1" applyBorder="1" applyAlignment="1">
      <x:alignment vertical="top" wrapText="1"/>
    </x:xf>
    <x:xf numFmtId="0" fontId="21" fillId="30" borderId="71" xfId="0" applyNumberFormat="1" applyFont="1" applyFill="1" applyBorder="1" applyAlignment="1">
      <x:alignment vertical="top" wrapText="1"/>
    </x:xf>
    <x:xf numFmtId="0" fontId="21" fillId="34" borderId="62" xfId="0" applyNumberFormat="1" applyFont="1" applyFill="1" applyBorder="1" applyAlignment="1">
      <x:alignment vertical="top" wrapText="1"/>
    </x:xf>
    <x:xf numFmtId="0" fontId="14" fillId="34" borderId="62" xfId="0" applyNumberFormat="1" applyFont="1" applyFill="1" applyBorder="1" applyAlignment="1">
      <x:alignment vertical="top" wrapText="1"/>
    </x:xf>
    <x:xf numFmtId="0" fontId="14" fillId="34" borderId="71" xfId="0" applyNumberFormat="1" applyFont="1" applyFill="1" applyBorder="1" applyAlignment="1">
      <x:alignment vertical="top" wrapText="1"/>
    </x:xf>
    <x:xf numFmtId="0" fontId="21" fillId="35" borderId="63" xfId="0" applyNumberFormat="1" applyFont="1" applyFill="1" applyBorder="1" applyAlignment="1">
      <x:alignment vertical="top" wrapText="1"/>
    </x:xf>
    <x:xf numFmtId="0" fontId="21" fillId="35" borderId="68" xfId="0" applyNumberFormat="1" applyFont="1" applyFill="1" applyBorder="1" applyAlignment="1">
      <x:alignment vertical="top" wrapText="1"/>
    </x:xf>
    <x:xf numFmtId="0" fontId="21" fillId="35" borderId="64" xfId="0" applyNumberFormat="1" applyFont="1" applyFill="1" applyBorder="1" applyAlignment="1">
      <x:alignment vertical="top" wrapText="1"/>
    </x:xf>
    <x:xf numFmtId="0" fontId="24" fillId="35" borderId="63" xfId="0" applyNumberFormat="1" applyFont="1" applyFill="1" applyBorder="1" applyAlignment="1">
      <x:alignment vertical="top" wrapText="1"/>
    </x:xf>
    <x:xf numFmtId="0" fontId="24" fillId="35" borderId="68" xfId="0" applyNumberFormat="1" applyFont="1" applyFill="1" applyBorder="1" applyAlignment="1">
      <x:alignment vertical="top" wrapText="1"/>
    </x:xf>
    <x:xf numFmtId="0" fontId="24" fillId="35" borderId="64" xfId="0" applyNumberFormat="1" applyFont="1" applyFill="1" applyBorder="1" applyAlignment="1">
      <x:alignment vertical="top" wrapText="1"/>
    </x:xf>
    <x:xf numFmtId="0" fontId="24" fillId="35" borderId="62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/>
    <x:xf numFmtId="0" fontId="14" fillId="34" borderId="0" xfId="0" applyNumberFormat="1" applyFont="1" applyFill="1" applyBorder="1"/>
    <x:xf numFmtId="0" fontId="14" fillId="34" borderId="32" xfId="0" applyNumberFormat="1" applyFont="1" applyFill="1" applyBorder="1"/>
    <x:xf numFmtId="0" fontId="14" fillId="34" borderId="41" xfId="0" applyNumberFormat="1" applyFont="1" applyFill="1" applyBorder="1"/>
    <x:xf numFmtId="0" fontId="14" fillId="34" borderId="34" xfId="0" applyNumberFormat="1" applyFont="1" applyFill="1" applyBorder="1"/>
    <x:xf numFmtId="0" fontId="14" fillId="34" borderId="32" xfId="0" applyNumberFormat="1" applyFont="1" applyFill="1" applyBorder="1" applyAlignment="1">
      <x:alignment wrapText="1"/>
    </x:xf>
    <x:xf numFmtId="0" fontId="14" fillId="34" borderId="41" xfId="0" applyNumberFormat="1" applyFont="1" applyFill="1" applyBorder="1" applyAlignment="1">
      <x:alignment wrapText="1"/>
    </x:xf>
    <x:xf numFmtId="0" fontId="14" fillId="34" borderId="34" xfId="0" applyNumberFormat="1" applyFont="1" applyFill="1" applyBorder="1" applyAlignment="1">
      <x:alignment wrapText="1"/>
    </x:xf>
    <x:xf numFmtId="0" fontId="18" fillId="31" borderId="35" xfId="0" applyNumberFormat="1" applyFont="1" applyFill="1" applyBorder="1"/>
    <x:xf numFmtId="0" fontId="18" fillId="31" borderId="42" xfId="0" applyNumberFormat="1" applyFont="1" applyFill="1" applyBorder="1"/>
    <x:xf numFmtId="0" fontId="18" fillId="31" borderId="37" xfId="0" applyNumberFormat="1" applyFont="1" applyFill="1" applyBorder="1"/>
    <x:xf numFmtId="0" fontId="18" fillId="31" borderId="38" xfId="0" applyNumberFormat="1" applyFont="1" applyFill="1" applyBorder="1"/>
    <x:xf numFmtId="0" fontId="18" fillId="31" borderId="45" xfId="0" applyNumberFormat="1" applyFont="1" applyFill="1" applyBorder="1"/>
    <x:xf numFmtId="0" fontId="18" fillId="31" borderId="40" xfId="0" applyNumberFormat="1" applyFont="1" applyFill="1" applyBorder="1"/>
    <x:xf numFmtId="0" fontId="18" fillId="31" borderId="35" xfId="0" applyNumberFormat="1" applyFont="1" applyFill="1" applyBorder="1" applyAlignment="1">
      <x:alignment wrapText="1"/>
    </x:xf>
    <x:xf numFmtId="0" fontId="18" fillId="31" borderId="42" xfId="0" applyNumberFormat="1" applyFont="1" applyFill="1" applyBorder="1" applyAlignment="1">
      <x:alignment wrapText="1"/>
    </x:xf>
    <x:xf numFmtId="0" fontId="18" fillId="31" borderId="37" xfId="0" applyNumberFormat="1" applyFont="1" applyFill="1" applyBorder="1" applyAlignment="1">
      <x:alignment wrapText="1"/>
    </x:xf>
    <x:xf numFmtId="0" fontId="18" fillId="31" borderId="38" xfId="0" applyNumberFormat="1" applyFont="1" applyFill="1" applyBorder="1" applyAlignment="1">
      <x:alignment wrapText="1"/>
    </x:xf>
    <x:xf numFmtId="0" fontId="18" fillId="31" borderId="45" xfId="0" applyNumberFormat="1" applyFont="1" applyFill="1" applyBorder="1" applyAlignment="1">
      <x:alignment wrapText="1"/>
    </x:xf>
    <x:xf numFmtId="0" fontId="18" fillId="31" borderId="4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wrapText="1"/>
    </x:xf>
    <x:xf numFmtId="0" fontId="5" fillId="36" borderId="0" xfId="0" applyNumberFormat="1" applyFont="1" applyFill="1" applyBorder="1" applyAlignment="1">
      <x:alignment horizontal="center" wrapText="1"/>
    </x:xf>
    <x:xf numFmtId="0" fontId="5" fillId="36" borderId="0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/>
    <x:xf numFmtId="0" fontId="0" fillId="0" borderId="41" xfId="0" applyNumberFormat="1" applyFont="1" applyFill="1" applyBorder="1"/>
    <x:xf numFmtId="0" fontId="0" fillId="0" borderId="34" xfId="0" applyNumberFormat="1" applyFont="1" applyFill="1" applyBorder="1"/>
    <x:xf numFmtId="0" fontId="0" fillId="0" borderId="32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19" fillId="30" borderId="0" xfId="0" applyNumberFormat="1" applyFont="1" applyFill="1" applyBorder="1"/>
    <x:xf numFmtId="0" fontId="19" fillId="30" borderId="62" xfId="0" applyNumberFormat="1" applyFont="1" applyFill="1" applyBorder="1"/>
    <x:xf numFmtId="0" fontId="19" fillId="30" borderId="63" xfId="0" applyNumberFormat="1" applyFont="1" applyFill="1" applyBorder="1"/>
    <x:xf numFmtId="0" fontId="19" fillId="30" borderId="64" xfId="0" applyNumberFormat="1" applyFont="1" applyFill="1" applyBorder="1"/>
    <x:xf numFmtId="0" fontId="19" fillId="30" borderId="62" xfId="0" applyNumberFormat="1" applyFont="1" applyFill="1" applyBorder="1" applyAlignment="1">
      <x:alignment wrapText="1"/>
    </x:xf>
    <x:xf numFmtId="0" fontId="19" fillId="30" borderId="63" xfId="0" applyNumberFormat="1" applyFont="1" applyFill="1" applyBorder="1" applyAlignment="1">
      <x:alignment wrapText="1"/>
    </x:xf>
    <x:xf numFmtId="0" fontId="19" fillId="30" borderId="64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37" borderId="0" xfId="0" applyNumberFormat="1" applyFont="1" applyFill="1" applyBorder="1"/>
    <x:xf numFmtId="0" fontId="5" fillId="37" borderId="0" xfId="0" applyNumberFormat="1" applyFont="1" applyFill="1" applyBorder="1"/>
    <x:xf numFmtId="0" fontId="5" fillId="37" borderId="0" xfId="0" applyNumberFormat="1" applyFont="1" applyFill="1" applyBorder="1" applyAlignment="1">
      <x:alignment wrapText="1"/>
    </x:xf>
    <x:xf numFmtId="0" fontId="5" fillId="37" borderId="0" xfId="0" applyNumberFormat="1" applyFont="1" applyFill="1" applyBorder="1" applyAlignment="1">
      <x:alignment horizontal="center" wrapText="1"/>
    </x:xf>
    <x:xf numFmtId="0" fontId="5" fillId="37" borderId="0" xfId="0" applyNumberFormat="1" applyFont="1" applyFill="1" applyBorder="1" applyAlignment="1">
      <x:alignment horizontal="center" vertical="center" wrapText="1"/>
    </x:xf>
    <x:xf numFmtId="204" fontId="0" fillId="0" xfId="0" applyNumberFormat="1" applyFont="1" applyFill="1" applyBorder="0" applyAlignment="1">
      <x:alignment vertical="top" wrapText="1"/>
    </x:xf>
    <x:xf numFmtId="204" fontId="0" fillId="0" borderId="4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2" fillId="15" borderId="35" xfId="0" applyNumberFormat="1" applyFont="1" applyFill="1" applyBorder="1" applyAlignment="1">
      <x:alignment horizontal="center" vertical="top" wrapText="1"/>
    </x:xf>
    <x:xf numFmtId="0" fontId="2" fillId="15" borderId="37" xfId="0" applyNumberFormat="1" applyFont="1" applyFill="1" applyBorder="1" applyAlignment="1">
      <x:alignment horizontal="center" vertical="top" wrapText="1"/>
    </x:xf>
    <x:xf numFmtId="0" fontId="2" fillId="15" borderId="42" xfId="0" applyNumberFormat="1" applyFont="1" applyFill="1" applyBorder="1" applyAlignment="1">
      <x:alignment horizontal="center" vertical="top" wrapText="1"/>
    </x:xf>
    <x:xf numFmtId="0" fontId="23" fillId="30" borderId="35" xfId="0" applyNumberFormat="1" applyFont="1" applyFill="1" applyBorder="1"/>
    <x:xf numFmtId="0" fontId="23" fillId="30" borderId="42" xfId="0" applyNumberFormat="1" applyFont="1" applyFill="1" applyBorder="1"/>
    <x:xf numFmtId="0" fontId="23" fillId="30" borderId="37" xfId="0" applyNumberFormat="1" applyFont="1" applyFill="1" applyBorder="1"/>
    <x:xf numFmtId="0" fontId="23" fillId="30" borderId="38" xfId="0" applyNumberFormat="1" applyFont="1" applyFill="1" applyBorder="1"/>
    <x:xf numFmtId="0" fontId="23" fillId="30" borderId="45" xfId="0" applyNumberFormat="1" applyFont="1" applyFill="1" applyBorder="1"/>
    <x:xf numFmtId="0" fontId="23" fillId="30" borderId="40" xfId="0" applyNumberFormat="1" applyFont="1" applyFill="1" applyBorder="1"/>
    <x:xf numFmtId="0" fontId="23" fillId="30" borderId="35" xfId="0" applyNumberFormat="1" applyFont="1" applyFill="1" applyBorder="1" applyAlignment="1">
      <x:alignment wrapText="1"/>
    </x:xf>
    <x:xf numFmtId="0" fontId="23" fillId="30" borderId="42" xfId="0" applyNumberFormat="1" applyFont="1" applyFill="1" applyBorder="1" applyAlignment="1">
      <x:alignment wrapText="1"/>
    </x:xf>
    <x:xf numFmtId="0" fontId="23" fillId="30" borderId="37" xfId="0" applyNumberFormat="1" applyFont="1" applyFill="1" applyBorder="1" applyAlignment="1">
      <x:alignment wrapText="1"/>
    </x:xf>
    <x:xf numFmtId="0" fontId="23" fillId="30" borderId="38" xfId="0" applyNumberFormat="1" applyFont="1" applyFill="1" applyBorder="1" applyAlignment="1">
      <x:alignment wrapText="1"/>
    </x:xf>
    <x:xf numFmtId="0" fontId="23" fillId="30" borderId="45" xfId="0" applyNumberFormat="1" applyFont="1" applyFill="1" applyBorder="1" applyAlignment="1">
      <x:alignment wrapText="1"/>
    </x:xf>
    <x:xf numFmtId="0" fontId="23" fillId="30" borderId="40" xfId="0" applyNumberFormat="1" applyFont="1" applyFill="1" applyBorder="1" applyAlignment="1">
      <x:alignment wrapText="1"/>
    </x:xf>
    <x:xf numFmtId="0" fontId="0" fillId="13" borderId="35" xfId="0" applyNumberFormat="1" applyFont="1" applyFill="1" applyBorder="1" applyAlignment="1">
      <x:alignment vertical="top" wrapText="1"/>
    </x:xf>
    <x:xf numFmtId="0" fontId="0" fillId="13" borderId="42" xfId="0" applyNumberFormat="1" applyFont="1" applyFill="1" applyBorder="1" applyAlignment="1">
      <x:alignment vertical="top" wrapText="1"/>
    </x:xf>
    <x:xf numFmtId="0" fontId="0" fillId="13" borderId="37" xfId="0" applyNumberFormat="1" applyFont="1" applyFill="1" applyBorder="1" applyAlignment="1">
      <x:alignment vertical="top" wrapText="1"/>
    </x:xf>
    <x:xf numFmtId="0" fontId="0" fillId="13" borderId="43" xfId="0" applyNumberFormat="1" applyFont="1" applyFill="1" applyBorder="1" applyAlignment="1">
      <x:alignment vertical="top" wrapText="1"/>
    </x:xf>
    <x:xf numFmtId="0" fontId="0" fillId="13" borderId="44" xfId="0" applyNumberFormat="1" applyFont="1" applyFill="1" applyBorder="1" applyAlignment="1">
      <x:alignment vertical="top" wrapText="1"/>
    </x:xf>
    <x:xf numFmtId="0" fontId="0" fillId="18" borderId="43" xfId="0" applyNumberFormat="1" applyFont="1" applyFill="1" applyBorder="1" applyAlignment="1">
      <x:alignment vertical="top" wrapText="1"/>
    </x:xf>
    <x:xf numFmtId="0" fontId="0" fillId="18" borderId="44" xfId="0" applyNumberFormat="1" applyFont="1" applyFill="1" applyBorder="1" applyAlignment="1">
      <x:alignment vertical="top" wrapText="1"/>
    </x:xf>
    <x:xf numFmtId="0" fontId="0" fillId="24" borderId="43" xfId="0" applyNumberFormat="1" applyFont="1" applyFill="1" applyBorder="1" applyAlignment="1">
      <x:alignment vertical="top" wrapText="1"/>
    </x:xf>
    <x:xf numFmtId="0" fontId="0" fillId="24" borderId="44" xfId="0" applyNumberFormat="1" applyFont="1" applyFill="1" applyBorder="1" applyAlignment="1">
      <x:alignment vertical="top" wrapText="1"/>
    </x:xf>
    <x:xf numFmtId="0" fontId="0" fillId="20" borderId="43" xfId="0" applyNumberFormat="1" applyFont="1" applyFill="1" applyBorder="1" applyAlignment="1">
      <x:alignment vertical="top" wrapText="1"/>
    </x:xf>
    <x:xf numFmtId="0" fontId="0" fillId="20" borderId="44" xfId="0" applyNumberFormat="1" applyFont="1" applyFill="1" applyBorder="1" applyAlignment="1">
      <x:alignment vertical="top" wrapText="1"/>
    </x:xf>
    <x:xf numFmtId="0" fontId="0" fillId="20" borderId="38" xfId="0" applyNumberFormat="1" applyFont="1" applyFill="1" applyBorder="1" applyAlignment="1">
      <x:alignment vertical="top" wrapText="1"/>
    </x:xf>
    <x:xf numFmtId="0" fontId="0" fillId="20" borderId="45" xfId="0" applyNumberFormat="1" applyFont="1" applyFill="1" applyBorder="1" applyAlignment="1">
      <x:alignment vertical="top" wrapText="1"/>
    </x:xf>
    <x:xf numFmtId="0" fontId="0" fillId="20" borderId="40" xfId="0" applyNumberFormat="1" applyFont="1" applyFill="1" applyBorder="1" applyAlignment="1">
      <x:alignment vertical="top" wrapText="1"/>
    </x:xf>
    <x:xf numFmtId="0" fontId="2" fillId="26" borderId="35" xfId="0" applyNumberFormat="1" applyFont="1" applyFill="1" applyBorder="1" applyAlignment="1">
      <x:alignment horizontal="center" vertical="top" wrapText="1"/>
    </x:xf>
    <x:xf numFmtId="0" fontId="2" fillId="26" borderId="42" xfId="0" applyNumberFormat="1" applyFont="1" applyFill="1" applyBorder="1" applyAlignment="1">
      <x:alignment horizontal="center" vertical="top" wrapText="1"/>
    </x:xf>
    <x:xf numFmtId="0" fontId="2" fillId="2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top" wrapText="1"/>
    </x:xf>
    <x:xf numFmtId="0" fontId="2" fillId="36" borderId="42" xfId="0" applyNumberFormat="1" applyFont="1" applyFill="1" applyBorder="1" applyAlignment="1">
      <x:alignment horizontal="center" vertical="top" wrapText="1"/>
    </x:xf>
    <x:xf numFmtId="0" fontId="2" fillId="3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center" wrapText="1"/>
    </x:xf>
    <x:xf numFmtId="0" fontId="2" fillId="36" borderId="42" xfId="0" applyNumberFormat="1" applyFont="1" applyFill="1" applyBorder="1" applyAlignment="1">
      <x:alignment horizontal="center" vertical="center" wrapText="1"/>
    </x:xf>
    <x:xf numFmtId="0" fontId="2" fillId="36" borderId="37" xfId="0" applyNumberFormat="1" applyFont="1" applyFill="1" applyBorder="1" applyAlignment="1">
      <x:alignment horizontal="center" vertical="center" wrapText="1"/>
    </x:xf>
    <x:xf numFmtId="0" fontId="5" fillId="29" borderId="0" xfId="0" applyNumberFormat="1" applyFont="1" applyFill="1" applyBorder="1" applyAlignment="1">
      <x:alignment horizontal="center" wrapText="1"/>
    </x:xf>
    <x:xf numFmtId="0" fontId="5" fillId="29" borderId="0" xfId="0" applyNumberFormat="1" applyFont="1" applyFill="1" applyBorder="1" applyAlignment="1">
      <x:alignment horizontal="center" vertical="center" wrapText="1"/>
    </x:xf>
    <x:xf numFmtId="0" fontId="6" fillId="36" borderId="0" xfId="0" applyNumberFormat="1" applyFont="1" applyFill="1" applyBorder="1"/>
    <x:xf numFmtId="0" fontId="6" fillId="3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/>
    <x:xf numFmtId="0" fontId="5" fillId="2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 applyAlignment="1">
      <x:alignment horizontal="left" vertical="center"/>
    </x:xf>
    <x:xf numFmtId="0" fontId="0" fillId="22" borderId="37" xfId="0" applyNumberFormat="1" applyFont="1" applyFill="1" applyBorder="1" applyAlignment="1">
      <x:alignment vertical="top" wrapText="1"/>
    </x:xf>
    <x:xf numFmtId="0" fontId="0" fillId="22" borderId="44" xfId="0" applyNumberFormat="1" applyFont="1" applyFill="1" applyBorder="1" applyAlignment="1">
      <x:alignment vertical="top" wrapText="1"/>
    </x:xf>
    <x:xf numFmtId="0" fontId="19" fillId="22" borderId="37" xfId="0" applyNumberFormat="1" applyFont="1" applyFill="1" applyBorder="1" applyAlignment="1">
      <x:alignment vertical="top" wrapText="1"/>
    </x:xf>
    <x:xf numFmtId="0" fontId="19" fillId="22" borderId="44" xfId="0" applyNumberFormat="1" applyFont="1" applyFill="1" applyBorder="1" applyAlignment="1">
      <x:alignment vertical="top" wrapText="1"/>
    </x:xf>
    <x:xf numFmtId="0" fontId="18" fillId="25" borderId="32" xfId="0" applyNumberFormat="1" applyFont="1" applyFill="1" applyBorder="1"/>
    <x:xf numFmtId="0" fontId="18" fillId="25" borderId="41" xfId="0" applyNumberFormat="1" applyFont="1" applyFill="1" applyBorder="1"/>
    <x:xf numFmtId="0" fontId="18" fillId="25" borderId="34" xfId="0" applyNumberFormat="1" applyFont="1" applyFill="1" applyBorder="1"/>
    <x:xf numFmtId="0" fontId="18" fillId="25" borderId="32" xfId="0" applyNumberFormat="1" applyFont="1" applyFill="1" applyBorder="1" applyAlignment="1">
      <x:alignment wrapText="1"/>
    </x:xf>
    <x:xf numFmtId="0" fontId="18" fillId="25" borderId="41" xfId="0" applyNumberFormat="1" applyFont="1" applyFill="1" applyBorder="1" applyAlignment="1">
      <x:alignment wrapText="1"/>
    </x:xf>
    <x:xf numFmtId="0" fontId="18" fillId="25" borderId="34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center" wrapText="1"/>
    </x:xf>
    <x:xf numFmtId="0" fontId="23" fillId="22" borderId="0" xfId="0" applyNumberFormat="1" applyFont="1" applyFill="1" applyBorder="1"/>
    <x:xf numFmtId="0" fontId="23" fillId="22" borderId="32" xfId="0" applyNumberFormat="1" applyFont="1" applyFill="1" applyBorder="1"/>
    <x:xf numFmtId="0" fontId="23" fillId="22" borderId="41" xfId="0" applyNumberFormat="1" applyFont="1" applyFill="1" applyBorder="1"/>
    <x:xf numFmtId="0" fontId="23" fillId="22" borderId="34" xfId="0" applyNumberFormat="1" applyFont="1" applyFill="1" applyBorder="1"/>
    <x:xf numFmtId="0" fontId="23" fillId="22" borderId="32" xfId="0" applyNumberFormat="1" applyFont="1" applyFill="1" applyBorder="1" applyAlignment="1">
      <x:alignment wrapText="1"/>
    </x:xf>
    <x:xf numFmtId="0" fontId="23" fillId="22" borderId="41" xfId="0" applyNumberFormat="1" applyFont="1" applyFill="1" applyBorder="1" applyAlignment="1">
      <x:alignment wrapText="1"/>
    </x:xf>
    <x:xf numFmtId="0" fontId="23" fillId="22" borderId="34" xfId="0" applyNumberFormat="1" applyFont="1" applyFill="1" applyBorder="1" applyAlignment="1">
      <x:alignment wrapText="1"/>
    </x:xf>
    <x:xf numFmtId="0" fontId="16" fillId="18" borderId="32" xfId="0" applyNumberFormat="1" applyFont="1" applyFill="1" applyBorder="1"/>
    <x:xf numFmtId="0" fontId="16" fillId="18" borderId="41" xfId="0" applyNumberFormat="1" applyFont="1" applyFill="1" applyBorder="1"/>
    <x:xf numFmtId="0" fontId="16" fillId="18" borderId="34" xfId="0" applyNumberFormat="1" applyFont="1" applyFill="1" applyBorder="1"/>
    <x:xf numFmtId="0" fontId="21" fillId="22" borderId="71" xfId="0" applyNumberFormat="1" applyFont="1" applyFill="1" applyBorder="1" applyAlignment="1">
      <x:alignment vertical="top" wrapText="1"/>
    </x:xf>
    <x:xf numFmtId="0" fontId="21" fillId="13" borderId="62" xfId="0" applyNumberFormat="1" applyFont="1" applyFill="1" applyBorder="1" applyAlignment="1">
      <x:alignment vertical="top" wrapText="1"/>
    </x:xf>
    <x:xf numFmtId="0" fontId="14" fillId="13" borderId="62" xfId="0" applyNumberFormat="1" applyFont="1" applyFill="1" applyBorder="1" applyAlignment="1">
      <x:alignment vertical="top" wrapText="1"/>
    </x:xf>
    <x:xf numFmtId="0" fontId="14" fillId="13" borderId="71" xfId="0" applyNumberFormat="1" applyFont="1" applyFill="1" applyBorder="1" applyAlignment="1">
      <x:alignment vertical="top" wrapText="1"/>
    </x:xf>
    <x:xf numFmtId="0" fontId="21" fillId="11" borderId="63" xfId="0" applyNumberFormat="1" applyFont="1" applyFill="1" applyBorder="1" applyAlignment="1">
      <x:alignment vertical="top" wrapText="1"/>
    </x:xf>
    <x:xf numFmtId="0" fontId="21" fillId="11" borderId="68" xfId="0" applyNumberFormat="1" applyFont="1" applyFill="1" applyBorder="1" applyAlignment="1">
      <x:alignment vertical="top" wrapText="1"/>
    </x:xf>
    <x:xf numFmtId="0" fontId="21" fillId="11" borderId="64" xfId="0" applyNumberFormat="1" applyFont="1" applyFill="1" applyBorder="1" applyAlignment="1">
      <x:alignment vertical="top" wrapText="1"/>
    </x:xf>
    <x:xf numFmtId="0" fontId="24" fillId="11" borderId="63" xfId="0" applyNumberFormat="1" applyFont="1" applyFill="1" applyBorder="1" applyAlignment="1">
      <x:alignment vertical="top" wrapText="1"/>
    </x:xf>
    <x:xf numFmtId="0" fontId="24" fillId="11" borderId="68" xfId="0" applyNumberFormat="1" applyFont="1" applyFill="1" applyBorder="1" applyAlignment="1">
      <x:alignment vertical="top" wrapText="1"/>
    </x:xf>
    <x:xf numFmtId="0" fontId="24" fillId="11" borderId="64" xfId="0" applyNumberFormat="1" applyFont="1" applyFill="1" applyBorder="1" applyAlignment="1">
      <x:alignment vertical="top" wrapText="1"/>
    </x:xf>
    <x:xf numFmtId="0" fontId="24" fillId="11" borderId="62" xfId="0" applyNumberFormat="1" applyFont="1" applyFill="1" applyBorder="1" applyAlignment="1">
      <x:alignment vertical="top" wrapText="1"/>
    </x:xf>
    <x:xf numFmtId="0" fontId="14" fillId="13" borderId="32" xfId="0" applyNumberFormat="1" applyFont="1" applyFill="1" applyBorder="1"/>
    <x:xf numFmtId="0" fontId="14" fillId="13" borderId="41" xfId="0" applyNumberFormat="1" applyFont="1" applyFill="1" applyBorder="1"/>
    <x:xf numFmtId="0" fontId="14" fillId="13" borderId="34" xfId="0" applyNumberFormat="1" applyFont="1" applyFill="1" applyBorder="1"/>
    <x:xf numFmtId="0" fontId="14" fillId="13" borderId="32" xfId="0" applyNumberFormat="1" applyFont="1" applyFill="1" applyBorder="1" applyAlignment="1">
      <x:alignment wrapText="1"/>
    </x:xf>
    <x:xf numFmtId="0" fontId="14" fillId="13" borderId="41" xfId="0" applyNumberFormat="1" applyFont="1" applyFill="1" applyBorder="1" applyAlignment="1">
      <x:alignment wrapText="1"/>
    </x:xf>
    <x:xf numFmtId="0" fontId="14" fillId="13" borderId="34" xfId="0" applyNumberFormat="1" applyFont="1" applyFill="1" applyBorder="1" applyAlignment="1">
      <x:alignment wrapText="1"/>
    </x:xf>
    <x:xf numFmtId="0" fontId="18" fillId="25" borderId="35" xfId="0" applyNumberFormat="1" applyFont="1" applyFill="1" applyBorder="1" applyAlignment="1">
      <x:alignment wrapText="1"/>
    </x:xf>
    <x:xf numFmtId="0" fontId="18" fillId="25" borderId="42" xfId="0" applyNumberFormat="1" applyFont="1" applyFill="1" applyBorder="1" applyAlignment="1">
      <x:alignment wrapText="1"/>
    </x:xf>
    <x:xf numFmtId="0" fontId="18" fillId="25" borderId="37" xfId="0" applyNumberFormat="1" applyFont="1" applyFill="1" applyBorder="1" applyAlignment="1">
      <x:alignment wrapText="1"/>
    </x:xf>
    <x:xf numFmtId="0" fontId="18" fillId="25" borderId="38" xfId="0" applyNumberFormat="1" applyFont="1" applyFill="1" applyBorder="1" applyAlignment="1">
      <x:alignment wrapText="1"/>
    </x:xf>
    <x:xf numFmtId="0" fontId="18" fillId="25" borderId="45" xfId="0" applyNumberFormat="1" applyFont="1" applyFill="1" applyBorder="1" applyAlignment="1">
      <x:alignment wrapText="1"/>
    </x:xf>
    <x:xf numFmtId="0" fontId="18" fillId="25" borderId="40" xfId="0" applyNumberFormat="1" applyFont="1" applyFill="1" applyBorder="1" applyAlignment="1">
      <x:alignment wrapText="1"/>
    </x:xf>
    <x:xf numFmtId="0" fontId="5" fillId="26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19" fillId="22" borderId="0" xfId="0" applyNumberFormat="1" applyFont="1" applyFill="1" applyBorder="1"/>
    <x:xf numFmtId="0" fontId="19" fillId="22" borderId="62" xfId="0" applyNumberFormat="1" applyFont="1" applyFill="1" applyBorder="1"/>
    <x:xf numFmtId="0" fontId="19" fillId="22" borderId="63" xfId="0" applyNumberFormat="1" applyFont="1" applyFill="1" applyBorder="1"/>
    <x:xf numFmtId="0" fontId="19" fillId="22" borderId="64" xfId="0" applyNumberFormat="1" applyFont="1" applyFill="1" applyBorder="1"/>
    <x:xf numFmtId="0" fontId="19" fillId="22" borderId="62" xfId="0" applyNumberFormat="1" applyFont="1" applyFill="1" applyBorder="1" applyAlignment="1">
      <x:alignment wrapText="1"/>
    </x:xf>
    <x:xf numFmtId="0" fontId="19" fillId="22" borderId="63" xfId="0" applyNumberFormat="1" applyFont="1" applyFill="1" applyBorder="1" applyAlignment="1">
      <x:alignment wrapText="1"/>
    </x:xf>
    <x:xf numFmtId="0" fontId="19" fillId="22" borderId="64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23" fillId="22" borderId="35" xfId="0" applyNumberFormat="1" applyFont="1" applyFill="1" applyBorder="1"/>
    <x:xf numFmtId="0" fontId="23" fillId="22" borderId="42" xfId="0" applyNumberFormat="1" applyFont="1" applyFill="1" applyBorder="1"/>
    <x:xf numFmtId="0" fontId="23" fillId="22" borderId="37" xfId="0" applyNumberFormat="1" applyFont="1" applyFill="1" applyBorder="1"/>
    <x:xf numFmtId="0" fontId="23" fillId="22" borderId="38" xfId="0" applyNumberFormat="1" applyFont="1" applyFill="1" applyBorder="1"/>
    <x:xf numFmtId="0" fontId="23" fillId="22" borderId="45" xfId="0" applyNumberFormat="1" applyFont="1" applyFill="1" applyBorder="1"/>
    <x:xf numFmtId="0" fontId="23" fillId="22" borderId="40" xfId="0" applyNumberFormat="1" applyFont="1" applyFill="1" applyBorder="1"/>
    <x:xf numFmtId="0" fontId="23" fillId="22" borderId="35" xfId="0" applyNumberFormat="1" applyFont="1" applyFill="1" applyBorder="1" applyAlignment="1">
      <x:alignment wrapText="1"/>
    </x:xf>
    <x:xf numFmtId="0" fontId="23" fillId="22" borderId="42" xfId="0" applyNumberFormat="1" applyFont="1" applyFill="1" applyBorder="1" applyAlignment="1">
      <x:alignment wrapText="1"/>
    </x:xf>
    <x:xf numFmtId="0" fontId="23" fillId="22" borderId="37" xfId="0" applyNumberFormat="1" applyFont="1" applyFill="1" applyBorder="1" applyAlignment="1">
      <x:alignment wrapText="1"/>
    </x:xf>
    <x:xf numFmtId="0" fontId="23" fillId="22" borderId="38" xfId="0" applyNumberFormat="1" applyFont="1" applyFill="1" applyBorder="1" applyAlignment="1">
      <x:alignment wrapText="1"/>
    </x:xf>
    <x:xf numFmtId="0" fontId="23" fillId="22" borderId="45" xfId="0" applyNumberFormat="1" applyFont="1" applyFill="1" applyBorder="1" applyAlignment="1">
      <x:alignment wrapText="1"/>
    </x:xf>
    <x:xf numFmtId="0" fontId="23" fillId="22" borderId="40" xfId="0" applyNumberFormat="1" applyFont="1" applyFill="1" applyBorder="1" applyAlignment="1">
      <x:alignment wrapText="1"/>
    </x:xf>
    <x:xf numFmtId="0" fontId="2" fillId="10" borderId="35" xfId="0" applyNumberFormat="1" applyFont="1" applyFill="1" applyBorder="1" applyAlignment="1">
      <x:alignment horizontal="center" vertical="top" wrapText="1"/>
    </x:xf>
    <x:xf numFmtId="0" fontId="2" fillId="10" borderId="42" xfId="0" applyNumberFormat="1" applyFont="1" applyFill="1" applyBorder="1" applyAlignment="1">
      <x:alignment horizontal="center" vertical="top" wrapText="1"/>
    </x:xf>
    <x:xf numFmtId="0" fontId="2" fillId="10" borderId="37" xfId="0" applyNumberFormat="1" applyFont="1" applyFill="1" applyBorder="1" applyAlignment="1">
      <x:alignment horizontal="center" vertical="top" wrapText="1"/>
    </x:xf>
    <x:xf numFmtId="0" fontId="5" fillId="26" borderId="0" xfId="0" applyNumberFormat="1" applyFont="1" applyFill="1" applyBorder="1" applyAlignment="1">
      <x:alignment horizontal="center" wrapText="1"/>
    </x:xf>
    <x:xf numFmtId="0" fontId="5" fillId="26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left"/>
    </x:xf>
    <x:xf numFmtId="0" fontId="2" fillId="17" borderId="35" xfId="0" applyNumberFormat="1" applyFont="1" applyFill="1" applyBorder="1" applyAlignment="1">
      <x:alignment horizontal="center" vertical="top" wrapText="1"/>
    </x:xf>
    <x:xf numFmtId="0" fontId="2" fillId="17" borderId="42" xfId="0" applyNumberFormat="1" applyFont="1" applyFill="1" applyBorder="1" applyAlignment="1">
      <x:alignment horizontal="center" vertical="top" wrapText="1"/>
    </x:xf>
    <x:xf numFmtId="0" fontId="2" fillId="17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top" wrapText="1"/>
    </x:xf>
    <x:xf numFmtId="0" fontId="2" fillId="38" borderId="42" xfId="0" applyNumberFormat="1" applyFont="1" applyFill="1" applyBorder="1" applyAlignment="1">
      <x:alignment horizontal="center" vertical="top" wrapText="1"/>
    </x:xf>
    <x:xf numFmtId="0" fontId="2" fillId="38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center" wrapText="1"/>
    </x:xf>
    <x:xf numFmtId="0" fontId="2" fillId="38" borderId="42" xfId="0" applyNumberFormat="1" applyFont="1" applyFill="1" applyBorder="1" applyAlignment="1">
      <x:alignment horizontal="center" vertical="center" wrapText="1"/>
    </x:xf>
    <x:xf numFmtId="0" fontId="2" fillId="38" borderId="37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/>
    <x:xf numFmtId="0" fontId="23" fillId="39" borderId="0" xfId="0" applyNumberFormat="1" applyFont="1" applyFill="1" applyBorder="1"/>
    <x:xf numFmtId="0" fontId="23" fillId="39" borderId="35" xfId="0" applyNumberFormat="1" applyFont="1" applyFill="1" applyBorder="1"/>
    <x:xf numFmtId="0" fontId="23" fillId="39" borderId="42" xfId="0" applyNumberFormat="1" applyFont="1" applyFill="1" applyBorder="1"/>
    <x:xf numFmtId="0" fontId="23" fillId="39" borderId="37" xfId="0" applyNumberFormat="1" applyFont="1" applyFill="1" applyBorder="1"/>
    <x:xf numFmtId="0" fontId="23" fillId="39" borderId="38" xfId="0" applyNumberFormat="1" applyFont="1" applyFill="1" applyBorder="1"/>
    <x:xf numFmtId="0" fontId="23" fillId="39" borderId="45" xfId="0" applyNumberFormat="1" applyFont="1" applyFill="1" applyBorder="1"/>
    <x:xf numFmtId="0" fontId="23" fillId="39" borderId="40" xfId="0" applyNumberFormat="1" applyFont="1" applyFill="1" applyBorder="1"/>
    <x:xf numFmtId="0" fontId="23" fillId="39" borderId="35" xfId="0" applyNumberFormat="1" applyFont="1" applyFill="1" applyBorder="1" applyAlignment="1">
      <x:alignment wrapText="1"/>
    </x:xf>
    <x:xf numFmtId="0" fontId="23" fillId="39" borderId="42" xfId="0" applyNumberFormat="1" applyFont="1" applyFill="1" applyBorder="1" applyAlignment="1">
      <x:alignment wrapText="1"/>
    </x:xf>
    <x:xf numFmtId="0" fontId="23" fillId="39" borderId="37" xfId="0" applyNumberFormat="1" applyFont="1" applyFill="1" applyBorder="1" applyAlignment="1">
      <x:alignment wrapText="1"/>
    </x:xf>
    <x:xf numFmtId="0" fontId="23" fillId="39" borderId="38" xfId="0" applyNumberFormat="1" applyFont="1" applyFill="1" applyBorder="1" applyAlignment="1">
      <x:alignment wrapText="1"/>
    </x:xf>
    <x:xf numFmtId="0" fontId="23" fillId="39" borderId="45" xfId="0" applyNumberFormat="1" applyFont="1" applyFill="1" applyBorder="1" applyAlignment="1">
      <x:alignment wrapText="1"/>
    </x:xf>
    <x:xf numFmtId="0" fontId="23" fillId="39" borderId="40" xfId="0" applyNumberFormat="1" applyFont="1" applyFill="1" applyBorder="1" applyAlignment="1">
      <x:alignment wrapText="1"/>
    </x:xf>
    <x:xf numFmtId="0" fontId="5" fillId="40" borderId="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0" fillId="40" borderId="34" xfId="0" applyNumberFormat="1" applyFont="1" applyFill="1" applyBorder="1" applyAlignment="1">
      <x:alignment vertical="top" wrapText="1"/>
    </x:xf>
    <x:xf numFmtId="0" fontId="21" fillId="40" borderId="0" xfId="0" applyNumberFormat="1" applyFont="1" applyFill="1" applyBorder="1" applyAlignment="1">
      <x:alignment horizontal="center" vertical="center" wrapText="1"/>
    </x:xf>
    <x:xf numFmtId="0" fontId="19" fillId="40" borderId="0" xfId="0" applyNumberFormat="1" applyFont="1" applyFill="1" applyBorder="1"/>
    <x:xf numFmtId="0" fontId="19" fillId="40" borderId="34" xfId="0" applyNumberFormat="1" applyFont="1" applyFill="1" applyBorder="1" applyAlignment="1">
      <x:alignment vertical="top" wrapText="1"/>
    </x:xf>
    <x:xf numFmtId="0" fontId="21" fillId="40" borderId="62" xfId="0" applyNumberFormat="1" applyFont="1" applyFill="1" applyBorder="1" applyAlignment="1">
      <x:alignment horizontal="center" vertical="center" wrapText="1"/>
    </x:xf>
    <x:xf numFmtId="0" fontId="19" fillId="40" borderId="63" xfId="0" applyNumberFormat="1" applyFont="1" applyFill="1" applyBorder="1"/>
    <x:xf numFmtId="0" fontId="19" fillId="40" borderId="71" xfId="0" applyNumberFormat="1" applyFont="1" applyFill="1" applyBorder="1" applyAlignment="1">
      <x:alignment vertical="top" wrapText="1"/>
    </x:xf>
    <x:xf numFmtId="0" fontId="19" fillId="40" borderId="63" xfId="0" applyNumberFormat="1" applyFont="1" applyFill="1" applyBorder="1" applyAlignment="1">
      <x:alignment horizontal="center"/>
    </x:xf>
    <x:xf numFmtId="0" fontId="19" fillId="40" borderId="71" xfId="0" applyNumberFormat="1" applyFont="1" applyFill="1" applyBorder="1" applyAlignment="1">
      <x:alignment horizontal="center" vertical="top" wrapText="1"/>
    </x:xf>
    <x:xf numFmtId="0" fontId="19" fillId="40" borderId="63" xfId="0" applyNumberFormat="1" applyFont="1" applyFill="1" applyBorder="1" applyAlignment="1">
      <x:alignment horizontal="center" vertical="center"/>
    </x:xf>
    <x:xf numFmtId="0" fontId="19" fillId="40" borderId="71" xfId="0" applyNumberFormat="1" applyFont="1" applyFill="1" applyBorder="1" applyAlignment="1">
      <x:alignment horizontal="center" vertical="center" wrapText="1"/>
    </x:xf>
    <x:xf numFmtId="0" fontId="21" fillId="41" borderId="62" xfId="0" applyNumberFormat="1" applyFont="1" applyFill="1" applyBorder="1" applyAlignment="1">
      <x:alignment horizontal="center" vertical="center" wrapText="1"/>
    </x:xf>
    <x:xf numFmtId="0" fontId="5" fillId="41" borderId="62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5" fillId="42" borderId="0" xfId="0" applyNumberFormat="1" applyFont="1" applyFill="1" applyBorder="1"/>
    <x:xf numFmtId="0" fontId="5" fillId="42" borderId="0" xfId="0" applyNumberFormat="1" applyFont="1" applyFill="1" applyBorder="1" applyAlignment="1">
      <x:alignment wrapText="1"/>
    </x:xf>
    <x:xf numFmtId="0" fontId="5" fillId="42" borderId="0" xfId="0" applyNumberFormat="1" applyFont="1" applyFill="1" applyBorder="1" applyAlignment="1">
      <x:alignment horizontal="center" wrapText="1"/>
    </x:xf>
    <x:xf numFmtId="0" fontId="5" fillId="42" borderId="0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0" fillId="14" borderId="34" xfId="0" applyNumberFormat="1" applyFont="1" applyFill="1" applyBorder="1" applyAlignment="1">
      <x:alignment vertical="top" wrapText="1"/>
    </x:xf>
    <x:xf numFmtId="0" fontId="21" fillId="14" borderId="0" xfId="0" applyNumberFormat="1" applyFont="1" applyFill="1" applyBorder="1" applyAlignment="1">
      <x:alignment horizontal="center" vertical="center" wrapText="1"/>
    </x:xf>
    <x:xf numFmtId="0" fontId="19" fillId="14" borderId="0" xfId="0" applyNumberFormat="1" applyFont="1" applyFill="1" applyBorder="1"/>
    <x:xf numFmtId="0" fontId="19" fillId="14" borderId="34" xfId="0" applyNumberFormat="1" applyFont="1" applyFill="1" applyBorder="1" applyAlignment="1">
      <x:alignment vertical="top" wrapText="1"/>
    </x:xf>
    <x:xf numFmtId="0" fontId="21" fillId="14" borderId="62" xfId="0" applyNumberFormat="1" applyFont="1" applyFill="1" applyBorder="1" applyAlignment="1">
      <x:alignment horizontal="center" vertical="center" wrapText="1"/>
    </x:xf>
    <x:xf numFmtId="0" fontId="19" fillId="14" borderId="63" xfId="0" applyNumberFormat="1" applyFont="1" applyFill="1" applyBorder="1"/>
    <x:xf numFmtId="0" fontId="19" fillId="14" borderId="71" xfId="0" applyNumberFormat="1" applyFont="1" applyFill="1" applyBorder="1" applyAlignment="1">
      <x:alignment vertical="top" wrapText="1"/>
    </x:xf>
    <x:xf numFmtId="0" fontId="19" fillId="14" borderId="63" xfId="0" applyNumberFormat="1" applyFont="1" applyFill="1" applyBorder="1" applyAlignment="1">
      <x:alignment horizontal="center"/>
    </x:xf>
    <x:xf numFmtId="0" fontId="19" fillId="14" borderId="71" xfId="0" applyNumberFormat="1" applyFont="1" applyFill="1" applyBorder="1" applyAlignment="1">
      <x:alignment horizontal="center" vertical="top" wrapText="1"/>
    </x:xf>
    <x:xf numFmtId="0" fontId="19" fillId="14" borderId="63" xfId="0" applyNumberFormat="1" applyFont="1" applyFill="1" applyBorder="1" applyAlignment="1">
      <x:alignment horizontal="center" vertical="center"/>
    </x:xf>
    <x:xf numFmtId="0" fontId="19" fillId="14" borderId="71" xfId="0" applyNumberFormat="1" applyFont="1" applyFill="1" applyBorder="1" applyAlignment="1">
      <x:alignment horizontal="center" vertical="center" wrapText="1"/>
    </x:xf>
    <x:xf numFmtId="0" fontId="21" fillId="15" borderId="62" xfId="0" applyNumberFormat="1" applyFont="1" applyFill="1" applyBorder="1" applyAlignment="1">
      <x:alignment horizontal="center" vertical="center" wrapText="1"/>
    </x:xf>
    <x:xf numFmtId="0" fontId="5" fillId="15" borderId="6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3" fillId="43" borderId="0" xfId="0" applyNumberFormat="1" applyFont="1" applyFill="1" applyBorder="1"/>
    <x:xf numFmtId="0" fontId="23" fillId="43" borderId="35" xfId="0" applyNumberFormat="1" applyFont="1" applyFill="1" applyBorder="1"/>
    <x:xf numFmtId="0" fontId="23" fillId="43" borderId="42" xfId="0" applyNumberFormat="1" applyFont="1" applyFill="1" applyBorder="1"/>
    <x:xf numFmtId="0" fontId="23" fillId="43" borderId="37" xfId="0" applyNumberFormat="1" applyFont="1" applyFill="1" applyBorder="1"/>
    <x:xf numFmtId="0" fontId="23" fillId="43" borderId="38" xfId="0" applyNumberFormat="1" applyFont="1" applyFill="1" applyBorder="1"/>
    <x:xf numFmtId="0" fontId="23" fillId="43" borderId="45" xfId="0" applyNumberFormat="1" applyFont="1" applyFill="1" applyBorder="1"/>
    <x:xf numFmtId="0" fontId="23" fillId="43" borderId="40" xfId="0" applyNumberFormat="1" applyFont="1" applyFill="1" applyBorder="1"/>
    <x:xf numFmtId="0" fontId="23" fillId="43" borderId="35" xfId="0" applyNumberFormat="1" applyFont="1" applyFill="1" applyBorder="1" applyAlignment="1">
      <x:alignment wrapText="1"/>
    </x:xf>
    <x:xf numFmtId="0" fontId="23" fillId="43" borderId="42" xfId="0" applyNumberFormat="1" applyFont="1" applyFill="1" applyBorder="1" applyAlignment="1">
      <x:alignment wrapText="1"/>
    </x:xf>
    <x:xf numFmtId="0" fontId="23" fillId="43" borderId="37" xfId="0" applyNumberFormat="1" applyFont="1" applyFill="1" applyBorder="1" applyAlignment="1">
      <x:alignment wrapText="1"/>
    </x:xf>
    <x:xf numFmtId="0" fontId="23" fillId="43" borderId="38" xfId="0" applyNumberFormat="1" applyFont="1" applyFill="1" applyBorder="1" applyAlignment="1">
      <x:alignment wrapText="1"/>
    </x:xf>
    <x:xf numFmtId="0" fontId="23" fillId="43" borderId="45" xfId="0" applyNumberFormat="1" applyFont="1" applyFill="1" applyBorder="1" applyAlignment="1">
      <x:alignment wrapText="1"/>
    </x:xf>
    <x:xf numFmtId="0" fontId="23" fillId="43" borderId="4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5" fillId="44" borderId="0" xfId="0" applyNumberFormat="1" applyFont="1" applyFill="1" applyBorder="1"/>
    <x:xf numFmtId="0" fontId="5" fillId="44" borderId="0" xfId="0" applyNumberFormat="1" applyFont="1" applyFill="1" applyBorder="1" applyAlignment="1">
      <x:alignment wrapText="1"/>
    </x:xf>
    <x:xf numFmtId="0" fontId="5" fillId="44" borderId="0" xfId="0" applyNumberFormat="1" applyFont="1" applyFill="1" applyBorder="1" applyAlignment="1">
      <x:alignment horizontal="center" wrapText="1"/>
    </x:xf>
    <x:xf numFmtId="0" fontId="5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5" fillId="45" borderId="0" xfId="0" applyNumberFormat="1" applyFont="1" applyFill="1" applyBorder="1" applyAlignment="1">
      <x:alignment wrapText="1"/>
    </x:xf>
    <x:xf numFmtId="0" fontId="5" fillId="45" borderId="0" xfId="0" applyNumberFormat="1" applyFont="1" applyFill="1" applyBorder="1" applyAlignment="1">
      <x:alignment horizontal="center" wrapText="1"/>
    </x:xf>
    <x:xf numFmtId="0" fontId="5" fillId="45" borderId="0" xfId="0" applyNumberFormat="1" applyFont="1" applyFill="1" applyBorder="1" applyAlignment="1">
      <x:alignment horizontal="center" vertical="center" wrapText="1"/>
    </x:xf>
    <x:xf numFmtId="0" fontId="21" fillId="43" borderId="0" xfId="0" applyNumberFormat="1" applyFont="1" applyFill="1" applyBorder="1"/>
    <x:xf numFmtId="0" fontId="21" fillId="43" borderId="71" xfId="0" applyNumberFormat="1" applyFont="1" applyFill="1" applyBorder="1"/>
    <x:xf numFmtId="0" fontId="21" fillId="43" borderId="71" xfId="0" applyNumberFormat="1" applyFont="1" applyFill="1" applyBorder="1" applyAlignment="1">
      <x:alignment wrapText="1"/>
    </x:xf>
    <x:xf numFmtId="0" fontId="21" fillId="43" borderId="71" xfId="0" applyNumberFormat="1" applyFont="1" applyFill="1" applyBorder="1" applyAlignment="1">
      <x:alignment vertical="top" wrapText="1"/>
    </x:xf>
    <x:xf numFmtId="0" fontId="21" fillId="22" borderId="0" xfId="0" applyNumberFormat="1" applyFont="1" applyFill="1" applyBorder="1"/>
    <x:xf numFmtId="0" fontId="21" fillId="22" borderId="71" xfId="0" applyNumberFormat="1" applyFont="1" applyFill="1" applyBorder="1"/>
    <x:xf numFmtId="0" fontId="21" fillId="22" borderId="71" xfId="0" applyNumberFormat="1" applyFont="1" applyFill="1" applyBorder="1" applyAlignment="1">
      <x:alignment wrapText="1"/>
    </x:xf>
    <x:xf numFmtId="0" fontId="5" fillId="46" borderId="0" xfId="0" applyNumberFormat="1" applyFont="1" applyFill="1" applyBorder="1" applyAlignment="1">
      <x:alignment horizontal="left" vertical="center"/>
    </x:xf>
    <x:xf numFmtId="0" fontId="5" fillId="46" borderId="0" xfId="0" applyNumberFormat="1" applyFont="1" applyFill="1" applyBorder="1" applyAlignment="1">
      <x:alignment horizontal="left" vertical="center" wrapText="1"/>
    </x:xf>
    <x:xf numFmtId="0" fontId="0" fillId="47" borderId="0" xfId="0" applyNumberFormat="1" applyFont="1" applyFill="1" applyBorder="1"/>
    <x:xf numFmtId="0" fontId="25" fillId="47" borderId="0" xfId="0" applyNumberFormat="1" applyFont="1" applyFill="1" applyBorder="1"/>
    <x:xf numFmtId="0" fontId="26" fillId="0" borderId="0" xfId="0" applyNumberFormat="1" applyFont="1" applyFill="1" applyBorder="1" applyAlignment="1">
      <x:alignment vertical="top" wrapText="1"/>
    </x:xf>
    <x:xf numFmtId="0" fontId="5" fillId="46" borderId="72" xfId="0" applyNumberFormat="1" applyFont="1" applyFill="1" applyBorder="1" applyAlignment="1">
      <x:alignment horizontal="left" vertical="center" wrapText="1"/>
    </x:xf>
    <x:xf numFmtId="0" fontId="5" fillId="46" borderId="73" xfId="0" applyNumberFormat="1" applyFont="1" applyFill="1" applyBorder="1" applyAlignment="1">
      <x:alignment horizontal="left" vertical="center" wrapText="1"/>
    </x:xf>
    <x:xf numFmtId="0" fontId="5" fillId="46" borderId="74" xfId="0" applyNumberFormat="1" applyFont="1" applyFill="1" applyBorder="1" applyAlignment="1">
      <x:alignment horizontal="left" vertical="center" wrapText="1"/>
    </x:xf>
    <x:xf numFmtId="0" fontId="25" fillId="47" borderId="75" xfId="0" applyNumberFormat="1" applyFont="1" applyFill="1" applyBorder="1"/>
    <x:xf numFmtId="0" fontId="25" fillId="47" borderId="76" xfId="0" applyNumberFormat="1" applyFont="1" applyFill="1" applyBorder="1"/>
    <x:xf numFmtId="0" fontId="25" fillId="47" borderId="77" xfId="0" applyNumberFormat="1" applyFont="1" applyFill="1" applyBorder="1"/>
    <x:xf numFmtId="0" fontId="26" fillId="0" borderId="75" xfId="0" applyNumberFormat="1" applyFont="1" applyFill="1" applyBorder="1" applyAlignment="1">
      <x:alignment vertical="top" wrapText="1"/>
    </x:xf>
    <x:xf numFmtId="0" fontId="0" fillId="0" borderId="76" xfId="0" applyNumberFormat="1" applyFont="1" applyFill="1" applyBorder="1" applyAlignment="1">
      <x:alignment vertical="top" wrapText="1"/>
    </x:xf>
    <x:xf numFmtId="0" fontId="0" fillId="0" borderId="77" xfId="0" applyNumberFormat="1" applyFont="1" applyFill="1" applyBorder="1" applyAlignment="1">
      <x:alignment vertical="top" wrapText="1"/>
    </x:xf>
    <x:xf numFmtId="0" fontId="26" fillId="0" borderId="78" xfId="0" applyNumberFormat="1" applyFont="1" applyFill="1" applyBorder="1" applyAlignment="1">
      <x:alignment vertical="top" wrapText="1"/>
    </x:xf>
    <x:xf numFmtId="0" fontId="0" fillId="0" borderId="79" xfId="0" applyNumberFormat="1" applyFont="1" applyFill="1" applyBorder="1" applyAlignment="1">
      <x:alignment vertical="top" wrapText="1"/>
    </x:xf>
    <x:xf numFmtId="0" fontId="0" fillId="0" borderId="80" xfId="0" applyNumberFormat="1" applyFont="1" applyFill="1" applyBorder="1" applyAlignment="1">
      <x:alignment vertical="top" wrapText="1"/>
    </x:xf>
    <x:xf numFmtId="201" fontId="24" fillId="11" borderId="62" xfId="0" applyNumberFormat="1" applyFont="1" applyFill="1" applyBorder="1" applyAlignment="1">
      <x:alignment vertical="top" wrapText="1"/>
    </x:xf>
    <x:xf numFmtId="201" fontId="24" fillId="48" borderId="62" xfId="0" applyNumberFormat="1" applyFont="1" applyFill="1" applyBorder="1" applyAlignment="1">
      <x:alignment vertical="top" wrapText="1"/>
    </x:xf>
    <x:xf numFmtId="0" fontId="23" fillId="48" borderId="38" xfId="0" applyNumberFormat="1" applyFont="1" applyFill="1" applyBorder="1" applyAlignment="1">
      <x:alignment wrapText="1"/>
    </x:xf>
    <x:xf numFmtId="0" fontId="23" fillId="48" borderId="45" xfId="0" applyNumberFormat="1" applyFont="1" applyFill="1" applyBorder="1" applyAlignment="1">
      <x:alignment wrapText="1"/>
    </x:xf>
    <x:xf numFmtId="0" fontId="23" fillId="48" borderId="40" xfId="0" applyNumberFormat="1" applyFont="1" applyFill="1" applyBorder="1" applyAlignment="1">
      <x:alignment wrapText="1"/>
    </x:xf>
    <x:xf numFmtId="0" fontId="27" fillId="48" borderId="38" xfId="0" applyNumberFormat="1" applyFont="1" applyFill="1" applyBorder="1" applyAlignment="1">
      <x:alignment wrapText="1"/>
    </x:xf>
    <x:xf numFmtId="0" fontId="27" fillId="48" borderId="45" xfId="0" applyNumberFormat="1" applyFont="1" applyFill="1" applyBorder="1" applyAlignment="1">
      <x:alignment wrapText="1"/>
    </x:xf>
    <x:xf numFmtId="0" fontId="27" fillId="48" borderId="4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7" fillId="48" borderId="0" xfId="0" applyNumberFormat="1" applyFont="1" applyFill="1" applyBorder="1"/>
    <x:xf numFmtId="0" fontId="27" fillId="48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wrapText="1"/>
    </x:xf>
    <x:xf numFmtId="0" fontId="14" fillId="49" borderId="32" xfId="0" applyNumberFormat="1" applyFont="1" applyFill="1" applyBorder="1" applyAlignment="1">
      <x:alignment wrapText="1"/>
    </x:xf>
    <x:xf numFmtId="0" fontId="14" fillId="49" borderId="41" xfId="0" applyNumberFormat="1" applyFont="1" applyFill="1" applyBorder="1" applyAlignment="1">
      <x:alignment wrapText="1"/>
    </x:xf>
    <x:xf numFmtId="0" fontId="14" fillId="49" borderId="34" xfId="0" applyNumberFormat="1" applyFont="1" applyFill="1" applyBorder="1" applyAlignment="1">
      <x:alignment wrapText="1"/>
    </x:xf>
    <x:xf numFmtId="0" fontId="18" fillId="49" borderId="34" xfId="0" applyNumberFormat="1" applyFont="1" applyFill="1" applyBorder="1" applyAlignment="1">
      <x:alignment wrapText="1"/>
    </x:xf>
    <x:xf numFmtId="0" fontId="28" fillId="49" borderId="32" xfId="0" applyNumberFormat="1" applyFont="1" applyFill="1" applyBorder="1" applyAlignment="1">
      <x:alignment wrapText="1"/>
    </x:xf>
    <x:xf numFmtId="0" fontId="28" fillId="49" borderId="41" xfId="0" applyNumberFormat="1" applyFont="1" applyFill="1" applyBorder="1" applyAlignment="1">
      <x:alignment wrapText="1"/>
    </x:xf>
    <x:xf numFmtId="0" fontId="28" fillId="49" borderId="34" xfId="0" applyNumberFormat="1" applyFont="1" applyFill="1" applyBorder="1" applyAlignment="1">
      <x:alignment wrapText="1"/>
    </x:xf>
    <x:xf numFmtId="0" fontId="18" fillId="49" borderId="32" xfId="0" applyNumberFormat="1" applyFont="1" applyFill="1" applyBorder="1" applyAlignment="1">
      <x:alignment wrapText="1"/>
    </x:xf>
  </x:cellXfs>
  <x:cellStyles count="1">
    <x:cellStyle name="Normal" xfId="0"/>
  </x:cellStyles>
  <x:dxfs count="81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6B8AF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7F9FB"/>
        </x:patternFill>
      </x:fill>
    </x:dxf>
    <x:dxf>
      <x:font>
        <x:b/>
        <x:sz val="13"/>
        <x:color rgb="FF2E7D32"/>
      </x:font>
      <x:fill>
        <x:patternFill>
          <x:bgColor rgb="FFE7F4E8"/>
        </x:patternFill>
      </x:fill>
    </x:dxf>
    <x:dxf>
      <x:font>
        <x:b/>
        <x:sz val="13"/>
        <x:color rgb="FFA66A00"/>
      </x:font>
      <x:fill>
        <x:patternFill>
          <x:bgColor rgb="FFFFF6D9"/>
        </x:patternFill>
      </x:fill>
    </x:dxf>
    <x:dxf>
      <x:font>
        <x:b/>
        <x:sz val="13"/>
        <x:color rgb="FFC62828"/>
      </x:font>
      <x:fill>
        <x:patternFill>
          <x:bgColor rgb="FFFDECEC"/>
        </x:patternFill>
      </x:fill>
    </x:dxf>
    <x:dxf>
      <x:fill>
        <x:patternFill>
          <x:bgColor rgb="FFDCEEFF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</x:font>
      <x:fill>
        <x:patternFill>
          <x:bgColor rgb="FFFFFBEA"/>
        </x:patternFill>
      </x:fill>
    </x:dxf>
    <x:dxf>
      <x:fill>
        <x:patternFill>
          <x:bgColor rgb="FFE7F4E8"/>
        </x:patternFill>
      </x:fill>
    </x:dxf>
    <x:dxf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6A1B9A"/>
      </x:font>
      <x:fill>
        <x:patternFill>
          <x:bgColor rgb="FFF1E6F7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sz val="13"/>
        <x:color rgb="FF52606D"/>
      </x:font>
      <x:fill>
        <x:patternFill>
          <x:bgColor rgb="FFEEF2F6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aa3ecb1dc3480c" /><Relationship Type="http://schemas.openxmlformats.org/officeDocument/2006/relationships/theme" Target="/xl/theme/theme1.xml" Id="Re2ab08329038490c" /><Relationship Type="http://schemas.openxmlformats.org/officeDocument/2006/relationships/sharedStrings" Target="/xl/sharedStrings.xml" Id="R114092b8f4944964" /><Relationship Type="http://schemas.openxmlformats.org/officeDocument/2006/relationships/worksheet" Target="/xl/worksheets/sheet1.xml" Id="R9f116e05defc40cb" /><Relationship Type="http://schemas.openxmlformats.org/officeDocument/2006/relationships/worksheet" Target="/xl/worksheets/sheet2.xml" Id="Rc0cf6eaaf95a4715" /><Relationship Type="http://schemas.openxmlformats.org/officeDocument/2006/relationships/worksheet" Target="/xl/worksheets/sheet3.xml" Id="R0648406007964e18" /><Relationship Type="http://schemas.openxmlformats.org/officeDocument/2006/relationships/worksheet" Target="/xl/worksheets/sheet4.xml" Id="Rdc0a4ee438a74b40" /><Relationship Type="http://schemas.openxmlformats.org/officeDocument/2006/relationships/worksheet" Target="/xl/worksheets/sheet5.xml" Id="R47ec6d2593034f6e" /><Relationship Type="http://schemas.openxmlformats.org/officeDocument/2006/relationships/worksheet" Target="/xl/worksheets/sheet6.xml" Id="Rfcda105a38f8424e" /><Relationship Type="http://schemas.openxmlformats.org/officeDocument/2006/relationships/worksheet" Target="/xl/worksheets/sheet7.xml" Id="R3a6f005057d2459b" /><Relationship Type="http://schemas.openxmlformats.org/officeDocument/2006/relationships/worksheet" Target="/xl/worksheets/sheet8.xml" Id="Rf86178ad9813476a" /><Relationship Type="http://schemas.openxmlformats.org/officeDocument/2006/relationships/worksheet" Target="/xl/worksheets/sheet9.xml" Id="R3d4e93cb71bd4536" /><Relationship Type="http://schemas.openxmlformats.org/officeDocument/2006/relationships/worksheet" Target="/xl/worksheets/sheet10.xml" Id="R9754459947c44749" /><Relationship Type="http://schemas.openxmlformats.org/officeDocument/2006/relationships/worksheet" Target="/xl/worksheets/sheet11.xml" Id="Rf2aa189fe3994779" /><Relationship Type="http://schemas.openxmlformats.org/officeDocument/2006/relationships/worksheet" Target="/xl/worksheets/sheet12.xml" Id="Rbd93acf4b204432b" /><Relationship Type="http://schemas.openxmlformats.org/officeDocument/2006/relationships/worksheet" Target="/xl/worksheets/sheet13.xml" Id="R542483154cf541dc" /><Relationship Type="http://schemas.openxmlformats.org/officeDocument/2006/relationships/worksheet" Target="/xl/worksheets/sheet14.xml" Id="R10d0284f35fc4cfc" /><Relationship Type="http://schemas.openxmlformats.org/officeDocument/2006/relationships/worksheet" Target="/xl/worksheets/sheet15.xml" Id="R149d9bcaf021467c" /><Relationship Type="http://schemas.openxmlformats.org/officeDocument/2006/relationships/worksheet" Target="/xl/worksheets/sheet16.xml" Id="R3abe3cbd5e894d8f" /><Relationship Type="http://schemas.openxmlformats.org/officeDocument/2006/relationships/worksheet" Target="/xl/worksheets/sheet17.xml" Id="Rbd534cc2cb464814" /><Relationship Type="http://schemas.openxmlformats.org/officeDocument/2006/relationships/worksheet" Target="/xl/worksheets/sheet18.xml" Id="R53f4b229db9546f3" /><Relationship Type="http://schemas.openxmlformats.org/officeDocument/2006/relationships/worksheet" Target="/xl/worksheets/sheet19.xml" Id="R3a211082f38e46bd" /><Relationship Type="http://schemas.openxmlformats.org/officeDocument/2006/relationships/worksheet" Target="/xl/worksheets/sheet20.xml" Id="R8bed35051dd247c7" /><Relationship Type="http://schemas.openxmlformats.org/officeDocument/2006/relationships/worksheet" Target="/xl/worksheets/sheet21.xml" Id="Rc60accf03f0f4f8e" /><Relationship Type="http://schemas.openxmlformats.org/officeDocument/2006/relationships/worksheet" Target="/xl/worksheets/sheet22.xml" Id="Rcd7abef63fa54e63" /><Relationship Type="http://schemas.openxmlformats.org/officeDocument/2006/relationships/worksheet" Target="/xl/worksheets/sheet23.xml" Id="R1c4f814e37cb4b9e" /><Relationship Type="http://schemas.openxmlformats.org/officeDocument/2006/relationships/worksheet" Target="/xl/worksheets/sheet24.xml" Id="R17942b8a993044cd" /><Relationship Type="http://schemas.openxmlformats.org/officeDocument/2006/relationships/worksheet" Target="/xl/worksheets/sheet25.xml" Id="R8805cb7b060e462d" /><Relationship Type="http://schemas.openxmlformats.org/officeDocument/2006/relationships/worksheet" Target="/xl/worksheets/sheet26.xml" Id="R66442c74fcf84ac5" /><Relationship Type="http://schemas.openxmlformats.org/officeDocument/2006/relationships/worksheet" Target="/xl/worksheets/sheet27.xml" Id="R6855cc42a05348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1818d41583408f" /><Relationship Type="http://schemas.openxmlformats.org/officeDocument/2006/relationships/chart" Target="/xl/drawings/charts/chart2.xml" Id="R6a3c7093a5c14de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17329b2d61442a9" /><Relationship Type="http://schemas.openxmlformats.org/officeDocument/2006/relationships/chart" Target="/xl/drawings/charts/chart4.xml" Id="R1a4033250c2944d7" /><Relationship Type="http://schemas.openxmlformats.org/officeDocument/2006/relationships/chart" Target="/xl/drawings/charts/chart5.xml" Id="Rf037822e35624f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'00_Dashboard'!$Q$3:$Q$14</c:f>
              <c:strCache>
                <c:ptCount val="0"/>
              </c:strCache>
            </c:strRef>
          </c:cat>
          <c:val>
            <c:numRef>
              <c:f>'00_Dashboard'!$R$3:$R$14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Klima-Zielkurve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'00_Dashboard'!$V$3:$V$14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'00_Dashboard'!$W$3:$W$14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 &amp; Watt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'03_Weekly_Master'!$W$3:$W$14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Watt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'03_Weekly_Master'!$X$3:$X$14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Temperatur &amp; LF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'03_Weekly_Master'!$AA$3:$AA$14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'03_Weekly_Master'!$AB$3:$AB$14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EC-Zielkurve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EC</c:v>
          </c:tx>
          <c:marker>
            <c:symbol val="none"/>
          </c:marker>
          <c:cat>
            <c:strRef>
              <c:f>'03_Weekly_Master'!$AD$3:$AD$14</c:f>
              <c:strCache>
                <c:ptCount val="0"/>
              </c:strCache>
            </c:strRef>
          </c:cat>
          <c:val>
            <c:numRef>
              <c:f>'03_Weekly_Master'!$AE$3:$AE$14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1818d41583408f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15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3c7093a5c14de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21</xdr:col>
      <xdr:colOff>0</xdr:colOff>
      <xdr:row>15</xdr:row>
      <xdr:rowOff>0</xdr:rowOff>
    </xdr:from>
    <xdr:to>
      <xdr:col>30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7329b2d61442a9"/>
        </a:graphicData>
      </a:graphic>
    </xdr:graphicFrame>
    <xdr:clientData/>
  </xdr:twoCellAnchor>
  <xdr:twoCellAnchor>
    <xdr:from>
      <xdr:col>21</xdr:col>
      <xdr:colOff>0</xdr:colOff>
      <xdr:row>32</xdr:row>
      <xdr:rowOff>0</xdr:rowOff>
    </xdr:from>
    <xdr:to>
      <xdr:col>30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4033250c2944d7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38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37822e35624fe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asterTable" displayName="DailyMasterTable" ref="A1:AH82" headerRowCount="1" totalsRowCount="0" totalsRowShown="0">
  <x:tableColumns count="34">
    <x:tableColumn id="1" name="Tag"/>
    <x:tableColumn id="2" name="Datum"/>
    <x:tableColumn id="3" name="Woche"/>
    <x:tableColumn id="4" name="Monat"/>
    <x:tableColumn id="5" name="Phase"/>
    <x:tableColumn id="6" name="Tagesziel"/>
    <x:tableColumn id="7" name="Licht h"/>
    <x:tableColumn id="8" name="Watt"/>
    <x:tableColumn id="9" name="PPFD"/>
    <x:tableColumn id="10" name="DLI"/>
    <x:tableColumn id="11" name="Lamp.abst. cm"/>
    <x:tableColumn id="12" name="Temp Licht °C"/>
    <x:tableColumn id="13" name="Temp Dunkel °C"/>
    <x:tableColumn id="14" name="LF %"/>
    <x:tableColumn id="15" name="VPD kPa"/>
    <x:tableColumn id="16" name="EC Ziel"/>
    <x:tableColumn id="17" name="pH Ziel"/>
    <x:tableColumn id="18" name="Wasser min L"/>
    <x:tableColumn id="19" name="Wasser max L"/>
    <x:tableColumn id="20" name="Bewässerungsmodus"/>
    <x:tableColumn id="21" name="Basis"/>
    <x:tableColumn id="22" name="Basis ml/L"/>
    <x:tableColumn id="23" name="Wurzel Complex ml/L"/>
    <x:tableColumn id="24" name="PowerZyme ml/L"/>
    <x:tableColumn id="25" name="SuperVit ml/L"/>
    <x:tableColumn id="26" name="Hesilicio ml/L"/>
    <x:tableColumn id="27" name="HESI Boost ml/L"/>
    <x:tableColumn id="28" name="PK13/14 ml/L"/>
    <x:tableColumn id="29" name="Voodoo ml/L"/>
    <x:tableColumn id="30" name="AN Option"/>
    <x:tableColumn id="31" name="Training / Canopy"/>
    <x:tableColumn id="32" name="QA / Aktion"/>
    <x:tableColumn id="33" name="Stop-/Alarmregel"/>
    <x:tableColumn id="34" name="Quelle/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MasterTable" displayName="WeeklyMasterTable" ref="A1:T13" headerRowCount="1" totalsRowCount="0" totalsRowShown="0">
  <x:tableColumns count="20">
    <x:tableColumn id="1" name="Woche"/>
    <x:tableColumn id="2" name="Tage"/>
    <x:tableColumn id="3" name="Leitphase"/>
    <x:tableColumn id="4" name="PPFD"/>
    <x:tableColumn id="5" name="Watt"/>
    <x:tableColumn id="6" name="DLI"/>
    <x:tableColumn id="7" name="Temp an"/>
    <x:tableColumn id="8" name="Temp aus"/>
    <x:tableColumn id="9" name="LF"/>
    <x:tableColumn id="10" name="VPD"/>
    <x:tableColumn id="11" name="EC"/>
    <x:tableColumn id="12" name="pH"/>
    <x:tableColumn id="13" name="Wasserband L/Tag"/>
    <x:tableColumn id="14" name="HESI Basis"/>
    <x:tableColumn id="15" name="Root/Enzyme"/>
    <x:tableColumn id="16" name="Bloom/PK"/>
    <x:tableColumn id="17" name="AN Reference"/>
    <x:tableColumn id="18" name="Training"/>
    <x:tableColumn id="19" name="Wochen-QA"/>
    <x:tableColumn id="20" name="Gate / Entscheid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SIReferenceTable" displayName="HESIReferenceTable" ref="A1:L10" headerRowCount="1" totalsRowCount="0" totalsRowShown="0">
  <x:tableColumns count="12">
    <x:tableColumn id="1" name="Produkt"/>
    <x:tableColumn id="2" name="Funktion"/>
    <x:tableColumn id="3" name="Herstellerdosis"/>
    <x:tableColumn id="4" name="UKD Reference"/>
    <x:tableColumn id="5" name="Phase/Fenster"/>
    <x:tableColumn id="6" name="Reservoir"/>
    <x:tableColumn id="7" name="Redundanz"/>
    <x:tableColumn id="8" name="Stop-Regel"/>
    <x:tableColumn id="9" name="Quelle"/>
    <x:tableColumn id="10" name="Evidenz"/>
    <x:tableColumn id="11" name="Kommentar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ilyLogTable" displayName="DailyLogTable" ref="A1:Z82" headerRowCount="1" totalsRowCount="0" totalsRowShown="0">
  <x:tableColumns count="26">
    <x:tableColumn id="1" name="Tag"/>
    <x:tableColumn id="2" name="Datum"/>
    <x:tableColumn id="3" name="Phase"/>
    <x:tableColumn id="4" name="Temp max"/>
    <x:tableColumn id="5" name="Temp min"/>
    <x:tableColumn id="6" name="LF max"/>
    <x:tableColumn id="7" name="LF min"/>
    <x:tableColumn id="8" name="VPD"/>
    <x:tableColumn id="9" name="PPFD"/>
    <x:tableColumn id="10" name="Watt"/>
    <x:tableColumn id="11" name="pH in"/>
    <x:tableColumn id="12" name="EC in"/>
    <x:tableColumn id="13" name="pH drain"/>
    <x:tableColumn id="14" name="EC drain"/>
    <x:tableColumn id="15" name="ΔEC"/>
    <x:tableColumn id="16" name="Wasser L"/>
    <x:tableColumn id="17" name="Reservoir L"/>
    <x:tableColumn id="18" name="Pflanzenhöhe cm"/>
    <x:tableColumn id="19" name="Canopy B cm"/>
    <x:tableColumn id="20" name="Canopy T cm"/>
    <x:tableColumn id="21" name="Blumat"/>
    <x:tableColumn id="22" name="Geruch/AKF"/>
    <x:tableColumn id="23" name="Pest"/>
    <x:tableColumn id="24" name="Stress 0-5"/>
    <x:tableColumn id="25" name="Status"/>
    <x:tableColumn id="26" name="Notiz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lProductsMaster" displayName="AllProductsMaster" ref="A1:L73" headerRowCount="1" totalsRowCount="0" totalsRowShown="0">
  <x:tableColumns count="12">
    <x:tableColumn id="1" name="Hersteller"/>
    <x:tableColumn id="2" name="Produkt"/>
    <x:tableColumn id="3" name="Kategorie"/>
    <x:tableColumn id="4" name="Funktion"/>
    <x:tableColumn id="5" name="Phase"/>
    <x:tableColumn id="6" name="Medium"/>
    <x:tableColumn id="7" name="Offizielle Dosis / Einsatz"/>
    <x:tableColumn id="8" name="UKD-Status"/>
    <x:tableColumn id="9" name="Blumat-Tank"/>
    <x:tableColumn id="10" name="Chemische/Funktionale Hinweise"/>
    <x:tableColumn id="11" name="UKD-Kompatibilitätsurteil"/>
    <x:tableColumn id="12" name="Qu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5fb90557b048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25b7e346b5841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48c9d4434a77403d" /><Relationship Type="http://schemas.openxmlformats.org/officeDocument/2006/relationships/table" Target="/xl/tables/table2.xml" Id="R9a39fb18374f4c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0e350459b5a344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ca2decd03c4d4a0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3a105e43db884df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.5" hidden="0" customWidth="1"/>
    <x:col min="4" max="4" width="13" hidden="0" customWidth="1"/>
    <x:col min="5" max="5" width="11.5" hidden="0" customWidth="1"/>
    <x:col min="6" max="6" width="11.5" hidden="0" customWidth="1"/>
    <x:col min="7" max="7" width="13" hidden="0" customWidth="1"/>
    <x:col min="9" max="9" width="11.5" hidden="0" customWidth="1"/>
    <x:col min="10" max="10" width="13" hidden="0" customWidth="1"/>
    <x:col min="11" max="11" width="11.5" hidden="0" customWidth="1"/>
    <x:col min="12" max="12" width="11.5" hidden="0" customWidth="1"/>
    <x:col min="13" max="13" width="13" hidden="0" customWidth="1"/>
    <x:col min="14" max="14" width="11.5" hidden="0" customWidth="1"/>
    <x:col min="16" max="16" width="11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3" max="3" width="11.5" hidden="0" customWidth="1"/>
    <x:col min="8" max="8" width="11.5" hidden="0" customWidth="1"/>
    <x:col min="15" max="15" width="11.5" hidden="0" customWidth="1"/>
  </x:cols>
  <x:sheetData>
    <x:row r="1" ht="34" customHeight="1">
      <x:c r="A1" s="337" t="str">
        <x:v>UKD GROW MASTERPLAN · OPERATOR DASHBOARD</x:v>
      </x:c>
      <x:c r="B1" s="337"/>
      <x:c r="C1" s="337"/>
      <x:c r="D1" s="337"/>
      <x:c r="E1" s="337"/>
      <x:c r="F1" s="337"/>
      <x:c r="G1" s="337"/>
      <x:c r="H1" s="337"/>
      <x:c r="I1" s="337"/>
      <x:c r="J1" s="337"/>
      <x:c r="K1" s="337"/>
      <x:c r="L1" s="337"/>
      <x:c r="M1" s="337"/>
      <x:c r="N1" s="337"/>
      <x:c r="O1" s="337"/>
    </x:row>
    <x:row r="2">
      <x:c r="A2" s="343" t="str">
        <x:v>60×60×180 cm · 140 W · Coco · Autoflower · UKD HESI Conservative + Athena Balance · Bewässerung: manuell / indoor-freigegeben</x:v>
      </x:c>
      <x:c r="B2" s="343"/>
      <x:c r="C2" s="343"/>
      <x:c r="D2" s="343"/>
      <x:c r="E2" s="343"/>
      <x:c r="F2" s="343"/>
      <x:c r="G2" s="343"/>
      <x:c r="H2" s="343"/>
      <x:c r="I2" s="343"/>
      <x:c r="J2" s="343"/>
      <x:c r="K2" s="343"/>
      <x:c r="L2" s="343"/>
      <x:c r="M2" s="343"/>
      <x:c r="N2" s="343"/>
      <x:c r="O2" s="343"/>
      <x:c r="Q2" t="str">
        <x:v>Woche</x:v>
      </x:c>
      <x:c r="R2" t="str">
        <x:v>PPFD</x:v>
      </x:c>
      <x:c r="S2" t="str">
        <x:v>EC</x:v>
      </x:c>
      <x:c r="U2" t="str">
        <x:v>Woche</x:v>
      </x:c>
      <x:c r="V2" t="str">
        <x:v>Temp</x:v>
      </x:c>
      <x:c r="W2" t="str">
        <x:v>LF</x:v>
      </x:c>
    </x:row>
    <x:row r="3">
      <x:c r="A3" s="14"/>
      <x:c r="B3" s="14"/>
      <x:c r="D3" s="200"/>
      <x:c r="E3" s="200"/>
      <x:c r="F3" s="200"/>
      <x:c r="G3" s="200"/>
      <x:c r="I3" s="14"/>
      <x:c r="J3" s="14"/>
      <x:c r="K3" s="14"/>
      <x:c r="L3" s="14"/>
      <x:c r="M3" s="14"/>
      <x:c r="N3" s="14"/>
      <x:c r="Q3" t="n">
        <x:v>1</x:v>
      </x:c>
      <x:c r="R3" t="n">
        <x:v>180</x:v>
      </x:c>
      <x:c r="S3" t="n">
        <x:v>0.7</x:v>
      </x:c>
      <x:c r="U3" t="n">
        <x:v>1</x:v>
      </x:c>
      <x:c r="V3" t="n">
        <x:v>25</x:v>
      </x:c>
      <x:c r="W3" t="n">
        <x:v>72</x:v>
      </x:c>
    </x:row>
    <x:row r="4" ht="20" customHeight="1">
      <x:c r="A4" s="356" t="str">
        <x:v>RUN-TAG</x:v>
      </x:c>
      <x:c r="B4" s="357"/>
      <x:c r="C4" s="358"/>
      <x:c r="D4" s="413" t="str">
        <x:v>PHASE</x:v>
      </x:c>
      <x:c r="E4" s="414"/>
      <x:c r="F4" s="415"/>
      <x:c r="G4" s="457" t="str">
        <x:v>GENETIK</x:v>
      </x:c>
      <x:c r="H4" s="458"/>
      <x:c r="I4" s="459"/>
      <x:c r="J4" s="501" t="str">
        <x:v>STACK</x:v>
      </x:c>
      <x:c r="K4" s="502"/>
      <x:c r="L4" s="503"/>
      <x:c r="M4" s="543" t="str">
        <x:v>LOG-STATUS</x:v>
      </x:c>
      <x:c r="N4" s="544"/>
      <x:c r="O4" s="545"/>
      <x:c r="Q4" t="n">
        <x:v>2</x:v>
      </x:c>
      <x:c r="R4" t="n">
        <x:v>250</x:v>
      </x:c>
      <x:c r="S4" t="n">
        <x:v>0.9</x:v>
      </x:c>
      <x:c r="U4" t="n">
        <x:v>2</x:v>
      </x:c>
      <x:c r="V4" t="n">
        <x:v>25.5</x:v>
      </x:c>
      <x:c r="W4" t="n">
        <x:v>67</x:v>
      </x:c>
    </x:row>
    <x:row r="5" ht="25" customHeight="1">
      <x:c r="A5" s="1299" t="str">
        <x:f>"Tag "&amp;'01_Run_Config'!$B$5&amp;" / "&amp;'01_Run_Config'!$B$7</x:f>
        <x:v>Tag 0 / 80</x:v>
      </x:c>
      <x:c r="B5" s="1300"/>
      <x:c r="C5" s="1301"/>
      <x:c r="D5" s="437" t="str">
        <x:f>VLOOKUP('01_Run_Config'!$B$5,'02_Daily_Master'!$A$2:$AK$82,5,FALSE)</x:f>
        <x:v>Keimung</x:v>
      </x:c>
      <x:c r="E5" s="438"/>
      <x:c r="F5" s="439"/>
      <x:c r="G5" s="487" t="str">
        <x:f>'01_Run_Config'!$B$6</x:f>
        <x:v>Double Grape Auto</x:v>
      </x:c>
      <x:c r="H5" s="488"/>
      <x:c r="I5" s="489"/>
      <x:c r="J5" s="524" t="str">
        <x:f>'01_Run_Config'!$B$18</x:f>
        <x:v>UKD HESI Conservative</x:v>
      </x:c>
      <x:c r="K5" s="525"/>
      <x:c r="L5" s="526"/>
      <x:c r="M5" s="572" t="str">
        <x:f>VLOOKUP('01_Run_Config'!$B$5,'12_Daily_Log'!$A$2:$Z$82,25,FALSE)</x:f>
        <x:v>OFFEN</x:v>
      </x:c>
      <x:c r="N5" s="573"/>
      <x:c r="O5" s="574"/>
      <x:c r="Q5" t="n">
        <x:v>3</x:v>
      </x:c>
      <x:c r="R5" t="n">
        <x:v>350</x:v>
      </x:c>
      <x:c r="S5" t="n">
        <x:v>1.2</x:v>
      </x:c>
      <x:c r="U5" t="n">
        <x:v>3</x:v>
      </x:c>
      <x:c r="V5" t="n">
        <x:v>25.5</x:v>
      </x:c>
      <x:c r="W5" t="n">
        <x:v>62</x:v>
      </x:c>
    </x:row>
    <x:row r="6" ht="25" customHeight="1">
      <x:c r="A6" s="1302"/>
      <x:c r="B6" s="1303"/>
      <x:c r="C6" s="1304"/>
      <x:c r="D6" s="440"/>
      <x:c r="E6" s="441"/>
      <x:c r="F6" s="442"/>
      <x:c r="G6" s="490"/>
      <x:c r="H6" s="491"/>
      <x:c r="I6" s="492"/>
      <x:c r="J6" s="527"/>
      <x:c r="K6" s="528"/>
      <x:c r="L6" s="529"/>
      <x:c r="M6" s="575"/>
      <x:c r="N6" s="576"/>
      <x:c r="O6" s="577"/>
      <x:c r="Q6" t="n">
        <x:v>4</x:v>
      </x:c>
      <x:c r="R6" t="n">
        <x:v>450</x:v>
      </x:c>
      <x:c r="S6" t="n">
        <x:v>1.4</x:v>
      </x:c>
      <x:c r="U6" t="n">
        <x:v>4</x:v>
      </x:c>
      <x:c r="V6" t="n">
        <x:v>25.5</x:v>
      </x:c>
      <x:c r="W6" t="n">
        <x:v>58</x:v>
      </x:c>
    </x:row>
    <x:row r="7" ht="25" customHeight="1">
      <x:c r="A7" s="400" t="str">
        <x:f>"Fortschritt: "&amp;TEXT('01_Run_Config'!$B$5/'01_Run_Config'!$B$7,"0%")&amp;" · Ziel "&amp;'01_Run_Config'!$B$7&amp;" Tage"</x:f>
        <x:v>Fortschritt: 0% · Ziel 80 Tage</x:v>
      </x:c>
      <x:c r="B7" s="401"/>
      <x:c r="C7" s="402"/>
      <x:c r="D7" s="443"/>
      <x:c r="E7" s="444"/>
      <x:c r="F7" s="445"/>
      <x:c r="G7" s="493"/>
      <x:c r="H7" s="494"/>
      <x:c r="I7" s="495"/>
      <x:c r="J7" s="530"/>
      <x:c r="K7" s="531"/>
      <x:c r="L7" s="532"/>
      <x:c r="M7" s="578"/>
      <x:c r="N7" s="579"/>
      <x:c r="O7" s="580"/>
      <x:c r="Q7" t="n">
        <x:v>5</x:v>
      </x:c>
      <x:c r="R7" t="n">
        <x:v>550</x:v>
      </x:c>
      <x:c r="S7" t="n">
        <x:v>1.6</x:v>
      </x:c>
      <x:c r="U7" t="n">
        <x:v>5</x:v>
      </x:c>
      <x:c r="V7" t="n">
        <x:v>25</x:v>
      </x:c>
      <x:c r="W7" t="n">
        <x:v>53</x:v>
      </x:c>
    </x:row>
    <x:row r="8">
      <x:c r="A8" s="34"/>
      <x:c r="B8" s="35"/>
      <x:c r="D8" s="34"/>
      <x:c r="E8" s="201"/>
      <x:c r="F8" s="201"/>
      <x:c r="G8" s="35"/>
      <x:c r="I8" s="76"/>
      <x:c r="J8" s="77"/>
      <x:c r="K8" s="77"/>
      <x:c r="L8" s="77"/>
      <x:c r="M8" s="77"/>
      <x:c r="N8" s="78"/>
      <x:c r="Q8" t="n">
        <x:v>6</x:v>
      </x:c>
      <x:c r="R8" t="n">
        <x:v>600</x:v>
      </x:c>
      <x:c r="S8" t="n">
        <x:v>1.7</x:v>
      </x:c>
      <x:c r="U8" t="n">
        <x:v>6</x:v>
      </x:c>
      <x:c r="V8" t="n">
        <x:v>25</x:v>
      </x:c>
      <x:c r="W8" t="n">
        <x:v>50</x:v>
      </x:c>
    </x:row>
    <x:row r="9" ht="22" customHeight="1">
      <x:c r="A9" s="600" t="str">
        <x:v>HEUTE · SOLLWERTE</x:v>
      </x:c>
      <x:c r="B9" s="601"/>
      <x:c r="C9" s="602"/>
      <x:c r="D9" s="600"/>
      <x:c r="E9" s="603"/>
      <x:c r="F9" s="603"/>
      <x:c r="G9" s="601"/>
      <x:c r="H9" s="602"/>
      <x:c r="I9" s="604"/>
      <x:c r="J9" s="602"/>
      <x:c r="K9" s="602"/>
      <x:c r="L9" s="602"/>
      <x:c r="M9" s="602"/>
      <x:c r="N9" s="605"/>
      <x:c r="O9" s="602"/>
      <x:c r="Q9" t="n">
        <x:v>7</x:v>
      </x:c>
      <x:c r="R9" t="n">
        <x:v>625</x:v>
      </x:c>
      <x:c r="S9" t="n">
        <x:v>1.8</x:v>
      </x:c>
      <x:c r="U9" t="n">
        <x:v>7</x:v>
      </x:c>
      <x:c r="V9" t="n">
        <x:v>24.5</x:v>
      </x:c>
      <x:c r="W9" t="n">
        <x:v>47</x:v>
      </x:c>
    </x:row>
    <x:row r="10" ht="24" customHeight="1">
      <x:c r="A10" s="413" t="str">
        <x:v>PPFD</x:v>
      </x:c>
      <x:c r="B10" s="415"/>
      <x:c r="C10" s="630" t="str">
        <x:v>DLI</x:v>
      </x:c>
      <x:c r="D10" s="631"/>
      <x:c r="E10" s="356" t="str">
        <x:v>WATT</x:v>
      </x:c>
      <x:c r="F10" s="641"/>
      <x:c r="G10" s="658" t="str">
        <x:v>ABSTAND cm</x:v>
      </x:c>
      <x:c r="H10" s="358"/>
      <x:c r="I10" s="670" t="str">
        <x:v>TEMP °C</x:v>
      </x:c>
      <x:c r="J10" s="671"/>
      <x:c r="K10" s="670" t="str">
        <x:v>LF %</x:v>
      </x:c>
      <x:c r="L10" s="671"/>
      <x:c r="M10" s="670" t="str">
        <x:v>LEAF-VPD est.</x:v>
      </x:c>
      <x:c r="N10" s="696" t="str">
        <x:v>LEAF-VPD est.</x:v>
      </x:c>
      <x:c r="O10" s="671" t="str">
        <x:v>LEAF-VPD est.</x:v>
      </x:c>
      <x:c r="Q10" t="n">
        <x:v>8</x:v>
      </x:c>
      <x:c r="R10" t="n">
        <x:v>625</x:v>
      </x:c>
      <x:c r="S10" t="n">
        <x:v>1.8</x:v>
      </x:c>
      <x:c r="U10" t="n">
        <x:v>8</x:v>
      </x:c>
      <x:c r="V10" t="n">
        <x:v>24.5</x:v>
      </x:c>
      <x:c r="W10" t="n">
        <x:v>47</x:v>
      </x:c>
    </x:row>
    <x:row r="11" ht="32" customHeight="1">
      <x:c r="A11" s="1360" t="n">
        <x:f>VLOOKUP('01_Run_Config'!$B$5,'02_Daily_Master'!$A$2:$AK$82,9,FALSE)</x:f>
        <x:v>160</x:v>
      </x:c>
      <x:c r="B11" s="1361"/>
      <x:c r="C11" s="1360" t="n">
        <x:f>VLOOKUP('01_Run_Config'!$B$5,'02_Daily_Master'!$A$2:$AK$82,10,FALSE)</x:f>
        <x:v>10.368</x:v>
      </x:c>
      <x:c r="D11" s="1362"/>
      <x:c r="E11" s="1363" t="n">
        <x:f>VLOOKUP('01_Run_Config'!$B$5,'02_Daily_Master'!$A$2:$AK$82,8,FALSE)</x:f>
        <x:v>30</x:v>
      </x:c>
      <x:c r="F11" s="1364"/>
      <x:c r="G11" s="1365" t="n">
        <x:f>VLOOKUP('01_Run_Config'!$B$5,'02_Daily_Master'!$A$2:$AK$82,11,FALSE)</x:f>
        <x:v>55</x:v>
      </x:c>
      <x:c r="H11" s="1364"/>
      <x:c r="I11" s="1366" t="n">
        <x:f>VLOOKUP('01_Run_Config'!$B$5,'02_Daily_Master'!$A$2:$AK$82,12,FALSE)</x:f>
        <x:v>25</x:v>
      </x:c>
      <x:c r="J11" s="1367"/>
      <x:c r="K11" s="1366" t="n">
        <x:f>VLOOKUP('01_Run_Config'!$B$5,'02_Daily_Master'!$A$2:$AK$82,14,FALSE)</x:f>
        <x:v>73</x:v>
      </x:c>
      <x:c r="L11" s="1367"/>
      <x:c r="M11" s="1366" t="n">
        <x:f>VLOOKUP('01_Run_Config'!$B$5,'02_Daily_Master'!$A$2:$AK$82,15,FALSE)</x:f>
        <x:v>0.67</x:v>
      </x:c>
      <x:c r="N11" s="1368"/>
      <x:c r="O11" s="1367"/>
      <x:c r="Q11" t="n">
        <x:v>9</x:v>
      </x:c>
      <x:c r="R11" t="n">
        <x:v>600</x:v>
      </x:c>
      <x:c r="S11" t="n">
        <x:v>1.6</x:v>
      </x:c>
      <x:c r="U11" t="n">
        <x:v>9</x:v>
      </x:c>
      <x:c r="V11" t="n">
        <x:v>24</x:v>
      </x:c>
      <x:c r="W11" t="n">
        <x:v>45</x:v>
      </x:c>
    </x:row>
    <x:row r="12" ht="8" customHeight="1">
      <x:c r="A12" s="443"/>
      <x:c r="B12" s="445"/>
      <x:c r="C12" s="443"/>
      <x:c r="D12" s="445"/>
      <x:c r="E12" s="382"/>
      <x:c r="F12" s="384"/>
      <x:c r="G12" s="382"/>
      <x:c r="H12" s="384"/>
      <x:c r="I12" s="688"/>
      <x:c r="J12" s="689"/>
      <x:c r="K12" s="688"/>
      <x:c r="L12" s="689"/>
      <x:c r="M12" s="688"/>
      <x:c r="N12" s="704"/>
      <x:c r="O12" s="689"/>
      <x:c r="Q12" t="n">
        <x:v>10</x:v>
      </x:c>
      <x:c r="R12" t="n">
        <x:v>550</x:v>
      </x:c>
      <x:c r="S12" t="n">
        <x:v>1.4</x:v>
      </x:c>
      <x:c r="U12" t="n">
        <x:v>10</x:v>
      </x:c>
      <x:c r="V12" t="n">
        <x:v>23.5</x:v>
      </x:c>
      <x:c r="W12" t="n">
        <x:v>43</x:v>
      </x:c>
    </x:row>
    <x:row r="13">
      <x:c r="Q13" t="n">
        <x:v>11</x:v>
      </x:c>
      <x:c r="R13" t="n">
        <x:v>500</x:v>
      </x:c>
      <x:c r="S13" t="n">
        <x:v>1.2</x:v>
      </x:c>
      <x:c r="U13" t="n">
        <x:v>11</x:v>
      </x:c>
      <x:c r="V13" t="n">
        <x:v>23</x:v>
      </x:c>
      <x:c r="W13" t="n">
        <x:v>42</x:v>
      </x:c>
    </x:row>
    <x:row r="14" ht="22" customHeight="1">
      <x:c r="A14" s="707" t="str">
        <x:v>HEUTE · WURZELZONE &amp; WASSER</x:v>
      </x:c>
      <x:c r="B14" s="707"/>
      <x:c r="C14" s="707"/>
      <x:c r="D14" s="707" t="str">
        <x:v>pH Setpoint</x:v>
      </x:c>
      <x:c r="E14" s="707"/>
      <x:c r="F14" s="707"/>
      <x:c r="G14" s="707" t="str">
        <x:v>WASSERBAND min L</x:v>
      </x:c>
      <x:c r="H14" s="707"/>
      <x:c r="I14" s="707"/>
      <x:c r="J14" s="707" t="str">
        <x:v>WASSERBAND max L</x:v>
      </x:c>
      <x:c r="K14" s="707"/>
      <x:c r="L14" s="707"/>
      <x:c r="M14" s="707"/>
      <x:c r="N14" s="707"/>
      <x:c r="O14" s="707"/>
      <x:c r="Q14" t="n">
        <x:v>12</x:v>
      </x:c>
      <x:c r="R14" t="n">
        <x:v>450</x:v>
      </x:c>
      <x:c r="S14" t="n">
        <x:v>1</x:v>
      </x:c>
      <x:c r="U14" t="n">
        <x:v>12</x:v>
      </x:c>
      <x:c r="V14" t="n">
        <x:v>22.5</x:v>
      </x:c>
      <x:c r="W14" t="n">
        <x:v>42</x:v>
      </x:c>
    </x:row>
    <x:row r="15" ht="24" customHeight="1">
      <x:c r="A15" s="710" t="str">
        <x:v>EC mS/cm</x:v>
      </x:c>
      <x:c r="B15" s="711"/>
      <x:c r="C15" s="712"/>
      <x:c r="D15" s="710" t="str">
        <x:v>pH</x:v>
      </x:c>
      <x:c r="E15" s="711"/>
      <x:c r="F15" s="712"/>
      <x:c r="G15" s="743" t="str">
        <x:v>WASSER min L</x:v>
      </x:c>
      <x:c r="H15" s="744"/>
      <x:c r="I15" s="358"/>
      <x:c r="J15" s="743" t="str">
        <x:v>WASSER max L</x:v>
      </x:c>
      <x:c r="K15" s="744"/>
      <x:c r="L15" s="358"/>
      <x:c r="M15" s="630" t="str">
        <x:v>MODUS</x:v>
      </x:c>
      <x:c r="N15" s="761"/>
      <x:c r="O15" s="762"/>
      <x:c r="P15" s="196"/>
      <x:c r="Q15" s="196"/>
      <x:c r="R15" s="196"/>
      <x:c r="T15" s="196"/>
      <x:c r="U15" s="196"/>
      <x:c r="V15" s="196"/>
      <x:c r="X15" s="196"/>
      <x:c r="Y15" s="196"/>
      <x:c r="Z15" s="196"/>
      <x:c r="AA15" s="196"/>
    </x:row>
    <x:row r="16" ht="32" customHeight="1">
      <x:c r="A16" s="1369" t="n">
        <x:f>VLOOKUP('01_Run_Config'!$B$5,'02_Daily_Master'!$A$2:$AK$82,16,FALSE)</x:f>
        <x:v>0.55</x:v>
      </x:c>
      <x:c r="B16" s="1370"/>
      <x:c r="C16" s="1371"/>
      <x:c r="D16" s="1369" t="n">
        <x:f>VLOOKUP('01_Run_Config'!$B$5,'02_Daily_Master'!$A$2:$AK$82,17,FALSE)</x:f>
        <x:v>5.9</x:v>
      </x:c>
      <x:c r="E16" s="1370"/>
      <x:c r="F16" s="1371"/>
      <x:c r="G16" s="1363" t="n">
        <x:f>VLOOKUP('01_Run_Config'!$B$5,'02_Daily_Master'!$A$2:$AK$82,18,FALSE)</x:f>
        <x:v>0.03</x:v>
      </x:c>
      <x:c r="H16" s="1372"/>
      <x:c r="I16" s="1364"/>
      <x:c r="J16" s="1363" t="n">
        <x:f>VLOOKUP('01_Run_Config'!$B$5,'02_Daily_Master'!$A$2:$AK$82,19,FALSE)</x:f>
        <x:v>0.08</x:v>
      </x:c>
      <x:c r="K16" s="1372"/>
      <x:c r="L16" s="1364"/>
      <x:c r="M16" s="1360" t="str">
        <x:f>VLOOKUP('01_Run_Config'!$B$5,'02_Daily_Master'!$A$2:$AK$82,20,FALSE)</x:f>
        <x:v>Manuell</x:v>
      </x:c>
      <x:c r="N16" s="1373"/>
      <x:c r="O16" s="1361"/>
      <x:c r="P16"/>
      <x:c r="Q16"/>
      <x:c r="R16"/>
      <x:c r="T16"/>
      <x:c r="U16"/>
      <x:c r="V16"/>
      <x:c r="X16"/>
      <x:c r="Y16"/>
      <x:c r="Z16"/>
      <x:c r="AA16"/>
    </x:row>
    <x:row r="17" ht="8" customHeight="1">
      <x:c r="A17" s="733"/>
      <x:c r="B17" s="494"/>
      <x:c r="C17" s="734"/>
      <x:c r="D17" s="733"/>
      <x:c r="E17" s="494"/>
      <x:c r="F17" s="734"/>
      <x:c r="G17" s="382"/>
      <x:c r="H17" s="756"/>
      <x:c r="I17" s="384"/>
      <x:c r="J17" s="382"/>
      <x:c r="K17" s="756"/>
      <x:c r="L17" s="384"/>
      <x:c r="M17" s="443"/>
      <x:c r="N17" s="444"/>
      <x:c r="O17" s="445"/>
      <x:c r="P17"/>
      <x:c r="Q17"/>
      <x:c r="R17"/>
      <x:c r="T17"/>
      <x:c r="U17"/>
      <x:c r="V17"/>
      <x:c r="X17"/>
      <x:c r="Y17"/>
      <x:c r="Z17"/>
      <x:c r="AA17"/>
    </x:row>
    <x:row r="18">
      <x:c r="A18" s="22"/>
      <x:c r="B18" s="57"/>
      <x:c r="C18" s="57"/>
      <x:c r="D18" s="57"/>
      <x:c r="E18" s="57"/>
      <x:c r="F18" s="23"/>
      <x:c r="P18"/>
      <x:c r="Q18"/>
      <x:c r="R18"/>
      <x:c r="T18"/>
      <x:c r="U18"/>
      <x:c r="V18"/>
      <x:c r="X18"/>
      <x:c r="Y18"/>
      <x:c r="Z18"/>
      <x:c r="AA18"/>
    </x:row>
    <x:row r="19" ht="22" customHeight="1">
      <x:c r="A19" s="779" t="str">
        <x:v>HEUTE · FEED, TRAINING &amp; ENTSCHEIDUNGEN</x:v>
      </x:c>
      <x:c r="B19" s="780"/>
      <x:c r="C19" s="780"/>
      <x:c r="D19" s="780"/>
      <x:c r="E19" s="780"/>
      <x:c r="F19" s="781"/>
      <x:c r="G19" s="780"/>
      <x:c r="H19" s="780"/>
      <x:c r="I19" s="780"/>
      <x:c r="J19" s="780"/>
      <x:c r="K19" s="780"/>
      <x:c r="L19" s="780"/>
      <x:c r="M19" s="780"/>
      <x:c r="N19" s="780"/>
      <x:c r="O19" s="780"/>
      <x:c r="P19"/>
      <x:c r="Q19"/>
      <x:c r="R19"/>
      <x:c r="T19"/>
      <x:c r="U19"/>
      <x:c r="V19"/>
      <x:c r="X19"/>
      <x:c r="Y19"/>
      <x:c r="Z19"/>
      <x:c r="AA19"/>
    </x:row>
    <x:row r="20" ht="22" customHeight="1">
      <x:c r="A20" s="789" t="str">
        <x:v>BASIS</x:v>
      </x:c>
      <x:c r="B20" s="790" t="str">
        <x:v>BASIS</x:v>
      </x:c>
      <x:c r="C20" s="790" t="str">
        <x:v>BASIS</x:v>
      </x:c>
      <x:c r="D20" s="790" t="str">
        <x:v>ATHENA / HESI SUPPORT</x:v>
      </x:c>
      <x:c r="E20" s="790" t="str">
        <x:v>ATHENA / HESI SUPPORT</x:v>
      </x:c>
      <x:c r="F20" s="795" t="str">
        <x:v>ATHENA / HESI SUPPORT</x:v>
      </x:c>
      <x:c r="G20" s="790" t="str">
        <x:v>TRAINING / CANOPY</x:v>
      </x:c>
      <x:c r="H20" s="790" t="str">
        <x:v>TRAINING / CANOPY</x:v>
      </x:c>
      <x:c r="I20" s="790" t="str">
        <x:v>TRAINING / CANOPY</x:v>
      </x:c>
      <x:c r="J20" s="790" t="str">
        <x:v>TRAINING / CANOPY</x:v>
      </x:c>
      <x:c r="K20" s="790" t="str">
        <x:v>STOP / GATE</x:v>
      </x:c>
      <x:c r="L20" s="790" t="str">
        <x:v>STOP / GATE</x:v>
      </x:c>
      <x:c r="M20" s="790" t="str">
        <x:v>STOP / GATE</x:v>
      </x:c>
      <x:c r="N20" s="790" t="str">
        <x:v>STOP / GATE</x:v>
      </x:c>
      <x:c r="O20" s="790" t="str">
        <x:v>STOP / GATE</x:v>
      </x:c>
      <x:c r="P20"/>
      <x:c r="Q20"/>
      <x:c r="R20"/>
      <x:c r="T20"/>
      <x:c r="U20"/>
      <x:c r="V20"/>
      <x:c r="X20"/>
      <x:c r="Y20"/>
      <x:c r="Z20"/>
      <x:c r="AA20"/>
    </x:row>
    <x:row r="21" ht="28" customHeight="1">
      <x:c r="A21" s="816" t="str">
        <x:f>"Basis: "&amp;VLOOKUP('01_Run_Config'!$B$5,'02_Daily_Master'!$A$2:$AK$82,21,FALSE)&amp;CHAR(10)&amp;"Dose: "&amp;TEXT(VLOOKUP('01_Run_Config'!$B$5,'02_Daily_Master'!$A$2:$AK$82,22,FALSE),"0.00")&amp;" ml/L"&amp;CHAR(10)&amp;"Voodoo: "&amp;TEXT(VLOOKUP('01_Run_Config'!$B$5,'02_Daily_Master'!$A$2:$AK$82,29,FALSE),"0.00")&amp;" ml/L"</x:f>
        <x:v>Basis: Kein Basisdünger
Dose: 0.00 ml/L
Voodoo: 0.00 ml/L</x:v>
      </x:c>
      <x:c r="B21" s="817"/>
      <x:c r="C21" s="818"/>
      <x:c r="D21" s="847" t="str">
        <x:f>"Athena: "&amp;VLOOKUP('01_Run_Config'!$B$5,'02_Daily_Master'!$A$2:$AK$82,35,FALSE)&amp;CHAR(10)&amp;"Root: "&amp;TEXT(VLOOKUP('01_Run_Config'!$B$5,'02_Daily_Master'!$A$2:$AK$82,23,FALSE),"0.00")&amp;" ml/L"&amp;CHAR(10)&amp;"PowerZyme: "&amp;TEXT(VLOOKUP('01_Run_Config'!$B$5,'02_Daily_Master'!$A$2:$AK$82,24,FALSE),"0.00")&amp;" ml/L"&amp;CHAR(10)&amp;"Boost / PK: "&amp;TEXT(VLOOKUP('01_Run_Config'!$B$5,'02_Daily_Master'!$A$2:$AK$82,27,FALSE),"0.00")&amp;" / "&amp;TEXT(VLOOKUP('01_Run_Config'!$B$5,'02_Daily_Master'!$A$2:$AK$82,28,FALSE),"0.00")</x:f>
        <x:v>Athena: Nur nach Wasserchemie/Endmix titrieren; kein Kalenderwert
Root: 0.00 ml/L
PowerZyme: 0.00 ml/L
Boost / PK: 0.00 / 0.00</x:v>
      </x:c>
      <x:c r="E21" s="848"/>
      <x:c r="F21" s="849"/>
      <x:c r="G21" s="875" t="str">
        <x:f>VLOOKUP('01_Run_Config'!$B$5,'02_Daily_Master'!$A$2:$AK$82,31,FALSE)</x:f>
        <x:v>Kein Training</x:v>
      </x:c>
      <x:c r="H21" s="876"/>
      <x:c r="I21" s="876"/>
      <x:c r="J21" s="877"/>
      <x:c r="K21" s="904" t="str">
        <x:f>VLOOKUP('01_Run_Config'!$B$5,'02_Daily_Master'!$A$2:$AK$82,33,FALSE)&amp;CHAR(10)&amp;CHAR(10)&amp;"Wochen-Gate: "&amp;VLOOKUP(VLOOKUP('01_Run_Config'!$B$5,'02_Daily_Master'!$A$2:$AK$82,3,FALSE),'03_Weekly_Master'!$A$2:$T$13,20,FALSE)</x:f>
        <x:v>EC nicht erhöhen bei steigender Diagnose-Drain-EC; PPFD nicht erhöhen bei Stress; Wasserband nie erzwingen; nie mehrere neue Booster gleichzeitig.
Wochen-Gate: Keimling vital? Sonst nicht Licht/EC pushen</x:v>
      </x:c>
      <x:c r="L21" s="905"/>
      <x:c r="M21" s="905"/>
      <x:c r="N21" s="905"/>
      <x:c r="O21" s="906"/>
      <x:c r="P21"/>
      <x:c r="Q21"/>
      <x:c r="R21"/>
      <x:c r="T21"/>
      <x:c r="U21"/>
      <x:c r="V21"/>
      <x:c r="X21"/>
      <x:c r="Y21"/>
      <x:c r="Z21"/>
      <x:c r="AA21"/>
    </x:row>
    <x:row r="22" ht="28" customHeight="1">
      <x:c r="A22" s="819"/>
      <x:c r="B22" s="820"/>
      <x:c r="C22" s="821"/>
      <x:c r="D22" s="850"/>
      <x:c r="E22" s="851"/>
      <x:c r="F22" s="852"/>
      <x:c r="G22" s="878"/>
      <x:c r="H22" s="879"/>
      <x:c r="I22" s="879"/>
      <x:c r="J22" s="880"/>
      <x:c r="K22" s="907"/>
      <x:c r="L22" s="908"/>
      <x:c r="M22" s="908"/>
      <x:c r="N22" s="908"/>
      <x:c r="O22" s="909"/>
      <x:c r="P22"/>
      <x:c r="Q22"/>
      <x:c r="R22"/>
      <x:c r="T22"/>
      <x:c r="U22"/>
      <x:c r="V22"/>
      <x:c r="X22"/>
      <x:c r="Y22"/>
      <x:c r="Z22"/>
      <x:c r="AA22"/>
    </x:row>
    <x:row r="23" ht="28" customHeight="1">
      <x:c r="A23" s="819"/>
      <x:c r="B23" s="820"/>
      <x:c r="C23" s="821"/>
      <x:c r="D23" s="850"/>
      <x:c r="E23" s="851"/>
      <x:c r="F23" s="852"/>
      <x:c r="G23" s="878"/>
      <x:c r="H23" s="879"/>
      <x:c r="I23" s="879"/>
      <x:c r="J23" s="880"/>
      <x:c r="K23" s="907"/>
      <x:c r="L23" s="908"/>
      <x:c r="M23" s="908"/>
      <x:c r="N23" s="908"/>
      <x:c r="O23" s="909"/>
      <x:c r="P23"/>
      <x:c r="Q23"/>
      <x:c r="R23"/>
      <x:c r="T23"/>
      <x:c r="U23"/>
      <x:c r="V23"/>
      <x:c r="X23"/>
      <x:c r="Y23"/>
      <x:c r="Z23"/>
      <x:c r="AA23"/>
    </x:row>
    <x:row r="24" ht="28" customHeight="1">
      <x:c r="A24" s="822"/>
      <x:c r="B24" s="823"/>
      <x:c r="C24" s="824"/>
      <x:c r="D24" s="853"/>
      <x:c r="E24" s="854"/>
      <x:c r="F24" s="855"/>
      <x:c r="G24" s="881"/>
      <x:c r="H24" s="882"/>
      <x:c r="I24" s="882"/>
      <x:c r="J24" s="883"/>
      <x:c r="K24" s="910"/>
      <x:c r="L24" s="911"/>
      <x:c r="M24" s="911"/>
      <x:c r="N24" s="911"/>
      <x:c r="O24" s="912"/>
      <x:c r="P24"/>
      <x:c r="Q24"/>
      <x:c r="R24"/>
      <x:c r="T24"/>
      <x:c r="U24"/>
      <x:c r="V24"/>
      <x:c r="X24"/>
      <x:c r="Y24"/>
      <x:c r="Z24"/>
      <x:c r="AA24"/>
    </x:row>
    <x:row r="25">
      <x:c r="A25" s="22"/>
      <x:c r="B25" s="57"/>
      <x:c r="C25" s="57"/>
      <x:c r="D25" s="57"/>
      <x:c r="E25" s="57"/>
      <x:c r="F25" s="23"/>
      <x:c r="P25"/>
      <x:c r="Q25"/>
      <x:c r="R25"/>
      <x:c r="T25"/>
      <x:c r="U25"/>
      <x:c r="V25"/>
      <x:c r="X25"/>
      <x:c r="Y25"/>
      <x:c r="Z25"/>
      <x:c r="AA25"/>
    </x:row>
    <x:row r="26" ht="22" customHeight="1">
      <x:c r="A26" s="919" t="str">
        <x:v>SCHNELLNAVIGATION · Tabs unten nach Namen öffnen · zuerst SETUP → DAILY PLAN → MIX → LOG</x:v>
      </x:c>
      <x:c r="B26" s="920"/>
      <x:c r="C26" s="920"/>
      <x:c r="D26" s="920"/>
      <x:c r="E26" s="920"/>
      <x:c r="F26" s="921"/>
      <x:c r="G26" s="920"/>
      <x:c r="H26" s="920"/>
      <x:c r="I26" s="920"/>
      <x:c r="J26" s="920"/>
      <x:c r="K26" s="920"/>
      <x:c r="L26" s="920"/>
      <x:c r="M26" s="920"/>
      <x:c r="N26" s="920"/>
      <x:c r="O26" s="920"/>
      <x:c r="P26"/>
      <x:c r="Q26"/>
      <x:c r="R26"/>
      <x:c r="T26"/>
      <x:c r="U26"/>
      <x:c r="V26"/>
      <x:c r="X26"/>
      <x:c r="Y26"/>
      <x:c r="Z26"/>
      <x:c r="AA26"/>
    </x:row>
    <x:row r="27" ht="24" customHeight="1">
      <x:c r="A27" s="1305" t="str">
        <x:v>1 · SETUP
01_Run_Config</x:v>
      </x:c>
      <x:c r="B27" s="1306"/>
      <x:c r="C27" s="1307"/>
      <x:c r="D27" s="1311" t="str">
        <x:v>2 · DAILY PLAN
02_Daily_Master</x:v>
      </x:c>
      <x:c r="E27" s="1312"/>
      <x:c r="F27" s="1313"/>
      <x:c r="G27" s="1317" t="str">
        <x:v>3 · MIX
05_Mix_Calculator</x:v>
      </x:c>
      <x:c r="H27" s="1318"/>
      <x:c r="I27" s="1319"/>
      <x:c r="J27" s="1323" t="str">
        <x:v>4 · LOG
12_Daily_Log</x:v>
      </x:c>
      <x:c r="K27" s="1324"/>
      <x:c r="L27" s="1325"/>
      <x:c r="M27" s="1329" t="str">
        <x:v>WEEKLY
03_Weekly_Master</x:v>
      </x:c>
      <x:c r="N27" s="1330"/>
      <x:c r="O27" s="1331"/>
      <x:c r="P27"/>
      <x:c r="Q27"/>
      <x:c r="R27"/>
      <x:c r="T27"/>
      <x:c r="U27"/>
      <x:c r="V27"/>
      <x:c r="X27"/>
      <x:c r="Y27"/>
      <x:c r="Z27"/>
      <x:c r="AA27"/>
    </x:row>
    <x:row r="28" ht="24" customHeight="1">
      <x:c r="A28" s="1308"/>
      <x:c r="B28" s="1309"/>
      <x:c r="C28" s="1310"/>
      <x:c r="D28" s="1314"/>
      <x:c r="E28" s="1315"/>
      <x:c r="F28" s="1316"/>
      <x:c r="G28" s="1320"/>
      <x:c r="H28" s="1321"/>
      <x:c r="I28" s="1322"/>
      <x:c r="J28" s="1326"/>
      <x:c r="K28" s="1327"/>
      <x:c r="L28" s="1328"/>
      <x:c r="M28" s="1332"/>
      <x:c r="N28" s="1333"/>
      <x:c r="O28" s="1334"/>
    </x:row>
    <x:row r="29" ht="24" customHeight="1"/>
    <x:row r="30" ht="24" customHeight="1">
      <x:c r="A30" s="1317" t="str">
        <x:v>HESI
06_HESI_Reference</x:v>
      </x:c>
      <x:c r="B30" s="1318"/>
      <x:c r="C30" s="1319"/>
      <x:c r="D30" s="1335" t="str">
        <x:v>ATHENA BALANCE
24_Athena_Balance</x:v>
      </x:c>
      <x:c r="E30" s="1336"/>
      <x:c r="F30" s="1337"/>
      <x:c r="G30" s="1323" t="str">
        <x:v>AN GRAND MASTER
25_AN_GrandMaster</x:v>
      </x:c>
      <x:c r="H30" s="1324"/>
      <x:c r="I30" s="1325"/>
      <x:c r="J30" s="1329" t="str">
        <x:v>COMPATIBILITY
16_Compatibility</x:v>
      </x:c>
      <x:c r="K30" s="1330"/>
      <x:c r="L30" s="1331"/>
      <x:c r="M30" s="1338" t="str">
        <x:v>DIAGNOSTICS
13_Diagnostics</x:v>
      </x:c>
      <x:c r="N30" s="1339"/>
      <x:c r="O30" s="1340"/>
    </x:row>
    <x:row r="31" ht="24" customHeight="1">
      <x:c r="A31" s="1320"/>
      <x:c r="B31" s="1321"/>
      <x:c r="C31" s="1322"/>
      <x:c r="D31" s="1314"/>
      <x:c r="E31" s="1315"/>
      <x:c r="F31" s="1316"/>
      <x:c r="G31" s="1326"/>
      <x:c r="H31" s="1327"/>
      <x:c r="I31" s="1328"/>
      <x:c r="J31" s="1332"/>
      <x:c r="K31" s="1333"/>
      <x:c r="L31" s="1334"/>
      <x:c r="M31" s="1341"/>
      <x:c r="N31" s="1342"/>
      <x:c r="O31" s="1343"/>
    </x:row>
    <x:row r="33" ht="22" customHeight="1">
      <x:c r="A33" s="1058" t="str">
        <x:v>FARBLOGIK</x:v>
      </x:c>
      <x:c r="B33" s="1058"/>
      <x:c r="C33" s="1058"/>
      <x:c r="D33" s="1058"/>
      <x:c r="E33" s="1058"/>
      <x:c r="F33" s="1058"/>
      <x:c r="G33" s="1058"/>
      <x:c r="H33" s="1058"/>
      <x:c r="I33" s="1058"/>
      <x:c r="J33" s="1058"/>
      <x:c r="K33" s="1058"/>
      <x:c r="L33" s="1058"/>
      <x:c r="M33" s="1058"/>
      <x:c r="N33" s="1058"/>
      <x:c r="O33" s="1058"/>
    </x:row>
    <x:row r="34" ht="22" customHeight="1">
      <x:c r="A34" s="1072" t="str">
        <x:v>LICHT / SYSTEM</x:v>
      </x:c>
      <x:c r="B34" s="1073"/>
      <x:c r="C34" s="1074"/>
      <x:c r="D34" s="1091" t="str">
        <x:v>KLIMA</x:v>
      </x:c>
      <x:c r="E34" s="1092"/>
      <x:c r="F34" s="1093"/>
      <x:c r="G34" s="1110" t="str">
        <x:v>NÄHRSTOFFE</x:v>
      </x:c>
      <x:c r="H34" s="1111"/>
      <x:c r="I34" s="1112"/>
      <x:c r="J34" s="1129" t="str">
        <x:v>BIO / ADDITIVE</x:v>
      </x:c>
      <x:c r="K34" s="1130"/>
      <x:c r="L34" s="1131"/>
      <x:c r="M34" s="1148" t="str">
        <x:v>WARNUNG / STOP</x:v>
      </x:c>
      <x:c r="N34" s="1149"/>
      <x:c r="O34" s="1150"/>
    </x:row>
    <x:row r="35" ht="22" customHeight="1">
      <x:c r="A35" s="1075"/>
      <x:c r="B35" s="1076"/>
      <x:c r="C35" s="1077"/>
      <x:c r="D35" s="1094"/>
      <x:c r="E35" s="1095"/>
      <x:c r="F35" s="1096"/>
      <x:c r="G35" s="1113"/>
      <x:c r="H35" s="1114"/>
      <x:c r="I35" s="1115"/>
      <x:c r="J35" s="1132"/>
      <x:c r="K35" s="1133"/>
      <x:c r="L35" s="1134"/>
      <x:c r="M35" s="1151"/>
      <x:c r="N35" s="1152"/>
      <x:c r="O35" s="1153"/>
    </x:row>
    <x:row r="36">
      <x:c r="A36" s="1448" t="str">
        <x:v>AUDIT-KERNREGEL v6: Tages-Liter sind Start-/Beobachtungsbänder, keine zu erzwingende Dosis. Tropf-Blumat ist laut Hersteller nicht für Innenräume bestimmt. Feed-/AN-Fenster folgen dem Blüte-Trigger; Klima/Licht bleiben Plantrajektorie; ungemessene Wasserchemie blockiert Athena-Balance-Automatik.</x:v>
      </x:c>
      <x:c r="B36" s="1449"/>
      <x:c r="C36" s="1449"/>
      <x:c r="D36" s="1449"/>
      <x:c r="E36" s="1449"/>
      <x:c r="F36" s="1449"/>
      <x:c r="G36" s="1449"/>
      <x:c r="H36" s="1449"/>
      <x:c r="I36" s="1449"/>
      <x:c r="J36" s="1449"/>
      <x:c r="K36" s="1449"/>
      <x:c r="L36" s="1449"/>
      <x:c r="M36" s="1449"/>
      <x:c r="N36" s="1449"/>
      <x:c r="O36" s="1450"/>
    </x:row>
    <x:row r="37">
      <x:c r="A37" s="1451"/>
      <x:c r="B37" s="1452"/>
      <x:c r="C37" s="1452"/>
      <x:c r="D37" s="1452"/>
      <x:c r="E37" s="1452"/>
      <x:c r="F37" s="1452"/>
      <x:c r="G37" s="1452"/>
      <x:c r="H37" s="1452"/>
      <x:c r="I37" s="1452"/>
      <x:c r="J37" s="1452"/>
      <x:c r="K37" s="1452"/>
      <x:c r="L37" s="1452"/>
      <x:c r="M37" s="1452"/>
      <x:c r="N37" s="1452"/>
      <x:c r="O37" s="1453"/>
    </x:row>
  </x:sheetData>
  <x:mergeCells>
    <x:mergeCell ref="A1:N1"/>
    <x:mergeCell ref="A1:O1"/>
    <x:mergeCell ref="A2:O2"/>
    <x:mergeCell ref="A4:C4"/>
    <x:mergeCell ref="A5:C6"/>
    <x:mergeCell ref="A7:C7"/>
    <x:mergeCell ref="D4:F4"/>
    <x:mergeCell ref="D5:F7"/>
    <x:mergeCell ref="G4:I4"/>
    <x:mergeCell ref="G5:I7"/>
    <x:mergeCell ref="J4:L4"/>
    <x:mergeCell ref="J5:L7"/>
    <x:mergeCell ref="M4:O4"/>
    <x:mergeCell ref="M5:O7"/>
    <x:mergeCell ref="A9:O9"/>
    <x:mergeCell ref="A10:B10"/>
    <x:mergeCell ref="C10:D10"/>
    <x:mergeCell ref="E10:F10"/>
    <x:mergeCell ref="G10:H10"/>
    <x:mergeCell ref="I10:J10"/>
    <x:mergeCell ref="K10:L10"/>
    <x:mergeCell ref="M10:O10"/>
    <x:mergeCell ref="A14:O14"/>
    <x:mergeCell ref="A15:C15"/>
    <x:mergeCell ref="D15:F15"/>
    <x:mergeCell ref="G15:I15"/>
    <x:mergeCell ref="J15:L15"/>
    <x:mergeCell ref="M15:O15"/>
    <x:mergeCell ref="A19:O19"/>
    <x:mergeCell ref="A21:C24"/>
    <x:mergeCell ref="D21:F24"/>
    <x:mergeCell ref="G21:J24"/>
    <x:mergeCell ref="K21:O24"/>
    <x:mergeCell ref="A26:O26"/>
    <x:mergeCell ref="A27:C28"/>
    <x:mergeCell ref="D27:F28"/>
    <x:mergeCell ref="G27:I28"/>
    <x:mergeCell ref="J27:L28"/>
    <x:mergeCell ref="M27:O28"/>
    <x:mergeCell ref="A30:C31"/>
    <x:mergeCell ref="D30:F31"/>
    <x:mergeCell ref="G30:I31"/>
    <x:mergeCell ref="J30:L31"/>
    <x:mergeCell ref="M30:O31"/>
    <x:mergeCell ref="A33:O33"/>
    <x:mergeCell ref="A34:C35"/>
    <x:mergeCell ref="D34:F35"/>
    <x:mergeCell ref="G34:I35"/>
    <x:mergeCell ref="J34:L35"/>
    <x:mergeCell ref="M34:O35"/>
    <x:mergeCell ref="A20:C20"/>
    <x:mergeCell ref="D20:F20"/>
    <x:mergeCell ref="G20:J20"/>
    <x:mergeCell ref="K20:O20"/>
    <x:mergeCell ref="A11:B11"/>
    <x:mergeCell ref="C11:D11"/>
    <x:mergeCell ref="E11:F11"/>
    <x:mergeCell ref="G11:H11"/>
    <x:mergeCell ref="I11:J11"/>
    <x:mergeCell ref="K11:L11"/>
    <x:mergeCell ref="M11:O11"/>
    <x:mergeCell ref="A16:C16"/>
    <x:mergeCell ref="D16:F16"/>
    <x:mergeCell ref="G16:I16"/>
    <x:mergeCell ref="J16:L16"/>
    <x:mergeCell ref="M16:O16"/>
    <x:mergeCell ref="A36:O37"/>
  </x:mergeCells>
  <x:conditionalFormatting sqref="G4:G10">
    <x:cfRule type="expression" dxfId="0" priority="1">
      <x:formula>G4="KRITISCH"</x:formula>
    </x:cfRule>
    <x:cfRule type="expression" dxfId="1" priority="2">
      <x:formula>G4="HOCH"</x:formula>
    </x:cfRule>
    <x:cfRule type="expression" dxfId="2" priority="3">
      <x:formula>G4="MITTEL"</x:formula>
    </x:cfRule>
  </x:conditionalFormatting>
  <x:conditionalFormatting sqref="G4:G11">
    <x:cfRule type="expression" dxfId="26" priority="4">
      <x:formula>G4="KRITISCH"</x:formula>
    </x:cfRule>
    <x:cfRule type="expression" dxfId="27" priority="5">
      <x:formula>G4="HOCH"</x:formula>
    </x:cfRule>
  </x:conditionalFormatting>
  <x:conditionalFormatting sqref="M5:O7">
    <x:cfRule type="expression" dxfId="34" priority="6">
      <x:formula>M5="OK"</x:formula>
    </x:cfRule>
    <x:cfRule type="expression" dxfId="35" priority="7">
      <x:formula>M5="WARN"</x:formula>
    </x:cfRule>
    <x:cfRule type="expression" dxfId="36" priority="8">
      <x:formula>M5="FAIL"</x:formula>
    </x:cfRule>
    <x:cfRule type="expression" dxfId="68" priority="9">
      <x:formula>M5="OFFEN"</x:formula>
    </x:cfRule>
  </x:conditionalFormatting>
  <x:pageMargins left="0.7" right="0.7" top="0.75" bottom="0.75" header="0.3" footer="0.3"/>
  <x:drawing xmlns:r="http://schemas.openxmlformats.org/officeDocument/2006/relationships" r:id="R8a5fb90557b0484c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7" hidden="0" customWidth="1"/>
    <x:col min="4" max="4" width="18" hidden="0" customWidth="1"/>
    <x:col min="5" max="5" width="18" hidden="0" customWidth="1"/>
    <x:col min="6" max="6" width="31" hidden="0" customWidth="1"/>
    <x:col min="7" max="7" width="34" hidden="0" customWidth="1"/>
    <x:col min="8" max="8" width="22" hidden="0" customWidth="1"/>
    <x:col min="3" max="3" width="3" hidden="0" customWidth="1"/>
  </x:cols>
  <x:sheetData>
    <x:row r="1" ht="32" customHeight="1">
      <x:c r="A1" s="335" t="str">
        <x:v>01 · SETUP &amp; RUN CONTROL</x:v>
      </x:c>
      <x:c r="B1" s="335"/>
      <x:c r="C1" s="335"/>
      <x:c r="D1" s="335"/>
      <x:c r="E1" s="335"/>
      <x:c r="F1" s="335"/>
      <x:c r="G1" s="335"/>
      <x:c r="H1" s="335"/>
    </x:row>
    <x:row r="3">
      <x:c r="A3" s="790" t="str">
        <x:v>RUN INPUTS</x:v>
      </x:c>
      <x:c r="B3" s="790" t="str">
        <x:v>WERT</x:v>
      </x:c>
      <x:c r="D3" s="1188" t="str">
        <x:v>Abgeleitet</x:v>
      </x:c>
      <x:c r="E3" s="1189" t="str">
        <x:v>Formel/Wert</x:v>
      </x:c>
      <x:c r="F3" s="1190" t="str">
        <x:v>Kommentar</x:v>
      </x:c>
      <x:c r="G3" s="790"/>
      <x:c r="H3" s="790"/>
    </x:row>
    <x:row r="4">
      <x:c r="A4" s="1160" t="str">
        <x:v>Startdatum</x:v>
      </x:c>
      <x:c r="B4" s="1172" t="n">
        <x:v>46242</x:v>
      </x:c>
      <x:c r="D4" s="1196" t="str">
        <x:v>Canopy Fläche m²</x:v>
      </x:c>
      <x:c r="E4" s="1197" t="n">
        <x:f>(B8/100)*(B9/100)</x:f>
        <x:v>0.36</x:v>
      </x:c>
      <x:c r="F4" s="1198" t="str">
        <x:v>Breite × Tiefe</x:v>
      </x:c>
    </x:row>
    <x:row r="5">
      <x:c r="A5" s="1162" t="str">
        <x:v>Aktueller Run-Tag</x:v>
      </x:c>
      <x:c r="B5" s="1187" t="n">
        <x:v>0</x:v>
      </x:c>
      <x:c r="D5" s="1162" t="str">
        <x:v>Zeltvolumen m³</x:v>
      </x:c>
      <x:c r="E5" s="1199" t="n">
        <x:f>(B8/100)*(B9/100)*(B10/100)</x:f>
        <x:v>0.648</x:v>
      </x:c>
      <x:c r="F5" s="1200" t="str">
        <x:v>Breite × Tiefe × Höhe</x:v>
      </x:c>
    </x:row>
    <x:row r="6">
      <x:c r="A6" s="1162" t="str">
        <x:v>Genetik</x:v>
      </x:c>
      <x:c r="B6" s="1173" t="str">
        <x:v>Double Grape Auto</x:v>
      </x:c>
      <x:c r="D6" s="1162" t="str">
        <x:v>Max. W/m²</x:v>
      </x:c>
      <x:c r="E6" s="1199" t="n">
        <x:f>B11/E4</x:f>
        <x:v>388.8888888888889</x:v>
      </x:c>
      <x:c r="F6" s="1200" t="str">
        <x:v>nur elektrische Kenngröße</x:v>
      </x:c>
    </x:row>
    <x:row r="7">
      <x:c r="A7" s="1162" t="str">
        <x:v>Plan-Endtag (Tag 0 = Start)</x:v>
      </x:c>
      <x:c r="B7" s="1173" t="n">
        <x:v>80</x:v>
      </x:c>
      <x:c r="D7" s="1162" t="str">
        <x:v>Current Phase</x:v>
      </x:c>
      <x:c r="E7" s="1201" t="str">
        <x:f>VLOOKUP(B5,'02_Daily_Master'!$A$2:$AP$82,5,FALSE)</x:f>
        <x:v>Keimung</x:v>
      </x:c>
      <x:c r="F7" s="1200" t="str">
        <x:v>aus Tagesplan</x:v>
      </x:c>
    </x:row>
    <x:row r="8">
      <x:c r="A8" s="1162" t="str">
        <x:v>Zelt Breite cm</x:v>
      </x:c>
      <x:c r="B8" s="1173" t="n">
        <x:v>60</x:v>
      </x:c>
      <x:c r="D8" s="1162" t="str">
        <x:v>Current PPFD</x:v>
      </x:c>
      <x:c r="E8" s="1201" t="n">
        <x:f>VLOOKUP(B5,'02_Daily_Master'!$A$2:$AP$82,9,FALSE)</x:f>
        <x:v>160</x:v>
      </x:c>
      <x:c r="F8" s="1200" t="str">
        <x:v>aus Tagesplan</x:v>
      </x:c>
    </x:row>
    <x:row r="9">
      <x:c r="A9" s="1162" t="str">
        <x:v>Zelt Tiefe cm</x:v>
      </x:c>
      <x:c r="B9" s="1173" t="n">
        <x:v>60</x:v>
      </x:c>
      <x:c r="D9" s="1162" t="str">
        <x:v>Current EC</x:v>
      </x:c>
      <x:c r="E9" s="1201" t="n">
        <x:f>VLOOKUP(B5,'02_Daily_Master'!$A$2:$AP$82,16,FALSE)</x:f>
        <x:v>0.55</x:v>
      </x:c>
      <x:c r="F9" s="1200" t="str">
        <x:v>aus Tagesplan</x:v>
      </x:c>
    </x:row>
    <x:row r="10">
      <x:c r="A10" s="1162" t="str">
        <x:v>Zelt Höhe cm</x:v>
      </x:c>
      <x:c r="B10" s="1173" t="n">
        <x:v>180</x:v>
      </x:c>
      <x:c r="D10" s="1162" t="str">
        <x:v>Current pH</x:v>
      </x:c>
      <x:c r="E10" s="1201" t="n">
        <x:f>VLOOKUP(B5,'02_Daily_Master'!$A$2:$AP$82,17,FALSE)</x:f>
        <x:v>5.9</x:v>
      </x:c>
      <x:c r="F10" s="1200" t="str">
        <x:v>aus Tagesplan</x:v>
      </x:c>
    </x:row>
    <x:row r="11">
      <x:c r="A11" s="1162" t="str">
        <x:v>LED max W</x:v>
      </x:c>
      <x:c r="B11" s="1173" t="n">
        <x:v>140</x:v>
      </x:c>
      <x:c r="D11" s="1164" t="str">
        <x:v>Legal Plant Limit</x:v>
      </x:c>
      <x:c r="E11" s="1202" t="n">
        <x:v>3</x:v>
      </x:c>
      <x:c r="F11" s="1203" t="str">
        <x:v>pro erwachsene Person am Wohnsitz; Stand 2026</x:v>
      </x:c>
    </x:row>
    <x:row r="12">
      <x:c r="A12" s="1162" t="str">
        <x:v>Lichtstunden/Tag</x:v>
      </x:c>
      <x:c r="B12" s="1173" t="n">
        <x:v>18</x:v>
      </x:c>
    </x:row>
    <x:row r="13">
      <x:c r="A13" s="1162" t="str">
        <x:v>Topfvolumen L</x:v>
      </x:c>
      <x:c r="B13" s="1173" t="n">
        <x:v>11</x:v>
      </x:c>
      <x:c r="D13" s="790" t="str">
        <x:v>Sicherheits-/Qualitätsinput</x:v>
      </x:c>
      <x:c r="E13" s="790" t="str">
        <x:v>Soll</x:v>
      </x:c>
      <x:c r="F13" s="790" t="str">
        <x:v>Warum</x:v>
      </x:c>
      <x:c r="G13" s="790" t="str">
        <x:v>Status</x:v>
      </x:c>
      <x:c r="H13" s="790" t="str">
        <x:v>Aktion</x:v>
      </x:c>
    </x:row>
    <x:row r="14">
      <x:c r="A14" s="1162" t="str">
        <x:v>Medium</x:v>
      </x:c>
      <x:c r="B14" s="1173" t="str">
        <x:v>UGro Rhiza Coco</x:v>
      </x:c>
      <x:c r="D14" s="1160" t="str">
        <x:v>pH-Meter kalibriert</x:v>
      </x:c>
      <x:c r="E14" s="1206" t="str">
        <x:v>wöchentlich</x:v>
      </x:c>
      <x:c r="F14" s="1206" t="str">
        <x:v>pH-Fehler sehen wie Nährstoffmangel aus</x:v>
      </x:c>
      <x:c r="G14" s="1206" t="str">
        <x:v>offen</x:v>
      </x:c>
      <x:c r="H14" s="1207" t="str">
        <x:v>Kalibrierlösung pH 4/7</x:v>
      </x:c>
    </x:row>
    <x:row r="15">
      <x:c r="A15" s="1162" t="str">
        <x:v>Wasser-Typ</x:v>
      </x:c>
      <x:c r="B15" s="1173" t="str">
        <x:v>Unbekannt / messen</x:v>
      </x:c>
      <x:c r="D15" s="1162" t="str">
        <x:v>EC-Meter geprüft</x:v>
      </x:c>
      <x:c r="E15" s="1201" t="str">
        <x:v>wöchentlich</x:v>
      </x:c>
      <x:c r="F15" s="1201" t="str">
        <x:v>Salzmanagement in Coco</x:v>
      </x:c>
      <x:c r="G15" s="1201" t="str">
        <x:v>offen</x:v>
      </x:c>
      <x:c r="H15" s="1200" t="str">
        <x:v>Referenzlösung</x:v>
      </x:c>
    </x:row>
    <x:row r="16">
      <x:c r="A16" s="1162" t="str">
        <x:v>Ausgangs-EC mS/cm</x:v>
      </x:c>
      <x:c r="B16" s="1173" t="n">
        <x:v>0.3</x:v>
      </x:c>
      <x:c r="D16" s="1162" t="str">
        <x:v>Leckagesensor</x:v>
      </x:c>
      <x:c r="E16" s="1201" t="str">
        <x:v>empfohlen bei automatischer Bewässerung</x:v>
      </x:c>
      <x:c r="F16" s="1201" t="str">
        <x:v>Schadensbegrenzung; ersetzt keine Herstellerfreigabe eines Systems</x:v>
      </x:c>
      <x:c r="G16" s="1201" t="str">
        <x:v>offen</x:v>
      </x:c>
      <x:c r="H16" s="1200" t="str">
        <x:v>unter Wanne / kritischem Wasserpfad</x:v>
      </x:c>
    </x:row>
    <x:row r="17">
      <x:c r="A17" s="1162" t="str">
        <x:v>CalMag Plan ml/L</x:v>
      </x:c>
      <x:c r="B17" s="1173" t="n">
        <x:v>0</x:v>
      </x:c>
      <x:c r="D17" s="1162" t="str">
        <x:v>Auffangwanne</x:v>
      </x:c>
      <x:c r="E17" s="1201" t="str">
        <x:v>bei automatischer Bewässerung dimensionieren</x:v>
      </x:c>
      <x:c r="F17" s="1201" t="str">
        <x:v>Schadensbegrenzung bei Leckage</x:v>
      </x:c>
      <x:c r="G17" s="1201" t="str">
        <x:v>offen</x:v>
      </x:c>
      <x:c r="H17" s="1200" t="str">
        <x:v>Dimensionieren</x:v>
      </x:c>
    </x:row>
    <x:row r="18">
      <x:c r="A18" s="1164" t="str">
        <x:v>Operativer Planmodus</x:v>
      </x:c>
      <x:c r="B18" s="1174" t="str">
        <x:v>UKD HESI Conservative</x:v>
      </x:c>
      <x:c r="D18" s="1164" t="str">
        <x:v>AKF / Unterdruck</x:v>
      </x:c>
      <x:c r="E18" s="1202" t="str">
        <x:v>kontinuierlich</x:v>
      </x:c>
      <x:c r="F18" s="1202" t="str">
        <x:v>Geruchs- und Sicherheitsmanagement</x:v>
      </x:c>
      <x:c r="G18" s="1202" t="str">
        <x:v>offen</x:v>
      </x:c>
      <x:c r="H18" s="1203" t="str">
        <x:v>Funktionsprüfung</x:v>
      </x:c>
    </x:row>
    <x:row r="20">
      <x:c r="A20" s="1209" t="str">
        <x:v>pH-/Silizium-Konfiguration</x:v>
      </x:c>
      <x:c r="B20" s="1209" t="str">
        <x:v>Wert</x:v>
      </x:c>
    </x:row>
    <x:row r="21">
      <x:c r="A21" s="32" t="str">
        <x:v>Athena Balance verwenden?</x:v>
      </x:c>
      <x:c r="B21" s="1181" t="str">
        <x:v>Nur nach Messung / Default AUS</x:v>
      </x:c>
    </x:row>
    <x:row r="22">
      <x:c r="A22" s="34" t="str">
        <x:v>Athena Balance Titration ml/L</x:v>
      </x:c>
      <x:c r="B22" s="1182" t="n">
        <x:v>0</x:v>
      </x:c>
    </x:row>
    <x:row r="23">
      <x:c r="A23" s="34" t="str">
        <x:v>pH Ziel Endmix</x:v>
      </x:c>
      <x:c r="B23" s="1182" t="n">
        <x:v>5.9</x:v>
      </x:c>
    </x:row>
    <x:row r="24">
      <x:c r="A24" s="34" t="str">
        <x:v>pH Down Produkt</x:v>
      </x:c>
      <x:c r="B24" s="1182" t="str">
        <x:v>phosphorsäurebasiert / Konzentration notieren</x:v>
      </x:c>
    </x:row>
    <x:row r="25">
      <x:c r="A25" s="34" t="str">
        <x:v>pH Down tatsächliche Dosis ml/L</x:v>
      </x:c>
      <x:c r="B25" s="1182" t="n">
        <x:v>0</x:v>
      </x:c>
    </x:row>
    <x:row r="26">
      <x:c r="A26" s="34" t="str">
        <x:v>Silizium-Alternative</x:v>
      </x:c>
      <x:c r="B26" s="1182" t="str">
        <x:v>Keine (Balance ist Default-Si wenn genutzt)</x:v>
      </x:c>
    </x:row>
    <x:row r="27">
      <x:c r="A27" s="34" t="str">
        <x:v>AN Grand-Master Status (Info)</x:v>
      </x:c>
      <x:c r="B27" s="1182" t="str">
        <x:v>Vergleich/A-B; keine automatische Aktivierung</x:v>
      </x:c>
    </x:row>
    <x:row r="28">
      <x:c r="A28" s="34" t="str">
        <x:v>GM Pilot-Faktor vs. Label (Info)</x:v>
      </x:c>
      <x:c r="B28" s="1183" t="n">
        <x:v>0.5</x:v>
      </x:c>
    </x:row>
    <x:row r="29">
      <x:c r="A29" s="36" t="str">
        <x:v>Hinweis</x:v>
      </x:c>
      <x:c r="B29" s="37" t="str">
        <x:v>GM-Faktor ist nur ein explorativer Planparameter; er wird NICHT automatisch als validierte Dosierung auf Grand-Master-Produkte angewandt.</x:v>
      </x:c>
    </x:row>
    <x:row r="31">
      <x:c r="A31" s="1380" t="str">
        <x:v>AUDIT-KORREKTUREN · PHÄNOLOGIE, WASSERCHEMIE, VPD &amp; ENERGIE</x:v>
      </x:c>
      <x:c r="B31" s="1380"/>
      <x:c r="C31" s="1380"/>
      <x:c r="D31" s="1701" t="str">
        <x:v>CONTENT SAFETY GATES · fail-closed where inputs are unknown</x:v>
      </x:c>
      <x:c r="E31" s="1702"/>
      <x:c r="F31" s="1702"/>
      <x:c r="G31" s="1702"/>
      <x:c r="H31" s="1703"/>
    </x:row>
    <x:row r="32">
      <x:c r="A32" s="1154" t="str">
        <x:v>Nährstoffstart Tag</x:v>
      </x:c>
      <x:c r="B32" s="1385" t="n">
        <x:v>4</x:v>
      </x:c>
      <x:c r="D32" s="1704" t="str">
        <x:v>Gate</x:v>
      </x:c>
      <x:c r="E32" s="1705" t="str">
        <x:v>Status</x:v>
      </x:c>
      <x:c r="F32" s="1705" t="str">
        <x:v>Why</x:v>
      </x:c>
      <x:c r="G32" s="1705" t="str">
        <x:v>Action</x:v>
      </x:c>
      <x:c r="H32" s="1706" t="str">
        <x:v>Evidence</x:v>
      </x:c>
    </x:row>
    <x:row r="33">
      <x:c r="A33" s="1156" t="str">
        <x:v>Blüte-Trigger Tag</x:v>
      </x:c>
      <x:c r="B33" s="1386" t="n">
        <x:v>28</x:v>
      </x:c>
      <x:c r="D33" s="1707" t="str">
        <x:v>Trigger order</x:v>
      </x:c>
      <x:c r="E33" s="1708" t="str">
        <x:f>IF(AND(ISNUMBER($B$32),ISNUMBER($B$33),$B$32&gt;=0,$B$33&gt;$B$32,$B$33&lt;=$B$7),"OK","BLOCK")</x:f>
        <x:v>OK</x:v>
      </x:c>
      <x:c r="F33" s="1708" t="str">
        <x:v>Nährstoffstart muss vor Blüte-Trigger liegen; beide innerhalb Planfenster.</x:v>
      </x:c>
      <x:c r="G33" s="1708" t="str">
        <x:v>Bei BLOCK keine triggerbasierten Feedwerte als operative Anleitung nutzen.</x:v>
      </x:c>
      <x:c r="H33" s="1709" t="str">
        <x:v>Spreadsheet logic</x:v>
      </x:c>
    </x:row>
    <x:row r="34">
      <x:c r="A34" s="1156" t="str">
        <x:v>Blatt-ΔT °C (Schätzung)</x:v>
      </x:c>
      <x:c r="B34" s="1386" t="n">
        <x:v>-1</x:v>
      </x:c>
      <x:c r="D34" s="1707" t="str">
        <x:v>Water chemistry</x:v>
      </x:c>
      <x:c r="E34" s="1708" t="str">
        <x:f>IF(AND(ISNUMBER($B$35),ISNUMBER($B$36),ISNUMBER($B$37),ISNUMBER($B$38)),"MEASURED","UNKNOWN")</x:f>
        <x:v>UNKNOWN</x:v>
      </x:c>
      <x:c r="F34" s="1708" t="str">
        <x:v>Athena-/CalMag-Entscheidungen sind ohne gemessenen Source-pH, Ca, Mg und HCO3/Alkalinität unterbestimmt.</x:v>
      </x:c>
      <x:c r="G34" s="1708" t="str">
        <x:v>Wasserwerte messen oder Labor-/Versorgerdaten eintragen; bis dahin Balance-Dosis 0.</x:v>
      </x:c>
      <x:c r="H34" s="1709" t="str">
        <x:v>Chemistry + manufacturer</x:v>
      </x:c>
    </x:row>
    <x:row r="35">
      <x:c r="A35" s="1156" t="str">
        <x:v>Ausgangs-pH Wasser</x:v>
      </x:c>
      <x:c r="B35" s="1386" t="str">
        <x:v>unbekannt</x:v>
      </x:c>
      <x:c r="D35" s="1707" t="str">
        <x:v>Athena Balance</x:v>
      </x:c>
      <x:c r="E35" s="1708" t="str">
        <x:f>IF($B$22=0,"OFF/SAFE",IF($E$34="MEASURED","TEST ONLY","BLOCK"))</x:f>
        <x:v>OFF/SAFE</x:v>
      </x:c>
      <x:c r="F35" s="1708" t="str">
        <x:v>Kein universeller offizieller ml/L-Kalenderwert; Einsatz nur als gemessene pH-Anhebung/Testbatch.</x:v>
      </x:c>
      <x:c r="G35" s="1708" t="str">
        <x:v>Bei BLOCK nicht dosieren; erst Baseline-Endmix ohne Balance messen.</x:v>
      </x:c>
      <x:c r="H35" s="1709" t="str">
        <x:v>Athena manufacturer</x:v>
      </x:c>
    </x:row>
    <x:row r="36">
      <x:c r="A36" s="1156" t="str">
        <x:v>Ca Wasser mg/L</x:v>
      </x:c>
      <x:c r="B36" s="1386" t="str">
        <x:v>unbekannt</x:v>
      </x:c>
      <x:c r="D36" s="1707" t="str">
        <x:v>Configured pH setpoint</x:v>
      </x:c>
      <x:c r="E36" s="1708" t="str">
        <x:f>IF(AND(ISNUMBER($B$23),$B$23&gt;=5.8,$B$23&lt;=6.2),"IN BAND","REVIEW")</x:f>
        <x:v>IN BAND</x:v>
      </x:c>
      <x:c r="F36" s="1708" t="str">
        <x:v>5.9 ist UKD-Arbeitssetpoint innerhalb HESI-Coco-Herstellerband 5.8–6.2, kein universelles Optimum.</x:v>
      </x:c>
      <x:c r="G36" s="1708" t="str">
        <x:v>Nicht auf 5.90 'jagen'; Messunsicherheit und Drift berücksichtigen.</x:v>
      </x:c>
      <x:c r="H36" s="1709" t="str">
        <x:v>HESI manufacturer</x:v>
      </x:c>
    </x:row>
    <x:row r="37">
      <x:c r="A37" s="1156" t="str">
        <x:v>Mg Wasser mg/L</x:v>
      </x:c>
      <x:c r="B37" s="1386" t="str">
        <x:v>unbekannt</x:v>
      </x:c>
      <x:c r="D37" s="1707" t="str">
        <x:v>Irrigation volume</x:v>
      </x:c>
      <x:c r="E37" s="1708" t="str">
        <x:v>ADAPTIVE</x:v>
      </x:c>
      <x:c r="F37" s="1708" t="str">
        <x:v>Liter/Tag-Bänder sind Start-/Beobachtungswerte; Pflanzen-, Klima- und Wurzelzustand bestimmen realen Bedarf.</x:v>
      </x:c>
      <x:c r="G37" s="1708" t="str">
        <x:v>Volumenband nie erzwingen; Topfmasse/Feuchte, Pflanzenreaktion und Diagnose-Drain priorisieren.</x:v>
      </x:c>
      <x:c r="H37" s="1709" t="str">
        <x:v>UKD safety</x:v>
      </x:c>
    </x:row>
    <x:row r="38">
      <x:c r="A38" s="1156" t="str">
        <x:v>HCO3 / Alkalinität</x:v>
      </x:c>
      <x:c r="B38" s="1386" t="str">
        <x:v>unbekannt</x:v>
      </x:c>
      <x:c r="D38" s="1710" t="str">
        <x:v>Deep Research import</x:v>
      </x:c>
      <x:c r="E38" s="1711" t="str">
        <x:v>FILTERED</x:v>
      </x:c>
      <x:c r="F38" s="1711" t="str">
        <x:v>Externe Research-Synthesen sind Sekundärinput und können Scope-/Rechtsfehler enthalten.</x:v>
      </x:c>
      <x:c r="G38" s="1711" t="str">
        <x:v>Nur nach Primärquellen-Verifikation in operative Regeln übernehmen.</x:v>
      </x:c>
      <x:c r="H38" s="1712" t="str">
        <x:v>Audit method</x:v>
      </x:c>
    </x:row>
    <x:row r="39">
      <x:c r="A39" s="1156" t="str">
        <x:v>Strompreis €/kWh (optional)</x:v>
      </x:c>
      <x:c r="B39" s="1386" t="n">
        <x:v>0</x:v>
      </x:c>
    </x:row>
    <x:row r="40">
      <x:c r="A40" s="1156" t="str">
        <x:v>Reference-Bewässerung</x:v>
      </x:c>
      <x:c r="B40" s="1386" t="str">
        <x:v>Manuell / indoor-freigegebene Automation</x:v>
      </x:c>
    </x:row>
    <x:row r="41">
      <x:c r="A41" s="1156" t="str">
        <x:v>CO₂ Umgebung ppm (optional)</x:v>
      </x:c>
      <x:c r="B41" s="1387" t="str">
        <x:v>nicht gemessen</x:v>
      </x:c>
    </x:row>
    <x:row r="42">
      <x:c r="A42" s="1158" t="str">
        <x:v>Methodik</x:v>
      </x:c>
      <x:c r="B42" s="1195" t="str">
        <x:v>Nährstoff-/Blüte-Trigger sind Eingaben. Klima/Licht sind konservative Plantrajektorie; Pflanzenreaktion überschreibt Kalender.</x:v>
      </x:c>
    </x:row>
    <x:row r="43">
      <x:c r="A43" s="1393" t="str">
        <x:v>WICHTIG: Tropf-Blumat wird vom Hersteller ausdrücklich nicht für den Innenbereich freigegeben. Es ist deshalb kein UKD-Reference-System mehr; Blatt 09 bleibt ausschließlich Risiko-/Legacy-Dokumentation.</x:v>
      </x:c>
      <x:c r="B43" s="1394"/>
      <x:c r="C43" s="1394"/>
      <x:c r="D43" s="1394"/>
      <x:c r="E43" s="1394"/>
      <x:c r="F43" s="1394"/>
      <x:c r="G43" s="1394"/>
      <x:c r="H43" s="1395"/>
    </x:row>
    <x:row r="44">
      <x:c r="A44" s="1673" t="str">
        <x:v>SYSTEMSCHALTER-AUDIT: 07_AN_pHPerfect und 25_AN_GrandMaster sind Vergleichs-/Referenzmodule. Der operative Motor bleibt bewusst „UKD HESI Conservative“; ein Textfeld schaltet keine Vollbasisformeln um.</x:v>
      </x:c>
      <x:c r="B44" s="1674"/>
      <x:c r="C44" s="1674"/>
      <x:c r="D44" s="1674"/>
      <x:c r="E44" s="1674"/>
      <x:c r="F44" s="1674"/>
      <x:c r="G44" s="1674"/>
      <x:c r="H44" s="1675"/>
    </x:row>
    <x:row r="45">
      <x:c r="A45" s="1676"/>
      <x:c r="B45" s="1677"/>
      <x:c r="C45" s="1677"/>
      <x:c r="D45" s="1677"/>
      <x:c r="E45" s="1677"/>
      <x:c r="F45" s="1677"/>
      <x:c r="G45" s="1677"/>
      <x:c r="H45" s="1678"/>
    </x:row>
  </x:sheetData>
  <x:mergeCells>
    <x:mergeCell ref="A1:H1"/>
    <x:mergeCell ref="A31:H31"/>
    <x:mergeCell ref="A43:H43"/>
    <x:mergeCell ref="A44:H45"/>
    <x:mergeCell ref="D31:H31"/>
  </x:mergeCells>
  <x:conditionalFormatting sqref="D4:E11">
    <x:cfRule type="expression" dxfId="37" priority="3">
      <x:formula>ROW()&gt;3</x:formula>
    </x:cfRule>
  </x:conditionalFormatting>
  <x:conditionalFormatting sqref="G14:G18">
    <x:cfRule type="expression" dxfId="38" priority="4">
      <x:formula>G14="OK"</x:formula>
    </x:cfRule>
    <x:cfRule type="expression" dxfId="39" priority="5">
      <x:formula>G14="WARN"</x:formula>
    </x:cfRule>
    <x:cfRule type="expression" dxfId="40" priority="6">
      <x:formula>G14="offen"</x:formula>
    </x:cfRule>
  </x:conditionalFormatting>
  <x:dataValidations count="11">
    <x:dataValidation type="list" sqref="B6">
      <x:formula1>"Double Grape Auto,Banana Purple Punch Auto,Auto Night Queen,Auto Cinderella Jack,Sour Stomper Auto"</x:formula1>
    </x:dataValidation>
    <x:dataValidation type="list" sqref="B14">
      <x:formula1>"Unbekannt / messen,Leitungswasser weich,Leitungswasser mittel/hart,RO / destilliert"</x:formula1>
    </x:dataValidation>
    <x:dataValidation type="list" sqref="B17">
      <x:formula1>"HESI Reference,Full AN pH Perfect,HESI + AN Hybrid A/B"</x:formula1>
    </x:dataValidation>
    <x:dataValidation type="list" sqref="G14:G18">
      <x:formula1>"offen,OK,WARN,N/A"</x:formula1>
    </x:dataValidation>
    <x:dataValidation type="list" sqref="B21">
      <x:formula1>"Auto / nach Wasser,Ja,Nein"</x:formula1>
    </x:dataValidation>
    <x:dataValidation type="list" sqref="B26">
      <x:formula1>"Keine (Balance ist Default-Si wenn genutzt),Hesilicio statt Balance,Rhino Skin statt Balance"</x:formula1>
    </x:dataValidation>
    <x:dataValidation type="decimal" operator="between" sqref="B28">
      <x:formula1>0.25</x:formula1>
      <x:formula2>1</x:formula2>
    </x:dataValidation>
    <x:dataValidation operator="between" sqref="B32">
      <x:formula1>0</x:formula1>
      <x:formula2>21</x:formula2>
    </x:dataValidation>
    <x:dataValidation operator="between" sqref="B33">
      <x:formula1>14</x:formula1>
      <x:formula2>50</x:formula2>
    </x:dataValidation>
    <x:dataValidation type="decimal" operator="between" sqref="B34">
      <x:formula1>-5</x:formula1>
      <x:formula2>5</x:formula2>
    </x:dataValidation>
    <x:dataValidation type="list" sqref="B40">
      <x:formula1>"Manuell / indoor-freigegebene Automation,Manuell,Indoor-freigegebene Automation,Tropf-Blumat OFF-LABEL / Hersteller: nicht Indoor"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8" hidden="0" customWidth="1"/>
    <x:col min="4" max="4" width="8" hidden="0" customWidth="1"/>
    <x:col min="5" max="5" width="21" hidden="0" customWidth="1"/>
    <x:col min="6" max="6" width="28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23" hidden="0" customWidth="1"/>
    <x:col min="21" max="21" width="20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36" hidden="0" customWidth="1"/>
    <x:col min="31" max="31" width="32" hidden="0" customWidth="1"/>
    <x:col min="32" max="32" width="43" hidden="0" customWidth="1"/>
    <x:col min="33" max="33" width="43" hidden="0" customWidth="1"/>
    <x:col min="34" max="34" width="29" hidden="0" customWidth="1"/>
    <x:col min="35" max="35" width="29" hidden="0" customWidth="1"/>
    <x:col min="36" max="36" width="45" hidden="0" customWidth="1"/>
    <x:col min="37" max="37" width="56" hidden="0" customWidth="1"/>
    <x:col min="38" max="38" width="12" hidden="0" customWidth="1"/>
    <x:col min="39" max="39" width="12" hidden="0" customWidth="1"/>
    <x:col min="40" max="40" width="13" hidden="0" customWidth="1"/>
    <x:col min="41" max="41" width="13" hidden="0" customWidth="1"/>
    <x:col min="42" max="42" width="13" hidden="0" customWidth="1"/>
    <x:col min="43" max="43" width="14" hidden="0" customWidth="1"/>
    <x:col min="44" max="44" width="14" hidden="0" customWidth="1"/>
    <x:col min="45" max="45" width="14" hidden="0" customWidth="1"/>
  </x:cols>
  <x:sheetData>
    <x:row r="1" ht="42" customHeight="1">
      <x:c r="A1" s="1455" t="str">
        <x:v>Tag</x:v>
      </x:c>
      <x:c r="B1" s="1455" t="str">
        <x:v>Datum</x:v>
      </x:c>
      <x:c r="C1" s="1455" t="str">
        <x:v>Woche</x:v>
      </x:c>
      <x:c r="D1" s="1455" t="str">
        <x:v>Monat (30-Tage-Blöcke)</x:v>
      </x:c>
      <x:c r="E1" s="1455" t="str">
        <x:v>Planphase (Zeitachse)</x:v>
      </x:c>
      <x:c r="F1" s="1455" t="str">
        <x:v>Tagesziel</x:v>
      </x:c>
      <x:c r="G1" s="1455" t="str">
        <x:v>Licht h</x:v>
      </x:c>
      <x:c r="H1" s="1455" t="str">
        <x:v>Watt</x:v>
      </x:c>
      <x:c r="I1" s="1455" t="str">
        <x:v>PPFD</x:v>
      </x:c>
      <x:c r="J1" s="1455" t="str">
        <x:v>DLI</x:v>
      </x:c>
      <x:c r="K1" s="1455" t="str">
        <x:v>Lamp.abst. cm</x:v>
      </x:c>
      <x:c r="L1" s="1455" t="str">
        <x:v>Temp Licht °C</x:v>
      </x:c>
      <x:c r="M1" s="1455" t="str">
        <x:v>Temp Dunkel °C</x:v>
      </x:c>
      <x:c r="N1" s="1455" t="str">
        <x:v>LF %</x:v>
      </x:c>
      <x:c r="O1" s="1455" t="str">
        <x:v>Leaf-VPD est. kPa</x:v>
      </x:c>
      <x:c r="P1" s="1455" t="str">
        <x:v>EC Ziel</x:v>
      </x:c>
      <x:c r="Q1" s="1455" t="str">
        <x:v>pH Setpoint (HESI band 5.8–6.2)</x:v>
      </x:c>
      <x:c r="R1" s="1455" t="str">
        <x:v>Wasserband min L (Planung)</x:v>
      </x:c>
      <x:c r="S1" s="1455" t="str">
        <x:v>Wasserband max L (Planung)</x:v>
      </x:c>
      <x:c r="T1" s="1455" t="str">
        <x:v>Bewässerungsmodus</x:v>
      </x:c>
      <x:c r="U1" s="1455" t="str">
        <x:v>Basis</x:v>
      </x:c>
      <x:c r="V1" s="1455" t="str">
        <x:v>Basis ml/L</x:v>
      </x:c>
      <x:c r="W1" s="1455" t="str">
        <x:v>Wurzel Complex ml/L</x:v>
      </x:c>
      <x:c r="X1" s="1455" t="str">
        <x:v>PowerZyme ml/L</x:v>
      </x:c>
      <x:c r="Y1" s="1455" t="str">
        <x:v>SuperVit ml/L</x:v>
      </x:c>
      <x:c r="Z1" s="1455" t="str">
        <x:v>Hesilicio ml/L</x:v>
      </x:c>
      <x:c r="AA1" s="1455" t="str">
        <x:v>HESI Boost ml/L</x:v>
      </x:c>
      <x:c r="AB1" s="1455" t="str">
        <x:v>PK13/14 ml/L</x:v>
      </x:c>
      <x:c r="AC1" s="1455" t="str">
        <x:v>Voodoo ml/L</x:v>
      </x:c>
      <x:c r="AD1" s="1455" t="str">
        <x:v>AN Option</x:v>
      </x:c>
      <x:c r="AE1" s="1455" t="str">
        <x:v>Training / Canopy</x:v>
      </x:c>
      <x:c r="AF1" s="1455" t="str">
        <x:v>QA / Aktion</x:v>
      </x:c>
      <x:c r="AG1" s="1455" t="str">
        <x:v>Stop-/Alarmregel</x:v>
      </x:c>
      <x:c r="AH1" s="1455" t="str">
        <x:v>Evidenz / Planstatus</x:v>
      </x:c>
      <x:c r="AI1" s="1455" t="str">
        <x:v>Athena Balance</x:v>
      </x:c>
      <x:c r="AJ1" s="1455" t="str">
        <x:v>GM Phase</x:v>
      </x:c>
      <x:c r="AK1" s="1455" t="str">
        <x:v>UKD GM Empfehlung</x:v>
      </x:c>
      <x:c r="AL1" s="1460" t="str">
        <x:v>Bloom-Tag</x:v>
      </x:c>
      <x:c r="AM1" s="1460" t="str">
        <x:v>Bloom-Woche</x:v>
      </x:c>
      <x:c r="AN1" s="1460" t="str">
        <x:v>Air-VPD kPa</x:v>
      </x:c>
      <x:c r="AO1" s="1460" t="str">
        <x:v>Licht kWh/Tag</x:v>
      </x:c>
      <x:c r="AP1" s="1460" t="str">
        <x:v>Licht kWh kum.</x:v>
      </x:c>
      <x:c r="AQ1" s="1683" t="str">
        <x:v>CalMag Plan ml/L</x:v>
      </x:c>
      <x:c r="AR1" s="1683" t="str">
        <x:v>Athena cfg ml/L</x:v>
      </x:c>
      <x:c r="AS1" s="1683" t="str">
        <x:v>pH Down cfg ml/L</x:v>
      </x:c>
    </x:row>
    <x:row r="2">
      <x:c r="A2" s="32" t="n">
        <x:v>0</x:v>
      </x:c>
      <x:c r="B2" s="128" t="n">
        <x:f>'01_Run_Config'!$B$4+A2</x:f>
        <x:v>46242</x:v>
      </x:c>
      <x:c r="C2" s="62" t="n">
        <x:f>INT(A2/7)+1</x:f>
        <x:v>1</x:v>
      </x:c>
      <x:c r="D2" s="62" t="str">
        <x:f>"M"&amp;MIN(3,INT(A2/30)+1)</x:f>
        <x:v>M1</x:v>
      </x:c>
      <x:c r="E2" s="62" t="str">
        <x:f>IF(A2&lt;4,"Keimung",IF(A2&lt;8,"Etablierung",IF(A2&lt;15,"Early Veg",IF(A2&lt;'01_Run_Config'!$B$33,IF(A2&lt;22,"Veg / LST","Preflower-Watch"),IF(A2-'01_Run_Config'!$B$33&lt;=6,"Transition / Stretch ("&amp;AM2&amp;")",IF(A2-'01_Run_Config'!$B$33&lt;=13,"Early Flower ("&amp;AM2&amp;")",IF(A2-'01_Run_Config'!$B$33&lt;=20,"Flower I ("&amp;AM2&amp;")",IF(A2-'01_Run_Config'!$B$33&lt;=34,"Peak Flower ("&amp;AM2&amp;")",IF(A2-'01_Run_Config'!$B$33&lt;=41,"Late Flower ("&amp;AM2&amp;")",IF(A2-'01_Run_Config'!$B$33&lt;=48,"Ripening ("&amp;AM2&amp;")","Harvest / Extension ("&amp;AM2&amp;")"))))))))))</x:f>
        <x:v>Keimung</x:v>
      </x:c>
      <x:c r="F2" s="62" t="str">
        <x:f>IF(A2&lt;4,"Keimung + Wurzelstart",IF(A2&lt;8,"Sämling etablieren; Wurzelraum erschließen",IF(A2&lt;15,"kompakter Aufbau; LST erst bei Vitalität",IF(A2&lt;'01_Run_Config'!$B$33,"Canopy aufbauen; Preflower beobachten",IF(A2-'01_Run_Config'!$B$33&lt;=6,"Stretch kontrollieren; Bloom-Trigger dokumentieren",IF(A2-'01_Run_Config'!$B$33&lt;=13,"Blütenansatz stabilisieren",IF(A2-'01_Run_Config'!$B$33&lt;=20,"Blütenaufbau ohne neue Stressoren",IF(A2-'01_Run_Config'!$B$33&lt;=34,"stabile Peak-Photosynthese; Klima priorisieren",IF(A2-'01_Run_Config'!$B$33&lt;=41,"Qualität/Schimmelprävention",IF(A2-'01_Run_Config'!$B$33&lt;=48,"Reife ohne Überfütterung","Erntefenster nach Pflanze; keine Kalenderernte"))))))))))</x:f>
        <x:v>Keimung + Wurzelstart</x:v>
      </x:c>
      <x:c r="G2" s="62" t="n">
        <x:v>18</x:v>
      </x:c>
      <x:c r="H2" s="62" t="n">
        <x:v>30</x:v>
      </x:c>
      <x:c r="I2" s="62" t="n">
        <x:v>160</x:v>
      </x:c>
      <x:c r="J2" s="62" t="n">
        <x:f>I2*G2*3600/1000000</x:f>
        <x:v>10.368</x:v>
      </x:c>
      <x:c r="K2" s="62" t="n">
        <x:v>55</x:v>
      </x:c>
      <x:c r="L2" s="62" t="n">
        <x:v>25</x:v>
      </x:c>
      <x:c r="M2" s="62" t="n">
        <x:v>22.5</x:v>
      </x:c>
      <x:c r="N2" s="62" t="n">
        <x:v>73</x:v>
      </x:c>
      <x:c r="O2" s="62" t="n">
        <x:f>ROUND(0.6108*EXP(17.27*(L2+'01_Run_Config'!$B$34)/(L2+'01_Run_Config'!$B$34+237.3))-(N2/100)*0.6108*EXP(17.27*L2/(L2+237.3)),2)</x:f>
        <x:v>0.67</x:v>
      </x:c>
      <x:c r="P2" s="62" t="n">
        <x:f>IF(A2&lt;'01_Run_Config'!$B$32,0.55,IF(A2&lt;'01_Run_Config'!$B$33,IF(A2-'01_Run_Config'!$B$32&lt;=3,0.8,IF(A2-'01_Run_Config'!$B$32&lt;=10,1,IF(A2-'01_Run_Config'!$B$32&lt;=17,1.2,1.4))),IF(A2-'01_Run_Config'!$B$33&lt;=6,1.5,IF(A2-'01_Run_Config'!$B$33&lt;=13,1.6,IF(A2-'01_Run_Config'!$B$33&lt;=20,1.7,IF(A2-'01_Run_Config'!$B$33&lt;=34,1.8,IF(A2-'01_Run_Config'!$B$33&lt;=41,1.6,IF(A2-'01_Run_Config'!$B$33&lt;=48,1.4,1.15))))))))</x:f>
        <x:v>0.55</x:v>
      </x:c>
      <x:c r="Q2" s="62" t="n">
        <x:v>5.9</x:v>
      </x:c>
      <x:c r="R2" s="62" t="n">
        <x:v>0.03</x:v>
      </x:c>
      <x:c r="S2" s="62" t="n">
        <x:v>0.08</x:v>
      </x:c>
      <x:c r="T2" s="62" t="str">
        <x:f>IF(A2&lt;=7,"Manuell",'01_Run_Config'!$B$40)</x:f>
        <x:v>Manuell</x:v>
      </x:c>
      <x:c r="U2" s="62" t="str">
        <x:f>IF(A2&lt;'01_Run_Config'!$B$32,"Kein Basisdünger",IF(A2&lt;'01_Run_Config'!$B$33,"HESI TNT","HESI Coco"))</x:f>
        <x:v>Kein Basisdünger</x:v>
      </x:c>
      <x:c r="V2" s="62" t="n">
        <x:f>IF(A2&lt;'01_Run_Config'!$B$32,0,IF(A2&lt;'01_Run_Config'!$B$33,IF(A2-'01_Run_Config'!$B$32&lt;=3,1.25,IF(A2-'01_Run_Config'!$B$32&lt;=10,2,2.5)),IF(A2-'01_Run_Config'!$B$33&lt;=6,2.5,IF(A2-'01_Run_Config'!$B$33&lt;=13,3.25,IF(A2-'01_Run_Config'!$B$33&lt;=20,3.75,IF(A2-'01_Run_Config'!$B$33&lt;=34,4,IF(A2-'01_Run_Config'!$B$33&lt;=41,3.5,IF(A2-'01_Run_Config'!$B$33&lt;=48,2.5,1.5))))))))</x:f>
        <x:v>0</x:v>
      </x:c>
      <x:c r="W2" s="62" t="n">
        <x:f>IF(OR(A2='01_Run_Config'!$B$32,A2='01_Run_Config'!$B$32+6,A2='01_Run_Config'!$B$32+12),2.5,0)</x:f>
        <x:v>0</x:v>
      </x:c>
      <x:c r="X2" s="62" t="n">
        <x:f>IF(AND(A2&gt;='01_Run_Config'!$B$32+3,A2&lt;='01_Run_Config'!$B$33+35,MOD(A2-('01_Run_Config'!$B$32+3),7)=0),2,0)</x:f>
        <x:v>0</x:v>
      </x:c>
      <x:c r="Y2" s="62" t="n">
        <x:f>IF(A2&gt;='01_Run_Config'!$B$32,0.015,0)</x:f>
        <x:v>0</x:v>
      </x:c>
      <x:c r="Z2" s="62" t="n">
        <x:f>IF(AND('01_Run_Config'!$B$26="Hesilicio statt Balance",A2&gt;='01_Run_Config'!$B$32+3,MOD(A2-('01_Run_Config'!$B$32+3),7)=0,A2&lt;='01_Run_Config'!$B$33+35),0.5,0)</x:f>
        <x:v>0</x:v>
      </x:c>
      <x:c r="AA2" s="62" t="n">
        <x:f>IF(AND(A2&gt;='01_Run_Config'!$B$33,A2&lt;='01_Run_Config'!$B$33+35,MOD(A2-'01_Run_Config'!$B$33,7)=0),2,0)</x:f>
        <x:v>0</x:v>
      </x:c>
      <x:c r="AB2" s="62" t="n">
        <x:f>IF(A2='01_Run_Config'!$B$33+21,0.25,IF(A2='01_Run_Config'!$B$33+28,0.35,IF(A2='01_Run_Config'!$B$33+35,0.5,0)))</x:f>
        <x:v>0</x:v>
      </x:c>
      <x:c r="AC2" s="62" t="n">
        <x:f>IF(OR(A2='01_Run_Config'!$B$32,A2='01_Run_Config'!$B$32+7,A2='01_Run_Config'!$B$33+1,A2='01_Run_Config'!$B$33+8),2,0)</x:f>
        <x:v>0</x:v>
      </x:c>
      <x:c r="AD2" s="62" t="str">
        <x:f>IF(A2&lt;'01_Run_Config'!$B$33,"AN-Reference=0 außer Voodoo-Frischgaben",IF(AL2&lt;=7,"A/B: Bud Ignitor oder Mikrobenmodul; nicht Reference",IF(AL2&lt;=35,"A/B: Big Bud STATT HESI-PK; nicht additiv stapeln",IF(AL2&lt;=49,"A/B: Overdrive STATT spätem HESI-PK","AN-Booster auslaufen"))))</x:f>
        <x:v>AN-Reference=0 außer Voodoo-Frischgaben</x:v>
      </x:c>
      <x:c r="AE2" s="62" t="str">
        <x:v>Kein Training</x:v>
      </x:c>
      <x:c r="AF2" s="62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" s="62" t="str">
        <x:v>EC nicht erhöhen bei steigender Diagnose-Drain-EC; PPFD nicht erhöhen bei Stress; Wasserband nie erzwingen; nie mehrere neue Booster gleichzeitig.</x:v>
      </x:c>
      <x:c r="AH2" s="33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2" s="32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" s="62" t="str">
        <x:f>IF(A2&lt;'01_Run_Config'!$B$32,"—",IF(A2&lt;'01_Run_Config'!$B$33,"G"&amp;MIN(4,INT((A2-'01_Run_Config'!$B$32)/7)+1),AM2))</x:f>
        <x:v>—</x:v>
      </x:c>
      <x:c r="AK2" s="33" t="str">
        <x:f>IF(A2&lt;'01_Run_Config'!$B$32,"Keine AN-Additive.",IF(A2&lt;'01_Run_Config'!$B$33,"Veg: Voodoo nur definierte Frischgaben; B-52/Piranha/Tarantula nur A/B; Sensizym nur statt PowerZyme; Rhino Skin AUS mit Athena Balance.",IF(AL2&lt;=7,"Frühblüte: Voodoo; Bud Ignitor/Piranha/Tarantula nur A/B; Rhino Skin AUS mit Balance.",IF(AL2&lt;=35,"Hauptblüte: Big Bud nur A/B STATT HESI-PK; Biostims einzeln testen.",IF(AL2&lt;=49,"Spätblüte: Overdrive nur A/B STATT spätem HESI-PK; keine neue zweite Variable.","Booster auslaufen / Reife priorisieren.")))))</x:f>
        <x:v>Keine AN-Additive.</x:v>
      </x:c>
      <x:c r="AL2" s="60" t="str">
        <x:f>IF(A2&lt;'01_Run_Config'!$B$33,"",A2-'01_Run_Config'!$B$33+1)</x:f>
      </x:c>
      <x:c r="AM2" s="60" t="str">
        <x:f>IF(AL2="","",IF(AL2&gt;49,CHAR(66)&amp;"7+",CHAR(66)&amp;TEXT(INT((AL2-1)/7)+1,"0")))</x:f>
      </x:c>
      <x:c r="AN2" s="60" t="n">
        <x:f>ROUND(0.6108*EXP(17.27*L2/(L2+237.3))*(1-N2/100),2)</x:f>
        <x:v>0.86</x:v>
      </x:c>
      <x:c r="AO2" s="60" t="n">
        <x:f>H2*G2/1000</x:f>
        <x:v>0.54</x:v>
      </x:c>
      <x:c r="AP2" s="60" t="n">
        <x:f>SUM($AO$2:AO2)</x:f>
        <x:v>0.54</x:v>
      </x:c>
      <x:c r="AQ2" t="n">
        <x:f>'01_Run_Config'!$B$17</x:f>
        <x:v>0</x:v>
      </x:c>
      <x:c r="AR2" t="n">
        <x:f>'01_Run_Config'!$B$22</x:f>
        <x:v>0</x:v>
      </x:c>
      <x:c r="AS2" t="n">
        <x:f>'01_Run_Config'!$B$25</x:f>
        <x:v>0</x:v>
      </x:c>
    </x:row>
    <x:row r="3">
      <x:c r="A3" s="34" t="n">
        <x:v>1</x:v>
      </x:c>
      <x:c r="B3" s="129" t="n">
        <x:f>'01_Run_Config'!$B$4+A3</x:f>
        <x:v>46243</x:v>
      </x:c>
      <x:c r="C3" s="63" t="n">
        <x:f>INT(A3/7)+1</x:f>
        <x:v>1</x:v>
      </x:c>
      <x:c r="D3" s="63" t="str">
        <x:f>"M"&amp;MIN(3,INT(A3/30)+1)</x:f>
        <x:v>M1</x:v>
      </x:c>
      <x:c r="E3" s="63" t="str">
        <x:f>IF(A3&lt;4,"Keimung",IF(A3&lt;8,"Etablierung",IF(A3&lt;15,"Early Veg",IF(A3&lt;'01_Run_Config'!$B$33,IF(A3&lt;22,"Veg / LST","Preflower-Watch"),IF(A3-'01_Run_Config'!$B$33&lt;=6,"Transition / Stretch ("&amp;AM3&amp;")",IF(A3-'01_Run_Config'!$B$33&lt;=13,"Early Flower ("&amp;AM3&amp;")",IF(A3-'01_Run_Config'!$B$33&lt;=20,"Flower I ("&amp;AM3&amp;")",IF(A3-'01_Run_Config'!$B$33&lt;=34,"Peak Flower ("&amp;AM3&amp;")",IF(A3-'01_Run_Config'!$B$33&lt;=41,"Late Flower ("&amp;AM3&amp;")",IF(A3-'01_Run_Config'!$B$33&lt;=48,"Ripening ("&amp;AM3&amp;")","Harvest / Extension ("&amp;AM3&amp;")"))))))))))</x:f>
        <x:v>Keimung</x:v>
      </x:c>
      <x:c r="F3" s="63" t="str">
        <x:f>IF(A3&lt;4,"Keimung + Wurzelstart",IF(A3&lt;8,"Sämling etablieren; Wurzelraum erschließen",IF(A3&lt;15,"kompakter Aufbau; LST erst bei Vitalität",IF(A3&lt;'01_Run_Config'!$B$33,"Canopy aufbauen; Preflower beobachten",IF(A3-'01_Run_Config'!$B$33&lt;=6,"Stretch kontrollieren; Bloom-Trigger dokumentieren",IF(A3-'01_Run_Config'!$B$33&lt;=13,"Blütenansatz stabilisieren",IF(A3-'01_Run_Config'!$B$33&lt;=20,"Blütenaufbau ohne neue Stressoren",IF(A3-'01_Run_Config'!$B$33&lt;=34,"stabile Peak-Photosynthese; Klima priorisieren",IF(A3-'01_Run_Config'!$B$33&lt;=41,"Qualität/Schimmelprävention",IF(A3-'01_Run_Config'!$B$33&lt;=48,"Reife ohne Überfütterung","Erntefenster nach Pflanze; keine Kalenderernte"))))))))))</x:f>
        <x:v>Keimung + Wurzelstart</x:v>
      </x:c>
      <x:c r="G3" s="63" t="n">
        <x:v>18</x:v>
      </x:c>
      <x:c r="H3" s="63" t="n">
        <x:v>30</x:v>
      </x:c>
      <x:c r="I3" s="63" t="n">
        <x:v>160</x:v>
      </x:c>
      <x:c r="J3" s="63" t="n">
        <x:f>I3*G3*3600/1000000</x:f>
        <x:v>10.368</x:v>
      </x:c>
      <x:c r="K3" s="63" t="n">
        <x:v>55</x:v>
      </x:c>
      <x:c r="L3" s="63" t="n">
        <x:v>25</x:v>
      </x:c>
      <x:c r="M3" s="63" t="n">
        <x:v>22.5</x:v>
      </x:c>
      <x:c r="N3" s="63" t="n">
        <x:v>73</x:v>
      </x:c>
      <x:c r="O3" s="63" t="n">
        <x:f>ROUND(0.6108*EXP(17.27*(L3+'01_Run_Config'!$B$34)/(L3+'01_Run_Config'!$B$34+237.3))-(N3/100)*0.6108*EXP(17.27*L3/(L3+237.3)),2)</x:f>
        <x:v>0.67</x:v>
      </x:c>
      <x:c r="P3" s="63" t="n">
        <x:f>IF(A3&lt;'01_Run_Config'!$B$32,0.55,IF(A3&lt;'01_Run_Config'!$B$33,IF(A3-'01_Run_Config'!$B$32&lt;=3,0.8,IF(A3-'01_Run_Config'!$B$32&lt;=10,1,IF(A3-'01_Run_Config'!$B$32&lt;=17,1.2,1.4))),IF(A3-'01_Run_Config'!$B$33&lt;=6,1.5,IF(A3-'01_Run_Config'!$B$33&lt;=13,1.6,IF(A3-'01_Run_Config'!$B$33&lt;=20,1.7,IF(A3-'01_Run_Config'!$B$33&lt;=34,1.8,IF(A3-'01_Run_Config'!$B$33&lt;=41,1.6,IF(A3-'01_Run_Config'!$B$33&lt;=48,1.4,1.15))))))))</x:f>
        <x:v>0.55</x:v>
      </x:c>
      <x:c r="Q3" s="63" t="n">
        <x:v>5.9</x:v>
      </x:c>
      <x:c r="R3" s="63" t="n">
        <x:v>0.03</x:v>
      </x:c>
      <x:c r="S3" s="63" t="n">
        <x:v>0.08</x:v>
      </x:c>
      <x:c r="T3" s="63" t="str">
        <x:f>IF(A3&lt;=7,"Manuell",'01_Run_Config'!$B$40)</x:f>
        <x:v>Manuell</x:v>
      </x:c>
      <x:c r="U3" s="63" t="str">
        <x:f>IF(A3&lt;'01_Run_Config'!$B$32,"Kein Basisdünger",IF(A3&lt;'01_Run_Config'!$B$33,"HESI TNT","HESI Coco"))</x:f>
        <x:v>Kein Basisdünger</x:v>
      </x:c>
      <x:c r="V3" s="63" t="n">
        <x:f>IF(A3&lt;'01_Run_Config'!$B$32,0,IF(A3&lt;'01_Run_Config'!$B$33,IF(A3-'01_Run_Config'!$B$32&lt;=3,1.25,IF(A3-'01_Run_Config'!$B$32&lt;=10,2,2.5)),IF(A3-'01_Run_Config'!$B$33&lt;=6,2.5,IF(A3-'01_Run_Config'!$B$33&lt;=13,3.25,IF(A3-'01_Run_Config'!$B$33&lt;=20,3.75,IF(A3-'01_Run_Config'!$B$33&lt;=34,4,IF(A3-'01_Run_Config'!$B$33&lt;=41,3.5,IF(A3-'01_Run_Config'!$B$33&lt;=48,2.5,1.5))))))))</x:f>
        <x:v>0</x:v>
      </x:c>
      <x:c r="W3" s="63" t="n">
        <x:f>IF(OR(A3='01_Run_Config'!$B$32,A3='01_Run_Config'!$B$32+6,A3='01_Run_Config'!$B$32+12),2.5,0)</x:f>
        <x:v>0</x:v>
      </x:c>
      <x:c r="X3" s="63" t="n">
        <x:f>IF(AND(A3&gt;='01_Run_Config'!$B$32+3,A3&lt;='01_Run_Config'!$B$33+35,MOD(A3-('01_Run_Config'!$B$32+3),7)=0),2,0)</x:f>
        <x:v>0</x:v>
      </x:c>
      <x:c r="Y3" s="63" t="n">
        <x:f>IF(A3&gt;='01_Run_Config'!$B$32,0.015,0)</x:f>
        <x:v>0</x:v>
      </x:c>
      <x:c r="Z3" s="63" t="n">
        <x:f>IF(AND('01_Run_Config'!$B$26="Hesilicio statt Balance",A3&gt;='01_Run_Config'!$B$32+3,MOD(A3-('01_Run_Config'!$B$32+3),7)=0,A3&lt;='01_Run_Config'!$B$33+35),0.5,0)</x:f>
        <x:v>0</x:v>
      </x:c>
      <x:c r="AA3" s="63" t="n">
        <x:f>IF(AND(A3&gt;='01_Run_Config'!$B$33,A3&lt;='01_Run_Config'!$B$33+35,MOD(A3-'01_Run_Config'!$B$33,7)=0),2,0)</x:f>
        <x:v>0</x:v>
      </x:c>
      <x:c r="AB3" s="63" t="n">
        <x:f>IF(A3='01_Run_Config'!$B$33+21,0.25,IF(A3='01_Run_Config'!$B$33+28,0.35,IF(A3='01_Run_Config'!$B$33+35,0.5,0)))</x:f>
        <x:v>0</x:v>
      </x:c>
      <x:c r="AC3" s="63" t="n">
        <x:f>IF(OR(A3='01_Run_Config'!$B$32,A3='01_Run_Config'!$B$32+7,A3='01_Run_Config'!$B$33+1,A3='01_Run_Config'!$B$33+8),2,0)</x:f>
        <x:v>0</x:v>
      </x:c>
      <x:c r="AD3" s="63" t="str">
        <x:f>IF(A3&lt;'01_Run_Config'!$B$33,"AN-Reference=0 außer Voodoo-Frischgaben",IF(AL3&lt;=7,"A/B: Bud Ignitor oder Mikrobenmodul; nicht Reference",IF(AL3&lt;=35,"A/B: Big Bud STATT HESI-PK; nicht additiv stapeln",IF(AL3&lt;=49,"A/B: Overdrive STATT spätem HESI-PK","AN-Booster auslaufen"))))</x:f>
        <x:v>AN-Reference=0 außer Voodoo-Frischgaben</x:v>
      </x:c>
      <x:c r="AE3" s="63" t="str">
        <x:v>Kein Training</x:v>
      </x:c>
      <x:c r="AF3" s="63" t="str">
        <x:v>Morgens Klima/Pflanze/Bewässerung/Leck; Mitte Lichtphase Blattwinkel; vor Dunkel LF/Drain/stehendes Wasser.</x:v>
      </x:c>
      <x:c r="AG3" s="63" t="str">
        <x:v>EC nicht erhöhen bei steigender Diagnose-Drain-EC; PPFD nicht erhöhen bei Stress; Wasserband nie erzwingen; nie mehrere neue Booster gleichzeitig.</x:v>
      </x:c>
      <x:c r="AH3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" s="201" t="str">
        <x:f>IF(A3&lt;'01_Run_Config'!$B$32,"—",IF(A3&lt;'01_Run_Config'!$B$33,"G"&amp;MIN(4,INT((A3-'01_Run_Config'!$B$32)/7)+1),AM3))</x:f>
        <x:v>—</x:v>
      </x:c>
      <x:c r="AK3" s="35" t="str">
        <x:f>IF(A3&lt;'01_Run_Config'!$B$32,"Keine AN-Additive.",IF(A3&lt;'01_Run_Config'!$B$33,"Veg: Voodoo nur definierte Frischgaben; B-52/Piranha/Tarantula nur A/B; Sensizym nur statt PowerZyme; Rhino Skin AUS mit Athena Balance.",IF(AL3&lt;=7,"Frühblüte: Voodoo; Bud Ignitor/Piranha/Tarantula nur A/B; Rhino Skin AUS mit Balance.",IF(AL3&lt;=35,"Hauptblüte: Big Bud nur A/B STATT HESI-PK; Biostims einzeln testen.",IF(AL3&lt;=49,"Spätblüte: Overdrive nur A/B STATT spätem HESI-PK; keine neue zweite Variable.","Booster auslaufen / Reife priorisieren.")))))</x:f>
        <x:v>Keine AN-Additive.</x:v>
      </x:c>
      <x:c r="AL3" s="60" t="str">
        <x:f>IF(A3&lt;'01_Run_Config'!$B$33,"",A3-'01_Run_Config'!$B$33+1)</x:f>
      </x:c>
      <x:c r="AM3" s="60" t="str">
        <x:f>IF(AL3="","",IF(AL3&gt;49,CHAR(66)&amp;"7+",CHAR(66)&amp;TEXT(INT((AL3-1)/7)+1,"0")))</x:f>
      </x:c>
      <x:c r="AN3" s="60" t="n">
        <x:f>ROUND(0.6108*EXP(17.27*L3/(L3+237.3))*(1-N3/100),2)</x:f>
        <x:v>0.86</x:v>
      </x:c>
      <x:c r="AO3" s="60" t="n">
        <x:f>H3*G3/1000</x:f>
        <x:v>0.54</x:v>
      </x:c>
      <x:c r="AP3" s="60" t="n">
        <x:f>SUM($AO$2:AO3)</x:f>
        <x:v>1.08</x:v>
      </x:c>
      <x:c r="AQ3" t="n">
        <x:f>'01_Run_Config'!$B$17</x:f>
        <x:v>0</x:v>
      </x:c>
      <x:c r="AR3" t="n">
        <x:f>'01_Run_Config'!$B$22</x:f>
        <x:v>0</x:v>
      </x:c>
      <x:c r="AS3" t="n">
        <x:f>'01_Run_Config'!$B$25</x:f>
        <x:v>0</x:v>
      </x:c>
    </x:row>
    <x:row r="4">
      <x:c r="A4" s="34" t="n">
        <x:v>2</x:v>
      </x:c>
      <x:c r="B4" s="129" t="n">
        <x:f>'01_Run_Config'!$B$4+A4</x:f>
        <x:v>46244</x:v>
      </x:c>
      <x:c r="C4" s="63" t="n">
        <x:f>INT(A4/7)+1</x:f>
        <x:v>1</x:v>
      </x:c>
      <x:c r="D4" s="63" t="str">
        <x:f>"M"&amp;MIN(3,INT(A4/30)+1)</x:f>
        <x:v>M1</x:v>
      </x:c>
      <x:c r="E4" s="63" t="str">
        <x:f>IF(A4&lt;4,"Keimung",IF(A4&lt;8,"Etablierung",IF(A4&lt;15,"Early Veg",IF(A4&lt;'01_Run_Config'!$B$33,IF(A4&lt;22,"Veg / LST","Preflower-Watch"),IF(A4-'01_Run_Config'!$B$33&lt;=6,"Transition / Stretch ("&amp;AM4&amp;")",IF(A4-'01_Run_Config'!$B$33&lt;=13,"Early Flower ("&amp;AM4&amp;")",IF(A4-'01_Run_Config'!$B$33&lt;=20,"Flower I ("&amp;AM4&amp;")",IF(A4-'01_Run_Config'!$B$33&lt;=34,"Peak Flower ("&amp;AM4&amp;")",IF(A4-'01_Run_Config'!$B$33&lt;=41,"Late Flower ("&amp;AM4&amp;")",IF(A4-'01_Run_Config'!$B$33&lt;=48,"Ripening ("&amp;AM4&amp;")","Harvest / Extension ("&amp;AM4&amp;")"))))))))))</x:f>
        <x:v>Keimung</x:v>
      </x:c>
      <x:c r="F4" s="63" t="str">
        <x:f>IF(A4&lt;4,"Keimung + Wurzelstart",IF(A4&lt;8,"Sämling etablieren; Wurzelraum erschließen",IF(A4&lt;15,"kompakter Aufbau; LST erst bei Vitalität",IF(A4&lt;'01_Run_Config'!$B$33,"Canopy aufbauen; Preflower beobachten",IF(A4-'01_Run_Config'!$B$33&lt;=6,"Stretch kontrollieren; Bloom-Trigger dokumentieren",IF(A4-'01_Run_Config'!$B$33&lt;=13,"Blütenansatz stabilisieren",IF(A4-'01_Run_Config'!$B$33&lt;=20,"Blütenaufbau ohne neue Stressoren",IF(A4-'01_Run_Config'!$B$33&lt;=34,"stabile Peak-Photosynthese; Klima priorisieren",IF(A4-'01_Run_Config'!$B$33&lt;=41,"Qualität/Schimmelprävention",IF(A4-'01_Run_Config'!$B$33&lt;=48,"Reife ohne Überfütterung","Erntefenster nach Pflanze; keine Kalenderernte"))))))))))</x:f>
        <x:v>Keimung + Wurzelstart</x:v>
      </x:c>
      <x:c r="G4" s="63" t="n">
        <x:v>18</x:v>
      </x:c>
      <x:c r="H4" s="63" t="n">
        <x:v>30</x:v>
      </x:c>
      <x:c r="I4" s="63" t="n">
        <x:v>160</x:v>
      </x:c>
      <x:c r="J4" s="63" t="n">
        <x:f>I4*G4*3600/1000000</x:f>
        <x:v>10.368</x:v>
      </x:c>
      <x:c r="K4" s="63" t="n">
        <x:v>55</x:v>
      </x:c>
      <x:c r="L4" s="63" t="n">
        <x:v>25</x:v>
      </x:c>
      <x:c r="M4" s="63" t="n">
        <x:v>22.5</x:v>
      </x:c>
      <x:c r="N4" s="63" t="n">
        <x:v>73</x:v>
      </x:c>
      <x:c r="O4" s="63" t="n">
        <x:f>ROUND(0.6108*EXP(17.27*(L4+'01_Run_Config'!$B$34)/(L4+'01_Run_Config'!$B$34+237.3))-(N4/100)*0.6108*EXP(17.27*L4/(L4+237.3)),2)</x:f>
        <x:v>0.67</x:v>
      </x:c>
      <x:c r="P4" s="63" t="n">
        <x:f>IF(A4&lt;'01_Run_Config'!$B$32,0.55,IF(A4&lt;'01_Run_Config'!$B$33,IF(A4-'01_Run_Config'!$B$32&lt;=3,0.8,IF(A4-'01_Run_Config'!$B$32&lt;=10,1,IF(A4-'01_Run_Config'!$B$32&lt;=17,1.2,1.4))),IF(A4-'01_Run_Config'!$B$33&lt;=6,1.5,IF(A4-'01_Run_Config'!$B$33&lt;=13,1.6,IF(A4-'01_Run_Config'!$B$33&lt;=20,1.7,IF(A4-'01_Run_Config'!$B$33&lt;=34,1.8,IF(A4-'01_Run_Config'!$B$33&lt;=41,1.6,IF(A4-'01_Run_Config'!$B$33&lt;=48,1.4,1.15))))))))</x:f>
        <x:v>0.55</x:v>
      </x:c>
      <x:c r="Q4" s="63" t="n">
        <x:v>5.9</x:v>
      </x:c>
      <x:c r="R4" s="63" t="n">
        <x:v>0.03</x:v>
      </x:c>
      <x:c r="S4" s="63" t="n">
        <x:v>0.08</x:v>
      </x:c>
      <x:c r="T4" s="63" t="str">
        <x:f>IF(A4&lt;=7,"Manuell",'01_Run_Config'!$B$40)</x:f>
        <x:v>Manuell</x:v>
      </x:c>
      <x:c r="U4" s="63" t="str">
        <x:f>IF(A4&lt;'01_Run_Config'!$B$32,"Kein Basisdünger",IF(A4&lt;'01_Run_Config'!$B$33,"HESI TNT","HESI Coco"))</x:f>
        <x:v>Kein Basisdünger</x:v>
      </x:c>
      <x:c r="V4" s="63" t="n">
        <x:f>IF(A4&lt;'01_Run_Config'!$B$32,0,IF(A4&lt;'01_Run_Config'!$B$33,IF(A4-'01_Run_Config'!$B$32&lt;=3,1.25,IF(A4-'01_Run_Config'!$B$32&lt;=10,2,2.5)),IF(A4-'01_Run_Config'!$B$33&lt;=6,2.5,IF(A4-'01_Run_Config'!$B$33&lt;=13,3.25,IF(A4-'01_Run_Config'!$B$33&lt;=20,3.75,IF(A4-'01_Run_Config'!$B$33&lt;=34,4,IF(A4-'01_Run_Config'!$B$33&lt;=41,3.5,IF(A4-'01_Run_Config'!$B$33&lt;=48,2.5,1.5))))))))</x:f>
        <x:v>0</x:v>
      </x:c>
      <x:c r="W4" s="63" t="n">
        <x:f>IF(OR(A4='01_Run_Config'!$B$32,A4='01_Run_Config'!$B$32+6,A4='01_Run_Config'!$B$32+12),2.5,0)</x:f>
        <x:v>0</x:v>
      </x:c>
      <x:c r="X4" s="63" t="n">
        <x:f>IF(AND(A4&gt;='01_Run_Config'!$B$32+3,A4&lt;='01_Run_Config'!$B$33+35,MOD(A4-('01_Run_Config'!$B$32+3),7)=0),2,0)</x:f>
        <x:v>0</x:v>
      </x:c>
      <x:c r="Y4" s="63" t="n">
        <x:f>IF(A4&gt;='01_Run_Config'!$B$32,0.015,0)</x:f>
        <x:v>0</x:v>
      </x:c>
      <x:c r="Z4" s="63" t="n">
        <x:f>IF(AND('01_Run_Config'!$B$26="Hesilicio statt Balance",A4&gt;='01_Run_Config'!$B$32+3,MOD(A4-('01_Run_Config'!$B$32+3),7)=0,A4&lt;='01_Run_Config'!$B$33+35),0.5,0)</x:f>
        <x:v>0</x:v>
      </x:c>
      <x:c r="AA4" s="63" t="n">
        <x:f>IF(AND(A4&gt;='01_Run_Config'!$B$33,A4&lt;='01_Run_Config'!$B$33+35,MOD(A4-'01_Run_Config'!$B$33,7)=0),2,0)</x:f>
        <x:v>0</x:v>
      </x:c>
      <x:c r="AB4" s="63" t="n">
        <x:f>IF(A4='01_Run_Config'!$B$33+21,0.25,IF(A4='01_Run_Config'!$B$33+28,0.35,IF(A4='01_Run_Config'!$B$33+35,0.5,0)))</x:f>
        <x:v>0</x:v>
      </x:c>
      <x:c r="AC4" s="63" t="n">
        <x:f>IF(OR(A4='01_Run_Config'!$B$32,A4='01_Run_Config'!$B$32+7,A4='01_Run_Config'!$B$33+1,A4='01_Run_Config'!$B$33+8),2,0)</x:f>
        <x:v>0</x:v>
      </x:c>
      <x:c r="AD4" s="63" t="str">
        <x:f>IF(A4&lt;'01_Run_Config'!$B$33,"AN-Reference=0 außer Voodoo-Frischgaben",IF(AL4&lt;=7,"A/B: Bud Ignitor oder Mikrobenmodul; nicht Reference",IF(AL4&lt;=35,"A/B: Big Bud STATT HESI-PK; nicht additiv stapeln",IF(AL4&lt;=49,"A/B: Overdrive STATT spätem HESI-PK","AN-Booster auslaufen"))))</x:f>
        <x:v>AN-Reference=0 außer Voodoo-Frischgaben</x:v>
      </x:c>
      <x:c r="AE4" s="63" t="str">
        <x:v>Kein Training</x:v>
      </x:c>
      <x:c r="AF4" s="63" t="str">
        <x:v>Morgens Klima/Pflanze/Bewässerung/Leck; Mitte Lichtphase Blattwinkel; vor Dunkel LF/Drain/stehendes Wasser.</x:v>
      </x:c>
      <x:c r="AG4" s="63" t="str">
        <x:v>EC nicht erhöhen bei steigender Diagnose-Drain-EC; PPFD nicht erhöhen bei Stress; Wasserband nie erzwingen; nie mehrere neue Booster gleichzeitig.</x:v>
      </x:c>
      <x:c r="AH4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" s="201" t="str">
        <x:f>IF(A4&lt;'01_Run_Config'!$B$32,"—",IF(A4&lt;'01_Run_Config'!$B$33,"G"&amp;MIN(4,INT((A4-'01_Run_Config'!$B$32)/7)+1),AM4))</x:f>
        <x:v>—</x:v>
      </x:c>
      <x:c r="AK4" s="35" t="str">
        <x:f>IF(A4&lt;'01_Run_Config'!$B$32,"Keine AN-Additive.",IF(A4&lt;'01_Run_Config'!$B$33,"Veg: Voodoo nur definierte Frischgaben; B-52/Piranha/Tarantula nur A/B; Sensizym nur statt PowerZyme; Rhino Skin AUS mit Athena Balance.",IF(AL4&lt;=7,"Frühblüte: Voodoo; Bud Ignitor/Piranha/Tarantula nur A/B; Rhino Skin AUS mit Balance.",IF(AL4&lt;=35,"Hauptblüte: Big Bud nur A/B STATT HESI-PK; Biostims einzeln testen.",IF(AL4&lt;=49,"Spätblüte: Overdrive nur A/B STATT spätem HESI-PK; keine neue zweite Variable.","Booster auslaufen / Reife priorisieren.")))))</x:f>
        <x:v>Keine AN-Additive.</x:v>
      </x:c>
      <x:c r="AL4" s="60" t="str">
        <x:f>IF(A4&lt;'01_Run_Config'!$B$33,"",A4-'01_Run_Config'!$B$33+1)</x:f>
      </x:c>
      <x:c r="AM4" s="60" t="str">
        <x:f>IF(AL4="","",IF(AL4&gt;49,CHAR(66)&amp;"7+",CHAR(66)&amp;TEXT(INT((AL4-1)/7)+1,"0")))</x:f>
      </x:c>
      <x:c r="AN4" s="60" t="n">
        <x:f>ROUND(0.6108*EXP(17.27*L4/(L4+237.3))*(1-N4/100),2)</x:f>
        <x:v>0.86</x:v>
      </x:c>
      <x:c r="AO4" s="60" t="n">
        <x:f>H4*G4/1000</x:f>
        <x:v>0.54</x:v>
      </x:c>
      <x:c r="AP4" s="60" t="n">
        <x:f>SUM($AO$2:AO4)</x:f>
        <x:v>1.62</x:v>
      </x:c>
      <x:c r="AQ4" t="n">
        <x:f>'01_Run_Config'!$B$17</x:f>
        <x:v>0</x:v>
      </x:c>
      <x:c r="AR4" t="n">
        <x:f>'01_Run_Config'!$B$22</x:f>
        <x:v>0</x:v>
      </x:c>
      <x:c r="AS4" t="n">
        <x:f>'01_Run_Config'!$B$25</x:f>
        <x:v>0</x:v>
      </x:c>
    </x:row>
    <x:row r="5">
      <x:c r="A5" s="34" t="n">
        <x:v>3</x:v>
      </x:c>
      <x:c r="B5" s="129" t="n">
        <x:f>'01_Run_Config'!$B$4+A5</x:f>
        <x:v>46245</x:v>
      </x:c>
      <x:c r="C5" s="63" t="n">
        <x:f>INT(A5/7)+1</x:f>
        <x:v>1</x:v>
      </x:c>
      <x:c r="D5" s="63" t="str">
        <x:f>"M"&amp;MIN(3,INT(A5/30)+1)</x:f>
        <x:v>M1</x:v>
      </x:c>
      <x:c r="E5" s="63" t="str">
        <x:f>IF(A5&lt;4,"Keimung",IF(A5&lt;8,"Etablierung",IF(A5&lt;15,"Early Veg",IF(A5&lt;'01_Run_Config'!$B$33,IF(A5&lt;22,"Veg / LST","Preflower-Watch"),IF(A5-'01_Run_Config'!$B$33&lt;=6,"Transition / Stretch ("&amp;AM5&amp;")",IF(A5-'01_Run_Config'!$B$33&lt;=13,"Early Flower ("&amp;AM5&amp;")",IF(A5-'01_Run_Config'!$B$33&lt;=20,"Flower I ("&amp;AM5&amp;")",IF(A5-'01_Run_Config'!$B$33&lt;=34,"Peak Flower ("&amp;AM5&amp;")",IF(A5-'01_Run_Config'!$B$33&lt;=41,"Late Flower ("&amp;AM5&amp;")",IF(A5-'01_Run_Config'!$B$33&lt;=48,"Ripening ("&amp;AM5&amp;")","Harvest / Extension ("&amp;AM5&amp;")"))))))))))</x:f>
        <x:v>Keimung</x:v>
      </x:c>
      <x:c r="F5" s="63" t="str">
        <x:f>IF(A5&lt;4,"Keimung + Wurzelstart",IF(A5&lt;8,"Sämling etablieren; Wurzelraum erschließen",IF(A5&lt;15,"kompakter Aufbau; LST erst bei Vitalität",IF(A5&lt;'01_Run_Config'!$B$33,"Canopy aufbauen; Preflower beobachten",IF(A5-'01_Run_Config'!$B$33&lt;=6,"Stretch kontrollieren; Bloom-Trigger dokumentieren",IF(A5-'01_Run_Config'!$B$33&lt;=13,"Blütenansatz stabilisieren",IF(A5-'01_Run_Config'!$B$33&lt;=20,"Blütenaufbau ohne neue Stressoren",IF(A5-'01_Run_Config'!$B$33&lt;=34,"stabile Peak-Photosynthese; Klima priorisieren",IF(A5-'01_Run_Config'!$B$33&lt;=41,"Qualität/Schimmelprävention",IF(A5-'01_Run_Config'!$B$33&lt;=48,"Reife ohne Überfütterung","Erntefenster nach Pflanze; keine Kalenderernte"))))))))))</x:f>
        <x:v>Keimung + Wurzelstart</x:v>
      </x:c>
      <x:c r="G5" s="63" t="n">
        <x:v>18</x:v>
      </x:c>
      <x:c r="H5" s="63" t="n">
        <x:v>30</x:v>
      </x:c>
      <x:c r="I5" s="63" t="n">
        <x:v>160</x:v>
      </x:c>
      <x:c r="J5" s="63" t="n">
        <x:f>I5*G5*3600/1000000</x:f>
        <x:v>10.368</x:v>
      </x:c>
      <x:c r="K5" s="63" t="n">
        <x:v>55</x:v>
      </x:c>
      <x:c r="L5" s="63" t="n">
        <x:v>25</x:v>
      </x:c>
      <x:c r="M5" s="63" t="n">
        <x:v>22.5</x:v>
      </x:c>
      <x:c r="N5" s="63" t="n">
        <x:v>73</x:v>
      </x:c>
      <x:c r="O5" s="63" t="n">
        <x:f>ROUND(0.6108*EXP(17.27*(L5+'01_Run_Config'!$B$34)/(L5+'01_Run_Config'!$B$34+237.3))-(N5/100)*0.6108*EXP(17.27*L5/(L5+237.3)),2)</x:f>
        <x:v>0.67</x:v>
      </x:c>
      <x:c r="P5" s="63" t="n">
        <x:f>IF(A5&lt;'01_Run_Config'!$B$32,0.55,IF(A5&lt;'01_Run_Config'!$B$33,IF(A5-'01_Run_Config'!$B$32&lt;=3,0.8,IF(A5-'01_Run_Config'!$B$32&lt;=10,1,IF(A5-'01_Run_Config'!$B$32&lt;=17,1.2,1.4))),IF(A5-'01_Run_Config'!$B$33&lt;=6,1.5,IF(A5-'01_Run_Config'!$B$33&lt;=13,1.6,IF(A5-'01_Run_Config'!$B$33&lt;=20,1.7,IF(A5-'01_Run_Config'!$B$33&lt;=34,1.8,IF(A5-'01_Run_Config'!$B$33&lt;=41,1.6,IF(A5-'01_Run_Config'!$B$33&lt;=48,1.4,1.15))))))))</x:f>
        <x:v>0.55</x:v>
      </x:c>
      <x:c r="Q5" s="63" t="n">
        <x:v>5.9</x:v>
      </x:c>
      <x:c r="R5" s="63" t="n">
        <x:v>0.03</x:v>
      </x:c>
      <x:c r="S5" s="63" t="n">
        <x:v>0.08</x:v>
      </x:c>
      <x:c r="T5" s="63" t="str">
        <x:f>IF(A5&lt;=7,"Manuell",'01_Run_Config'!$B$40)</x:f>
        <x:v>Manuell</x:v>
      </x:c>
      <x:c r="U5" s="63" t="str">
        <x:f>IF(A5&lt;'01_Run_Config'!$B$32,"Kein Basisdünger",IF(A5&lt;'01_Run_Config'!$B$33,"HESI TNT","HESI Coco"))</x:f>
        <x:v>Kein Basisdünger</x:v>
      </x:c>
      <x:c r="V5" s="63" t="n">
        <x:f>IF(A5&lt;'01_Run_Config'!$B$32,0,IF(A5&lt;'01_Run_Config'!$B$33,IF(A5-'01_Run_Config'!$B$32&lt;=3,1.25,IF(A5-'01_Run_Config'!$B$32&lt;=10,2,2.5)),IF(A5-'01_Run_Config'!$B$33&lt;=6,2.5,IF(A5-'01_Run_Config'!$B$33&lt;=13,3.25,IF(A5-'01_Run_Config'!$B$33&lt;=20,3.75,IF(A5-'01_Run_Config'!$B$33&lt;=34,4,IF(A5-'01_Run_Config'!$B$33&lt;=41,3.5,IF(A5-'01_Run_Config'!$B$33&lt;=48,2.5,1.5))))))))</x:f>
        <x:v>0</x:v>
      </x:c>
      <x:c r="W5" s="63" t="n">
        <x:f>IF(OR(A5='01_Run_Config'!$B$32,A5='01_Run_Config'!$B$32+6,A5='01_Run_Config'!$B$32+12),2.5,0)</x:f>
        <x:v>0</x:v>
      </x:c>
      <x:c r="X5" s="63" t="n">
        <x:f>IF(AND(A5&gt;='01_Run_Config'!$B$32+3,A5&lt;='01_Run_Config'!$B$33+35,MOD(A5-('01_Run_Config'!$B$32+3),7)=0),2,0)</x:f>
        <x:v>0</x:v>
      </x:c>
      <x:c r="Y5" s="63" t="n">
        <x:f>IF(A5&gt;='01_Run_Config'!$B$32,0.015,0)</x:f>
        <x:v>0</x:v>
      </x:c>
      <x:c r="Z5" s="63" t="n">
        <x:f>IF(AND('01_Run_Config'!$B$26="Hesilicio statt Balance",A5&gt;='01_Run_Config'!$B$32+3,MOD(A5-('01_Run_Config'!$B$32+3),7)=0,A5&lt;='01_Run_Config'!$B$33+35),0.5,0)</x:f>
        <x:v>0</x:v>
      </x:c>
      <x:c r="AA5" s="63" t="n">
        <x:f>IF(AND(A5&gt;='01_Run_Config'!$B$33,A5&lt;='01_Run_Config'!$B$33+35,MOD(A5-'01_Run_Config'!$B$33,7)=0),2,0)</x:f>
        <x:v>0</x:v>
      </x:c>
      <x:c r="AB5" s="63" t="n">
        <x:f>IF(A5='01_Run_Config'!$B$33+21,0.25,IF(A5='01_Run_Config'!$B$33+28,0.35,IF(A5='01_Run_Config'!$B$33+35,0.5,0)))</x:f>
        <x:v>0</x:v>
      </x:c>
      <x:c r="AC5" s="63" t="n">
        <x:f>IF(OR(A5='01_Run_Config'!$B$32,A5='01_Run_Config'!$B$32+7,A5='01_Run_Config'!$B$33+1,A5='01_Run_Config'!$B$33+8),2,0)</x:f>
        <x:v>0</x:v>
      </x:c>
      <x:c r="AD5" s="63" t="str">
        <x:f>IF(A5&lt;'01_Run_Config'!$B$33,"AN-Reference=0 außer Voodoo-Frischgaben",IF(AL5&lt;=7,"A/B: Bud Ignitor oder Mikrobenmodul; nicht Reference",IF(AL5&lt;=35,"A/B: Big Bud STATT HESI-PK; nicht additiv stapeln",IF(AL5&lt;=49,"A/B: Overdrive STATT spätem HESI-PK","AN-Booster auslaufen"))))</x:f>
        <x:v>AN-Reference=0 außer Voodoo-Frischgaben</x:v>
      </x:c>
      <x:c r="AE5" s="63" t="str">
        <x:v>Kein Training</x:v>
      </x:c>
      <x:c r="AF5" s="63" t="str">
        <x:v>Morgens Klima/Pflanze/Bewässerung/Leck; Mitte Lichtphase Blattwinkel; vor Dunkel LF/Drain/stehendes Wasser.</x:v>
      </x:c>
      <x:c r="AG5" s="63" t="str">
        <x:v>EC nicht erhöhen bei steigender Diagnose-Drain-EC; PPFD nicht erhöhen bei Stress; Wasserband nie erzwingen; nie mehrere neue Booster gleichzeitig.</x:v>
      </x:c>
      <x:c r="AH5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" s="201" t="str">
        <x:f>IF(A5&lt;'01_Run_Config'!$B$32,"—",IF(A5&lt;'01_Run_Config'!$B$33,"G"&amp;MIN(4,INT((A5-'01_Run_Config'!$B$32)/7)+1),AM5))</x:f>
        <x:v>—</x:v>
      </x:c>
      <x:c r="AK5" s="35" t="str">
        <x:f>IF(A5&lt;'01_Run_Config'!$B$32,"Keine AN-Additive.",IF(A5&lt;'01_Run_Config'!$B$33,"Veg: Voodoo nur definierte Frischgaben; B-52/Piranha/Tarantula nur A/B; Sensizym nur statt PowerZyme; Rhino Skin AUS mit Athena Balance.",IF(AL5&lt;=7,"Frühblüte: Voodoo; Bud Ignitor/Piranha/Tarantula nur A/B; Rhino Skin AUS mit Balance.",IF(AL5&lt;=35,"Hauptblüte: Big Bud nur A/B STATT HESI-PK; Biostims einzeln testen.",IF(AL5&lt;=49,"Spätblüte: Overdrive nur A/B STATT spätem HESI-PK; keine neue zweite Variable.","Booster auslaufen / Reife priorisieren.")))))</x:f>
        <x:v>Keine AN-Additive.</x:v>
      </x:c>
      <x:c r="AL5" s="60" t="str">
        <x:f>IF(A5&lt;'01_Run_Config'!$B$33,"",A5-'01_Run_Config'!$B$33+1)</x:f>
      </x:c>
      <x:c r="AM5" s="60" t="str">
        <x:f>IF(AL5="","",IF(AL5&gt;49,CHAR(66)&amp;"7+",CHAR(66)&amp;TEXT(INT((AL5-1)/7)+1,"0")))</x:f>
      </x:c>
      <x:c r="AN5" s="60" t="n">
        <x:f>ROUND(0.6108*EXP(17.27*L5/(L5+237.3))*(1-N5/100),2)</x:f>
        <x:v>0.86</x:v>
      </x:c>
      <x:c r="AO5" s="60" t="n">
        <x:f>H5*G5/1000</x:f>
        <x:v>0.54</x:v>
      </x:c>
      <x:c r="AP5" s="60" t="n">
        <x:f>SUM($AO$2:AO5)</x:f>
        <x:v>2.16</x:v>
      </x:c>
      <x:c r="AQ5" t="n">
        <x:f>'01_Run_Config'!$B$17</x:f>
        <x:v>0</x:v>
      </x:c>
      <x:c r="AR5" t="n">
        <x:f>'01_Run_Config'!$B$22</x:f>
        <x:v>0</x:v>
      </x:c>
      <x:c r="AS5" t="n">
        <x:f>'01_Run_Config'!$B$25</x:f>
        <x:v>0</x:v>
      </x:c>
    </x:row>
    <x:row r="6">
      <x:c r="A6" s="34" t="n">
        <x:v>4</x:v>
      </x:c>
      <x:c r="B6" s="129" t="n">
        <x:f>'01_Run_Config'!$B$4+A6</x:f>
        <x:v>46246</x:v>
      </x:c>
      <x:c r="C6" s="63" t="n">
        <x:f>INT(A6/7)+1</x:f>
        <x:v>1</x:v>
      </x:c>
      <x:c r="D6" s="63" t="str">
        <x:f>"M"&amp;MIN(3,INT(A6/30)+1)</x:f>
        <x:v>M1</x:v>
      </x:c>
      <x:c r="E6" s="63" t="str">
        <x:f>IF(A6&lt;4,"Keimung",IF(A6&lt;8,"Etablierung",IF(A6&lt;15,"Early Veg",IF(A6&lt;'01_Run_Config'!$B$33,IF(A6&lt;22,"Veg / LST","Preflower-Watch"),IF(A6-'01_Run_Config'!$B$33&lt;=6,"Transition / Stretch ("&amp;AM6&amp;")",IF(A6-'01_Run_Config'!$B$33&lt;=13,"Early Flower ("&amp;AM6&amp;")",IF(A6-'01_Run_Config'!$B$33&lt;=20,"Flower I ("&amp;AM6&amp;")",IF(A6-'01_Run_Config'!$B$33&lt;=34,"Peak Flower ("&amp;AM6&amp;")",IF(A6-'01_Run_Config'!$B$33&lt;=41,"Late Flower ("&amp;AM6&amp;")",IF(A6-'01_Run_Config'!$B$33&lt;=48,"Ripening ("&amp;AM6&amp;")","Harvest / Extension ("&amp;AM6&amp;")"))))))))))</x:f>
        <x:v>Etablierung</x:v>
      </x:c>
      <x:c r="F6" s="63" t="str">
        <x:f>IF(A6&lt;4,"Keimung + Wurzelstart",IF(A6&lt;8,"Sämling etablieren; Wurzelraum erschließen",IF(A6&lt;15,"kompakter Aufbau; LST erst bei Vitalität",IF(A6&lt;'01_Run_Config'!$B$33,"Canopy aufbauen; Preflower beobachten",IF(A6-'01_Run_Config'!$B$33&lt;=6,"Stretch kontrollieren; Bloom-Trigger dokumentieren",IF(A6-'01_Run_Config'!$B$33&lt;=13,"Blütenansatz stabilisieren",IF(A6-'01_Run_Config'!$B$33&lt;=20,"Blütenaufbau ohne neue Stressoren",IF(A6-'01_Run_Config'!$B$33&lt;=34,"stabile Peak-Photosynthese; Klima priorisieren",IF(A6-'01_Run_Config'!$B$33&lt;=41,"Qualität/Schimmelprävention",IF(A6-'01_Run_Config'!$B$33&lt;=48,"Reife ohne Überfütterung","Erntefenster nach Pflanze; keine Kalenderernte"))))))))))</x:f>
        <x:v>Sämling etablieren; Wurzelraum erschließen</x:v>
      </x:c>
      <x:c r="G6" s="63" t="n">
        <x:v>18</x:v>
      </x:c>
      <x:c r="H6" s="63" t="n">
        <x:v>40</x:v>
      </x:c>
      <x:c r="I6" s="63" t="n">
        <x:v>200</x:v>
      </x:c>
      <x:c r="J6" s="63" t="n">
        <x:f>I6*G6*3600/1000000</x:f>
        <x:v>12.96</x:v>
      </x:c>
      <x:c r="K6" s="63" t="n">
        <x:v>52</x:v>
      </x:c>
      <x:c r="L6" s="63" t="n">
        <x:v>25</x:v>
      </x:c>
      <x:c r="M6" s="63" t="n">
        <x:v>22</x:v>
      </x:c>
      <x:c r="N6" s="63" t="n">
        <x:v>70</x:v>
      </x:c>
      <x:c r="O6" s="63" t="n">
        <x:f>ROUND(0.6108*EXP(17.27*(L6+'01_Run_Config'!$B$34)/(L6+'01_Run_Config'!$B$34+237.3))-(N6/100)*0.6108*EXP(17.27*L6/(L6+237.3)),2)</x:f>
        <x:v>0.77</x:v>
      </x:c>
      <x:c r="P6" s="63" t="n">
        <x:f>IF(A6&lt;'01_Run_Config'!$B$32,0.55,IF(A6&lt;'01_Run_Config'!$B$33,IF(A6-'01_Run_Config'!$B$32&lt;=3,0.8,IF(A6-'01_Run_Config'!$B$32&lt;=10,1,IF(A6-'01_Run_Config'!$B$32&lt;=17,1.2,1.4))),IF(A6-'01_Run_Config'!$B$33&lt;=6,1.5,IF(A6-'01_Run_Config'!$B$33&lt;=13,1.6,IF(A6-'01_Run_Config'!$B$33&lt;=20,1.7,IF(A6-'01_Run_Config'!$B$33&lt;=34,1.8,IF(A6-'01_Run_Config'!$B$33&lt;=41,1.6,IF(A6-'01_Run_Config'!$B$33&lt;=48,1.4,1.15))))))))</x:f>
        <x:v>0.8</x:v>
      </x:c>
      <x:c r="Q6" s="63" t="n">
        <x:v>5.9</x:v>
      </x:c>
      <x:c r="R6" s="63" t="n">
        <x:v>0.08</x:v>
      </x:c>
      <x:c r="S6" s="63" t="n">
        <x:v>0.15</x:v>
      </x:c>
      <x:c r="T6" s="63" t="str">
        <x:f>IF(A6&lt;=7,"Manuell",'01_Run_Config'!$B$40)</x:f>
        <x:v>Manuell</x:v>
      </x:c>
      <x:c r="U6" s="63" t="str">
        <x:f>IF(A6&lt;'01_Run_Config'!$B$32,"Kein Basisdünger",IF(A6&lt;'01_Run_Config'!$B$33,"HESI TNT","HESI Coco"))</x:f>
        <x:v>HESI TNT</x:v>
      </x:c>
      <x:c r="V6" s="63" t="n">
        <x:f>IF(A6&lt;'01_Run_Config'!$B$32,0,IF(A6&lt;'01_Run_Config'!$B$33,IF(A6-'01_Run_Config'!$B$32&lt;=3,1.25,IF(A6-'01_Run_Config'!$B$32&lt;=10,2,2.5)),IF(A6-'01_Run_Config'!$B$33&lt;=6,2.5,IF(A6-'01_Run_Config'!$B$33&lt;=13,3.25,IF(A6-'01_Run_Config'!$B$33&lt;=20,3.75,IF(A6-'01_Run_Config'!$B$33&lt;=34,4,IF(A6-'01_Run_Config'!$B$33&lt;=41,3.5,IF(A6-'01_Run_Config'!$B$33&lt;=48,2.5,1.5))))))))</x:f>
        <x:v>1.25</x:v>
      </x:c>
      <x:c r="W6" s="63" t="n">
        <x:f>IF(OR(A6='01_Run_Config'!$B$32,A6='01_Run_Config'!$B$32+6,A6='01_Run_Config'!$B$32+12),2.5,0)</x:f>
        <x:v>2.5</x:v>
      </x:c>
      <x:c r="X6" s="63" t="n">
        <x:f>IF(AND(A6&gt;='01_Run_Config'!$B$32+3,A6&lt;='01_Run_Config'!$B$33+35,MOD(A6-('01_Run_Config'!$B$32+3),7)=0),2,0)</x:f>
        <x:v>0</x:v>
      </x:c>
      <x:c r="Y6" s="63" t="n">
        <x:f>IF(A6&gt;='01_Run_Config'!$B$32,0.015,0)</x:f>
        <x:v>0.015</x:v>
      </x:c>
      <x:c r="Z6" s="63" t="n">
        <x:f>IF(AND('01_Run_Config'!$B$26="Hesilicio statt Balance",A6&gt;='01_Run_Config'!$B$32+3,MOD(A6-('01_Run_Config'!$B$32+3),7)=0,A6&lt;='01_Run_Config'!$B$33+35),0.5,0)</x:f>
        <x:v>0</x:v>
      </x:c>
      <x:c r="AA6" s="63" t="n">
        <x:f>IF(AND(A6&gt;='01_Run_Config'!$B$33,A6&lt;='01_Run_Config'!$B$33+35,MOD(A6-'01_Run_Config'!$B$33,7)=0),2,0)</x:f>
        <x:v>0</x:v>
      </x:c>
      <x:c r="AB6" s="63" t="n">
        <x:f>IF(A6='01_Run_Config'!$B$33+21,0.25,IF(A6='01_Run_Config'!$B$33+28,0.35,IF(A6='01_Run_Config'!$B$33+35,0.5,0)))</x:f>
        <x:v>0</x:v>
      </x:c>
      <x:c r="AC6" s="63" t="n">
        <x:f>IF(OR(A6='01_Run_Config'!$B$32,A6='01_Run_Config'!$B$32+7,A6='01_Run_Config'!$B$33+1,A6='01_Run_Config'!$B$33+8),2,0)</x:f>
        <x:v>2</x:v>
      </x:c>
      <x:c r="AD6" s="63" t="str">
        <x:f>IF(A6&lt;'01_Run_Config'!$B$33,"AN-Reference=0 außer Voodoo-Frischgaben",IF(AL6&lt;=7,"A/B: Bud Ignitor oder Mikrobenmodul; nicht Reference",IF(AL6&lt;=35,"A/B: Big Bud STATT HESI-PK; nicht additiv stapeln",IF(AL6&lt;=49,"A/B: Overdrive STATT spätem HESI-PK","AN-Booster auslaufen"))))</x:f>
        <x:v>AN-Reference=0 außer Voodoo-Frischgaben</x:v>
      </x:c>
      <x:c r="AE6" s="63" t="str">
        <x:v>Kein Training</x:v>
      </x:c>
      <x:c r="AF6" s="63" t="str">
        <x:v>Morgens Klima/Pflanze/Bewässerung/Leck; Mitte Lichtphase Blattwinkel; vor Dunkel LF/Drain/stehendes Wasser.</x:v>
      </x:c>
      <x:c r="AG6" s="63" t="str">
        <x:v>EC nicht erhöhen bei steigender Diagnose-Drain-EC; PPFD nicht erhöhen bei Stress; Wasserband nie erzwingen; nie mehrere neue Booster gleichzeitig.</x:v>
      </x:c>
      <x:c r="AH6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" s="201" t="str">
        <x:f>IF(A6&lt;'01_Run_Config'!$B$32,"—",IF(A6&lt;'01_Run_Config'!$B$33,"G"&amp;MIN(4,INT((A6-'01_Run_Config'!$B$32)/7)+1),AM6))</x:f>
        <x:v>G1</x:v>
      </x:c>
      <x:c r="AK6" s="35" t="str">
        <x:f>IF(A6&lt;'01_Run_Config'!$B$32,"Keine AN-Additive.",IF(A6&lt;'01_Run_Config'!$B$33,"Veg: Voodoo nur definierte Frischgaben; B-52/Piranha/Tarantula nur A/B; Sensizym nur statt PowerZyme; Rhino Skin AUS mit Athena Balance.",IF(AL6&lt;=7,"Frühblüte: Voodoo; Bud Ignitor/Piranha/Tarantula nur A/B; Rhino Skin AUS mit Balance.",IF(AL6&lt;=35,"Hauptblüte: Big Bud nur A/B STATT HESI-PK; Biostims einzeln testen.",IF(AL6&lt;=49,"Spätblüte: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6" s="60" t="str">
        <x:f>IF(A6&lt;'01_Run_Config'!$B$33,"",A6-'01_Run_Config'!$B$33+1)</x:f>
      </x:c>
      <x:c r="AM6" s="60" t="str">
        <x:f>IF(AL6="","",IF(AL6&gt;49,CHAR(66)&amp;"7+",CHAR(66)&amp;TEXT(INT((AL6-1)/7)+1,"0")))</x:f>
      </x:c>
      <x:c r="AN6" s="60" t="n">
        <x:f>ROUND(0.6108*EXP(17.27*L6/(L6+237.3))*(1-N6/100),2)</x:f>
        <x:v>0.95</x:v>
      </x:c>
      <x:c r="AO6" s="60" t="n">
        <x:f>H6*G6/1000</x:f>
        <x:v>0.72</x:v>
      </x:c>
      <x:c r="AP6" s="60" t="n">
        <x:f>SUM($AO$2:AO6)</x:f>
        <x:v>2.88</x:v>
      </x:c>
      <x:c r="AQ6" t="n">
        <x:f>'01_Run_Config'!$B$17</x:f>
        <x:v>0</x:v>
      </x:c>
      <x:c r="AR6" t="n">
        <x:f>'01_Run_Config'!$B$22</x:f>
        <x:v>0</x:v>
      </x:c>
      <x:c r="AS6" t="n">
        <x:f>'01_Run_Config'!$B$25</x:f>
        <x:v>0</x:v>
      </x:c>
    </x:row>
    <x:row r="7">
      <x:c r="A7" s="34" t="n">
        <x:v>5</x:v>
      </x:c>
      <x:c r="B7" s="129" t="n">
        <x:f>'01_Run_Config'!$B$4+A7</x:f>
        <x:v>46247</x:v>
      </x:c>
      <x:c r="C7" s="63" t="n">
        <x:f>INT(A7/7)+1</x:f>
        <x:v>1</x:v>
      </x:c>
      <x:c r="D7" s="63" t="str">
        <x:f>"M"&amp;MIN(3,INT(A7/30)+1)</x:f>
        <x:v>M1</x:v>
      </x:c>
      <x:c r="E7" s="63" t="str">
        <x:f>IF(A7&lt;4,"Keimung",IF(A7&lt;8,"Etablierung",IF(A7&lt;15,"Early Veg",IF(A7&lt;'01_Run_Config'!$B$33,IF(A7&lt;22,"Veg / LST","Preflower-Watch"),IF(A7-'01_Run_Config'!$B$33&lt;=6,"Transition / Stretch ("&amp;AM7&amp;")",IF(A7-'01_Run_Config'!$B$33&lt;=13,"Early Flower ("&amp;AM7&amp;")",IF(A7-'01_Run_Config'!$B$33&lt;=20,"Flower I ("&amp;AM7&amp;")",IF(A7-'01_Run_Config'!$B$33&lt;=34,"Peak Flower ("&amp;AM7&amp;")",IF(A7-'01_Run_Config'!$B$33&lt;=41,"Late Flower ("&amp;AM7&amp;")",IF(A7-'01_Run_Config'!$B$33&lt;=48,"Ripening ("&amp;AM7&amp;")","Harvest / Extension ("&amp;AM7&amp;")"))))))))))</x:f>
        <x:v>Etablierung</x:v>
      </x:c>
      <x:c r="F7" s="63" t="str">
        <x:f>IF(A7&lt;4,"Keimung + Wurzelstart",IF(A7&lt;8,"Sämling etablieren; Wurzelraum erschließen",IF(A7&lt;15,"kompakter Aufbau; LST erst bei Vitalität",IF(A7&lt;'01_Run_Config'!$B$33,"Canopy aufbauen; Preflower beobachten",IF(A7-'01_Run_Config'!$B$33&lt;=6,"Stretch kontrollieren; Bloom-Trigger dokumentieren",IF(A7-'01_Run_Config'!$B$33&lt;=13,"Blütenansatz stabilisieren",IF(A7-'01_Run_Config'!$B$33&lt;=20,"Blütenaufbau ohne neue Stressoren",IF(A7-'01_Run_Config'!$B$33&lt;=34,"stabile Peak-Photosynthese; Klima priorisieren",IF(A7-'01_Run_Config'!$B$33&lt;=41,"Qualität/Schimmelprävention",IF(A7-'01_Run_Config'!$B$33&lt;=48,"Reife ohne Überfütterung","Erntefenster nach Pflanze; keine Kalenderernte"))))))))))</x:f>
        <x:v>Sämling etablieren; Wurzelraum erschließen</x:v>
      </x:c>
      <x:c r="G7" s="63" t="n">
        <x:v>18</x:v>
      </x:c>
      <x:c r="H7" s="63" t="n">
        <x:v>40</x:v>
      </x:c>
      <x:c r="I7" s="63" t="n">
        <x:v>200</x:v>
      </x:c>
      <x:c r="J7" s="63" t="n">
        <x:f>I7*G7*3600/1000000</x:f>
        <x:v>12.96</x:v>
      </x:c>
      <x:c r="K7" s="63" t="n">
        <x:v>52</x:v>
      </x:c>
      <x:c r="L7" s="63" t="n">
        <x:v>25</x:v>
      </x:c>
      <x:c r="M7" s="63" t="n">
        <x:v>22</x:v>
      </x:c>
      <x:c r="N7" s="63" t="n">
        <x:v>70</x:v>
      </x:c>
      <x:c r="O7" s="63" t="n">
        <x:f>ROUND(0.6108*EXP(17.27*(L7+'01_Run_Config'!$B$34)/(L7+'01_Run_Config'!$B$34+237.3))-(N7/100)*0.6108*EXP(17.27*L7/(L7+237.3)),2)</x:f>
        <x:v>0.77</x:v>
      </x:c>
      <x:c r="P7" s="63" t="n">
        <x:f>IF(A7&lt;'01_Run_Config'!$B$32,0.55,IF(A7&lt;'01_Run_Config'!$B$33,IF(A7-'01_Run_Config'!$B$32&lt;=3,0.8,IF(A7-'01_Run_Config'!$B$32&lt;=10,1,IF(A7-'01_Run_Config'!$B$32&lt;=17,1.2,1.4))),IF(A7-'01_Run_Config'!$B$33&lt;=6,1.5,IF(A7-'01_Run_Config'!$B$33&lt;=13,1.6,IF(A7-'01_Run_Config'!$B$33&lt;=20,1.7,IF(A7-'01_Run_Config'!$B$33&lt;=34,1.8,IF(A7-'01_Run_Config'!$B$33&lt;=41,1.6,IF(A7-'01_Run_Config'!$B$33&lt;=48,1.4,1.15))))))))</x:f>
        <x:v>0.8</x:v>
      </x:c>
      <x:c r="Q7" s="63" t="n">
        <x:v>5.9</x:v>
      </x:c>
      <x:c r="R7" s="63" t="n">
        <x:v>0.08</x:v>
      </x:c>
      <x:c r="S7" s="63" t="n">
        <x:v>0.15</x:v>
      </x:c>
      <x:c r="T7" s="63" t="str">
        <x:f>IF(A7&lt;=7,"Manuell",'01_Run_Config'!$B$40)</x:f>
        <x:v>Manuell</x:v>
      </x:c>
      <x:c r="U7" s="63" t="str">
        <x:f>IF(A7&lt;'01_Run_Config'!$B$32,"Kein Basisdünger",IF(A7&lt;'01_Run_Config'!$B$33,"HESI TNT","HESI Coco"))</x:f>
        <x:v>HESI TNT</x:v>
      </x:c>
      <x:c r="V7" s="63" t="n">
        <x:f>IF(A7&lt;'01_Run_Config'!$B$32,0,IF(A7&lt;'01_Run_Config'!$B$33,IF(A7-'01_Run_Config'!$B$32&lt;=3,1.25,IF(A7-'01_Run_Config'!$B$32&lt;=10,2,2.5)),IF(A7-'01_Run_Config'!$B$33&lt;=6,2.5,IF(A7-'01_Run_Config'!$B$33&lt;=13,3.25,IF(A7-'01_Run_Config'!$B$33&lt;=20,3.75,IF(A7-'01_Run_Config'!$B$33&lt;=34,4,IF(A7-'01_Run_Config'!$B$33&lt;=41,3.5,IF(A7-'01_Run_Config'!$B$33&lt;=48,2.5,1.5))))))))</x:f>
        <x:v>1.25</x:v>
      </x:c>
      <x:c r="W7" s="63" t="n">
        <x:f>IF(OR(A7='01_Run_Config'!$B$32,A7='01_Run_Config'!$B$32+6,A7='01_Run_Config'!$B$32+12),2.5,0)</x:f>
        <x:v>0</x:v>
      </x:c>
      <x:c r="X7" s="63" t="n">
        <x:f>IF(AND(A7&gt;='01_Run_Config'!$B$32+3,A7&lt;='01_Run_Config'!$B$33+35,MOD(A7-('01_Run_Config'!$B$32+3),7)=0),2,0)</x:f>
        <x:v>0</x:v>
      </x:c>
      <x:c r="Y7" s="63" t="n">
        <x:f>IF(A7&gt;='01_Run_Config'!$B$32,0.015,0)</x:f>
        <x:v>0.015</x:v>
      </x:c>
      <x:c r="Z7" s="63" t="n">
        <x:f>IF(AND('01_Run_Config'!$B$26="Hesilicio statt Balance",A7&gt;='01_Run_Config'!$B$32+3,MOD(A7-('01_Run_Config'!$B$32+3),7)=0,A7&lt;='01_Run_Config'!$B$33+35),0.5,0)</x:f>
        <x:v>0</x:v>
      </x:c>
      <x:c r="AA7" s="63" t="n">
        <x:f>IF(AND(A7&gt;='01_Run_Config'!$B$33,A7&lt;='01_Run_Config'!$B$33+35,MOD(A7-'01_Run_Config'!$B$33,7)=0),2,0)</x:f>
        <x:v>0</x:v>
      </x:c>
      <x:c r="AB7" s="63" t="n">
        <x:f>IF(A7='01_Run_Config'!$B$33+21,0.25,IF(A7='01_Run_Config'!$B$33+28,0.35,IF(A7='01_Run_Config'!$B$33+35,0.5,0)))</x:f>
        <x:v>0</x:v>
      </x:c>
      <x:c r="AC7" s="63" t="n">
        <x:f>IF(OR(A7='01_Run_Config'!$B$32,A7='01_Run_Config'!$B$32+7,A7='01_Run_Config'!$B$33+1,A7='01_Run_Config'!$B$33+8),2,0)</x:f>
        <x:v>0</x:v>
      </x:c>
      <x:c r="AD7" s="63" t="str">
        <x:f>IF(A7&lt;'01_Run_Config'!$B$33,"AN-Reference=0 außer Voodoo-Frischgaben",IF(AL7&lt;=7,"A/B: Bud Ignitor oder Mikrobenmodul; nicht Reference",IF(AL7&lt;=35,"A/B: Big Bud STATT HESI-PK; nicht additiv stapeln",IF(AL7&lt;=49,"A/B: Overdrive STATT spätem HESI-PK","AN-Booster auslaufen"))))</x:f>
        <x:v>AN-Reference=0 außer Voodoo-Frischgaben</x:v>
      </x:c>
      <x:c r="AE7" s="63" t="str">
        <x:v>Kein Training</x:v>
      </x:c>
      <x:c r="AF7" s="63" t="str">
        <x:v>Morgens Klima/Pflanze/Bewässerung/Leck; Mitte Lichtphase Blattwinkel; vor Dunkel LF/Drain/stehendes Wasser.</x:v>
      </x:c>
      <x:c r="AG7" s="63" t="str">
        <x:v>EC nicht erhöhen bei steigender Diagnose-Drain-EC; PPFD nicht erhöhen bei Stress; Wasserband nie erzwingen; nie mehrere neue Booster gleichzeitig.</x:v>
      </x:c>
      <x:c r="AH7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" s="201" t="str">
        <x:f>IF(A7&lt;'01_Run_Config'!$B$32,"—",IF(A7&lt;'01_Run_Config'!$B$33,"G"&amp;MIN(4,INT((A7-'01_Run_Config'!$B$32)/7)+1),AM7))</x:f>
        <x:v>G1</x:v>
      </x:c>
      <x:c r="AK7" s="35" t="str">
        <x:f>IF(A7&lt;'01_Run_Config'!$B$32,"Keine AN-Additive.",IF(A7&lt;'01_Run_Config'!$B$33,"Veg: Voodoo nur definierte Frischgaben; B-52/Piranha/Tarantula nur A/B; Sensizym nur statt PowerZyme; Rhino Skin AUS mit Athena Balance.",IF(AL7&lt;=7,"Frühblüte: Voodoo; Bud Ignitor/Piranha/Tarantula nur A/B; Rhino Skin AUS mit Balance.",IF(AL7&lt;=35,"Hauptblüte: Big Bud nur A/B STATT HESI-PK; Biostims einzeln testen.",IF(AL7&lt;=49,"Spätblüte: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7" s="60" t="str">
        <x:f>IF(A7&lt;'01_Run_Config'!$B$33,"",A7-'01_Run_Config'!$B$33+1)</x:f>
      </x:c>
      <x:c r="AM7" s="60" t="str">
        <x:f>IF(AL7="","",IF(AL7&gt;49,CHAR(66)&amp;"7+",CHAR(66)&amp;TEXT(INT((AL7-1)/7)+1,"0")))</x:f>
      </x:c>
      <x:c r="AN7" s="60" t="n">
        <x:f>ROUND(0.6108*EXP(17.27*L7/(L7+237.3))*(1-N7/100),2)</x:f>
        <x:v>0.95</x:v>
      </x:c>
      <x:c r="AO7" s="60" t="n">
        <x:f>H7*G7/1000</x:f>
        <x:v>0.72</x:v>
      </x:c>
      <x:c r="AP7" s="60" t="n">
        <x:f>SUM($AO$2:AO7)</x:f>
        <x:v>3.5999999999999996</x:v>
      </x:c>
      <x:c r="AQ7" t="n">
        <x:f>'01_Run_Config'!$B$17</x:f>
        <x:v>0</x:v>
      </x:c>
      <x:c r="AR7" t="n">
        <x:f>'01_Run_Config'!$B$22</x:f>
        <x:v>0</x:v>
      </x:c>
      <x:c r="AS7" t="n">
        <x:f>'01_Run_Config'!$B$25</x:f>
        <x:v>0</x:v>
      </x:c>
    </x:row>
    <x:row r="8">
      <x:c r="A8" s="34" t="n">
        <x:v>6</x:v>
      </x:c>
      <x:c r="B8" s="129" t="n">
        <x:f>'01_Run_Config'!$B$4+A8</x:f>
        <x:v>46248</x:v>
      </x:c>
      <x:c r="C8" s="63" t="n">
        <x:f>INT(A8/7)+1</x:f>
        <x:v>1</x:v>
      </x:c>
      <x:c r="D8" s="63" t="str">
        <x:f>"M"&amp;MIN(3,INT(A8/30)+1)</x:f>
        <x:v>M1</x:v>
      </x:c>
      <x:c r="E8" s="63" t="str">
        <x:f>IF(A8&lt;4,"Keimung",IF(A8&lt;8,"Etablierung",IF(A8&lt;15,"Early Veg",IF(A8&lt;'01_Run_Config'!$B$33,IF(A8&lt;22,"Veg / LST","Preflower-Watch"),IF(A8-'01_Run_Config'!$B$33&lt;=6,"Transition / Stretch ("&amp;AM8&amp;")",IF(A8-'01_Run_Config'!$B$33&lt;=13,"Early Flower ("&amp;AM8&amp;")",IF(A8-'01_Run_Config'!$B$33&lt;=20,"Flower I ("&amp;AM8&amp;")",IF(A8-'01_Run_Config'!$B$33&lt;=34,"Peak Flower ("&amp;AM8&amp;")",IF(A8-'01_Run_Config'!$B$33&lt;=41,"Late Flower ("&amp;AM8&amp;")",IF(A8-'01_Run_Config'!$B$33&lt;=48,"Ripening ("&amp;AM8&amp;")","Harvest / Extension ("&amp;AM8&amp;")"))))))))))</x:f>
        <x:v>Etablierung</x:v>
      </x:c>
      <x:c r="F8" s="63" t="str">
        <x:f>IF(A8&lt;4,"Keimung + Wurzelstart",IF(A8&lt;8,"Sämling etablieren; Wurzelraum erschließen",IF(A8&lt;15,"kompakter Aufbau; LST erst bei Vitalität",IF(A8&lt;'01_Run_Config'!$B$33,"Canopy aufbauen; Preflower beobachten",IF(A8-'01_Run_Config'!$B$33&lt;=6,"Stretch kontrollieren; Bloom-Trigger dokumentieren",IF(A8-'01_Run_Config'!$B$33&lt;=13,"Blütenansatz stabilisieren",IF(A8-'01_Run_Config'!$B$33&lt;=20,"Blütenaufbau ohne neue Stressoren",IF(A8-'01_Run_Config'!$B$33&lt;=34,"stabile Peak-Photosynthese; Klima priorisieren",IF(A8-'01_Run_Config'!$B$33&lt;=41,"Qualität/Schimmelprävention",IF(A8-'01_Run_Config'!$B$33&lt;=48,"Reife ohne Überfütterung","Erntefenster nach Pflanze; keine Kalenderernte"))))))))))</x:f>
        <x:v>Sämling etablieren; Wurzelraum erschließen</x:v>
      </x:c>
      <x:c r="G8" s="63" t="n">
        <x:v>18</x:v>
      </x:c>
      <x:c r="H8" s="63" t="n">
        <x:v>40</x:v>
      </x:c>
      <x:c r="I8" s="63" t="n">
        <x:v>200</x:v>
      </x:c>
      <x:c r="J8" s="63" t="n">
        <x:f>I8*G8*3600/1000000</x:f>
        <x:v>12.96</x:v>
      </x:c>
      <x:c r="K8" s="63" t="n">
        <x:v>52</x:v>
      </x:c>
      <x:c r="L8" s="63" t="n">
        <x:v>25</x:v>
      </x:c>
      <x:c r="M8" s="63" t="n">
        <x:v>22</x:v>
      </x:c>
      <x:c r="N8" s="63" t="n">
        <x:v>70</x:v>
      </x:c>
      <x:c r="O8" s="63" t="n">
        <x:f>ROUND(0.6108*EXP(17.27*(L8+'01_Run_Config'!$B$34)/(L8+'01_Run_Config'!$B$34+237.3))-(N8/100)*0.6108*EXP(17.27*L8/(L8+237.3)),2)</x:f>
        <x:v>0.77</x:v>
      </x:c>
      <x:c r="P8" s="63" t="n">
        <x:f>IF(A8&lt;'01_Run_Config'!$B$32,0.55,IF(A8&lt;'01_Run_Config'!$B$33,IF(A8-'01_Run_Config'!$B$32&lt;=3,0.8,IF(A8-'01_Run_Config'!$B$32&lt;=10,1,IF(A8-'01_Run_Config'!$B$32&lt;=17,1.2,1.4))),IF(A8-'01_Run_Config'!$B$33&lt;=6,1.5,IF(A8-'01_Run_Config'!$B$33&lt;=13,1.6,IF(A8-'01_Run_Config'!$B$33&lt;=20,1.7,IF(A8-'01_Run_Config'!$B$33&lt;=34,1.8,IF(A8-'01_Run_Config'!$B$33&lt;=41,1.6,IF(A8-'01_Run_Config'!$B$33&lt;=48,1.4,1.15))))))))</x:f>
        <x:v>0.8</x:v>
      </x:c>
      <x:c r="Q8" s="63" t="n">
        <x:v>5.9</x:v>
      </x:c>
      <x:c r="R8" s="63" t="n">
        <x:v>0.08</x:v>
      </x:c>
      <x:c r="S8" s="63" t="n">
        <x:v>0.15</x:v>
      </x:c>
      <x:c r="T8" s="63" t="str">
        <x:f>IF(A8&lt;=7,"Manuell",'01_Run_Config'!$B$40)</x:f>
        <x:v>Manuell</x:v>
      </x:c>
      <x:c r="U8" s="63" t="str">
        <x:f>IF(A8&lt;'01_Run_Config'!$B$32,"Kein Basisdünger",IF(A8&lt;'01_Run_Config'!$B$33,"HESI TNT","HESI Coco"))</x:f>
        <x:v>HESI TNT</x:v>
      </x:c>
      <x:c r="V8" s="63" t="n">
        <x:f>IF(A8&lt;'01_Run_Config'!$B$32,0,IF(A8&lt;'01_Run_Config'!$B$33,IF(A8-'01_Run_Config'!$B$32&lt;=3,1.25,IF(A8-'01_Run_Config'!$B$32&lt;=10,2,2.5)),IF(A8-'01_Run_Config'!$B$33&lt;=6,2.5,IF(A8-'01_Run_Config'!$B$33&lt;=13,3.25,IF(A8-'01_Run_Config'!$B$33&lt;=20,3.75,IF(A8-'01_Run_Config'!$B$33&lt;=34,4,IF(A8-'01_Run_Config'!$B$33&lt;=41,3.5,IF(A8-'01_Run_Config'!$B$33&lt;=48,2.5,1.5))))))))</x:f>
        <x:v>1.25</x:v>
      </x:c>
      <x:c r="W8" s="63" t="n">
        <x:f>IF(OR(A8='01_Run_Config'!$B$32,A8='01_Run_Config'!$B$32+6,A8='01_Run_Config'!$B$32+12),2.5,0)</x:f>
        <x:v>0</x:v>
      </x:c>
      <x:c r="X8" s="63" t="n">
        <x:f>IF(AND(A8&gt;='01_Run_Config'!$B$32+3,A8&lt;='01_Run_Config'!$B$33+35,MOD(A8-('01_Run_Config'!$B$32+3),7)=0),2,0)</x:f>
        <x:v>0</x:v>
      </x:c>
      <x:c r="Y8" s="63" t="n">
        <x:f>IF(A8&gt;='01_Run_Config'!$B$32,0.015,0)</x:f>
        <x:v>0.015</x:v>
      </x:c>
      <x:c r="Z8" s="63" t="n">
        <x:f>IF(AND('01_Run_Config'!$B$26="Hesilicio statt Balance",A8&gt;='01_Run_Config'!$B$32+3,MOD(A8-('01_Run_Config'!$B$32+3),7)=0,A8&lt;='01_Run_Config'!$B$33+35),0.5,0)</x:f>
        <x:v>0</x:v>
      </x:c>
      <x:c r="AA8" s="63" t="n">
        <x:f>IF(AND(A8&gt;='01_Run_Config'!$B$33,A8&lt;='01_Run_Config'!$B$33+35,MOD(A8-'01_Run_Config'!$B$33,7)=0),2,0)</x:f>
        <x:v>0</x:v>
      </x:c>
      <x:c r="AB8" s="63" t="n">
        <x:f>IF(A8='01_Run_Config'!$B$33+21,0.25,IF(A8='01_Run_Config'!$B$33+28,0.35,IF(A8='01_Run_Config'!$B$33+35,0.5,0)))</x:f>
        <x:v>0</x:v>
      </x:c>
      <x:c r="AC8" s="63" t="n">
        <x:f>IF(OR(A8='01_Run_Config'!$B$32,A8='01_Run_Config'!$B$32+7,A8='01_Run_Config'!$B$33+1,A8='01_Run_Config'!$B$33+8),2,0)</x:f>
        <x:v>0</x:v>
      </x:c>
      <x:c r="AD8" s="63" t="str">
        <x:f>IF(A8&lt;'01_Run_Config'!$B$33,"AN-Reference=0 außer Voodoo-Frischgaben",IF(AL8&lt;=7,"A/B: Bud Ignitor oder Mikrobenmodul; nicht Reference",IF(AL8&lt;=35,"A/B: Big Bud STATT HESI-PK; nicht additiv stapeln",IF(AL8&lt;=49,"A/B: Overdrive STATT spätem HESI-PK","AN-Booster auslaufen"))))</x:f>
        <x:v>AN-Reference=0 außer Voodoo-Frischgaben</x:v>
      </x:c>
      <x:c r="AE8" s="63" t="str">
        <x:v>Kein Training</x:v>
      </x:c>
      <x:c r="AF8" s="63" t="str">
        <x:v>Morgens Klima/Pflanze/Bewässerung/Leck; Mitte Lichtphase Blattwinkel; vor Dunkel LF/Drain/stehendes Wasser.</x:v>
      </x:c>
      <x:c r="AG8" s="63" t="str">
        <x:v>EC nicht erhöhen bei steigender Diagnose-Drain-EC; PPFD nicht erhöhen bei Stress; Wasserband nie erzwingen; nie mehrere neue Booster gleichzeitig.</x:v>
      </x:c>
      <x:c r="AH8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" s="201" t="str">
        <x:f>IF(A8&lt;'01_Run_Config'!$B$32,"—",IF(A8&lt;'01_Run_Config'!$B$33,"G"&amp;MIN(4,INT((A8-'01_Run_Config'!$B$32)/7)+1),AM8))</x:f>
        <x:v>G1</x:v>
      </x:c>
      <x:c r="AK8" s="35" t="str">
        <x:f>IF(A8&lt;'01_Run_Config'!$B$32,"Keine AN-Additive.",IF(A8&lt;'01_Run_Config'!$B$33,"Veg: Voodoo nur definierte Frischgaben; B-52/Piranha/Tarantula nur A/B; Sensizym nur statt PowerZyme; Rhino Skin AUS mit Athena Balance.",IF(AL8&lt;=7,"Frühblüte: Voodoo; Bud Ignitor/Piranha/Tarantula nur A/B; Rhino Skin AUS mit Balance.",IF(AL8&lt;=35,"Hauptblüte: Big Bud nur A/B STATT HESI-PK; Biostims einzeln testen.",IF(AL8&lt;=49,"Spätblüte: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8" s="60" t="str">
        <x:f>IF(A8&lt;'01_Run_Config'!$B$33,"",A8-'01_Run_Config'!$B$33+1)</x:f>
      </x:c>
      <x:c r="AM8" s="60" t="str">
        <x:f>IF(AL8="","",IF(AL8&gt;49,CHAR(66)&amp;"7+",CHAR(66)&amp;TEXT(INT((AL8-1)/7)+1,"0")))</x:f>
      </x:c>
      <x:c r="AN8" s="60" t="n">
        <x:f>ROUND(0.6108*EXP(17.27*L8/(L8+237.3))*(1-N8/100),2)</x:f>
        <x:v>0.95</x:v>
      </x:c>
      <x:c r="AO8" s="60" t="n">
        <x:f>H8*G8/1000</x:f>
        <x:v>0.72</x:v>
      </x:c>
      <x:c r="AP8" s="60" t="n">
        <x:f>SUM($AO$2:AO8)</x:f>
        <x:v>4.319999999999999</x:v>
      </x:c>
      <x:c r="AQ8" t="n">
        <x:f>'01_Run_Config'!$B$17</x:f>
        <x:v>0</x:v>
      </x:c>
      <x:c r="AR8" t="n">
        <x:f>'01_Run_Config'!$B$22</x:f>
        <x:v>0</x:v>
      </x:c>
      <x:c r="AS8" t="n">
        <x:f>'01_Run_Config'!$B$25</x:f>
        <x:v>0</x:v>
      </x:c>
    </x:row>
    <x:row r="9">
      <x:c r="A9" s="34" t="n">
        <x:v>7</x:v>
      </x:c>
      <x:c r="B9" s="129" t="n">
        <x:f>'01_Run_Config'!$B$4+A9</x:f>
        <x:v>46249</x:v>
      </x:c>
      <x:c r="C9" s="63" t="n">
        <x:f>INT(A9/7)+1</x:f>
        <x:v>2</x:v>
      </x:c>
      <x:c r="D9" s="63" t="str">
        <x:f>"M"&amp;MIN(3,INT(A9/30)+1)</x:f>
        <x:v>M1</x:v>
      </x:c>
      <x:c r="E9" s="63" t="str">
        <x:f>IF(A9&lt;4,"Keimung",IF(A9&lt;8,"Etablierung",IF(A9&lt;15,"Early Veg",IF(A9&lt;'01_Run_Config'!$B$33,IF(A9&lt;22,"Veg / LST","Preflower-Watch"),IF(A9-'01_Run_Config'!$B$33&lt;=6,"Transition / Stretch ("&amp;AM9&amp;")",IF(A9-'01_Run_Config'!$B$33&lt;=13,"Early Flower ("&amp;AM9&amp;")",IF(A9-'01_Run_Config'!$B$33&lt;=20,"Flower I ("&amp;AM9&amp;")",IF(A9-'01_Run_Config'!$B$33&lt;=34,"Peak Flower ("&amp;AM9&amp;")",IF(A9-'01_Run_Config'!$B$33&lt;=41,"Late Flower ("&amp;AM9&amp;")",IF(A9-'01_Run_Config'!$B$33&lt;=48,"Ripening ("&amp;AM9&amp;")","Harvest / Extension ("&amp;AM9&amp;")"))))))))))</x:f>
        <x:v>Etablierung</x:v>
      </x:c>
      <x:c r="F9" s="63" t="str">
        <x:f>IF(A9&lt;4,"Keimung + Wurzelstart",IF(A9&lt;8,"Sämling etablieren; Wurzelraum erschließen",IF(A9&lt;15,"kompakter Aufbau; LST erst bei Vitalität",IF(A9&lt;'01_Run_Config'!$B$33,"Canopy aufbauen; Preflower beobachten",IF(A9-'01_Run_Config'!$B$33&lt;=6,"Stretch kontrollieren; Bloom-Trigger dokumentieren",IF(A9-'01_Run_Config'!$B$33&lt;=13,"Blütenansatz stabilisieren",IF(A9-'01_Run_Config'!$B$33&lt;=20,"Blütenaufbau ohne neue Stressoren",IF(A9-'01_Run_Config'!$B$33&lt;=34,"stabile Peak-Photosynthese; Klima priorisieren",IF(A9-'01_Run_Config'!$B$33&lt;=41,"Qualität/Schimmelprävention",IF(A9-'01_Run_Config'!$B$33&lt;=48,"Reife ohne Überfütterung","Erntefenster nach Pflanze; keine Kalenderernte"))))))))))</x:f>
        <x:v>Sämling etablieren; Wurzelraum erschließen</x:v>
      </x:c>
      <x:c r="G9" s="63" t="n">
        <x:v>18</x:v>
      </x:c>
      <x:c r="H9" s="63" t="n">
        <x:v>40</x:v>
      </x:c>
      <x:c r="I9" s="63" t="n">
        <x:v>200</x:v>
      </x:c>
      <x:c r="J9" s="63" t="n">
        <x:f>I9*G9*3600/1000000</x:f>
        <x:v>12.96</x:v>
      </x:c>
      <x:c r="K9" s="63" t="n">
        <x:v>52</x:v>
      </x:c>
      <x:c r="L9" s="63" t="n">
        <x:v>25</x:v>
      </x:c>
      <x:c r="M9" s="63" t="n">
        <x:v>22</x:v>
      </x:c>
      <x:c r="N9" s="63" t="n">
        <x:v>70</x:v>
      </x:c>
      <x:c r="O9" s="63" t="n">
        <x:f>ROUND(0.6108*EXP(17.27*(L9+'01_Run_Config'!$B$34)/(L9+'01_Run_Config'!$B$34+237.3))-(N9/100)*0.6108*EXP(17.27*L9/(L9+237.3)),2)</x:f>
        <x:v>0.77</x:v>
      </x:c>
      <x:c r="P9" s="63" t="n">
        <x:f>IF(A9&lt;'01_Run_Config'!$B$32,0.55,IF(A9&lt;'01_Run_Config'!$B$33,IF(A9-'01_Run_Config'!$B$32&lt;=3,0.8,IF(A9-'01_Run_Config'!$B$32&lt;=10,1,IF(A9-'01_Run_Config'!$B$32&lt;=17,1.2,1.4))),IF(A9-'01_Run_Config'!$B$33&lt;=6,1.5,IF(A9-'01_Run_Config'!$B$33&lt;=13,1.6,IF(A9-'01_Run_Config'!$B$33&lt;=20,1.7,IF(A9-'01_Run_Config'!$B$33&lt;=34,1.8,IF(A9-'01_Run_Config'!$B$33&lt;=41,1.6,IF(A9-'01_Run_Config'!$B$33&lt;=48,1.4,1.15))))))))</x:f>
        <x:v>0.8</x:v>
      </x:c>
      <x:c r="Q9" s="63" t="n">
        <x:v>5.9</x:v>
      </x:c>
      <x:c r="R9" s="63" t="n">
        <x:v>0.08</x:v>
      </x:c>
      <x:c r="S9" s="63" t="n">
        <x:v>0.15</x:v>
      </x:c>
      <x:c r="T9" s="63" t="str">
        <x:f>IF(A9&lt;=7,"Manuell",'01_Run_Config'!$B$40)</x:f>
        <x:v>Manuell</x:v>
      </x:c>
      <x:c r="U9" s="63" t="str">
        <x:f>IF(A9&lt;'01_Run_Config'!$B$32,"Kein Basisdünger",IF(A9&lt;'01_Run_Config'!$B$33,"HESI TNT","HESI Coco"))</x:f>
        <x:v>HESI TNT</x:v>
      </x:c>
      <x:c r="V9" s="63" t="n">
        <x:f>IF(A9&lt;'01_Run_Config'!$B$32,0,IF(A9&lt;'01_Run_Config'!$B$33,IF(A9-'01_Run_Config'!$B$32&lt;=3,1.25,IF(A9-'01_Run_Config'!$B$32&lt;=10,2,2.5)),IF(A9-'01_Run_Config'!$B$33&lt;=6,2.5,IF(A9-'01_Run_Config'!$B$33&lt;=13,3.25,IF(A9-'01_Run_Config'!$B$33&lt;=20,3.75,IF(A9-'01_Run_Config'!$B$33&lt;=34,4,IF(A9-'01_Run_Config'!$B$33&lt;=41,3.5,IF(A9-'01_Run_Config'!$B$33&lt;=48,2.5,1.5))))))))</x:f>
        <x:v>1.25</x:v>
      </x:c>
      <x:c r="W9" s="63" t="n">
        <x:f>IF(OR(A9='01_Run_Config'!$B$32,A9='01_Run_Config'!$B$32+6,A9='01_Run_Config'!$B$32+12),2.5,0)</x:f>
        <x:v>0</x:v>
      </x:c>
      <x:c r="X9" s="63" t="n">
        <x:f>IF(AND(A9&gt;='01_Run_Config'!$B$32+3,A9&lt;='01_Run_Config'!$B$33+35,MOD(A9-('01_Run_Config'!$B$32+3),7)=0),2,0)</x:f>
        <x:v>2</x:v>
      </x:c>
      <x:c r="Y9" s="63" t="n">
        <x:f>IF(A9&gt;='01_Run_Config'!$B$32,0.015,0)</x:f>
        <x:v>0.015</x:v>
      </x:c>
      <x:c r="Z9" s="63" t="n">
        <x:f>IF(AND('01_Run_Config'!$B$26="Hesilicio statt Balance",A9&gt;='01_Run_Config'!$B$32+3,MOD(A9-('01_Run_Config'!$B$32+3),7)=0,A9&lt;='01_Run_Config'!$B$33+35),0.5,0)</x:f>
        <x:v>0</x:v>
      </x:c>
      <x:c r="AA9" s="63" t="n">
        <x:f>IF(AND(A9&gt;='01_Run_Config'!$B$33,A9&lt;='01_Run_Config'!$B$33+35,MOD(A9-'01_Run_Config'!$B$33,7)=0),2,0)</x:f>
        <x:v>0</x:v>
      </x:c>
      <x:c r="AB9" s="63" t="n">
        <x:f>IF(A9='01_Run_Config'!$B$33+21,0.25,IF(A9='01_Run_Config'!$B$33+28,0.35,IF(A9='01_Run_Config'!$B$33+35,0.5,0)))</x:f>
        <x:v>0</x:v>
      </x:c>
      <x:c r="AC9" s="63" t="n">
        <x:f>IF(OR(A9='01_Run_Config'!$B$32,A9='01_Run_Config'!$B$32+7,A9='01_Run_Config'!$B$33+1,A9='01_Run_Config'!$B$33+8),2,0)</x:f>
        <x:v>0</x:v>
      </x:c>
      <x:c r="AD9" s="63" t="str">
        <x:f>IF(A9&lt;'01_Run_Config'!$B$33,"AN-Reference=0 außer Voodoo-Frischgaben",IF(AL9&lt;=7,"A/B: Bud Ignitor oder Mikrobenmodul; nicht Reference",IF(AL9&lt;=35,"A/B: Big Bud STATT HESI-PK; nicht additiv stapeln",IF(AL9&lt;=49,"A/B: Overdrive STATT spätem HESI-PK","AN-Booster auslaufen"))))</x:f>
        <x:v>AN-Reference=0 außer Voodoo-Frischgaben</x:v>
      </x:c>
      <x:c r="AE9" s="63" t="str">
        <x:v>Kein Training</x:v>
      </x:c>
      <x:c r="AF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9" s="63" t="str">
        <x:v>EC nicht erhöhen bei steigender Diagnose-Drain-EC; PPFD nicht erhöhen bei Stress; Wasserband nie erzwingen; nie mehrere neue Booster gleichzeitig.</x:v>
      </x:c>
      <x:c r="AH9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9" s="201" t="str">
        <x:f>IF(A9&lt;'01_Run_Config'!$B$32,"—",IF(A9&lt;'01_Run_Config'!$B$33,"G"&amp;MIN(4,INT((A9-'01_Run_Config'!$B$32)/7)+1),AM9))</x:f>
        <x:v>G1</x:v>
      </x:c>
      <x:c r="AK9" s="35" t="str">
        <x:f>IF(A9&lt;'01_Run_Config'!$B$32,"Keine AN-Additive.",IF(A9&lt;'01_Run_Config'!$B$33,"Veg: Voodoo nur definierte Frischgaben; B-52/Piranha/Tarantula nur A/B; Sensizym nur statt PowerZyme; Rhino Skin AUS mit Athena Balance.",IF(AL9&lt;=7,"Frühblüte: Voodoo; Bud Ignitor/Piranha/Tarantula nur A/B; Rhino Skin AUS mit Balance.",IF(AL9&lt;=35,"Hauptblüte: Big Bud nur A/B STATT HESI-PK; Biostims einzeln testen.",IF(AL9&lt;=49,"Spätblüte: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9" s="60" t="str">
        <x:f>IF(A9&lt;'01_Run_Config'!$B$33,"",A9-'01_Run_Config'!$B$33+1)</x:f>
      </x:c>
      <x:c r="AM9" s="60" t="str">
        <x:f>IF(AL9="","",IF(AL9&gt;49,CHAR(66)&amp;"7+",CHAR(66)&amp;TEXT(INT((AL9-1)/7)+1,"0")))</x:f>
      </x:c>
      <x:c r="AN9" s="60" t="n">
        <x:f>ROUND(0.6108*EXP(17.27*L9/(L9+237.3))*(1-N9/100),2)</x:f>
        <x:v>0.95</x:v>
      </x:c>
      <x:c r="AO9" s="60" t="n">
        <x:f>H9*G9/1000</x:f>
        <x:v>0.72</x:v>
      </x:c>
      <x:c r="AP9" s="60" t="n">
        <x:f>SUM($AO$2:AO9)</x:f>
        <x:v>5.039999999999999</x:v>
      </x:c>
      <x:c r="AQ9" t="n">
        <x:f>'01_Run_Config'!$B$17</x:f>
        <x:v>0</x:v>
      </x:c>
      <x:c r="AR9" t="n">
        <x:f>'01_Run_Config'!$B$22</x:f>
        <x:v>0</x:v>
      </x:c>
      <x:c r="AS9" t="n">
        <x:f>'01_Run_Config'!$B$25</x:f>
        <x:v>0</x:v>
      </x:c>
    </x:row>
    <x:row r="10">
      <x:c r="A10" s="34" t="n">
        <x:v>8</x:v>
      </x:c>
      <x:c r="B10" s="129" t="n">
        <x:f>'01_Run_Config'!$B$4+A10</x:f>
        <x:v>46250</x:v>
      </x:c>
      <x:c r="C10" s="63" t="n">
        <x:f>INT(A10/7)+1</x:f>
        <x:v>2</x:v>
      </x:c>
      <x:c r="D10" s="63" t="str">
        <x:f>"M"&amp;MIN(3,INT(A10/30)+1)</x:f>
        <x:v>M1</x:v>
      </x:c>
      <x:c r="E10" s="63" t="str">
        <x:f>IF(A10&lt;4,"Keimung",IF(A10&lt;8,"Etablierung",IF(A10&lt;15,"Early Veg",IF(A10&lt;'01_Run_Config'!$B$33,IF(A10&lt;22,"Veg / LST","Preflower-Watch"),IF(A10-'01_Run_Config'!$B$33&lt;=6,"Transition / Stretch ("&amp;AM10&amp;")",IF(A10-'01_Run_Config'!$B$33&lt;=13,"Early Flower ("&amp;AM10&amp;")",IF(A10-'01_Run_Config'!$B$33&lt;=20,"Flower I ("&amp;AM10&amp;")",IF(A10-'01_Run_Config'!$B$33&lt;=34,"Peak Flower ("&amp;AM10&amp;")",IF(A10-'01_Run_Config'!$B$33&lt;=41,"Late Flower ("&amp;AM10&amp;")",IF(A10-'01_Run_Config'!$B$33&lt;=48,"Ripening ("&amp;AM10&amp;")","Harvest / Extension ("&amp;AM10&amp;")"))))))))))</x:f>
        <x:v>Early Veg</x:v>
      </x:c>
      <x:c r="F10" s="63" t="str">
        <x:f>IF(A10&lt;4,"Keimung + Wurzelstart",IF(A10&lt;8,"Sämling etablieren; Wurzelraum erschließen",IF(A10&lt;15,"kompakter Aufbau; LST erst bei Vitalität",IF(A10&lt;'01_Run_Config'!$B$33,"Canopy aufbauen; Preflower beobachten",IF(A10-'01_Run_Config'!$B$33&lt;=6,"Stretch kontrollieren; Bloom-Trigger dokumentieren",IF(A10-'01_Run_Config'!$B$33&lt;=13,"Blütenansatz stabilisieren",IF(A10-'01_Run_Config'!$B$33&lt;=20,"Blütenaufbau ohne neue Stressoren",IF(A10-'01_Run_Config'!$B$33&lt;=34,"stabile Peak-Photosynthese; Klima priorisieren",IF(A10-'01_Run_Config'!$B$33&lt;=41,"Qualität/Schimmelprävention",IF(A10-'01_Run_Config'!$B$33&lt;=48,"Reife ohne Überfütterung","Erntefenster nach Pflanze; keine Kalenderernte"))))))))))</x:f>
        <x:v>kompakter Aufbau; LST erst bei Vitalität</x:v>
      </x:c>
      <x:c r="G10" s="63" t="n">
        <x:v>18</x:v>
      </x:c>
      <x:c r="H10" s="63" t="n">
        <x:v>55</x:v>
      </x:c>
      <x:c r="I10" s="63" t="n">
        <x:v>275</x:v>
      </x:c>
      <x:c r="J10" s="63" t="n">
        <x:f>I10*G10*3600/1000000</x:f>
        <x:v>17.82</x:v>
      </x:c>
      <x:c r="K10" s="63" t="n">
        <x:v>48</x:v>
      </x:c>
      <x:c r="L10" s="63" t="n">
        <x:v>25.5</x:v>
      </x:c>
      <x:c r="M10" s="63" t="n">
        <x:v>22</x:v>
      </x:c>
      <x:c r="N10" s="63" t="n">
        <x:v>66</x:v>
      </x:c>
      <x:c r="O10" s="63" t="n">
        <x:f>ROUND(0.6108*EXP(17.27*(L10+'01_Run_Config'!$B$34)/(L10+'01_Run_Config'!$B$34+237.3))-(N10/100)*0.6108*EXP(17.27*L10/(L10+237.3)),2)</x:f>
        <x:v>0.92</x:v>
      </x:c>
      <x:c r="P10" s="63" t="n">
        <x:f>IF(A10&lt;'01_Run_Config'!$B$32,0.55,IF(A10&lt;'01_Run_Config'!$B$33,IF(A10-'01_Run_Config'!$B$32&lt;=3,0.8,IF(A10-'01_Run_Config'!$B$32&lt;=10,1,IF(A10-'01_Run_Config'!$B$32&lt;=17,1.2,1.4))),IF(A10-'01_Run_Config'!$B$33&lt;=6,1.5,IF(A10-'01_Run_Config'!$B$33&lt;=13,1.6,IF(A10-'01_Run_Config'!$B$33&lt;=20,1.7,IF(A10-'01_Run_Config'!$B$33&lt;=34,1.8,IF(A10-'01_Run_Config'!$B$33&lt;=41,1.6,IF(A10-'01_Run_Config'!$B$33&lt;=48,1.4,1.15))))))))</x:f>
        <x:v>1</x:v>
      </x:c>
      <x:c r="Q10" s="63" t="n">
        <x:v>5.9</x:v>
      </x:c>
      <x:c r="R10" s="63" t="n">
        <x:v>0.15</x:v>
      </x:c>
      <x:c r="S10" s="63" t="n">
        <x:v>0.3</x:v>
      </x:c>
      <x:c r="T10" s="63" t="str">
        <x:f>IF(A10&lt;=7,"Manuell",'01_Run_Config'!$B$40)</x:f>
        <x:v>Manuell / indoor-freigegebene Automation</x:v>
      </x:c>
      <x:c r="U10" s="63" t="str">
        <x:f>IF(A10&lt;'01_Run_Config'!$B$32,"Kein Basisdünger",IF(A10&lt;'01_Run_Config'!$B$33,"HESI TNT","HESI Coco"))</x:f>
        <x:v>HESI TNT</x:v>
      </x:c>
      <x:c r="V10" s="63" t="n">
        <x:f>IF(A10&lt;'01_Run_Config'!$B$32,0,IF(A10&lt;'01_Run_Config'!$B$33,IF(A10-'01_Run_Config'!$B$32&lt;=3,1.25,IF(A10-'01_Run_Config'!$B$32&lt;=10,2,2.5)),IF(A10-'01_Run_Config'!$B$33&lt;=6,2.5,IF(A10-'01_Run_Config'!$B$33&lt;=13,3.25,IF(A10-'01_Run_Config'!$B$33&lt;=20,3.75,IF(A10-'01_Run_Config'!$B$33&lt;=34,4,IF(A10-'01_Run_Config'!$B$33&lt;=41,3.5,IF(A10-'01_Run_Config'!$B$33&lt;=48,2.5,1.5))))))))</x:f>
        <x:v>2</x:v>
      </x:c>
      <x:c r="W10" s="63" t="n">
        <x:f>IF(OR(A10='01_Run_Config'!$B$32,A10='01_Run_Config'!$B$32+6,A10='01_Run_Config'!$B$32+12),2.5,0)</x:f>
        <x:v>0</x:v>
      </x:c>
      <x:c r="X10" s="63" t="n">
        <x:f>IF(AND(A10&gt;='01_Run_Config'!$B$32+3,A10&lt;='01_Run_Config'!$B$33+35,MOD(A10-('01_Run_Config'!$B$32+3),7)=0),2,0)</x:f>
        <x:v>0</x:v>
      </x:c>
      <x:c r="Y10" s="63" t="n">
        <x:f>IF(A10&gt;='01_Run_Config'!$B$32,0.015,0)</x:f>
        <x:v>0.015</x:v>
      </x:c>
      <x:c r="Z10" s="63" t="n">
        <x:f>IF(AND('01_Run_Config'!$B$26="Hesilicio statt Balance",A10&gt;='01_Run_Config'!$B$32+3,MOD(A10-('01_Run_Config'!$B$32+3),7)=0,A10&lt;='01_Run_Config'!$B$33+35),0.5,0)</x:f>
        <x:v>0</x:v>
      </x:c>
      <x:c r="AA10" s="63" t="n">
        <x:f>IF(AND(A10&gt;='01_Run_Config'!$B$33,A10&lt;='01_Run_Config'!$B$33+35,MOD(A10-'01_Run_Config'!$B$33,7)=0),2,0)</x:f>
        <x:v>0</x:v>
      </x:c>
      <x:c r="AB10" s="63" t="n">
        <x:f>IF(A10='01_Run_Config'!$B$33+21,0.25,IF(A10='01_Run_Config'!$B$33+28,0.35,IF(A10='01_Run_Config'!$B$33+35,0.5,0)))</x:f>
        <x:v>0</x:v>
      </x:c>
      <x:c r="AC10" s="63" t="n">
        <x:f>IF(OR(A10='01_Run_Config'!$B$32,A10='01_Run_Config'!$B$32+7,A10='01_Run_Config'!$B$33+1,A10='01_Run_Config'!$B$33+8),2,0)</x:f>
        <x:v>0</x:v>
      </x:c>
      <x:c r="AD10" s="63" t="str">
        <x:f>IF(A10&lt;'01_Run_Config'!$B$33,"AN-Reference=0 außer Voodoo-Frischgaben",IF(AL10&lt;=7,"A/B: Bud Ignitor oder Mikrobenmodul; nicht Reference",IF(AL10&lt;=35,"A/B: Big Bud STATT HESI-PK; nicht additiv stapeln",IF(AL10&lt;=49,"A/B: Overdrive STATT spätem HESI-PK","AN-Booster auslaufen"))))</x:f>
        <x:v>AN-Reference=0 außer Voodoo-Frischgaben</x:v>
      </x:c>
      <x:c r="AE10" s="63" t="str">
        <x:v>LST nur bei 4–5 kräftigen Nodes</x:v>
      </x:c>
      <x:c r="AF10" s="63" t="str">
        <x:v>Morgens Klima/Pflanze/Bewässerung/Leck; Mitte Lichtphase Blattwinkel; vor Dunkel LF/Drain/stehendes Wasser.</x:v>
      </x:c>
      <x:c r="AG10" s="63" t="str">
        <x:v>EC nicht erhöhen bei steigender Diagnose-Drain-EC; PPFD nicht erhöhen bei Stress; Wasserband nie erzwingen; nie mehrere neue Booster gleichzeitig.</x:v>
      </x:c>
      <x:c r="AH10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1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0" s="201" t="str">
        <x:f>IF(A10&lt;'01_Run_Config'!$B$32,"—",IF(A10&lt;'01_Run_Config'!$B$33,"G"&amp;MIN(4,INT((A10-'01_Run_Config'!$B$32)/7)+1),AM10))</x:f>
        <x:v>G1</x:v>
      </x:c>
      <x:c r="AK10" s="35" t="str">
        <x:f>IF(A10&lt;'01_Run_Config'!$B$32,"Keine AN-Additive.",IF(A10&lt;'01_Run_Config'!$B$33,"Veg: Voodoo nur definierte Frischgaben; B-52/Piranha/Tarantula nur A/B; Sensizym nur statt PowerZyme; Rhino Skin AUS mit Athena Balance.",IF(AL10&lt;=7,"Frühblüte: Voodoo; Bud Ignitor/Piranha/Tarantula nur A/B; Rhino Skin AUS mit Balance.",IF(AL10&lt;=35,"Hauptblüte: Big Bud nur A/B STATT HESI-PK; Biostims einzeln testen.",IF(AL10&lt;=49,"Spätblüte: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0" s="60" t="str">
        <x:f>IF(A10&lt;'01_Run_Config'!$B$33,"",A10-'01_Run_Config'!$B$33+1)</x:f>
      </x:c>
      <x:c r="AM10" s="60" t="str">
        <x:f>IF(AL10="","",IF(AL10&gt;49,CHAR(66)&amp;"7+",CHAR(66)&amp;TEXT(INT((AL10-1)/7)+1,"0")))</x:f>
      </x:c>
      <x:c r="AN10" s="60" t="n">
        <x:f>ROUND(0.6108*EXP(17.27*L10/(L10+237.3))*(1-N10/100),2)</x:f>
        <x:v>1.11</x:v>
      </x:c>
      <x:c r="AO10" s="60" t="n">
        <x:f>H10*G10/1000</x:f>
        <x:v>0.99</x:v>
      </x:c>
      <x:c r="AP10" s="60" t="n">
        <x:f>SUM($AO$2:AO10)</x:f>
        <x:v>6.029999999999999</x:v>
      </x:c>
      <x:c r="AQ10" t="n">
        <x:f>'01_Run_Config'!$B$17</x:f>
        <x:v>0</x:v>
      </x:c>
      <x:c r="AR10" t="n">
        <x:f>'01_Run_Config'!$B$22</x:f>
        <x:v>0</x:v>
      </x:c>
      <x:c r="AS10" t="n">
        <x:f>'01_Run_Config'!$B$25</x:f>
        <x:v>0</x:v>
      </x:c>
    </x:row>
    <x:row r="11">
      <x:c r="A11" s="34" t="n">
        <x:v>9</x:v>
      </x:c>
      <x:c r="B11" s="129" t="n">
        <x:f>'01_Run_Config'!$B$4+A11</x:f>
        <x:v>46251</x:v>
      </x:c>
      <x:c r="C11" s="63" t="n">
        <x:f>INT(A11/7)+1</x:f>
        <x:v>2</x:v>
      </x:c>
      <x:c r="D11" s="63" t="str">
        <x:f>"M"&amp;MIN(3,INT(A11/30)+1)</x:f>
        <x:v>M1</x:v>
      </x:c>
      <x:c r="E11" s="63" t="str">
        <x:f>IF(A11&lt;4,"Keimung",IF(A11&lt;8,"Etablierung",IF(A11&lt;15,"Early Veg",IF(A11&lt;'01_Run_Config'!$B$33,IF(A11&lt;22,"Veg / LST","Preflower-Watch"),IF(A11-'01_Run_Config'!$B$33&lt;=6,"Transition / Stretch ("&amp;AM11&amp;")",IF(A11-'01_Run_Config'!$B$33&lt;=13,"Early Flower ("&amp;AM11&amp;")",IF(A11-'01_Run_Config'!$B$33&lt;=20,"Flower I ("&amp;AM11&amp;")",IF(A11-'01_Run_Config'!$B$33&lt;=34,"Peak Flower ("&amp;AM11&amp;")",IF(A11-'01_Run_Config'!$B$33&lt;=41,"Late Flower ("&amp;AM11&amp;")",IF(A11-'01_Run_Config'!$B$33&lt;=48,"Ripening ("&amp;AM11&amp;")","Harvest / Extension ("&amp;AM11&amp;")"))))))))))</x:f>
        <x:v>Early Veg</x:v>
      </x:c>
      <x:c r="F11" s="63" t="str">
        <x:f>IF(A11&lt;4,"Keimung + Wurzelstart",IF(A11&lt;8,"Sämling etablieren; Wurzelraum erschließen",IF(A11&lt;15,"kompakter Aufbau; LST erst bei Vitalität",IF(A11&lt;'01_Run_Config'!$B$33,"Canopy aufbauen; Preflower beobachten",IF(A11-'01_Run_Config'!$B$33&lt;=6,"Stretch kontrollieren; Bloom-Trigger dokumentieren",IF(A11-'01_Run_Config'!$B$33&lt;=13,"Blütenansatz stabilisieren",IF(A11-'01_Run_Config'!$B$33&lt;=20,"Blütenaufbau ohne neue Stressoren",IF(A11-'01_Run_Config'!$B$33&lt;=34,"stabile Peak-Photosynthese; Klima priorisieren",IF(A11-'01_Run_Config'!$B$33&lt;=41,"Qualität/Schimmelprävention",IF(A11-'01_Run_Config'!$B$33&lt;=48,"Reife ohne Überfütterung","Erntefenster nach Pflanze; keine Kalenderernte"))))))))))</x:f>
        <x:v>kompakter Aufbau; LST erst bei Vitalität</x:v>
      </x:c>
      <x:c r="G11" s="63" t="n">
        <x:v>18</x:v>
      </x:c>
      <x:c r="H11" s="63" t="n">
        <x:v>55</x:v>
      </x:c>
      <x:c r="I11" s="63" t="n">
        <x:v>275</x:v>
      </x:c>
      <x:c r="J11" s="63" t="n">
        <x:f>I11*G11*3600/1000000</x:f>
        <x:v>17.82</x:v>
      </x:c>
      <x:c r="K11" s="63" t="n">
        <x:v>48</x:v>
      </x:c>
      <x:c r="L11" s="63" t="n">
        <x:v>25.5</x:v>
      </x:c>
      <x:c r="M11" s="63" t="n">
        <x:v>22</x:v>
      </x:c>
      <x:c r="N11" s="63" t="n">
        <x:v>66</x:v>
      </x:c>
      <x:c r="O11" s="63" t="n">
        <x:f>ROUND(0.6108*EXP(17.27*(L11+'01_Run_Config'!$B$34)/(L11+'01_Run_Config'!$B$34+237.3))-(N11/100)*0.6108*EXP(17.27*L11/(L11+237.3)),2)</x:f>
        <x:v>0.92</x:v>
      </x:c>
      <x:c r="P11" s="63" t="n">
        <x:f>IF(A11&lt;'01_Run_Config'!$B$32,0.55,IF(A11&lt;'01_Run_Config'!$B$33,IF(A11-'01_Run_Config'!$B$32&lt;=3,0.8,IF(A11-'01_Run_Config'!$B$32&lt;=10,1,IF(A11-'01_Run_Config'!$B$32&lt;=17,1.2,1.4))),IF(A11-'01_Run_Config'!$B$33&lt;=6,1.5,IF(A11-'01_Run_Config'!$B$33&lt;=13,1.6,IF(A11-'01_Run_Config'!$B$33&lt;=20,1.7,IF(A11-'01_Run_Config'!$B$33&lt;=34,1.8,IF(A11-'01_Run_Config'!$B$33&lt;=41,1.6,IF(A11-'01_Run_Config'!$B$33&lt;=48,1.4,1.15))))))))</x:f>
        <x:v>1</x:v>
      </x:c>
      <x:c r="Q11" s="63" t="n">
        <x:v>5.9</x:v>
      </x:c>
      <x:c r="R11" s="63" t="n">
        <x:v>0.15</x:v>
      </x:c>
      <x:c r="S11" s="63" t="n">
        <x:v>0.3</x:v>
      </x:c>
      <x:c r="T11" s="63" t="str">
        <x:f>IF(A11&lt;=7,"Manuell",'01_Run_Config'!$B$40)</x:f>
        <x:v>Manuell / indoor-freigegebene Automation</x:v>
      </x:c>
      <x:c r="U11" s="63" t="str">
        <x:f>IF(A11&lt;'01_Run_Config'!$B$32,"Kein Basisdünger",IF(A11&lt;'01_Run_Config'!$B$33,"HESI TNT","HESI Coco"))</x:f>
        <x:v>HESI TNT</x:v>
      </x:c>
      <x:c r="V11" s="63" t="n">
        <x:f>IF(A11&lt;'01_Run_Config'!$B$32,0,IF(A11&lt;'01_Run_Config'!$B$33,IF(A11-'01_Run_Config'!$B$32&lt;=3,1.25,IF(A11-'01_Run_Config'!$B$32&lt;=10,2,2.5)),IF(A11-'01_Run_Config'!$B$33&lt;=6,2.5,IF(A11-'01_Run_Config'!$B$33&lt;=13,3.25,IF(A11-'01_Run_Config'!$B$33&lt;=20,3.75,IF(A11-'01_Run_Config'!$B$33&lt;=34,4,IF(A11-'01_Run_Config'!$B$33&lt;=41,3.5,IF(A11-'01_Run_Config'!$B$33&lt;=48,2.5,1.5))))))))</x:f>
        <x:v>2</x:v>
      </x:c>
      <x:c r="W11" s="63" t="n">
        <x:f>IF(OR(A11='01_Run_Config'!$B$32,A11='01_Run_Config'!$B$32+6,A11='01_Run_Config'!$B$32+12),2.5,0)</x:f>
        <x:v>0</x:v>
      </x:c>
      <x:c r="X11" s="63" t="n">
        <x:f>IF(AND(A11&gt;='01_Run_Config'!$B$32+3,A11&lt;='01_Run_Config'!$B$33+35,MOD(A11-('01_Run_Config'!$B$32+3),7)=0),2,0)</x:f>
        <x:v>0</x:v>
      </x:c>
      <x:c r="Y11" s="63" t="n">
        <x:f>IF(A11&gt;='01_Run_Config'!$B$32,0.015,0)</x:f>
        <x:v>0.015</x:v>
      </x:c>
      <x:c r="Z11" s="63" t="n">
        <x:f>IF(AND('01_Run_Config'!$B$26="Hesilicio statt Balance",A11&gt;='01_Run_Config'!$B$32+3,MOD(A11-('01_Run_Config'!$B$32+3),7)=0,A11&lt;='01_Run_Config'!$B$33+35),0.5,0)</x:f>
        <x:v>0</x:v>
      </x:c>
      <x:c r="AA11" s="63" t="n">
        <x:f>IF(AND(A11&gt;='01_Run_Config'!$B$33,A11&lt;='01_Run_Config'!$B$33+35,MOD(A11-'01_Run_Config'!$B$33,7)=0),2,0)</x:f>
        <x:v>0</x:v>
      </x:c>
      <x:c r="AB11" s="63" t="n">
        <x:f>IF(A11='01_Run_Config'!$B$33+21,0.25,IF(A11='01_Run_Config'!$B$33+28,0.35,IF(A11='01_Run_Config'!$B$33+35,0.5,0)))</x:f>
        <x:v>0</x:v>
      </x:c>
      <x:c r="AC11" s="63" t="n">
        <x:f>IF(OR(A11='01_Run_Config'!$B$32,A11='01_Run_Config'!$B$32+7,A11='01_Run_Config'!$B$33+1,A11='01_Run_Config'!$B$33+8),2,0)</x:f>
        <x:v>0</x:v>
      </x:c>
      <x:c r="AD11" s="63" t="str">
        <x:f>IF(A11&lt;'01_Run_Config'!$B$33,"AN-Reference=0 außer Voodoo-Frischgaben",IF(AL11&lt;=7,"A/B: Bud Ignitor oder Mikrobenmodul; nicht Reference",IF(AL11&lt;=35,"A/B: Big Bud STATT HESI-PK; nicht additiv stapeln",IF(AL11&lt;=49,"A/B: Overdrive STATT spätem HESI-PK","AN-Booster auslaufen"))))</x:f>
        <x:v>AN-Reference=0 außer Voodoo-Frischgaben</x:v>
      </x:c>
      <x:c r="AE11" s="63" t="str">
        <x:v>LST nur bei 4–5 kräftigen Nodes</x:v>
      </x:c>
      <x:c r="AF11" s="63" t="str">
        <x:v>Morgens Klima/Pflanze/Bewässerung/Leck; Mitte Lichtphase Blattwinkel; vor Dunkel LF/Drain/stehendes Wasser.</x:v>
      </x:c>
      <x:c r="AG11" s="63" t="str">
        <x:v>EC nicht erhöhen bei steigender Diagnose-Drain-EC; PPFD nicht erhöhen bei Stress; Wasserband nie erzwingen; nie mehrere neue Booster gleichzeitig.</x:v>
      </x:c>
      <x:c r="AH11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1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1" s="201" t="str">
        <x:f>IF(A11&lt;'01_Run_Config'!$B$32,"—",IF(A11&lt;'01_Run_Config'!$B$33,"G"&amp;MIN(4,INT((A11-'01_Run_Config'!$B$32)/7)+1),AM11))</x:f>
        <x:v>G1</x:v>
      </x:c>
      <x:c r="AK11" s="35" t="str">
        <x:f>IF(A11&lt;'01_Run_Config'!$B$32,"Keine AN-Additive.",IF(A11&lt;'01_Run_Config'!$B$33,"Veg: Voodoo nur definierte Frischgaben; B-52/Piranha/Tarantula nur A/B; Sensizym nur statt PowerZyme; Rhino Skin AUS mit Athena Balance.",IF(AL11&lt;=7,"Frühblüte: Voodoo; Bud Ignitor/Piranha/Tarantula nur A/B; Rhino Skin AUS mit Balance.",IF(AL11&lt;=35,"Hauptblüte: Big Bud nur A/B STATT HESI-PK; Biostims einzeln testen.",IF(AL11&lt;=49,"Spätblüte: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1" s="60" t="str">
        <x:f>IF(A11&lt;'01_Run_Config'!$B$33,"",A11-'01_Run_Config'!$B$33+1)</x:f>
      </x:c>
      <x:c r="AM11" s="60" t="str">
        <x:f>IF(AL11="","",IF(AL11&gt;49,CHAR(66)&amp;"7+",CHAR(66)&amp;TEXT(INT((AL11-1)/7)+1,"0")))</x:f>
      </x:c>
      <x:c r="AN11" s="60" t="n">
        <x:f>ROUND(0.6108*EXP(17.27*L11/(L11+237.3))*(1-N11/100),2)</x:f>
        <x:v>1.11</x:v>
      </x:c>
      <x:c r="AO11" s="60" t="n">
        <x:f>H11*G11/1000</x:f>
        <x:v>0.99</x:v>
      </x:c>
      <x:c r="AP11" s="60" t="n">
        <x:f>SUM($AO$2:AO11)</x:f>
        <x:v>7.02</x:v>
      </x:c>
      <x:c r="AQ11" t="n">
        <x:f>'01_Run_Config'!$B$17</x:f>
        <x:v>0</x:v>
      </x:c>
      <x:c r="AR11" t="n">
        <x:f>'01_Run_Config'!$B$22</x:f>
        <x:v>0</x:v>
      </x:c>
      <x:c r="AS11" t="n">
        <x:f>'01_Run_Config'!$B$25</x:f>
        <x:v>0</x:v>
      </x:c>
    </x:row>
    <x:row r="12">
      <x:c r="A12" s="34" t="n">
        <x:v>10</x:v>
      </x:c>
      <x:c r="B12" s="129" t="n">
        <x:f>'01_Run_Config'!$B$4+A12</x:f>
        <x:v>46252</x:v>
      </x:c>
      <x:c r="C12" s="63" t="n">
        <x:f>INT(A12/7)+1</x:f>
        <x:v>2</x:v>
      </x:c>
      <x:c r="D12" s="63" t="str">
        <x:f>"M"&amp;MIN(3,INT(A12/30)+1)</x:f>
        <x:v>M1</x:v>
      </x:c>
      <x:c r="E12" s="63" t="str">
        <x:f>IF(A12&lt;4,"Keimung",IF(A12&lt;8,"Etablierung",IF(A12&lt;15,"Early Veg",IF(A12&lt;'01_Run_Config'!$B$33,IF(A12&lt;22,"Veg / LST","Preflower-Watch"),IF(A12-'01_Run_Config'!$B$33&lt;=6,"Transition / Stretch ("&amp;AM12&amp;")",IF(A12-'01_Run_Config'!$B$33&lt;=13,"Early Flower ("&amp;AM12&amp;")",IF(A12-'01_Run_Config'!$B$33&lt;=20,"Flower I ("&amp;AM12&amp;")",IF(A12-'01_Run_Config'!$B$33&lt;=34,"Peak Flower ("&amp;AM12&amp;")",IF(A12-'01_Run_Config'!$B$33&lt;=41,"Late Flower ("&amp;AM12&amp;")",IF(A12-'01_Run_Config'!$B$33&lt;=48,"Ripening ("&amp;AM12&amp;")","Harvest / Extension ("&amp;AM12&amp;")"))))))))))</x:f>
        <x:v>Early Veg</x:v>
      </x:c>
      <x:c r="F12" s="63" t="str">
        <x:f>IF(A12&lt;4,"Keimung + Wurzelstart",IF(A12&lt;8,"Sämling etablieren; Wurzelraum erschließen",IF(A12&lt;15,"kompakter Aufbau; LST erst bei Vitalität",IF(A12&lt;'01_Run_Config'!$B$33,"Canopy aufbauen; Preflower beobachten",IF(A12-'01_Run_Config'!$B$33&lt;=6,"Stretch kontrollieren; Bloom-Trigger dokumentieren",IF(A12-'01_Run_Config'!$B$33&lt;=13,"Blütenansatz stabilisieren",IF(A12-'01_Run_Config'!$B$33&lt;=20,"Blütenaufbau ohne neue Stressoren",IF(A12-'01_Run_Config'!$B$33&lt;=34,"stabile Peak-Photosynthese; Klima priorisieren",IF(A12-'01_Run_Config'!$B$33&lt;=41,"Qualität/Schimmelprävention",IF(A12-'01_Run_Config'!$B$33&lt;=48,"Reife ohne Überfütterung","Erntefenster nach Pflanze; keine Kalenderernte"))))))))))</x:f>
        <x:v>kompakter Aufbau; LST erst bei Vitalität</x:v>
      </x:c>
      <x:c r="G12" s="63" t="n">
        <x:v>18</x:v>
      </x:c>
      <x:c r="H12" s="63" t="n">
        <x:v>55</x:v>
      </x:c>
      <x:c r="I12" s="63" t="n">
        <x:v>275</x:v>
      </x:c>
      <x:c r="J12" s="63" t="n">
        <x:f>I12*G12*3600/1000000</x:f>
        <x:v>17.82</x:v>
      </x:c>
      <x:c r="K12" s="63" t="n">
        <x:v>48</x:v>
      </x:c>
      <x:c r="L12" s="63" t="n">
        <x:v>25.5</x:v>
      </x:c>
      <x:c r="M12" s="63" t="n">
        <x:v>22</x:v>
      </x:c>
      <x:c r="N12" s="63" t="n">
        <x:v>66</x:v>
      </x:c>
      <x:c r="O12" s="63" t="n">
        <x:f>ROUND(0.6108*EXP(17.27*(L12+'01_Run_Config'!$B$34)/(L12+'01_Run_Config'!$B$34+237.3))-(N12/100)*0.6108*EXP(17.27*L12/(L12+237.3)),2)</x:f>
        <x:v>0.92</x:v>
      </x:c>
      <x:c r="P12" s="63" t="n">
        <x:f>IF(A12&lt;'01_Run_Config'!$B$32,0.55,IF(A12&lt;'01_Run_Config'!$B$33,IF(A12-'01_Run_Config'!$B$32&lt;=3,0.8,IF(A12-'01_Run_Config'!$B$32&lt;=10,1,IF(A12-'01_Run_Config'!$B$32&lt;=17,1.2,1.4))),IF(A12-'01_Run_Config'!$B$33&lt;=6,1.5,IF(A12-'01_Run_Config'!$B$33&lt;=13,1.6,IF(A12-'01_Run_Config'!$B$33&lt;=20,1.7,IF(A12-'01_Run_Config'!$B$33&lt;=34,1.8,IF(A12-'01_Run_Config'!$B$33&lt;=41,1.6,IF(A12-'01_Run_Config'!$B$33&lt;=48,1.4,1.15))))))))</x:f>
        <x:v>1</x:v>
      </x:c>
      <x:c r="Q12" s="63" t="n">
        <x:v>5.9</x:v>
      </x:c>
      <x:c r="R12" s="63" t="n">
        <x:v>0.15</x:v>
      </x:c>
      <x:c r="S12" s="63" t="n">
        <x:v>0.3</x:v>
      </x:c>
      <x:c r="T12" s="63" t="str">
        <x:f>IF(A12&lt;=7,"Manuell",'01_Run_Config'!$B$40)</x:f>
        <x:v>Manuell / indoor-freigegebene Automation</x:v>
      </x:c>
      <x:c r="U12" s="63" t="str">
        <x:f>IF(A12&lt;'01_Run_Config'!$B$32,"Kein Basisdünger",IF(A12&lt;'01_Run_Config'!$B$33,"HESI TNT","HESI Coco"))</x:f>
        <x:v>HESI TNT</x:v>
      </x:c>
      <x:c r="V12" s="63" t="n">
        <x:f>IF(A12&lt;'01_Run_Config'!$B$32,0,IF(A12&lt;'01_Run_Config'!$B$33,IF(A12-'01_Run_Config'!$B$32&lt;=3,1.25,IF(A12-'01_Run_Config'!$B$32&lt;=10,2,2.5)),IF(A12-'01_Run_Config'!$B$33&lt;=6,2.5,IF(A12-'01_Run_Config'!$B$33&lt;=13,3.25,IF(A12-'01_Run_Config'!$B$33&lt;=20,3.75,IF(A12-'01_Run_Config'!$B$33&lt;=34,4,IF(A12-'01_Run_Config'!$B$33&lt;=41,3.5,IF(A12-'01_Run_Config'!$B$33&lt;=48,2.5,1.5))))))))</x:f>
        <x:v>2</x:v>
      </x:c>
      <x:c r="W12" s="63" t="n">
        <x:f>IF(OR(A12='01_Run_Config'!$B$32,A12='01_Run_Config'!$B$32+6,A12='01_Run_Config'!$B$32+12),2.5,0)</x:f>
        <x:v>2.5</x:v>
      </x:c>
      <x:c r="X12" s="63" t="n">
        <x:f>IF(AND(A12&gt;='01_Run_Config'!$B$32+3,A12&lt;='01_Run_Config'!$B$33+35,MOD(A12-('01_Run_Config'!$B$32+3),7)=0),2,0)</x:f>
        <x:v>0</x:v>
      </x:c>
      <x:c r="Y12" s="63" t="n">
        <x:f>IF(A12&gt;='01_Run_Config'!$B$32,0.015,0)</x:f>
        <x:v>0.015</x:v>
      </x:c>
      <x:c r="Z12" s="63" t="n">
        <x:f>IF(AND('01_Run_Config'!$B$26="Hesilicio statt Balance",A12&gt;='01_Run_Config'!$B$32+3,MOD(A12-('01_Run_Config'!$B$32+3),7)=0,A12&lt;='01_Run_Config'!$B$33+35),0.5,0)</x:f>
        <x:v>0</x:v>
      </x:c>
      <x:c r="AA12" s="63" t="n">
        <x:f>IF(AND(A12&gt;='01_Run_Config'!$B$33,A12&lt;='01_Run_Config'!$B$33+35,MOD(A12-'01_Run_Config'!$B$33,7)=0),2,0)</x:f>
        <x:v>0</x:v>
      </x:c>
      <x:c r="AB12" s="63" t="n">
        <x:f>IF(A12='01_Run_Config'!$B$33+21,0.25,IF(A12='01_Run_Config'!$B$33+28,0.35,IF(A12='01_Run_Config'!$B$33+35,0.5,0)))</x:f>
        <x:v>0</x:v>
      </x:c>
      <x:c r="AC12" s="63" t="n">
        <x:f>IF(OR(A12='01_Run_Config'!$B$32,A12='01_Run_Config'!$B$32+7,A12='01_Run_Config'!$B$33+1,A12='01_Run_Config'!$B$33+8),2,0)</x:f>
        <x:v>0</x:v>
      </x:c>
      <x:c r="AD12" s="63" t="str">
        <x:f>IF(A12&lt;'01_Run_Config'!$B$33,"AN-Reference=0 außer Voodoo-Frischgaben",IF(AL12&lt;=7,"A/B: Bud Ignitor oder Mikrobenmodul; nicht Reference",IF(AL12&lt;=35,"A/B: Big Bud STATT HESI-PK; nicht additiv stapeln",IF(AL12&lt;=49,"A/B: Overdrive STATT spätem HESI-PK","AN-Booster auslaufen"))))</x:f>
        <x:v>AN-Reference=0 außer Voodoo-Frischgaben</x:v>
      </x:c>
      <x:c r="AE12" s="63" t="str">
        <x:v>LST nur bei 4–5 kräftigen Nodes</x:v>
      </x:c>
      <x:c r="AF12" s="63" t="str">
        <x:v>Morgens Klima/Pflanze/Bewässerung/Leck; Mitte Lichtphase Blattwinkel; vor Dunkel LF/Drain/stehendes Wasser.</x:v>
      </x:c>
      <x:c r="AG12" s="63" t="str">
        <x:v>EC nicht erhöhen bei steigender Diagnose-Drain-EC; PPFD nicht erhöhen bei Stress; Wasserband nie erzwingen; nie mehrere neue Booster gleichzeitig.</x:v>
      </x:c>
      <x:c r="AH12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1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2" s="201" t="str">
        <x:f>IF(A12&lt;'01_Run_Config'!$B$32,"—",IF(A12&lt;'01_Run_Config'!$B$33,"G"&amp;MIN(4,INT((A12-'01_Run_Config'!$B$32)/7)+1),AM12))</x:f>
        <x:v>G1</x:v>
      </x:c>
      <x:c r="AK12" s="35" t="str">
        <x:f>IF(A12&lt;'01_Run_Config'!$B$32,"Keine AN-Additive.",IF(A12&lt;'01_Run_Config'!$B$33,"Veg: Voodoo nur definierte Frischgaben; B-52/Piranha/Tarantula nur A/B; Sensizym nur statt PowerZyme; Rhino Skin AUS mit Athena Balance.",IF(AL12&lt;=7,"Frühblüte: Voodoo; Bud Ignitor/Piranha/Tarantula nur A/B; Rhino Skin AUS mit Balance.",IF(AL12&lt;=35,"Hauptblüte: Big Bud nur A/B STATT HESI-PK; Biostims einzeln testen.",IF(AL12&lt;=49,"Spätblüte: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2" s="60" t="str">
        <x:f>IF(A12&lt;'01_Run_Config'!$B$33,"",A12-'01_Run_Config'!$B$33+1)</x:f>
      </x:c>
      <x:c r="AM12" s="60" t="str">
        <x:f>IF(AL12="","",IF(AL12&gt;49,CHAR(66)&amp;"7+",CHAR(66)&amp;TEXT(INT((AL12-1)/7)+1,"0")))</x:f>
      </x:c>
      <x:c r="AN12" s="60" t="n">
        <x:f>ROUND(0.6108*EXP(17.27*L12/(L12+237.3))*(1-N12/100),2)</x:f>
        <x:v>1.11</x:v>
      </x:c>
      <x:c r="AO12" s="60" t="n">
        <x:f>H12*G12/1000</x:f>
        <x:v>0.99</x:v>
      </x:c>
      <x:c r="AP12" s="60" t="n">
        <x:f>SUM($AO$2:AO12)</x:f>
        <x:v>8.01</x:v>
      </x:c>
      <x:c r="AQ12" t="n">
        <x:f>'01_Run_Config'!$B$17</x:f>
        <x:v>0</x:v>
      </x:c>
      <x:c r="AR12" t="n">
        <x:f>'01_Run_Config'!$B$22</x:f>
        <x:v>0</x:v>
      </x:c>
      <x:c r="AS12" t="n">
        <x:f>'01_Run_Config'!$B$25</x:f>
        <x:v>0</x:v>
      </x:c>
    </x:row>
    <x:row r="13">
      <x:c r="A13" s="34" t="n">
        <x:v>11</x:v>
      </x:c>
      <x:c r="B13" s="129" t="n">
        <x:f>'01_Run_Config'!$B$4+A13</x:f>
        <x:v>46253</x:v>
      </x:c>
      <x:c r="C13" s="63" t="n">
        <x:f>INT(A13/7)+1</x:f>
        <x:v>2</x:v>
      </x:c>
      <x:c r="D13" s="63" t="str">
        <x:f>"M"&amp;MIN(3,INT(A13/30)+1)</x:f>
        <x:v>M1</x:v>
      </x:c>
      <x:c r="E13" s="63" t="str">
        <x:f>IF(A13&lt;4,"Keimung",IF(A13&lt;8,"Etablierung",IF(A13&lt;15,"Early Veg",IF(A13&lt;'01_Run_Config'!$B$33,IF(A13&lt;22,"Veg / LST","Preflower-Watch"),IF(A13-'01_Run_Config'!$B$33&lt;=6,"Transition / Stretch ("&amp;AM13&amp;")",IF(A13-'01_Run_Config'!$B$33&lt;=13,"Early Flower ("&amp;AM13&amp;")",IF(A13-'01_Run_Config'!$B$33&lt;=20,"Flower I ("&amp;AM13&amp;")",IF(A13-'01_Run_Config'!$B$33&lt;=34,"Peak Flower ("&amp;AM13&amp;")",IF(A13-'01_Run_Config'!$B$33&lt;=41,"Late Flower ("&amp;AM13&amp;")",IF(A13-'01_Run_Config'!$B$33&lt;=48,"Ripening ("&amp;AM13&amp;")","Harvest / Extension ("&amp;AM13&amp;")"))))))))))</x:f>
        <x:v>Early Veg</x:v>
      </x:c>
      <x:c r="F13" s="63" t="str">
        <x:f>IF(A13&lt;4,"Keimung + Wurzelstart",IF(A13&lt;8,"Sämling etablieren; Wurzelraum erschließen",IF(A13&lt;15,"kompakter Aufbau; LST erst bei Vitalität",IF(A13&lt;'01_Run_Config'!$B$33,"Canopy aufbauen; Preflower beobachten",IF(A13-'01_Run_Config'!$B$33&lt;=6,"Stretch kontrollieren; Bloom-Trigger dokumentieren",IF(A13-'01_Run_Config'!$B$33&lt;=13,"Blütenansatz stabilisieren",IF(A13-'01_Run_Config'!$B$33&lt;=20,"Blütenaufbau ohne neue Stressoren",IF(A13-'01_Run_Config'!$B$33&lt;=34,"stabile Peak-Photosynthese; Klima priorisieren",IF(A13-'01_Run_Config'!$B$33&lt;=41,"Qualität/Schimmelprävention",IF(A13-'01_Run_Config'!$B$33&lt;=48,"Reife ohne Überfütterung","Erntefenster nach Pflanze; keine Kalenderernte"))))))))))</x:f>
        <x:v>kompakter Aufbau; LST erst bei Vitalität</x:v>
      </x:c>
      <x:c r="G13" s="63" t="n">
        <x:v>18</x:v>
      </x:c>
      <x:c r="H13" s="63" t="n">
        <x:v>55</x:v>
      </x:c>
      <x:c r="I13" s="63" t="n">
        <x:v>275</x:v>
      </x:c>
      <x:c r="J13" s="63" t="n">
        <x:f>I13*G13*3600/1000000</x:f>
        <x:v>17.82</x:v>
      </x:c>
      <x:c r="K13" s="63" t="n">
        <x:v>48</x:v>
      </x:c>
      <x:c r="L13" s="63" t="n">
        <x:v>25.5</x:v>
      </x:c>
      <x:c r="M13" s="63" t="n">
        <x:v>22</x:v>
      </x:c>
      <x:c r="N13" s="63" t="n">
        <x:v>66</x:v>
      </x:c>
      <x:c r="O13" s="63" t="n">
        <x:f>ROUND(0.6108*EXP(17.27*(L13+'01_Run_Config'!$B$34)/(L13+'01_Run_Config'!$B$34+237.3))-(N13/100)*0.6108*EXP(17.27*L13/(L13+237.3)),2)</x:f>
        <x:v>0.92</x:v>
      </x:c>
      <x:c r="P13" s="63" t="n">
        <x:f>IF(A13&lt;'01_Run_Config'!$B$32,0.55,IF(A13&lt;'01_Run_Config'!$B$33,IF(A13-'01_Run_Config'!$B$32&lt;=3,0.8,IF(A13-'01_Run_Config'!$B$32&lt;=10,1,IF(A13-'01_Run_Config'!$B$32&lt;=17,1.2,1.4))),IF(A13-'01_Run_Config'!$B$33&lt;=6,1.5,IF(A13-'01_Run_Config'!$B$33&lt;=13,1.6,IF(A13-'01_Run_Config'!$B$33&lt;=20,1.7,IF(A13-'01_Run_Config'!$B$33&lt;=34,1.8,IF(A13-'01_Run_Config'!$B$33&lt;=41,1.6,IF(A13-'01_Run_Config'!$B$33&lt;=48,1.4,1.15))))))))</x:f>
        <x:v>1</x:v>
      </x:c>
      <x:c r="Q13" s="63" t="n">
        <x:v>5.9</x:v>
      </x:c>
      <x:c r="R13" s="63" t="n">
        <x:v>0.15</x:v>
      </x:c>
      <x:c r="S13" s="63" t="n">
        <x:v>0.3</x:v>
      </x:c>
      <x:c r="T13" s="63" t="str">
        <x:f>IF(A13&lt;=7,"Manuell",'01_Run_Config'!$B$40)</x:f>
        <x:v>Manuell / indoor-freigegebene Automation</x:v>
      </x:c>
      <x:c r="U13" s="63" t="str">
        <x:f>IF(A13&lt;'01_Run_Config'!$B$32,"Kein Basisdünger",IF(A13&lt;'01_Run_Config'!$B$33,"HESI TNT","HESI Coco"))</x:f>
        <x:v>HESI TNT</x:v>
      </x:c>
      <x:c r="V13" s="63" t="n">
        <x:f>IF(A13&lt;'01_Run_Config'!$B$32,0,IF(A13&lt;'01_Run_Config'!$B$33,IF(A13-'01_Run_Config'!$B$32&lt;=3,1.25,IF(A13-'01_Run_Config'!$B$32&lt;=10,2,2.5)),IF(A13-'01_Run_Config'!$B$33&lt;=6,2.5,IF(A13-'01_Run_Config'!$B$33&lt;=13,3.25,IF(A13-'01_Run_Config'!$B$33&lt;=20,3.75,IF(A13-'01_Run_Config'!$B$33&lt;=34,4,IF(A13-'01_Run_Config'!$B$33&lt;=41,3.5,IF(A13-'01_Run_Config'!$B$33&lt;=48,2.5,1.5))))))))</x:f>
        <x:v>2</x:v>
      </x:c>
      <x:c r="W13" s="63" t="n">
        <x:f>IF(OR(A13='01_Run_Config'!$B$32,A13='01_Run_Config'!$B$32+6,A13='01_Run_Config'!$B$32+12),2.5,0)</x:f>
        <x:v>0</x:v>
      </x:c>
      <x:c r="X13" s="63" t="n">
        <x:f>IF(AND(A13&gt;='01_Run_Config'!$B$32+3,A13&lt;='01_Run_Config'!$B$33+35,MOD(A13-('01_Run_Config'!$B$32+3),7)=0),2,0)</x:f>
        <x:v>0</x:v>
      </x:c>
      <x:c r="Y13" s="63" t="n">
        <x:f>IF(A13&gt;='01_Run_Config'!$B$32,0.015,0)</x:f>
        <x:v>0.015</x:v>
      </x:c>
      <x:c r="Z13" s="63" t="n">
        <x:f>IF(AND('01_Run_Config'!$B$26="Hesilicio statt Balance",A13&gt;='01_Run_Config'!$B$32+3,MOD(A13-('01_Run_Config'!$B$32+3),7)=0,A13&lt;='01_Run_Config'!$B$33+35),0.5,0)</x:f>
        <x:v>0</x:v>
      </x:c>
      <x:c r="AA13" s="63" t="n">
        <x:f>IF(AND(A13&gt;='01_Run_Config'!$B$33,A13&lt;='01_Run_Config'!$B$33+35,MOD(A13-'01_Run_Config'!$B$33,7)=0),2,0)</x:f>
        <x:v>0</x:v>
      </x:c>
      <x:c r="AB13" s="63" t="n">
        <x:f>IF(A13='01_Run_Config'!$B$33+21,0.25,IF(A13='01_Run_Config'!$B$33+28,0.35,IF(A13='01_Run_Config'!$B$33+35,0.5,0)))</x:f>
        <x:v>0</x:v>
      </x:c>
      <x:c r="AC13" s="63" t="n">
        <x:f>IF(OR(A13='01_Run_Config'!$B$32,A13='01_Run_Config'!$B$32+7,A13='01_Run_Config'!$B$33+1,A13='01_Run_Config'!$B$33+8),2,0)</x:f>
        <x:v>2</x:v>
      </x:c>
      <x:c r="AD13" s="63" t="str">
        <x:f>IF(A13&lt;'01_Run_Config'!$B$33,"AN-Reference=0 außer Voodoo-Frischgaben",IF(AL13&lt;=7,"A/B: Bud Ignitor oder Mikrobenmodul; nicht Reference",IF(AL13&lt;=35,"A/B: Big Bud STATT HESI-PK; nicht additiv stapeln",IF(AL13&lt;=49,"A/B: Overdrive STATT spätem HESI-PK","AN-Booster auslaufen"))))</x:f>
        <x:v>AN-Reference=0 außer Voodoo-Frischgaben</x:v>
      </x:c>
      <x:c r="AE13" s="63" t="str">
        <x:v>LST nur bei 4–5 kräftigen Nodes</x:v>
      </x:c>
      <x:c r="AF13" s="63" t="str">
        <x:v>Morgens Klima/Pflanze/Bewässerung/Leck; Mitte Lichtphase Blattwinkel; vor Dunkel LF/Drain/stehendes Wasser.</x:v>
      </x:c>
      <x:c r="AG13" s="63" t="str">
        <x:v>EC nicht erhöhen bei steigender Diagnose-Drain-EC; PPFD nicht erhöhen bei Stress; Wasserband nie erzwingen; nie mehrere neue Booster gleichzeitig.</x:v>
      </x:c>
      <x:c r="AH13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1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3" s="201" t="str">
        <x:f>IF(A13&lt;'01_Run_Config'!$B$32,"—",IF(A13&lt;'01_Run_Config'!$B$33,"G"&amp;MIN(4,INT((A13-'01_Run_Config'!$B$32)/7)+1),AM13))</x:f>
        <x:v>G2</x:v>
      </x:c>
      <x:c r="AK13" s="35" t="str">
        <x:f>IF(A13&lt;'01_Run_Config'!$B$32,"Keine AN-Additive.",IF(A13&lt;'01_Run_Config'!$B$33,"Veg: Voodoo nur definierte Frischgaben; B-52/Piranha/Tarantula nur A/B; Sensizym nur statt PowerZyme; Rhino Skin AUS mit Athena Balance.",IF(AL13&lt;=7,"Frühblüte: Voodoo; Bud Ignitor/Piranha/Tarantula nur A/B; Rhino Skin AUS mit Balance.",IF(AL13&lt;=35,"Hauptblüte: Big Bud nur A/B STATT HESI-PK; Biostims einzeln testen.",IF(AL13&lt;=49,"Spätblüte: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3" s="60" t="str">
        <x:f>IF(A13&lt;'01_Run_Config'!$B$33,"",A13-'01_Run_Config'!$B$33+1)</x:f>
      </x:c>
      <x:c r="AM13" s="60" t="str">
        <x:f>IF(AL13="","",IF(AL13&gt;49,CHAR(66)&amp;"7+",CHAR(66)&amp;TEXT(INT((AL13-1)/7)+1,"0")))</x:f>
      </x:c>
      <x:c r="AN13" s="60" t="n">
        <x:f>ROUND(0.6108*EXP(17.27*L13/(L13+237.3))*(1-N13/100),2)</x:f>
        <x:v>1.11</x:v>
      </x:c>
      <x:c r="AO13" s="60" t="n">
        <x:f>H13*G13/1000</x:f>
        <x:v>0.99</x:v>
      </x:c>
      <x:c r="AP13" s="60" t="n">
        <x:f>SUM($AO$2:AO13)</x:f>
        <x:v>9</x:v>
      </x:c>
      <x:c r="AQ13" t="n">
        <x:f>'01_Run_Config'!$B$17</x:f>
        <x:v>0</x:v>
      </x:c>
      <x:c r="AR13" t="n">
        <x:f>'01_Run_Config'!$B$22</x:f>
        <x:v>0</x:v>
      </x:c>
      <x:c r="AS13" t="n">
        <x:f>'01_Run_Config'!$B$25</x:f>
        <x:v>0</x:v>
      </x:c>
    </x:row>
    <x:row r="14">
      <x:c r="A14" s="34" t="n">
        <x:v>12</x:v>
      </x:c>
      <x:c r="B14" s="129" t="n">
        <x:f>'01_Run_Config'!$B$4+A14</x:f>
        <x:v>46254</x:v>
      </x:c>
      <x:c r="C14" s="63" t="n">
        <x:f>INT(A14/7)+1</x:f>
        <x:v>2</x:v>
      </x:c>
      <x:c r="D14" s="63" t="str">
        <x:f>"M"&amp;MIN(3,INT(A14/30)+1)</x:f>
        <x:v>M1</x:v>
      </x:c>
      <x:c r="E14" s="63" t="str">
        <x:f>IF(A14&lt;4,"Keimung",IF(A14&lt;8,"Etablierung",IF(A14&lt;15,"Early Veg",IF(A14&lt;'01_Run_Config'!$B$33,IF(A14&lt;22,"Veg / LST","Preflower-Watch"),IF(A14-'01_Run_Config'!$B$33&lt;=6,"Transition / Stretch ("&amp;AM14&amp;")",IF(A14-'01_Run_Config'!$B$33&lt;=13,"Early Flower ("&amp;AM14&amp;")",IF(A14-'01_Run_Config'!$B$33&lt;=20,"Flower I ("&amp;AM14&amp;")",IF(A14-'01_Run_Config'!$B$33&lt;=34,"Peak Flower ("&amp;AM14&amp;")",IF(A14-'01_Run_Config'!$B$33&lt;=41,"Late Flower ("&amp;AM14&amp;")",IF(A14-'01_Run_Config'!$B$33&lt;=48,"Ripening ("&amp;AM14&amp;")","Harvest / Extension ("&amp;AM14&amp;")"))))))))))</x:f>
        <x:v>Early Veg</x:v>
      </x:c>
      <x:c r="F14" s="63" t="str">
        <x:f>IF(A14&lt;4,"Keimung + Wurzelstart",IF(A14&lt;8,"Sämling etablieren; Wurzelraum erschließen",IF(A14&lt;15,"kompakter Aufbau; LST erst bei Vitalität",IF(A14&lt;'01_Run_Config'!$B$33,"Canopy aufbauen; Preflower beobachten",IF(A14-'01_Run_Config'!$B$33&lt;=6,"Stretch kontrollieren; Bloom-Trigger dokumentieren",IF(A14-'01_Run_Config'!$B$33&lt;=13,"Blütenansatz stabilisieren",IF(A14-'01_Run_Config'!$B$33&lt;=20,"Blütenaufbau ohne neue Stressoren",IF(A14-'01_Run_Config'!$B$33&lt;=34,"stabile Peak-Photosynthese; Klima priorisieren",IF(A14-'01_Run_Config'!$B$33&lt;=41,"Qualität/Schimmelprävention",IF(A14-'01_Run_Config'!$B$33&lt;=48,"Reife ohne Überfütterung","Erntefenster nach Pflanze; keine Kalenderernte"))))))))))</x:f>
        <x:v>kompakter Aufbau; LST erst bei Vitalität</x:v>
      </x:c>
      <x:c r="G14" s="63" t="n">
        <x:v>18</x:v>
      </x:c>
      <x:c r="H14" s="63" t="n">
        <x:v>55</x:v>
      </x:c>
      <x:c r="I14" s="63" t="n">
        <x:v>275</x:v>
      </x:c>
      <x:c r="J14" s="63" t="n">
        <x:f>I14*G14*3600/1000000</x:f>
        <x:v>17.82</x:v>
      </x:c>
      <x:c r="K14" s="63" t="n">
        <x:v>48</x:v>
      </x:c>
      <x:c r="L14" s="63" t="n">
        <x:v>25.5</x:v>
      </x:c>
      <x:c r="M14" s="63" t="n">
        <x:v>22</x:v>
      </x:c>
      <x:c r="N14" s="63" t="n">
        <x:v>66</x:v>
      </x:c>
      <x:c r="O14" s="63" t="n">
        <x:f>ROUND(0.6108*EXP(17.27*(L14+'01_Run_Config'!$B$34)/(L14+'01_Run_Config'!$B$34+237.3))-(N14/100)*0.6108*EXP(17.27*L14/(L14+237.3)),2)</x:f>
        <x:v>0.92</x:v>
      </x:c>
      <x:c r="P14" s="63" t="n">
        <x:f>IF(A14&lt;'01_Run_Config'!$B$32,0.55,IF(A14&lt;'01_Run_Config'!$B$33,IF(A14-'01_Run_Config'!$B$32&lt;=3,0.8,IF(A14-'01_Run_Config'!$B$32&lt;=10,1,IF(A14-'01_Run_Config'!$B$32&lt;=17,1.2,1.4))),IF(A14-'01_Run_Config'!$B$33&lt;=6,1.5,IF(A14-'01_Run_Config'!$B$33&lt;=13,1.6,IF(A14-'01_Run_Config'!$B$33&lt;=20,1.7,IF(A14-'01_Run_Config'!$B$33&lt;=34,1.8,IF(A14-'01_Run_Config'!$B$33&lt;=41,1.6,IF(A14-'01_Run_Config'!$B$33&lt;=48,1.4,1.15))))))))</x:f>
        <x:v>1</x:v>
      </x:c>
      <x:c r="Q14" s="63" t="n">
        <x:v>5.9</x:v>
      </x:c>
      <x:c r="R14" s="63" t="n">
        <x:v>0.15</x:v>
      </x:c>
      <x:c r="S14" s="63" t="n">
        <x:v>0.3</x:v>
      </x:c>
      <x:c r="T14" s="63" t="str">
        <x:f>IF(A14&lt;=7,"Manuell",'01_Run_Config'!$B$40)</x:f>
        <x:v>Manuell / indoor-freigegebene Automation</x:v>
      </x:c>
      <x:c r="U14" s="63" t="str">
        <x:f>IF(A14&lt;'01_Run_Config'!$B$32,"Kein Basisdünger",IF(A14&lt;'01_Run_Config'!$B$33,"HESI TNT","HESI Coco"))</x:f>
        <x:v>HESI TNT</x:v>
      </x:c>
      <x:c r="V14" s="63" t="n">
        <x:f>IF(A14&lt;'01_Run_Config'!$B$32,0,IF(A14&lt;'01_Run_Config'!$B$33,IF(A14-'01_Run_Config'!$B$32&lt;=3,1.25,IF(A14-'01_Run_Config'!$B$32&lt;=10,2,2.5)),IF(A14-'01_Run_Config'!$B$33&lt;=6,2.5,IF(A14-'01_Run_Config'!$B$33&lt;=13,3.25,IF(A14-'01_Run_Config'!$B$33&lt;=20,3.75,IF(A14-'01_Run_Config'!$B$33&lt;=34,4,IF(A14-'01_Run_Config'!$B$33&lt;=41,3.5,IF(A14-'01_Run_Config'!$B$33&lt;=48,2.5,1.5))))))))</x:f>
        <x:v>2</x:v>
      </x:c>
      <x:c r="W14" s="63" t="n">
        <x:f>IF(OR(A14='01_Run_Config'!$B$32,A14='01_Run_Config'!$B$32+6,A14='01_Run_Config'!$B$32+12),2.5,0)</x:f>
        <x:v>0</x:v>
      </x:c>
      <x:c r="X14" s="63" t="n">
        <x:f>IF(AND(A14&gt;='01_Run_Config'!$B$32+3,A14&lt;='01_Run_Config'!$B$33+35,MOD(A14-('01_Run_Config'!$B$32+3),7)=0),2,0)</x:f>
        <x:v>0</x:v>
      </x:c>
      <x:c r="Y14" s="63" t="n">
        <x:f>IF(A14&gt;='01_Run_Config'!$B$32,0.015,0)</x:f>
        <x:v>0.015</x:v>
      </x:c>
      <x:c r="Z14" s="63" t="n">
        <x:f>IF(AND('01_Run_Config'!$B$26="Hesilicio statt Balance",A14&gt;='01_Run_Config'!$B$32+3,MOD(A14-('01_Run_Config'!$B$32+3),7)=0,A14&lt;='01_Run_Config'!$B$33+35),0.5,0)</x:f>
        <x:v>0</x:v>
      </x:c>
      <x:c r="AA14" s="63" t="n">
        <x:f>IF(AND(A14&gt;='01_Run_Config'!$B$33,A14&lt;='01_Run_Config'!$B$33+35,MOD(A14-'01_Run_Config'!$B$33,7)=0),2,0)</x:f>
        <x:v>0</x:v>
      </x:c>
      <x:c r="AB14" s="63" t="n">
        <x:f>IF(A14='01_Run_Config'!$B$33+21,0.25,IF(A14='01_Run_Config'!$B$33+28,0.35,IF(A14='01_Run_Config'!$B$33+35,0.5,0)))</x:f>
        <x:v>0</x:v>
      </x:c>
      <x:c r="AC14" s="63" t="n">
        <x:f>IF(OR(A14='01_Run_Config'!$B$32,A14='01_Run_Config'!$B$32+7,A14='01_Run_Config'!$B$33+1,A14='01_Run_Config'!$B$33+8),2,0)</x:f>
        <x:v>0</x:v>
      </x:c>
      <x:c r="AD14" s="63" t="str">
        <x:f>IF(A14&lt;'01_Run_Config'!$B$33,"AN-Reference=0 außer Voodoo-Frischgaben",IF(AL14&lt;=7,"A/B: Bud Ignitor oder Mikrobenmodul; nicht Reference",IF(AL14&lt;=35,"A/B: Big Bud STATT HESI-PK; nicht additiv stapeln",IF(AL14&lt;=49,"A/B: Overdrive STATT spätem HESI-PK","AN-Booster auslaufen"))))</x:f>
        <x:v>AN-Reference=0 außer Voodoo-Frischgaben</x:v>
      </x:c>
      <x:c r="AE14" s="63" t="str">
        <x:v>LST nur bei 4–5 kräftigen Nodes</x:v>
      </x:c>
      <x:c r="AF14" s="63" t="str">
        <x:v>Morgens Klima/Pflanze/Bewässerung/Leck; Mitte Lichtphase Blattwinkel; vor Dunkel LF/Drain/stehendes Wasser.</x:v>
      </x:c>
      <x:c r="AG14" s="63" t="str">
        <x:v>EC nicht erhöhen bei steigender Diagnose-Drain-EC; PPFD nicht erhöhen bei Stress; Wasserband nie erzwingen; nie mehrere neue Booster gleichzeitig.</x:v>
      </x:c>
      <x:c r="AH14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1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4" s="201" t="str">
        <x:f>IF(A14&lt;'01_Run_Config'!$B$32,"—",IF(A14&lt;'01_Run_Config'!$B$33,"G"&amp;MIN(4,INT((A14-'01_Run_Config'!$B$32)/7)+1),AM14))</x:f>
        <x:v>G2</x:v>
      </x:c>
      <x:c r="AK14" s="35" t="str">
        <x:f>IF(A14&lt;'01_Run_Config'!$B$32,"Keine AN-Additive.",IF(A14&lt;'01_Run_Config'!$B$33,"Veg: Voodoo nur definierte Frischgaben; B-52/Piranha/Tarantula nur A/B; Sensizym nur statt PowerZyme; Rhino Skin AUS mit Athena Balance.",IF(AL14&lt;=7,"Frühblüte: Voodoo; Bud Ignitor/Piranha/Tarantula nur A/B; Rhino Skin AUS mit Balance.",IF(AL14&lt;=35,"Hauptblüte: Big Bud nur A/B STATT HESI-PK; Biostims einzeln testen.",IF(AL14&lt;=49,"Spätblüte: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4" s="60" t="str">
        <x:f>IF(A14&lt;'01_Run_Config'!$B$33,"",A14-'01_Run_Config'!$B$33+1)</x:f>
      </x:c>
      <x:c r="AM14" s="60" t="str">
        <x:f>IF(AL14="","",IF(AL14&gt;49,CHAR(66)&amp;"7+",CHAR(66)&amp;TEXT(INT((AL14-1)/7)+1,"0")))</x:f>
      </x:c>
      <x:c r="AN14" s="60" t="n">
        <x:f>ROUND(0.6108*EXP(17.27*L14/(L14+237.3))*(1-N14/100),2)</x:f>
        <x:v>1.11</x:v>
      </x:c>
      <x:c r="AO14" s="60" t="n">
        <x:f>H14*G14/1000</x:f>
        <x:v>0.99</x:v>
      </x:c>
      <x:c r="AP14" s="60" t="n">
        <x:f>SUM($AO$2:AO14)</x:f>
        <x:v>9.99</x:v>
      </x:c>
      <x:c r="AQ14" t="n">
        <x:f>'01_Run_Config'!$B$17</x:f>
        <x:v>0</x:v>
      </x:c>
      <x:c r="AR14" t="n">
        <x:f>'01_Run_Config'!$B$22</x:f>
        <x:v>0</x:v>
      </x:c>
      <x:c r="AS14" t="n">
        <x:f>'01_Run_Config'!$B$25</x:f>
        <x:v>0</x:v>
      </x:c>
    </x:row>
    <x:row r="15">
      <x:c r="A15" s="34" t="n">
        <x:v>13</x:v>
      </x:c>
      <x:c r="B15" s="129" t="n">
        <x:f>'01_Run_Config'!$B$4+A15</x:f>
        <x:v>46255</x:v>
      </x:c>
      <x:c r="C15" s="63" t="n">
        <x:f>INT(A15/7)+1</x:f>
        <x:v>2</x:v>
      </x:c>
      <x:c r="D15" s="63" t="str">
        <x:f>"M"&amp;MIN(3,INT(A15/30)+1)</x:f>
        <x:v>M1</x:v>
      </x:c>
      <x:c r="E15" s="63" t="str">
        <x:f>IF(A15&lt;4,"Keimung",IF(A15&lt;8,"Etablierung",IF(A15&lt;15,"Early Veg",IF(A15&lt;'01_Run_Config'!$B$33,IF(A15&lt;22,"Veg / LST","Preflower-Watch"),IF(A15-'01_Run_Config'!$B$33&lt;=6,"Transition / Stretch ("&amp;AM15&amp;")",IF(A15-'01_Run_Config'!$B$33&lt;=13,"Early Flower ("&amp;AM15&amp;")",IF(A15-'01_Run_Config'!$B$33&lt;=20,"Flower I ("&amp;AM15&amp;")",IF(A15-'01_Run_Config'!$B$33&lt;=34,"Peak Flower ("&amp;AM15&amp;")",IF(A15-'01_Run_Config'!$B$33&lt;=41,"Late Flower ("&amp;AM15&amp;")",IF(A15-'01_Run_Config'!$B$33&lt;=48,"Ripening ("&amp;AM15&amp;")","Harvest / Extension ("&amp;AM15&amp;")"))))))))))</x:f>
        <x:v>Early Veg</x:v>
      </x:c>
      <x:c r="F15" s="63" t="str">
        <x:f>IF(A15&lt;4,"Keimung + Wurzelstart",IF(A15&lt;8,"Sämling etablieren; Wurzelraum erschließen",IF(A15&lt;15,"kompakter Aufbau; LST erst bei Vitalität",IF(A15&lt;'01_Run_Config'!$B$33,"Canopy aufbauen; Preflower beobachten",IF(A15-'01_Run_Config'!$B$33&lt;=6,"Stretch kontrollieren; Bloom-Trigger dokumentieren",IF(A15-'01_Run_Config'!$B$33&lt;=13,"Blütenansatz stabilisieren",IF(A15-'01_Run_Config'!$B$33&lt;=20,"Blütenaufbau ohne neue Stressoren",IF(A15-'01_Run_Config'!$B$33&lt;=34,"stabile Peak-Photosynthese; Klima priorisieren",IF(A15-'01_Run_Config'!$B$33&lt;=41,"Qualität/Schimmelprävention",IF(A15-'01_Run_Config'!$B$33&lt;=48,"Reife ohne Überfütterung","Erntefenster nach Pflanze; keine Kalenderernte"))))))))))</x:f>
        <x:v>kompakter Aufbau; LST erst bei Vitalität</x:v>
      </x:c>
      <x:c r="G15" s="63" t="n">
        <x:v>18</x:v>
      </x:c>
      <x:c r="H15" s="63" t="n">
        <x:v>55</x:v>
      </x:c>
      <x:c r="I15" s="63" t="n">
        <x:v>275</x:v>
      </x:c>
      <x:c r="J15" s="63" t="n">
        <x:f>I15*G15*3600/1000000</x:f>
        <x:v>17.82</x:v>
      </x:c>
      <x:c r="K15" s="63" t="n">
        <x:v>48</x:v>
      </x:c>
      <x:c r="L15" s="63" t="n">
        <x:v>25.5</x:v>
      </x:c>
      <x:c r="M15" s="63" t="n">
        <x:v>22</x:v>
      </x:c>
      <x:c r="N15" s="63" t="n">
        <x:v>66</x:v>
      </x:c>
      <x:c r="O15" s="63" t="n">
        <x:f>ROUND(0.6108*EXP(17.27*(L15+'01_Run_Config'!$B$34)/(L15+'01_Run_Config'!$B$34+237.3))-(N15/100)*0.6108*EXP(17.27*L15/(L15+237.3)),2)</x:f>
        <x:v>0.92</x:v>
      </x:c>
      <x:c r="P15" s="63" t="n">
        <x:f>IF(A15&lt;'01_Run_Config'!$B$32,0.55,IF(A15&lt;'01_Run_Config'!$B$33,IF(A15-'01_Run_Config'!$B$32&lt;=3,0.8,IF(A15-'01_Run_Config'!$B$32&lt;=10,1,IF(A15-'01_Run_Config'!$B$32&lt;=17,1.2,1.4))),IF(A15-'01_Run_Config'!$B$33&lt;=6,1.5,IF(A15-'01_Run_Config'!$B$33&lt;=13,1.6,IF(A15-'01_Run_Config'!$B$33&lt;=20,1.7,IF(A15-'01_Run_Config'!$B$33&lt;=34,1.8,IF(A15-'01_Run_Config'!$B$33&lt;=41,1.6,IF(A15-'01_Run_Config'!$B$33&lt;=48,1.4,1.15))))))))</x:f>
        <x:v>1</x:v>
      </x:c>
      <x:c r="Q15" s="63" t="n">
        <x:v>5.9</x:v>
      </x:c>
      <x:c r="R15" s="63" t="n">
        <x:v>0.15</x:v>
      </x:c>
      <x:c r="S15" s="63" t="n">
        <x:v>0.3</x:v>
      </x:c>
      <x:c r="T15" s="63" t="str">
        <x:f>IF(A15&lt;=7,"Manuell",'01_Run_Config'!$B$40)</x:f>
        <x:v>Manuell / indoor-freigegebene Automation</x:v>
      </x:c>
      <x:c r="U15" s="63" t="str">
        <x:f>IF(A15&lt;'01_Run_Config'!$B$32,"Kein Basisdünger",IF(A15&lt;'01_Run_Config'!$B$33,"HESI TNT","HESI Coco"))</x:f>
        <x:v>HESI TNT</x:v>
      </x:c>
      <x:c r="V15" s="63" t="n">
        <x:f>IF(A15&lt;'01_Run_Config'!$B$32,0,IF(A15&lt;'01_Run_Config'!$B$33,IF(A15-'01_Run_Config'!$B$32&lt;=3,1.25,IF(A15-'01_Run_Config'!$B$32&lt;=10,2,2.5)),IF(A15-'01_Run_Config'!$B$33&lt;=6,2.5,IF(A15-'01_Run_Config'!$B$33&lt;=13,3.25,IF(A15-'01_Run_Config'!$B$33&lt;=20,3.75,IF(A15-'01_Run_Config'!$B$33&lt;=34,4,IF(A15-'01_Run_Config'!$B$33&lt;=41,3.5,IF(A15-'01_Run_Config'!$B$33&lt;=48,2.5,1.5))))))))</x:f>
        <x:v>2</x:v>
      </x:c>
      <x:c r="W15" s="63" t="n">
        <x:f>IF(OR(A15='01_Run_Config'!$B$32,A15='01_Run_Config'!$B$32+6,A15='01_Run_Config'!$B$32+12),2.5,0)</x:f>
        <x:v>0</x:v>
      </x:c>
      <x:c r="X15" s="63" t="n">
        <x:f>IF(AND(A15&gt;='01_Run_Config'!$B$32+3,A15&lt;='01_Run_Config'!$B$33+35,MOD(A15-('01_Run_Config'!$B$32+3),7)=0),2,0)</x:f>
        <x:v>0</x:v>
      </x:c>
      <x:c r="Y15" s="63" t="n">
        <x:f>IF(A15&gt;='01_Run_Config'!$B$32,0.015,0)</x:f>
        <x:v>0.015</x:v>
      </x:c>
      <x:c r="Z15" s="63" t="n">
        <x:f>IF(AND('01_Run_Config'!$B$26="Hesilicio statt Balance",A15&gt;='01_Run_Config'!$B$32+3,MOD(A15-('01_Run_Config'!$B$32+3),7)=0,A15&lt;='01_Run_Config'!$B$33+35),0.5,0)</x:f>
        <x:v>0</x:v>
      </x:c>
      <x:c r="AA15" s="63" t="n">
        <x:f>IF(AND(A15&gt;='01_Run_Config'!$B$33,A15&lt;='01_Run_Config'!$B$33+35,MOD(A15-'01_Run_Config'!$B$33,7)=0),2,0)</x:f>
        <x:v>0</x:v>
      </x:c>
      <x:c r="AB15" s="63" t="n">
        <x:f>IF(A15='01_Run_Config'!$B$33+21,0.25,IF(A15='01_Run_Config'!$B$33+28,0.35,IF(A15='01_Run_Config'!$B$33+35,0.5,0)))</x:f>
        <x:v>0</x:v>
      </x:c>
      <x:c r="AC15" s="63" t="n">
        <x:f>IF(OR(A15='01_Run_Config'!$B$32,A15='01_Run_Config'!$B$32+7,A15='01_Run_Config'!$B$33+1,A15='01_Run_Config'!$B$33+8),2,0)</x:f>
        <x:v>0</x:v>
      </x:c>
      <x:c r="AD15" s="63" t="str">
        <x:f>IF(A15&lt;'01_Run_Config'!$B$33,"AN-Reference=0 außer Voodoo-Frischgaben",IF(AL15&lt;=7,"A/B: Bud Ignitor oder Mikrobenmodul; nicht Reference",IF(AL15&lt;=35,"A/B: Big Bud STATT HESI-PK; nicht additiv stapeln",IF(AL15&lt;=49,"A/B: Overdrive STATT spätem HESI-PK","AN-Booster auslaufen"))))</x:f>
        <x:v>AN-Reference=0 außer Voodoo-Frischgaben</x:v>
      </x:c>
      <x:c r="AE15" s="63" t="str">
        <x:v>LST nur bei 4–5 kräftigen Nodes</x:v>
      </x:c>
      <x:c r="AF15" s="63" t="str">
        <x:v>Morgens Klima/Pflanze/Bewässerung/Leck; Mitte Lichtphase Blattwinkel; vor Dunkel LF/Drain/stehendes Wasser.</x:v>
      </x:c>
      <x:c r="AG15" s="63" t="str">
        <x:v>EC nicht erhöhen bei steigender Diagnose-Drain-EC; PPFD nicht erhöhen bei Stress; Wasserband nie erzwingen; nie mehrere neue Booster gleichzeitig.</x:v>
      </x:c>
      <x:c r="AH15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1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5" s="201" t="str">
        <x:f>IF(A15&lt;'01_Run_Config'!$B$32,"—",IF(A15&lt;'01_Run_Config'!$B$33,"G"&amp;MIN(4,INT((A15-'01_Run_Config'!$B$32)/7)+1),AM15))</x:f>
        <x:v>G2</x:v>
      </x:c>
      <x:c r="AK15" s="35" t="str">
        <x:f>IF(A15&lt;'01_Run_Config'!$B$32,"Keine AN-Additive.",IF(A15&lt;'01_Run_Config'!$B$33,"Veg: Voodoo nur definierte Frischgaben; B-52/Piranha/Tarantula nur A/B; Sensizym nur statt PowerZyme; Rhino Skin AUS mit Athena Balance.",IF(AL15&lt;=7,"Frühblüte: Voodoo; Bud Ignitor/Piranha/Tarantula nur A/B; Rhino Skin AUS mit Balance.",IF(AL15&lt;=35,"Hauptblüte: Big Bud nur A/B STATT HESI-PK; Biostims einzeln testen.",IF(AL15&lt;=49,"Spätblüte: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5" s="60" t="str">
        <x:f>IF(A15&lt;'01_Run_Config'!$B$33,"",A15-'01_Run_Config'!$B$33+1)</x:f>
      </x:c>
      <x:c r="AM15" s="60" t="str">
        <x:f>IF(AL15="","",IF(AL15&gt;49,CHAR(66)&amp;"7+",CHAR(66)&amp;TEXT(INT((AL15-1)/7)+1,"0")))</x:f>
      </x:c>
      <x:c r="AN15" s="60" t="n">
        <x:f>ROUND(0.6108*EXP(17.27*L15/(L15+237.3))*(1-N15/100),2)</x:f>
        <x:v>1.11</x:v>
      </x:c>
      <x:c r="AO15" s="60" t="n">
        <x:f>H15*G15/1000</x:f>
        <x:v>0.99</x:v>
      </x:c>
      <x:c r="AP15" s="60" t="n">
        <x:f>SUM($AO$2:AO15)</x:f>
        <x:v>10.98</x:v>
      </x:c>
      <x:c r="AQ15" t="n">
        <x:f>'01_Run_Config'!$B$17</x:f>
        <x:v>0</x:v>
      </x:c>
      <x:c r="AR15" t="n">
        <x:f>'01_Run_Config'!$B$22</x:f>
        <x:v>0</x:v>
      </x:c>
      <x:c r="AS15" t="n">
        <x:f>'01_Run_Config'!$B$25</x:f>
        <x:v>0</x:v>
      </x:c>
    </x:row>
    <x:row r="16">
      <x:c r="A16" s="34" t="n">
        <x:v>14</x:v>
      </x:c>
      <x:c r="B16" s="129" t="n">
        <x:f>'01_Run_Config'!$B$4+A16</x:f>
        <x:v>46256</x:v>
      </x:c>
      <x:c r="C16" s="63" t="n">
        <x:f>INT(A16/7)+1</x:f>
        <x:v>3</x:v>
      </x:c>
      <x:c r="D16" s="63" t="str">
        <x:f>"M"&amp;MIN(3,INT(A16/30)+1)</x:f>
        <x:v>M1</x:v>
      </x:c>
      <x:c r="E16" s="63" t="str">
        <x:f>IF(A16&lt;4,"Keimung",IF(A16&lt;8,"Etablierung",IF(A16&lt;15,"Early Veg",IF(A16&lt;'01_Run_Config'!$B$33,IF(A16&lt;22,"Veg / LST","Preflower-Watch"),IF(A16-'01_Run_Config'!$B$33&lt;=6,"Transition / Stretch ("&amp;AM16&amp;")",IF(A16-'01_Run_Config'!$B$33&lt;=13,"Early Flower ("&amp;AM16&amp;")",IF(A16-'01_Run_Config'!$B$33&lt;=20,"Flower I ("&amp;AM16&amp;")",IF(A16-'01_Run_Config'!$B$33&lt;=34,"Peak Flower ("&amp;AM16&amp;")",IF(A16-'01_Run_Config'!$B$33&lt;=41,"Late Flower ("&amp;AM16&amp;")",IF(A16-'01_Run_Config'!$B$33&lt;=48,"Ripening ("&amp;AM16&amp;")","Harvest / Extension ("&amp;AM16&amp;")"))))))))))</x:f>
        <x:v>Early Veg</x:v>
      </x:c>
      <x:c r="F16" s="63" t="str">
        <x:f>IF(A16&lt;4,"Keimung + Wurzelstart",IF(A16&lt;8,"Sämling etablieren; Wurzelraum erschließen",IF(A16&lt;15,"kompakter Aufbau; LST erst bei Vitalität",IF(A16&lt;'01_Run_Config'!$B$33,"Canopy aufbauen; Preflower beobachten",IF(A16-'01_Run_Config'!$B$33&lt;=6,"Stretch kontrollieren; Bloom-Trigger dokumentieren",IF(A16-'01_Run_Config'!$B$33&lt;=13,"Blütenansatz stabilisieren",IF(A16-'01_Run_Config'!$B$33&lt;=20,"Blütenaufbau ohne neue Stressoren",IF(A16-'01_Run_Config'!$B$33&lt;=34,"stabile Peak-Photosynthese; Klima priorisieren",IF(A16-'01_Run_Config'!$B$33&lt;=41,"Qualität/Schimmelprävention",IF(A16-'01_Run_Config'!$B$33&lt;=48,"Reife ohne Überfütterung","Erntefenster nach Pflanze; keine Kalenderernte"))))))))))</x:f>
        <x:v>kompakter Aufbau; LST erst bei Vitalität</x:v>
      </x:c>
      <x:c r="G16" s="63" t="n">
        <x:v>18</x:v>
      </x:c>
      <x:c r="H16" s="63" t="n">
        <x:v>55</x:v>
      </x:c>
      <x:c r="I16" s="63" t="n">
        <x:v>275</x:v>
      </x:c>
      <x:c r="J16" s="63" t="n">
        <x:f>I16*G16*3600/1000000</x:f>
        <x:v>17.82</x:v>
      </x:c>
      <x:c r="K16" s="63" t="n">
        <x:v>48</x:v>
      </x:c>
      <x:c r="L16" s="63" t="n">
        <x:v>25.5</x:v>
      </x:c>
      <x:c r="M16" s="63" t="n">
        <x:v>22</x:v>
      </x:c>
      <x:c r="N16" s="63" t="n">
        <x:v>66</x:v>
      </x:c>
      <x:c r="O16" s="63" t="n">
        <x:f>ROUND(0.6108*EXP(17.27*(L16+'01_Run_Config'!$B$34)/(L16+'01_Run_Config'!$B$34+237.3))-(N16/100)*0.6108*EXP(17.27*L16/(L16+237.3)),2)</x:f>
        <x:v>0.92</x:v>
      </x:c>
      <x:c r="P16" s="63" t="n">
        <x:f>IF(A16&lt;'01_Run_Config'!$B$32,0.55,IF(A16&lt;'01_Run_Config'!$B$33,IF(A16-'01_Run_Config'!$B$32&lt;=3,0.8,IF(A16-'01_Run_Config'!$B$32&lt;=10,1,IF(A16-'01_Run_Config'!$B$32&lt;=17,1.2,1.4))),IF(A16-'01_Run_Config'!$B$33&lt;=6,1.5,IF(A16-'01_Run_Config'!$B$33&lt;=13,1.6,IF(A16-'01_Run_Config'!$B$33&lt;=20,1.7,IF(A16-'01_Run_Config'!$B$33&lt;=34,1.8,IF(A16-'01_Run_Config'!$B$33&lt;=41,1.6,IF(A16-'01_Run_Config'!$B$33&lt;=48,1.4,1.15))))))))</x:f>
        <x:v>1</x:v>
      </x:c>
      <x:c r="Q16" s="63" t="n">
        <x:v>5.9</x:v>
      </x:c>
      <x:c r="R16" s="63" t="n">
        <x:v>0.15</x:v>
      </x:c>
      <x:c r="S16" s="63" t="n">
        <x:v>0.3</x:v>
      </x:c>
      <x:c r="T16" s="63" t="str">
        <x:f>IF(A16&lt;=7,"Manuell",'01_Run_Config'!$B$40)</x:f>
        <x:v>Manuell / indoor-freigegebene Automation</x:v>
      </x:c>
      <x:c r="U16" s="63" t="str">
        <x:f>IF(A16&lt;'01_Run_Config'!$B$32,"Kein Basisdünger",IF(A16&lt;'01_Run_Config'!$B$33,"HESI TNT","HESI Coco"))</x:f>
        <x:v>HESI TNT</x:v>
      </x:c>
      <x:c r="V16" s="63" t="n">
        <x:f>IF(A16&lt;'01_Run_Config'!$B$32,0,IF(A16&lt;'01_Run_Config'!$B$33,IF(A16-'01_Run_Config'!$B$32&lt;=3,1.25,IF(A16-'01_Run_Config'!$B$32&lt;=10,2,2.5)),IF(A16-'01_Run_Config'!$B$33&lt;=6,2.5,IF(A16-'01_Run_Config'!$B$33&lt;=13,3.25,IF(A16-'01_Run_Config'!$B$33&lt;=20,3.75,IF(A16-'01_Run_Config'!$B$33&lt;=34,4,IF(A16-'01_Run_Config'!$B$33&lt;=41,3.5,IF(A16-'01_Run_Config'!$B$33&lt;=48,2.5,1.5))))))))</x:f>
        <x:v>2</x:v>
      </x:c>
      <x:c r="W16" s="63" t="n">
        <x:f>IF(OR(A16='01_Run_Config'!$B$32,A16='01_Run_Config'!$B$32+6,A16='01_Run_Config'!$B$32+12),2.5,0)</x:f>
        <x:v>0</x:v>
      </x:c>
      <x:c r="X16" s="63" t="n">
        <x:f>IF(AND(A16&gt;='01_Run_Config'!$B$32+3,A16&lt;='01_Run_Config'!$B$33+35,MOD(A16-('01_Run_Config'!$B$32+3),7)=0),2,0)</x:f>
        <x:v>2</x:v>
      </x:c>
      <x:c r="Y16" s="63" t="n">
        <x:f>IF(A16&gt;='01_Run_Config'!$B$32,0.015,0)</x:f>
        <x:v>0.015</x:v>
      </x:c>
      <x:c r="Z16" s="63" t="n">
        <x:f>IF(AND('01_Run_Config'!$B$26="Hesilicio statt Balance",A16&gt;='01_Run_Config'!$B$32+3,MOD(A16-('01_Run_Config'!$B$32+3),7)=0,A16&lt;='01_Run_Config'!$B$33+35),0.5,0)</x:f>
        <x:v>0</x:v>
      </x:c>
      <x:c r="AA16" s="63" t="n">
        <x:f>IF(AND(A16&gt;='01_Run_Config'!$B$33,A16&lt;='01_Run_Config'!$B$33+35,MOD(A16-'01_Run_Config'!$B$33,7)=0),2,0)</x:f>
        <x:v>0</x:v>
      </x:c>
      <x:c r="AB16" s="63" t="n">
        <x:f>IF(A16='01_Run_Config'!$B$33+21,0.25,IF(A16='01_Run_Config'!$B$33+28,0.35,IF(A16='01_Run_Config'!$B$33+35,0.5,0)))</x:f>
        <x:v>0</x:v>
      </x:c>
      <x:c r="AC16" s="63" t="n">
        <x:f>IF(OR(A16='01_Run_Config'!$B$32,A16='01_Run_Config'!$B$32+7,A16='01_Run_Config'!$B$33+1,A16='01_Run_Config'!$B$33+8),2,0)</x:f>
        <x:v>0</x:v>
      </x:c>
      <x:c r="AD16" s="63" t="str">
        <x:f>IF(A16&lt;'01_Run_Config'!$B$33,"AN-Reference=0 außer Voodoo-Frischgaben",IF(AL16&lt;=7,"A/B: Bud Ignitor oder Mikrobenmodul; nicht Reference",IF(AL16&lt;=35,"A/B: Big Bud STATT HESI-PK; nicht additiv stapeln",IF(AL16&lt;=49,"A/B: Overdrive STATT spätem HESI-PK","AN-Booster auslaufen"))))</x:f>
        <x:v>AN-Reference=0 außer Voodoo-Frischgaben</x:v>
      </x:c>
      <x:c r="AE16" s="63" t="str">
        <x:v>LST nur bei 4–5 kräftigen Nodes</x:v>
      </x:c>
      <x:c r="AF16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16" s="63" t="str">
        <x:v>EC nicht erhöhen bei steigender Diagnose-Drain-EC; PPFD nicht erhöhen bei Stress; Wasserband nie erzwingen; nie mehrere neue Booster gleichzeitig.</x:v>
      </x:c>
      <x:c r="AH16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1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6" s="201" t="str">
        <x:f>IF(A16&lt;'01_Run_Config'!$B$32,"—",IF(A16&lt;'01_Run_Config'!$B$33,"G"&amp;MIN(4,INT((A16-'01_Run_Config'!$B$32)/7)+1),AM16))</x:f>
        <x:v>G2</x:v>
      </x:c>
      <x:c r="AK16" s="35" t="str">
        <x:f>IF(A16&lt;'01_Run_Config'!$B$32,"Keine AN-Additive.",IF(A16&lt;'01_Run_Config'!$B$33,"Veg: Voodoo nur definierte Frischgaben; B-52/Piranha/Tarantula nur A/B; Sensizym nur statt PowerZyme; Rhino Skin AUS mit Athena Balance.",IF(AL16&lt;=7,"Frühblüte: Voodoo; Bud Ignitor/Piranha/Tarantula nur A/B; Rhino Skin AUS mit Balance.",IF(AL16&lt;=35,"Hauptblüte: Big Bud nur A/B STATT HESI-PK; Biostims einzeln testen.",IF(AL16&lt;=49,"Spätblüte: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6" s="60" t="str">
        <x:f>IF(A16&lt;'01_Run_Config'!$B$33,"",A16-'01_Run_Config'!$B$33+1)</x:f>
      </x:c>
      <x:c r="AM16" s="60" t="str">
        <x:f>IF(AL16="","",IF(AL16&gt;49,CHAR(66)&amp;"7+",CHAR(66)&amp;TEXT(INT((AL16-1)/7)+1,"0")))</x:f>
      </x:c>
      <x:c r="AN16" s="60" t="n">
        <x:f>ROUND(0.6108*EXP(17.27*L16/(L16+237.3))*(1-N16/100),2)</x:f>
        <x:v>1.11</x:v>
      </x:c>
      <x:c r="AO16" s="60" t="n">
        <x:f>H16*G16/1000</x:f>
        <x:v>0.99</x:v>
      </x:c>
      <x:c r="AP16" s="60" t="n">
        <x:f>SUM($AO$2:AO16)</x:f>
        <x:v>11.97</x:v>
      </x:c>
      <x:c r="AQ16" t="n">
        <x:f>'01_Run_Config'!$B$17</x:f>
        <x:v>0</x:v>
      </x:c>
      <x:c r="AR16" t="n">
        <x:f>'01_Run_Config'!$B$22</x:f>
        <x:v>0</x:v>
      </x:c>
      <x:c r="AS16" t="n">
        <x:f>'01_Run_Config'!$B$25</x:f>
        <x:v>0</x:v>
      </x:c>
    </x:row>
    <x:row r="17">
      <x:c r="A17" s="34" t="n">
        <x:v>15</x:v>
      </x:c>
      <x:c r="B17" s="129" t="n">
        <x:f>'01_Run_Config'!$B$4+A17</x:f>
        <x:v>46257</x:v>
      </x:c>
      <x:c r="C17" s="63" t="n">
        <x:f>INT(A17/7)+1</x:f>
        <x:v>3</x:v>
      </x:c>
      <x:c r="D17" s="63" t="str">
        <x:f>"M"&amp;MIN(3,INT(A17/30)+1)</x:f>
        <x:v>M1</x:v>
      </x:c>
      <x:c r="E17" s="63" t="str">
        <x:f>IF(A17&lt;4,"Keimung",IF(A17&lt;8,"Etablierung",IF(A17&lt;15,"Early Veg",IF(A17&lt;'01_Run_Config'!$B$33,IF(A17&lt;22,"Veg / LST","Preflower-Watch"),IF(A17-'01_Run_Config'!$B$33&lt;=6,"Transition / Stretch ("&amp;AM17&amp;")",IF(A17-'01_Run_Config'!$B$33&lt;=13,"Early Flower ("&amp;AM17&amp;")",IF(A17-'01_Run_Config'!$B$33&lt;=20,"Flower I ("&amp;AM17&amp;")",IF(A17-'01_Run_Config'!$B$33&lt;=34,"Peak Flower ("&amp;AM17&amp;")",IF(A17-'01_Run_Config'!$B$33&lt;=41,"Late Flower ("&amp;AM17&amp;")",IF(A17-'01_Run_Config'!$B$33&lt;=48,"Ripening ("&amp;AM17&amp;")","Harvest / Extension ("&amp;AM17&amp;")"))))))))))</x:f>
        <x:v>Veg / LST</x:v>
      </x:c>
      <x:c r="F17" s="63" t="str">
        <x:f>IF(A17&lt;4,"Keimung + Wurzelstart",IF(A17&lt;8,"Sämling etablieren; Wurzelraum erschließen",IF(A17&lt;15,"kompakter Aufbau; LST erst bei Vitalität",IF(A17&lt;'01_Run_Config'!$B$33,"Canopy aufbauen; Preflower beobachten",IF(A17-'01_Run_Config'!$B$33&lt;=6,"Stretch kontrollieren; Bloom-Trigger dokumentieren",IF(A17-'01_Run_Config'!$B$33&lt;=13,"Blütenansatz stabilisieren",IF(A17-'01_Run_Config'!$B$33&lt;=20,"Blütenaufbau ohne neue Stressoren",IF(A17-'01_Run_Config'!$B$33&lt;=34,"stabile Peak-Photosynthese; Klima priorisieren",IF(A17-'01_Run_Config'!$B$33&lt;=41,"Qualität/Schimmelprävention",IF(A17-'01_Run_Config'!$B$33&lt;=48,"Reife ohne Überfütterung","Erntefenster nach Pflanze; keine Kalenderernte"))))))))))</x:f>
        <x:v>Canopy aufbauen; Preflower beobachten</x:v>
      </x:c>
      <x:c r="G17" s="63" t="n">
        <x:v>18</x:v>
      </x:c>
      <x:c r="H17" s="63" t="n">
        <x:v>75</x:v>
      </x:c>
      <x:c r="I17" s="63" t="n">
        <x:v>350</x:v>
      </x:c>
      <x:c r="J17" s="63" t="n">
        <x:f>I17*G17*3600/1000000</x:f>
        <x:v>22.68</x:v>
      </x:c>
      <x:c r="K17" s="63" t="n">
        <x:v>43</x:v>
      </x:c>
      <x:c r="L17" s="63" t="n">
        <x:v>25.5</x:v>
      </x:c>
      <x:c r="M17" s="63" t="n">
        <x:v>22</x:v>
      </x:c>
      <x:c r="N17" s="63" t="n">
        <x:v>62</x:v>
      </x:c>
      <x:c r="O17" s="63" t="n">
        <x:f>ROUND(0.6108*EXP(17.27*(L17+'01_Run_Config'!$B$34)/(L17+'01_Run_Config'!$B$34+237.3))-(N17/100)*0.6108*EXP(17.27*L17/(L17+237.3)),2)</x:f>
        <x:v>1.05</x:v>
      </x:c>
      <x:c r="P17" s="63" t="n">
        <x:f>IF(A17&lt;'01_Run_Config'!$B$32,0.55,IF(A17&lt;'01_Run_Config'!$B$33,IF(A17-'01_Run_Config'!$B$32&lt;=3,0.8,IF(A17-'01_Run_Config'!$B$32&lt;=10,1,IF(A17-'01_Run_Config'!$B$32&lt;=17,1.2,1.4))),IF(A17-'01_Run_Config'!$B$33&lt;=6,1.5,IF(A17-'01_Run_Config'!$B$33&lt;=13,1.6,IF(A17-'01_Run_Config'!$B$33&lt;=20,1.7,IF(A17-'01_Run_Config'!$B$33&lt;=34,1.8,IF(A17-'01_Run_Config'!$B$33&lt;=41,1.6,IF(A17-'01_Run_Config'!$B$33&lt;=48,1.4,1.15))))))))</x:f>
        <x:v>1.2</x:v>
      </x:c>
      <x:c r="Q17" s="63" t="n">
        <x:v>5.9</x:v>
      </x:c>
      <x:c r="R17" s="63" t="n">
        <x:v>0.25</x:v>
      </x:c>
      <x:c r="S17" s="63" t="n">
        <x:v>0.5</x:v>
      </x:c>
      <x:c r="T17" s="63" t="str">
        <x:f>IF(A17&lt;=7,"Manuell",'01_Run_Config'!$B$40)</x:f>
        <x:v>Manuell / indoor-freigegebene Automation</x:v>
      </x:c>
      <x:c r="U17" s="63" t="str">
        <x:f>IF(A17&lt;'01_Run_Config'!$B$32,"Kein Basisdünger",IF(A17&lt;'01_Run_Config'!$B$33,"HESI TNT","HESI Coco"))</x:f>
        <x:v>HESI TNT</x:v>
      </x:c>
      <x:c r="V17" s="63" t="n">
        <x:f>IF(A17&lt;'01_Run_Config'!$B$32,0,IF(A17&lt;'01_Run_Config'!$B$33,IF(A17-'01_Run_Config'!$B$32&lt;=3,1.25,IF(A17-'01_Run_Config'!$B$32&lt;=10,2,2.5)),IF(A17-'01_Run_Config'!$B$33&lt;=6,2.5,IF(A17-'01_Run_Config'!$B$33&lt;=13,3.25,IF(A17-'01_Run_Config'!$B$33&lt;=20,3.75,IF(A17-'01_Run_Config'!$B$33&lt;=34,4,IF(A17-'01_Run_Config'!$B$33&lt;=41,3.5,IF(A17-'01_Run_Config'!$B$33&lt;=48,2.5,1.5))))))))</x:f>
        <x:v>2.5</x:v>
      </x:c>
      <x:c r="W17" s="63" t="n">
        <x:f>IF(OR(A17='01_Run_Config'!$B$32,A17='01_Run_Config'!$B$32+6,A17='01_Run_Config'!$B$32+12),2.5,0)</x:f>
        <x:v>0</x:v>
      </x:c>
      <x:c r="X17" s="63" t="n">
        <x:f>IF(AND(A17&gt;='01_Run_Config'!$B$32+3,A17&lt;='01_Run_Config'!$B$33+35,MOD(A17-('01_Run_Config'!$B$32+3),7)=0),2,0)</x:f>
        <x:v>0</x:v>
      </x:c>
      <x:c r="Y17" s="63" t="n">
        <x:f>IF(A17&gt;='01_Run_Config'!$B$32,0.015,0)</x:f>
        <x:v>0.015</x:v>
      </x:c>
      <x:c r="Z17" s="63" t="n">
        <x:f>IF(AND('01_Run_Config'!$B$26="Hesilicio statt Balance",A17&gt;='01_Run_Config'!$B$32+3,MOD(A17-('01_Run_Config'!$B$32+3),7)=0,A17&lt;='01_Run_Config'!$B$33+35),0.5,0)</x:f>
        <x:v>0</x:v>
      </x:c>
      <x:c r="AA17" s="63" t="n">
        <x:f>IF(AND(A17&gt;='01_Run_Config'!$B$33,A17&lt;='01_Run_Config'!$B$33+35,MOD(A17-'01_Run_Config'!$B$33,7)=0),2,0)</x:f>
        <x:v>0</x:v>
      </x:c>
      <x:c r="AB17" s="63" t="n">
        <x:f>IF(A17='01_Run_Config'!$B$33+21,0.25,IF(A17='01_Run_Config'!$B$33+28,0.35,IF(A17='01_Run_Config'!$B$33+35,0.5,0)))</x:f>
        <x:v>0</x:v>
      </x:c>
      <x:c r="AC17" s="63" t="n">
        <x:f>IF(OR(A17='01_Run_Config'!$B$32,A17='01_Run_Config'!$B$32+7,A17='01_Run_Config'!$B$33+1,A17='01_Run_Config'!$B$33+8),2,0)</x:f>
        <x:v>0</x:v>
      </x:c>
      <x:c r="AD17" s="63" t="str">
        <x:f>IF(A17&lt;'01_Run_Config'!$B$33,"AN-Reference=0 außer Voodoo-Frischgaben",IF(AL17&lt;=7,"A/B: Bud Ignitor oder Mikrobenmodul; nicht Reference",IF(AL17&lt;=35,"A/B: Big Bud STATT HESI-PK; nicht additiv stapeln",IF(AL17&lt;=49,"A/B: Overdrive STATT spätem HESI-PK","AN-Booster auslaufen"))))</x:f>
        <x:v>AN-Reference=0 außer Voodoo-Frischgaben</x:v>
      </x:c>
      <x:c r="AE17" s="63" t="str">
        <x:v>Radiales LST alle 3–4 Tage</x:v>
      </x:c>
      <x:c r="AF17" s="63" t="str">
        <x:v>Morgens Klima/Pflanze/Bewässerung/Leck; Mitte Lichtphase Blattwinkel; vor Dunkel LF/Drain/stehendes Wasser.</x:v>
      </x:c>
      <x:c r="AG17" s="63" t="str">
        <x:v>EC nicht erhöhen bei steigender Diagnose-Drain-EC; PPFD nicht erhöhen bei Stress; Wasserband nie erzwingen; nie mehrere neue Booster gleichzeitig.</x:v>
      </x:c>
      <x:c r="AH17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1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7" s="201" t="str">
        <x:f>IF(A17&lt;'01_Run_Config'!$B$32,"—",IF(A17&lt;'01_Run_Config'!$B$33,"G"&amp;MIN(4,INT((A17-'01_Run_Config'!$B$32)/7)+1),AM17))</x:f>
        <x:v>G2</x:v>
      </x:c>
      <x:c r="AK17" s="35" t="str">
        <x:f>IF(A17&lt;'01_Run_Config'!$B$32,"Keine AN-Additive.",IF(A17&lt;'01_Run_Config'!$B$33,"Veg: Voodoo nur definierte Frischgaben; B-52/Piranha/Tarantula nur A/B; Sensizym nur statt PowerZyme; Rhino Skin AUS mit Athena Balance.",IF(AL17&lt;=7,"Frühblüte: Voodoo; Bud Ignitor/Piranha/Tarantula nur A/B; Rhino Skin AUS mit Balance.",IF(AL17&lt;=35,"Hauptblüte: Big Bud nur A/B STATT HESI-PK; Biostims einzeln testen.",IF(AL17&lt;=49,"Spätblüte: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7" s="60" t="str">
        <x:f>IF(A17&lt;'01_Run_Config'!$B$33,"",A17-'01_Run_Config'!$B$33+1)</x:f>
      </x:c>
      <x:c r="AM17" s="60" t="str">
        <x:f>IF(AL17="","",IF(AL17&gt;49,CHAR(66)&amp;"7+",CHAR(66)&amp;TEXT(INT((AL17-1)/7)+1,"0")))</x:f>
      </x:c>
      <x:c r="AN17" s="60" t="n">
        <x:f>ROUND(0.6108*EXP(17.27*L17/(L17+237.3))*(1-N17/100),2)</x:f>
        <x:v>1.24</x:v>
      </x:c>
      <x:c r="AO17" s="60" t="n">
        <x:f>H17*G17/1000</x:f>
        <x:v>1.35</x:v>
      </x:c>
      <x:c r="AP17" s="60" t="n">
        <x:f>SUM($AO$2:AO17)</x:f>
        <x:v>13.32</x:v>
      </x:c>
      <x:c r="AQ17" t="n">
        <x:f>'01_Run_Config'!$B$17</x:f>
        <x:v>0</x:v>
      </x:c>
      <x:c r="AR17" t="n">
        <x:f>'01_Run_Config'!$B$22</x:f>
        <x:v>0</x:v>
      </x:c>
      <x:c r="AS17" t="n">
        <x:f>'01_Run_Config'!$B$25</x:f>
        <x:v>0</x:v>
      </x:c>
    </x:row>
    <x:row r="18">
      <x:c r="A18" s="34" t="n">
        <x:v>16</x:v>
      </x:c>
      <x:c r="B18" s="129" t="n">
        <x:f>'01_Run_Config'!$B$4+A18</x:f>
        <x:v>46258</x:v>
      </x:c>
      <x:c r="C18" s="63" t="n">
        <x:f>INT(A18/7)+1</x:f>
        <x:v>3</x:v>
      </x:c>
      <x:c r="D18" s="63" t="str">
        <x:f>"M"&amp;MIN(3,INT(A18/30)+1)</x:f>
        <x:v>M1</x:v>
      </x:c>
      <x:c r="E18" s="63" t="str">
        <x:f>IF(A18&lt;4,"Keimung",IF(A18&lt;8,"Etablierung",IF(A18&lt;15,"Early Veg",IF(A18&lt;'01_Run_Config'!$B$33,IF(A18&lt;22,"Veg / LST","Preflower-Watch"),IF(A18-'01_Run_Config'!$B$33&lt;=6,"Transition / Stretch ("&amp;AM18&amp;")",IF(A18-'01_Run_Config'!$B$33&lt;=13,"Early Flower ("&amp;AM18&amp;")",IF(A18-'01_Run_Config'!$B$33&lt;=20,"Flower I ("&amp;AM18&amp;")",IF(A18-'01_Run_Config'!$B$33&lt;=34,"Peak Flower ("&amp;AM18&amp;")",IF(A18-'01_Run_Config'!$B$33&lt;=41,"Late Flower ("&amp;AM18&amp;")",IF(A18-'01_Run_Config'!$B$33&lt;=48,"Ripening ("&amp;AM18&amp;")","Harvest / Extension ("&amp;AM18&amp;")"))))))))))</x:f>
        <x:v>Veg / LST</x:v>
      </x:c>
      <x:c r="F18" s="63" t="str">
        <x:f>IF(A18&lt;4,"Keimung + Wurzelstart",IF(A18&lt;8,"Sämling etablieren; Wurzelraum erschließen",IF(A18&lt;15,"kompakter Aufbau; LST erst bei Vitalität",IF(A18&lt;'01_Run_Config'!$B$33,"Canopy aufbauen; Preflower beobachten",IF(A18-'01_Run_Config'!$B$33&lt;=6,"Stretch kontrollieren; Bloom-Trigger dokumentieren",IF(A18-'01_Run_Config'!$B$33&lt;=13,"Blütenansatz stabilisieren",IF(A18-'01_Run_Config'!$B$33&lt;=20,"Blütenaufbau ohne neue Stressoren",IF(A18-'01_Run_Config'!$B$33&lt;=34,"stabile Peak-Photosynthese; Klima priorisieren",IF(A18-'01_Run_Config'!$B$33&lt;=41,"Qualität/Schimmelprävention",IF(A18-'01_Run_Config'!$B$33&lt;=48,"Reife ohne Überfütterung","Erntefenster nach Pflanze; keine Kalenderernte"))))))))))</x:f>
        <x:v>Canopy aufbauen; Preflower beobachten</x:v>
      </x:c>
      <x:c r="G18" s="63" t="n">
        <x:v>18</x:v>
      </x:c>
      <x:c r="H18" s="63" t="n">
        <x:v>75</x:v>
      </x:c>
      <x:c r="I18" s="63" t="n">
        <x:v>350</x:v>
      </x:c>
      <x:c r="J18" s="63" t="n">
        <x:f>I18*G18*3600/1000000</x:f>
        <x:v>22.68</x:v>
      </x:c>
      <x:c r="K18" s="63" t="n">
        <x:v>43</x:v>
      </x:c>
      <x:c r="L18" s="63" t="n">
        <x:v>25.5</x:v>
      </x:c>
      <x:c r="M18" s="63" t="n">
        <x:v>22</x:v>
      </x:c>
      <x:c r="N18" s="63" t="n">
        <x:v>62</x:v>
      </x:c>
      <x:c r="O18" s="63" t="n">
        <x:f>ROUND(0.6108*EXP(17.27*(L18+'01_Run_Config'!$B$34)/(L18+'01_Run_Config'!$B$34+237.3))-(N18/100)*0.6108*EXP(17.27*L18/(L18+237.3)),2)</x:f>
        <x:v>1.05</x:v>
      </x:c>
      <x:c r="P18" s="63" t="n">
        <x:f>IF(A18&lt;'01_Run_Config'!$B$32,0.55,IF(A18&lt;'01_Run_Config'!$B$33,IF(A18-'01_Run_Config'!$B$32&lt;=3,0.8,IF(A18-'01_Run_Config'!$B$32&lt;=10,1,IF(A18-'01_Run_Config'!$B$32&lt;=17,1.2,1.4))),IF(A18-'01_Run_Config'!$B$33&lt;=6,1.5,IF(A18-'01_Run_Config'!$B$33&lt;=13,1.6,IF(A18-'01_Run_Config'!$B$33&lt;=20,1.7,IF(A18-'01_Run_Config'!$B$33&lt;=34,1.8,IF(A18-'01_Run_Config'!$B$33&lt;=41,1.6,IF(A18-'01_Run_Config'!$B$33&lt;=48,1.4,1.15))))))))</x:f>
        <x:v>1.2</x:v>
      </x:c>
      <x:c r="Q18" s="63" t="n">
        <x:v>5.9</x:v>
      </x:c>
      <x:c r="R18" s="63" t="n">
        <x:v>0.25</x:v>
      </x:c>
      <x:c r="S18" s="63" t="n">
        <x:v>0.5</x:v>
      </x:c>
      <x:c r="T18" s="63" t="str">
        <x:f>IF(A18&lt;=7,"Manuell",'01_Run_Config'!$B$40)</x:f>
        <x:v>Manuell / indoor-freigegebene Automation</x:v>
      </x:c>
      <x:c r="U18" s="63" t="str">
        <x:f>IF(A18&lt;'01_Run_Config'!$B$32,"Kein Basisdünger",IF(A18&lt;'01_Run_Config'!$B$33,"HESI TNT","HESI Coco"))</x:f>
        <x:v>HESI TNT</x:v>
      </x:c>
      <x:c r="V18" s="63" t="n">
        <x:f>IF(A18&lt;'01_Run_Config'!$B$32,0,IF(A18&lt;'01_Run_Config'!$B$33,IF(A18-'01_Run_Config'!$B$32&lt;=3,1.25,IF(A18-'01_Run_Config'!$B$32&lt;=10,2,2.5)),IF(A18-'01_Run_Config'!$B$33&lt;=6,2.5,IF(A18-'01_Run_Config'!$B$33&lt;=13,3.25,IF(A18-'01_Run_Config'!$B$33&lt;=20,3.75,IF(A18-'01_Run_Config'!$B$33&lt;=34,4,IF(A18-'01_Run_Config'!$B$33&lt;=41,3.5,IF(A18-'01_Run_Config'!$B$33&lt;=48,2.5,1.5))))))))</x:f>
        <x:v>2.5</x:v>
      </x:c>
      <x:c r="W18" s="63" t="n">
        <x:f>IF(OR(A18='01_Run_Config'!$B$32,A18='01_Run_Config'!$B$32+6,A18='01_Run_Config'!$B$32+12),2.5,0)</x:f>
        <x:v>2.5</x:v>
      </x:c>
      <x:c r="X18" s="63" t="n">
        <x:f>IF(AND(A18&gt;='01_Run_Config'!$B$32+3,A18&lt;='01_Run_Config'!$B$33+35,MOD(A18-('01_Run_Config'!$B$32+3),7)=0),2,0)</x:f>
        <x:v>0</x:v>
      </x:c>
      <x:c r="Y18" s="63" t="n">
        <x:f>IF(A18&gt;='01_Run_Config'!$B$32,0.015,0)</x:f>
        <x:v>0.015</x:v>
      </x:c>
      <x:c r="Z18" s="63" t="n">
        <x:f>IF(AND('01_Run_Config'!$B$26="Hesilicio statt Balance",A18&gt;='01_Run_Config'!$B$32+3,MOD(A18-('01_Run_Config'!$B$32+3),7)=0,A18&lt;='01_Run_Config'!$B$33+35),0.5,0)</x:f>
        <x:v>0</x:v>
      </x:c>
      <x:c r="AA18" s="63" t="n">
        <x:f>IF(AND(A18&gt;='01_Run_Config'!$B$33,A18&lt;='01_Run_Config'!$B$33+35,MOD(A18-'01_Run_Config'!$B$33,7)=0),2,0)</x:f>
        <x:v>0</x:v>
      </x:c>
      <x:c r="AB18" s="63" t="n">
        <x:f>IF(A18='01_Run_Config'!$B$33+21,0.25,IF(A18='01_Run_Config'!$B$33+28,0.35,IF(A18='01_Run_Config'!$B$33+35,0.5,0)))</x:f>
        <x:v>0</x:v>
      </x:c>
      <x:c r="AC18" s="63" t="n">
        <x:f>IF(OR(A18='01_Run_Config'!$B$32,A18='01_Run_Config'!$B$32+7,A18='01_Run_Config'!$B$33+1,A18='01_Run_Config'!$B$33+8),2,0)</x:f>
        <x:v>0</x:v>
      </x:c>
      <x:c r="AD18" s="63" t="str">
        <x:f>IF(A18&lt;'01_Run_Config'!$B$33,"AN-Reference=0 außer Voodoo-Frischgaben",IF(AL18&lt;=7,"A/B: Bud Ignitor oder Mikrobenmodul; nicht Reference",IF(AL18&lt;=35,"A/B: Big Bud STATT HESI-PK; nicht additiv stapeln",IF(AL18&lt;=49,"A/B: Overdrive STATT spätem HESI-PK","AN-Booster auslaufen"))))</x:f>
        <x:v>AN-Reference=0 außer Voodoo-Frischgaben</x:v>
      </x:c>
      <x:c r="AE18" s="63" t="str">
        <x:v>Radiales LST alle 3–4 Tage</x:v>
      </x:c>
      <x:c r="AF18" s="63" t="str">
        <x:v>Morgens Klima/Pflanze/Bewässerung/Leck; Mitte Lichtphase Blattwinkel; vor Dunkel LF/Drain/stehendes Wasser.</x:v>
      </x:c>
      <x:c r="AG18" s="63" t="str">
        <x:v>EC nicht erhöhen bei steigender Diagnose-Drain-EC; PPFD nicht erhöhen bei Stress; Wasserband nie erzwingen; nie mehrere neue Booster gleichzeitig.</x:v>
      </x:c>
      <x:c r="AH18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1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8" s="201" t="str">
        <x:f>IF(A18&lt;'01_Run_Config'!$B$32,"—",IF(A18&lt;'01_Run_Config'!$B$33,"G"&amp;MIN(4,INT((A18-'01_Run_Config'!$B$32)/7)+1),AM18))</x:f>
        <x:v>G2</x:v>
      </x:c>
      <x:c r="AK18" s="35" t="str">
        <x:f>IF(A18&lt;'01_Run_Config'!$B$32,"Keine AN-Additive.",IF(A18&lt;'01_Run_Config'!$B$33,"Veg: Voodoo nur definierte Frischgaben; B-52/Piranha/Tarantula nur A/B; Sensizym nur statt PowerZyme; Rhino Skin AUS mit Athena Balance.",IF(AL18&lt;=7,"Frühblüte: Voodoo; Bud Ignitor/Piranha/Tarantula nur A/B; Rhino Skin AUS mit Balance.",IF(AL18&lt;=35,"Hauptblüte: Big Bud nur A/B STATT HESI-PK; Biostims einzeln testen.",IF(AL18&lt;=49,"Spätblüte: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8" s="60" t="str">
        <x:f>IF(A18&lt;'01_Run_Config'!$B$33,"",A18-'01_Run_Config'!$B$33+1)</x:f>
      </x:c>
      <x:c r="AM18" s="60" t="str">
        <x:f>IF(AL18="","",IF(AL18&gt;49,CHAR(66)&amp;"7+",CHAR(66)&amp;TEXT(INT((AL18-1)/7)+1,"0")))</x:f>
      </x:c>
      <x:c r="AN18" s="60" t="n">
        <x:f>ROUND(0.6108*EXP(17.27*L18/(L18+237.3))*(1-N18/100),2)</x:f>
        <x:v>1.24</x:v>
      </x:c>
      <x:c r="AO18" s="60" t="n">
        <x:f>H18*G18/1000</x:f>
        <x:v>1.35</x:v>
      </x:c>
      <x:c r="AP18" s="60" t="n">
        <x:f>SUM($AO$2:AO18)</x:f>
        <x:v>14.67</x:v>
      </x:c>
      <x:c r="AQ18" t="n">
        <x:f>'01_Run_Config'!$B$17</x:f>
        <x:v>0</x:v>
      </x:c>
      <x:c r="AR18" t="n">
        <x:f>'01_Run_Config'!$B$22</x:f>
        <x:v>0</x:v>
      </x:c>
      <x:c r="AS18" t="n">
        <x:f>'01_Run_Config'!$B$25</x:f>
        <x:v>0</x:v>
      </x:c>
    </x:row>
    <x:row r="19">
      <x:c r="A19" s="34" t="n">
        <x:v>17</x:v>
      </x:c>
      <x:c r="B19" s="129" t="n">
        <x:f>'01_Run_Config'!$B$4+A19</x:f>
        <x:v>46259</x:v>
      </x:c>
      <x:c r="C19" s="63" t="n">
        <x:f>INT(A19/7)+1</x:f>
        <x:v>3</x:v>
      </x:c>
      <x:c r="D19" s="63" t="str">
        <x:f>"M"&amp;MIN(3,INT(A19/30)+1)</x:f>
        <x:v>M1</x:v>
      </x:c>
      <x:c r="E19" s="63" t="str">
        <x:f>IF(A19&lt;4,"Keimung",IF(A19&lt;8,"Etablierung",IF(A19&lt;15,"Early Veg",IF(A19&lt;'01_Run_Config'!$B$33,IF(A19&lt;22,"Veg / LST","Preflower-Watch"),IF(A19-'01_Run_Config'!$B$33&lt;=6,"Transition / Stretch ("&amp;AM19&amp;")",IF(A19-'01_Run_Config'!$B$33&lt;=13,"Early Flower ("&amp;AM19&amp;")",IF(A19-'01_Run_Config'!$B$33&lt;=20,"Flower I ("&amp;AM19&amp;")",IF(A19-'01_Run_Config'!$B$33&lt;=34,"Peak Flower ("&amp;AM19&amp;")",IF(A19-'01_Run_Config'!$B$33&lt;=41,"Late Flower ("&amp;AM19&amp;")",IF(A19-'01_Run_Config'!$B$33&lt;=48,"Ripening ("&amp;AM19&amp;")","Harvest / Extension ("&amp;AM19&amp;")"))))))))))</x:f>
        <x:v>Veg / LST</x:v>
      </x:c>
      <x:c r="F19" s="63" t="str">
        <x:f>IF(A19&lt;4,"Keimung + Wurzelstart",IF(A19&lt;8,"Sämling etablieren; Wurzelraum erschließen",IF(A19&lt;15,"kompakter Aufbau; LST erst bei Vitalität",IF(A19&lt;'01_Run_Config'!$B$33,"Canopy aufbauen; Preflower beobachten",IF(A19-'01_Run_Config'!$B$33&lt;=6,"Stretch kontrollieren; Bloom-Trigger dokumentieren",IF(A19-'01_Run_Config'!$B$33&lt;=13,"Blütenansatz stabilisieren",IF(A19-'01_Run_Config'!$B$33&lt;=20,"Blütenaufbau ohne neue Stressoren",IF(A19-'01_Run_Config'!$B$33&lt;=34,"stabile Peak-Photosynthese; Klima priorisieren",IF(A19-'01_Run_Config'!$B$33&lt;=41,"Qualität/Schimmelprävention",IF(A19-'01_Run_Config'!$B$33&lt;=48,"Reife ohne Überfütterung","Erntefenster nach Pflanze; keine Kalenderernte"))))))))))</x:f>
        <x:v>Canopy aufbauen; Preflower beobachten</x:v>
      </x:c>
      <x:c r="G19" s="63" t="n">
        <x:v>18</x:v>
      </x:c>
      <x:c r="H19" s="63" t="n">
        <x:v>75</x:v>
      </x:c>
      <x:c r="I19" s="63" t="n">
        <x:v>350</x:v>
      </x:c>
      <x:c r="J19" s="63" t="n">
        <x:f>I19*G19*3600/1000000</x:f>
        <x:v>22.68</x:v>
      </x:c>
      <x:c r="K19" s="63" t="n">
        <x:v>43</x:v>
      </x:c>
      <x:c r="L19" s="63" t="n">
        <x:v>25.5</x:v>
      </x:c>
      <x:c r="M19" s="63" t="n">
        <x:v>22</x:v>
      </x:c>
      <x:c r="N19" s="63" t="n">
        <x:v>62</x:v>
      </x:c>
      <x:c r="O19" s="63" t="n">
        <x:f>ROUND(0.6108*EXP(17.27*(L19+'01_Run_Config'!$B$34)/(L19+'01_Run_Config'!$B$34+237.3))-(N19/100)*0.6108*EXP(17.27*L19/(L19+237.3)),2)</x:f>
        <x:v>1.05</x:v>
      </x:c>
      <x:c r="P19" s="63" t="n">
        <x:f>IF(A19&lt;'01_Run_Config'!$B$32,0.55,IF(A19&lt;'01_Run_Config'!$B$33,IF(A19-'01_Run_Config'!$B$32&lt;=3,0.8,IF(A19-'01_Run_Config'!$B$32&lt;=10,1,IF(A19-'01_Run_Config'!$B$32&lt;=17,1.2,1.4))),IF(A19-'01_Run_Config'!$B$33&lt;=6,1.5,IF(A19-'01_Run_Config'!$B$33&lt;=13,1.6,IF(A19-'01_Run_Config'!$B$33&lt;=20,1.7,IF(A19-'01_Run_Config'!$B$33&lt;=34,1.8,IF(A19-'01_Run_Config'!$B$33&lt;=41,1.6,IF(A19-'01_Run_Config'!$B$33&lt;=48,1.4,1.15))))))))</x:f>
        <x:v>1.2</x:v>
      </x:c>
      <x:c r="Q19" s="63" t="n">
        <x:v>5.9</x:v>
      </x:c>
      <x:c r="R19" s="63" t="n">
        <x:v>0.25</x:v>
      </x:c>
      <x:c r="S19" s="63" t="n">
        <x:v>0.5</x:v>
      </x:c>
      <x:c r="T19" s="63" t="str">
        <x:f>IF(A19&lt;=7,"Manuell",'01_Run_Config'!$B$40)</x:f>
        <x:v>Manuell / indoor-freigegebene Automation</x:v>
      </x:c>
      <x:c r="U19" s="63" t="str">
        <x:f>IF(A19&lt;'01_Run_Config'!$B$32,"Kein Basisdünger",IF(A19&lt;'01_Run_Config'!$B$33,"HESI TNT","HESI Coco"))</x:f>
        <x:v>HESI TNT</x:v>
      </x:c>
      <x:c r="V19" s="63" t="n">
        <x:f>IF(A19&lt;'01_Run_Config'!$B$32,0,IF(A19&lt;'01_Run_Config'!$B$33,IF(A19-'01_Run_Config'!$B$32&lt;=3,1.25,IF(A19-'01_Run_Config'!$B$32&lt;=10,2,2.5)),IF(A19-'01_Run_Config'!$B$33&lt;=6,2.5,IF(A19-'01_Run_Config'!$B$33&lt;=13,3.25,IF(A19-'01_Run_Config'!$B$33&lt;=20,3.75,IF(A19-'01_Run_Config'!$B$33&lt;=34,4,IF(A19-'01_Run_Config'!$B$33&lt;=41,3.5,IF(A19-'01_Run_Config'!$B$33&lt;=48,2.5,1.5))))))))</x:f>
        <x:v>2.5</x:v>
      </x:c>
      <x:c r="W19" s="63" t="n">
        <x:f>IF(OR(A19='01_Run_Config'!$B$32,A19='01_Run_Config'!$B$32+6,A19='01_Run_Config'!$B$32+12),2.5,0)</x:f>
        <x:v>0</x:v>
      </x:c>
      <x:c r="X19" s="63" t="n">
        <x:f>IF(AND(A19&gt;='01_Run_Config'!$B$32+3,A19&lt;='01_Run_Config'!$B$33+35,MOD(A19-('01_Run_Config'!$B$32+3),7)=0),2,0)</x:f>
        <x:v>0</x:v>
      </x:c>
      <x:c r="Y19" s="63" t="n">
        <x:f>IF(A19&gt;='01_Run_Config'!$B$32,0.015,0)</x:f>
        <x:v>0.015</x:v>
      </x:c>
      <x:c r="Z19" s="63" t="n">
        <x:f>IF(AND('01_Run_Config'!$B$26="Hesilicio statt Balance",A19&gt;='01_Run_Config'!$B$32+3,MOD(A19-('01_Run_Config'!$B$32+3),7)=0,A19&lt;='01_Run_Config'!$B$33+35),0.5,0)</x:f>
        <x:v>0</x:v>
      </x:c>
      <x:c r="AA19" s="63" t="n">
        <x:f>IF(AND(A19&gt;='01_Run_Config'!$B$33,A19&lt;='01_Run_Config'!$B$33+35,MOD(A19-'01_Run_Config'!$B$33,7)=0),2,0)</x:f>
        <x:v>0</x:v>
      </x:c>
      <x:c r="AB19" s="63" t="n">
        <x:f>IF(A19='01_Run_Config'!$B$33+21,0.25,IF(A19='01_Run_Config'!$B$33+28,0.35,IF(A19='01_Run_Config'!$B$33+35,0.5,0)))</x:f>
        <x:v>0</x:v>
      </x:c>
      <x:c r="AC19" s="63" t="n">
        <x:f>IF(OR(A19='01_Run_Config'!$B$32,A19='01_Run_Config'!$B$32+7,A19='01_Run_Config'!$B$33+1,A19='01_Run_Config'!$B$33+8),2,0)</x:f>
        <x:v>0</x:v>
      </x:c>
      <x:c r="AD19" s="63" t="str">
        <x:f>IF(A19&lt;'01_Run_Config'!$B$33,"AN-Reference=0 außer Voodoo-Frischgaben",IF(AL19&lt;=7,"A/B: Bud Ignitor oder Mikrobenmodul; nicht Reference",IF(AL19&lt;=35,"A/B: Big Bud STATT HESI-PK; nicht additiv stapeln",IF(AL19&lt;=49,"A/B: Overdrive STATT spätem HESI-PK","AN-Booster auslaufen"))))</x:f>
        <x:v>AN-Reference=0 außer Voodoo-Frischgaben</x:v>
      </x:c>
      <x:c r="AE19" s="63" t="str">
        <x:v>Radiales LST alle 3–4 Tage</x:v>
      </x:c>
      <x:c r="AF19" s="63" t="str">
        <x:v>Morgens Klima/Pflanze/Bewässerung/Leck; Mitte Lichtphase Blattwinkel; vor Dunkel LF/Drain/stehendes Wasser.</x:v>
      </x:c>
      <x:c r="AG19" s="63" t="str">
        <x:v>EC nicht erhöhen bei steigender Diagnose-Drain-EC; PPFD nicht erhöhen bei Stress; Wasserband nie erzwingen; nie mehrere neue Booster gleichzeitig.</x:v>
      </x:c>
      <x:c r="AH19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1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9" s="201" t="str">
        <x:f>IF(A19&lt;'01_Run_Config'!$B$32,"—",IF(A19&lt;'01_Run_Config'!$B$33,"G"&amp;MIN(4,INT((A19-'01_Run_Config'!$B$32)/7)+1),AM19))</x:f>
        <x:v>G2</x:v>
      </x:c>
      <x:c r="AK19" s="35" t="str">
        <x:f>IF(A19&lt;'01_Run_Config'!$B$32,"Keine AN-Additive.",IF(A19&lt;'01_Run_Config'!$B$33,"Veg: Voodoo nur definierte Frischgaben; B-52/Piranha/Tarantula nur A/B; Sensizym nur statt PowerZyme; Rhino Skin AUS mit Athena Balance.",IF(AL19&lt;=7,"Frühblüte: Voodoo; Bud Ignitor/Piranha/Tarantula nur A/B; Rhino Skin AUS mit Balance.",IF(AL19&lt;=35,"Hauptblüte: Big Bud nur A/B STATT HESI-PK; Biostims einzeln testen.",IF(AL19&lt;=49,"Spätblüte: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19" s="60" t="str">
        <x:f>IF(A19&lt;'01_Run_Config'!$B$33,"",A19-'01_Run_Config'!$B$33+1)</x:f>
      </x:c>
      <x:c r="AM19" s="60" t="str">
        <x:f>IF(AL19="","",IF(AL19&gt;49,CHAR(66)&amp;"7+",CHAR(66)&amp;TEXT(INT((AL19-1)/7)+1,"0")))</x:f>
      </x:c>
      <x:c r="AN19" s="60" t="n">
        <x:f>ROUND(0.6108*EXP(17.27*L19/(L19+237.3))*(1-N19/100),2)</x:f>
        <x:v>1.24</x:v>
      </x:c>
      <x:c r="AO19" s="60" t="n">
        <x:f>H19*G19/1000</x:f>
        <x:v>1.35</x:v>
      </x:c>
      <x:c r="AP19" s="60" t="n">
        <x:f>SUM($AO$2:AO19)</x:f>
        <x:v>16.02</x:v>
      </x:c>
      <x:c r="AQ19" t="n">
        <x:f>'01_Run_Config'!$B$17</x:f>
        <x:v>0</x:v>
      </x:c>
      <x:c r="AR19" t="n">
        <x:f>'01_Run_Config'!$B$22</x:f>
        <x:v>0</x:v>
      </x:c>
      <x:c r="AS19" t="n">
        <x:f>'01_Run_Config'!$B$25</x:f>
        <x:v>0</x:v>
      </x:c>
    </x:row>
    <x:row r="20">
      <x:c r="A20" s="34" t="n">
        <x:v>18</x:v>
      </x:c>
      <x:c r="B20" s="129" t="n">
        <x:f>'01_Run_Config'!$B$4+A20</x:f>
        <x:v>46260</x:v>
      </x:c>
      <x:c r="C20" s="63" t="n">
        <x:f>INT(A20/7)+1</x:f>
        <x:v>3</x:v>
      </x:c>
      <x:c r="D20" s="63" t="str">
        <x:f>"M"&amp;MIN(3,INT(A20/30)+1)</x:f>
        <x:v>M1</x:v>
      </x:c>
      <x:c r="E20" s="63" t="str">
        <x:f>IF(A20&lt;4,"Keimung",IF(A20&lt;8,"Etablierung",IF(A20&lt;15,"Early Veg",IF(A20&lt;'01_Run_Config'!$B$33,IF(A20&lt;22,"Veg / LST","Preflower-Watch"),IF(A20-'01_Run_Config'!$B$33&lt;=6,"Transition / Stretch ("&amp;AM20&amp;")",IF(A20-'01_Run_Config'!$B$33&lt;=13,"Early Flower ("&amp;AM20&amp;")",IF(A20-'01_Run_Config'!$B$33&lt;=20,"Flower I ("&amp;AM20&amp;")",IF(A20-'01_Run_Config'!$B$33&lt;=34,"Peak Flower ("&amp;AM20&amp;")",IF(A20-'01_Run_Config'!$B$33&lt;=41,"Late Flower ("&amp;AM20&amp;")",IF(A20-'01_Run_Config'!$B$33&lt;=48,"Ripening ("&amp;AM20&amp;")","Harvest / Extension ("&amp;AM20&amp;")"))))))))))</x:f>
        <x:v>Veg / LST</x:v>
      </x:c>
      <x:c r="F20" s="63" t="str">
        <x:f>IF(A20&lt;4,"Keimung + Wurzelstart",IF(A20&lt;8,"Sämling etablieren; Wurzelraum erschließen",IF(A20&lt;15,"kompakter Aufbau; LST erst bei Vitalität",IF(A20&lt;'01_Run_Config'!$B$33,"Canopy aufbauen; Preflower beobachten",IF(A20-'01_Run_Config'!$B$33&lt;=6,"Stretch kontrollieren; Bloom-Trigger dokumentieren",IF(A20-'01_Run_Config'!$B$33&lt;=13,"Blütenansatz stabilisieren",IF(A20-'01_Run_Config'!$B$33&lt;=20,"Blütenaufbau ohne neue Stressoren",IF(A20-'01_Run_Config'!$B$33&lt;=34,"stabile Peak-Photosynthese; Klima priorisieren",IF(A20-'01_Run_Config'!$B$33&lt;=41,"Qualität/Schimmelprävention",IF(A20-'01_Run_Config'!$B$33&lt;=48,"Reife ohne Überfütterung","Erntefenster nach Pflanze; keine Kalenderernte"))))))))))</x:f>
        <x:v>Canopy aufbauen; Preflower beobachten</x:v>
      </x:c>
      <x:c r="G20" s="63" t="n">
        <x:v>18</x:v>
      </x:c>
      <x:c r="H20" s="63" t="n">
        <x:v>75</x:v>
      </x:c>
      <x:c r="I20" s="63" t="n">
        <x:v>350</x:v>
      </x:c>
      <x:c r="J20" s="63" t="n">
        <x:f>I20*G20*3600/1000000</x:f>
        <x:v>22.68</x:v>
      </x:c>
      <x:c r="K20" s="63" t="n">
        <x:v>43</x:v>
      </x:c>
      <x:c r="L20" s="63" t="n">
        <x:v>25.5</x:v>
      </x:c>
      <x:c r="M20" s="63" t="n">
        <x:v>22</x:v>
      </x:c>
      <x:c r="N20" s="63" t="n">
        <x:v>62</x:v>
      </x:c>
      <x:c r="O20" s="63" t="n">
        <x:f>ROUND(0.6108*EXP(17.27*(L20+'01_Run_Config'!$B$34)/(L20+'01_Run_Config'!$B$34+237.3))-(N20/100)*0.6108*EXP(17.27*L20/(L20+237.3)),2)</x:f>
        <x:v>1.05</x:v>
      </x:c>
      <x:c r="P20" s="63" t="n">
        <x:f>IF(A20&lt;'01_Run_Config'!$B$32,0.55,IF(A20&lt;'01_Run_Config'!$B$33,IF(A20-'01_Run_Config'!$B$32&lt;=3,0.8,IF(A20-'01_Run_Config'!$B$32&lt;=10,1,IF(A20-'01_Run_Config'!$B$32&lt;=17,1.2,1.4))),IF(A20-'01_Run_Config'!$B$33&lt;=6,1.5,IF(A20-'01_Run_Config'!$B$33&lt;=13,1.6,IF(A20-'01_Run_Config'!$B$33&lt;=20,1.7,IF(A20-'01_Run_Config'!$B$33&lt;=34,1.8,IF(A20-'01_Run_Config'!$B$33&lt;=41,1.6,IF(A20-'01_Run_Config'!$B$33&lt;=48,1.4,1.15))))))))</x:f>
        <x:v>1.2</x:v>
      </x:c>
      <x:c r="Q20" s="63" t="n">
        <x:v>5.9</x:v>
      </x:c>
      <x:c r="R20" s="63" t="n">
        <x:v>0.25</x:v>
      </x:c>
      <x:c r="S20" s="63" t="n">
        <x:v>0.5</x:v>
      </x:c>
      <x:c r="T20" s="63" t="str">
        <x:f>IF(A20&lt;=7,"Manuell",'01_Run_Config'!$B$40)</x:f>
        <x:v>Manuell / indoor-freigegebene Automation</x:v>
      </x:c>
      <x:c r="U20" s="63" t="str">
        <x:f>IF(A20&lt;'01_Run_Config'!$B$32,"Kein Basisdünger",IF(A20&lt;'01_Run_Config'!$B$33,"HESI TNT","HESI Coco"))</x:f>
        <x:v>HESI TNT</x:v>
      </x:c>
      <x:c r="V20" s="63" t="n">
        <x:f>IF(A20&lt;'01_Run_Config'!$B$32,0,IF(A20&lt;'01_Run_Config'!$B$33,IF(A20-'01_Run_Config'!$B$32&lt;=3,1.25,IF(A20-'01_Run_Config'!$B$32&lt;=10,2,2.5)),IF(A20-'01_Run_Config'!$B$33&lt;=6,2.5,IF(A20-'01_Run_Config'!$B$33&lt;=13,3.25,IF(A20-'01_Run_Config'!$B$33&lt;=20,3.75,IF(A20-'01_Run_Config'!$B$33&lt;=34,4,IF(A20-'01_Run_Config'!$B$33&lt;=41,3.5,IF(A20-'01_Run_Config'!$B$33&lt;=48,2.5,1.5))))))))</x:f>
        <x:v>2.5</x:v>
      </x:c>
      <x:c r="W20" s="63" t="n">
        <x:f>IF(OR(A20='01_Run_Config'!$B$32,A20='01_Run_Config'!$B$32+6,A20='01_Run_Config'!$B$32+12),2.5,0)</x:f>
        <x:v>0</x:v>
      </x:c>
      <x:c r="X20" s="63" t="n">
        <x:f>IF(AND(A20&gt;='01_Run_Config'!$B$32+3,A20&lt;='01_Run_Config'!$B$33+35,MOD(A20-('01_Run_Config'!$B$32+3),7)=0),2,0)</x:f>
        <x:v>0</x:v>
      </x:c>
      <x:c r="Y20" s="63" t="n">
        <x:f>IF(A20&gt;='01_Run_Config'!$B$32,0.015,0)</x:f>
        <x:v>0.015</x:v>
      </x:c>
      <x:c r="Z20" s="63" t="n">
        <x:f>IF(AND('01_Run_Config'!$B$26="Hesilicio statt Balance",A20&gt;='01_Run_Config'!$B$32+3,MOD(A20-('01_Run_Config'!$B$32+3),7)=0,A20&lt;='01_Run_Config'!$B$33+35),0.5,0)</x:f>
        <x:v>0</x:v>
      </x:c>
      <x:c r="AA20" s="63" t="n">
        <x:f>IF(AND(A20&gt;='01_Run_Config'!$B$33,A20&lt;='01_Run_Config'!$B$33+35,MOD(A20-'01_Run_Config'!$B$33,7)=0),2,0)</x:f>
        <x:v>0</x:v>
      </x:c>
      <x:c r="AB20" s="63" t="n">
        <x:f>IF(A20='01_Run_Config'!$B$33+21,0.25,IF(A20='01_Run_Config'!$B$33+28,0.35,IF(A20='01_Run_Config'!$B$33+35,0.5,0)))</x:f>
        <x:v>0</x:v>
      </x:c>
      <x:c r="AC20" s="63" t="n">
        <x:f>IF(OR(A20='01_Run_Config'!$B$32,A20='01_Run_Config'!$B$32+7,A20='01_Run_Config'!$B$33+1,A20='01_Run_Config'!$B$33+8),2,0)</x:f>
        <x:v>0</x:v>
      </x:c>
      <x:c r="AD20" s="63" t="str">
        <x:f>IF(A20&lt;'01_Run_Config'!$B$33,"AN-Reference=0 außer Voodoo-Frischgaben",IF(AL20&lt;=7,"A/B: Bud Ignitor oder Mikrobenmodul; nicht Reference",IF(AL20&lt;=35,"A/B: Big Bud STATT HESI-PK; nicht additiv stapeln",IF(AL20&lt;=49,"A/B: Overdrive STATT spätem HESI-PK","AN-Booster auslaufen"))))</x:f>
        <x:v>AN-Reference=0 außer Voodoo-Frischgaben</x:v>
      </x:c>
      <x:c r="AE20" s="63" t="str">
        <x:v>Radiales LST alle 3–4 Tage</x:v>
      </x:c>
      <x:c r="AF20" s="63" t="str">
        <x:v>Morgens Klima/Pflanze/Bewässerung/Leck; Mitte Lichtphase Blattwinkel; vor Dunkel LF/Drain/stehendes Wasser.</x:v>
      </x:c>
      <x:c r="AG20" s="63" t="str">
        <x:v>EC nicht erhöhen bei steigender Diagnose-Drain-EC; PPFD nicht erhöhen bei Stress; Wasserband nie erzwingen; nie mehrere neue Booster gleichzeitig.</x:v>
      </x:c>
      <x:c r="AH20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2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0" s="201" t="str">
        <x:f>IF(A20&lt;'01_Run_Config'!$B$32,"—",IF(A20&lt;'01_Run_Config'!$B$33,"G"&amp;MIN(4,INT((A20-'01_Run_Config'!$B$32)/7)+1),AM20))</x:f>
        <x:v>G3</x:v>
      </x:c>
      <x:c r="AK20" s="35" t="str">
        <x:f>IF(A20&lt;'01_Run_Config'!$B$32,"Keine AN-Additive.",IF(A20&lt;'01_Run_Config'!$B$33,"Veg: Voodoo nur definierte Frischgaben; B-52/Piranha/Tarantula nur A/B; Sensizym nur statt PowerZyme; Rhino Skin AUS mit Athena Balance.",IF(AL20&lt;=7,"Frühblüte: Voodoo; Bud Ignitor/Piranha/Tarantula nur A/B; Rhino Skin AUS mit Balance.",IF(AL20&lt;=35,"Hauptblüte: Big Bud nur A/B STATT HESI-PK; Biostims einzeln testen.",IF(AL20&lt;=49,"Spätblüte: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0" s="60" t="str">
        <x:f>IF(A20&lt;'01_Run_Config'!$B$33,"",A20-'01_Run_Config'!$B$33+1)</x:f>
      </x:c>
      <x:c r="AM20" s="60" t="str">
        <x:f>IF(AL20="","",IF(AL20&gt;49,CHAR(66)&amp;"7+",CHAR(66)&amp;TEXT(INT((AL20-1)/7)+1,"0")))</x:f>
      </x:c>
      <x:c r="AN20" s="60" t="n">
        <x:f>ROUND(0.6108*EXP(17.27*L20/(L20+237.3))*(1-N20/100),2)</x:f>
        <x:v>1.24</x:v>
      </x:c>
      <x:c r="AO20" s="60" t="n">
        <x:f>H20*G20/1000</x:f>
        <x:v>1.35</x:v>
      </x:c>
      <x:c r="AP20" s="60" t="n">
        <x:f>SUM($AO$2:AO20)</x:f>
        <x:v>17.37</x:v>
      </x:c>
      <x:c r="AQ20" t="n">
        <x:f>'01_Run_Config'!$B$17</x:f>
        <x:v>0</x:v>
      </x:c>
      <x:c r="AR20" t="n">
        <x:f>'01_Run_Config'!$B$22</x:f>
        <x:v>0</x:v>
      </x:c>
      <x:c r="AS20" t="n">
        <x:f>'01_Run_Config'!$B$25</x:f>
        <x:v>0</x:v>
      </x:c>
    </x:row>
    <x:row r="21">
      <x:c r="A21" s="34" t="n">
        <x:v>19</x:v>
      </x:c>
      <x:c r="B21" s="129" t="n">
        <x:f>'01_Run_Config'!$B$4+A21</x:f>
        <x:v>46261</x:v>
      </x:c>
      <x:c r="C21" s="63" t="n">
        <x:f>INT(A21/7)+1</x:f>
        <x:v>3</x:v>
      </x:c>
      <x:c r="D21" s="63" t="str">
        <x:f>"M"&amp;MIN(3,INT(A21/30)+1)</x:f>
        <x:v>M1</x:v>
      </x:c>
      <x:c r="E21" s="63" t="str">
        <x:f>IF(A21&lt;4,"Keimung",IF(A21&lt;8,"Etablierung",IF(A21&lt;15,"Early Veg",IF(A21&lt;'01_Run_Config'!$B$33,IF(A21&lt;22,"Veg / LST","Preflower-Watch"),IF(A21-'01_Run_Config'!$B$33&lt;=6,"Transition / Stretch ("&amp;AM21&amp;")",IF(A21-'01_Run_Config'!$B$33&lt;=13,"Early Flower ("&amp;AM21&amp;")",IF(A21-'01_Run_Config'!$B$33&lt;=20,"Flower I ("&amp;AM21&amp;")",IF(A21-'01_Run_Config'!$B$33&lt;=34,"Peak Flower ("&amp;AM21&amp;")",IF(A21-'01_Run_Config'!$B$33&lt;=41,"Late Flower ("&amp;AM21&amp;")",IF(A21-'01_Run_Config'!$B$33&lt;=48,"Ripening ("&amp;AM21&amp;")","Harvest / Extension ("&amp;AM21&amp;")"))))))))))</x:f>
        <x:v>Veg / LST</x:v>
      </x:c>
      <x:c r="F21" s="63" t="str">
        <x:f>IF(A21&lt;4,"Keimung + Wurzelstart",IF(A21&lt;8,"Sämling etablieren; Wurzelraum erschließen",IF(A21&lt;15,"kompakter Aufbau; LST erst bei Vitalität",IF(A21&lt;'01_Run_Config'!$B$33,"Canopy aufbauen; Preflower beobachten",IF(A21-'01_Run_Config'!$B$33&lt;=6,"Stretch kontrollieren; Bloom-Trigger dokumentieren",IF(A21-'01_Run_Config'!$B$33&lt;=13,"Blütenansatz stabilisieren",IF(A21-'01_Run_Config'!$B$33&lt;=20,"Blütenaufbau ohne neue Stressoren",IF(A21-'01_Run_Config'!$B$33&lt;=34,"stabile Peak-Photosynthese; Klima priorisieren",IF(A21-'01_Run_Config'!$B$33&lt;=41,"Qualität/Schimmelprävention",IF(A21-'01_Run_Config'!$B$33&lt;=48,"Reife ohne Überfütterung","Erntefenster nach Pflanze; keine Kalenderernte"))))))))))</x:f>
        <x:v>Canopy aufbauen; Preflower beobachten</x:v>
      </x:c>
      <x:c r="G21" s="63" t="n">
        <x:v>18</x:v>
      </x:c>
      <x:c r="H21" s="63" t="n">
        <x:v>75</x:v>
      </x:c>
      <x:c r="I21" s="63" t="n">
        <x:v>350</x:v>
      </x:c>
      <x:c r="J21" s="63" t="n">
        <x:f>I21*G21*3600/1000000</x:f>
        <x:v>22.68</x:v>
      </x:c>
      <x:c r="K21" s="63" t="n">
        <x:v>43</x:v>
      </x:c>
      <x:c r="L21" s="63" t="n">
        <x:v>25.5</x:v>
      </x:c>
      <x:c r="M21" s="63" t="n">
        <x:v>22</x:v>
      </x:c>
      <x:c r="N21" s="63" t="n">
        <x:v>62</x:v>
      </x:c>
      <x:c r="O21" s="63" t="n">
        <x:f>ROUND(0.6108*EXP(17.27*(L21+'01_Run_Config'!$B$34)/(L21+'01_Run_Config'!$B$34+237.3))-(N21/100)*0.6108*EXP(17.27*L21/(L21+237.3)),2)</x:f>
        <x:v>1.05</x:v>
      </x:c>
      <x:c r="P21" s="63" t="n">
        <x:f>IF(A21&lt;'01_Run_Config'!$B$32,0.55,IF(A21&lt;'01_Run_Config'!$B$33,IF(A21-'01_Run_Config'!$B$32&lt;=3,0.8,IF(A21-'01_Run_Config'!$B$32&lt;=10,1,IF(A21-'01_Run_Config'!$B$32&lt;=17,1.2,1.4))),IF(A21-'01_Run_Config'!$B$33&lt;=6,1.5,IF(A21-'01_Run_Config'!$B$33&lt;=13,1.6,IF(A21-'01_Run_Config'!$B$33&lt;=20,1.7,IF(A21-'01_Run_Config'!$B$33&lt;=34,1.8,IF(A21-'01_Run_Config'!$B$33&lt;=41,1.6,IF(A21-'01_Run_Config'!$B$33&lt;=48,1.4,1.15))))))))</x:f>
        <x:v>1.2</x:v>
      </x:c>
      <x:c r="Q21" s="63" t="n">
        <x:v>5.9</x:v>
      </x:c>
      <x:c r="R21" s="63" t="n">
        <x:v>0.25</x:v>
      </x:c>
      <x:c r="S21" s="63" t="n">
        <x:v>0.5</x:v>
      </x:c>
      <x:c r="T21" s="63" t="str">
        <x:f>IF(A21&lt;=7,"Manuell",'01_Run_Config'!$B$40)</x:f>
        <x:v>Manuell / indoor-freigegebene Automation</x:v>
      </x:c>
      <x:c r="U21" s="63" t="str">
        <x:f>IF(A21&lt;'01_Run_Config'!$B$32,"Kein Basisdünger",IF(A21&lt;'01_Run_Config'!$B$33,"HESI TNT","HESI Coco"))</x:f>
        <x:v>HESI TNT</x:v>
      </x:c>
      <x:c r="V21" s="63" t="n">
        <x:f>IF(A21&lt;'01_Run_Config'!$B$32,0,IF(A21&lt;'01_Run_Config'!$B$33,IF(A21-'01_Run_Config'!$B$32&lt;=3,1.25,IF(A21-'01_Run_Config'!$B$32&lt;=10,2,2.5)),IF(A21-'01_Run_Config'!$B$33&lt;=6,2.5,IF(A21-'01_Run_Config'!$B$33&lt;=13,3.25,IF(A21-'01_Run_Config'!$B$33&lt;=20,3.75,IF(A21-'01_Run_Config'!$B$33&lt;=34,4,IF(A21-'01_Run_Config'!$B$33&lt;=41,3.5,IF(A21-'01_Run_Config'!$B$33&lt;=48,2.5,1.5))))))))</x:f>
        <x:v>2.5</x:v>
      </x:c>
      <x:c r="W21" s="63" t="n">
        <x:f>IF(OR(A21='01_Run_Config'!$B$32,A21='01_Run_Config'!$B$32+6,A21='01_Run_Config'!$B$32+12),2.5,0)</x:f>
        <x:v>0</x:v>
      </x:c>
      <x:c r="X21" s="63" t="n">
        <x:f>IF(AND(A21&gt;='01_Run_Config'!$B$32+3,A21&lt;='01_Run_Config'!$B$33+35,MOD(A21-('01_Run_Config'!$B$32+3),7)=0),2,0)</x:f>
        <x:v>0</x:v>
      </x:c>
      <x:c r="Y21" s="63" t="n">
        <x:f>IF(A21&gt;='01_Run_Config'!$B$32,0.015,0)</x:f>
        <x:v>0.015</x:v>
      </x:c>
      <x:c r="Z21" s="63" t="n">
        <x:f>IF(AND('01_Run_Config'!$B$26="Hesilicio statt Balance",A21&gt;='01_Run_Config'!$B$32+3,MOD(A21-('01_Run_Config'!$B$32+3),7)=0,A21&lt;='01_Run_Config'!$B$33+35),0.5,0)</x:f>
        <x:v>0</x:v>
      </x:c>
      <x:c r="AA21" s="63" t="n">
        <x:f>IF(AND(A21&gt;='01_Run_Config'!$B$33,A21&lt;='01_Run_Config'!$B$33+35,MOD(A21-'01_Run_Config'!$B$33,7)=0),2,0)</x:f>
        <x:v>0</x:v>
      </x:c>
      <x:c r="AB21" s="63" t="n">
        <x:f>IF(A21='01_Run_Config'!$B$33+21,0.25,IF(A21='01_Run_Config'!$B$33+28,0.35,IF(A21='01_Run_Config'!$B$33+35,0.5,0)))</x:f>
        <x:v>0</x:v>
      </x:c>
      <x:c r="AC21" s="63" t="n">
        <x:f>IF(OR(A21='01_Run_Config'!$B$32,A21='01_Run_Config'!$B$32+7,A21='01_Run_Config'!$B$33+1,A21='01_Run_Config'!$B$33+8),2,0)</x:f>
        <x:v>0</x:v>
      </x:c>
      <x:c r="AD21" s="63" t="str">
        <x:f>IF(A21&lt;'01_Run_Config'!$B$33,"AN-Reference=0 außer Voodoo-Frischgaben",IF(AL21&lt;=7,"A/B: Bud Ignitor oder Mikrobenmodul; nicht Reference",IF(AL21&lt;=35,"A/B: Big Bud STATT HESI-PK; nicht additiv stapeln",IF(AL21&lt;=49,"A/B: Overdrive STATT spätem HESI-PK","AN-Booster auslaufen"))))</x:f>
        <x:v>AN-Reference=0 außer Voodoo-Frischgaben</x:v>
      </x:c>
      <x:c r="AE21" s="63" t="str">
        <x:v>Radiales LST alle 3–4 Tage</x:v>
      </x:c>
      <x:c r="AF21" s="63" t="str">
        <x:v>Morgens Klima/Pflanze/Bewässerung/Leck; Mitte Lichtphase Blattwinkel; vor Dunkel LF/Drain/stehendes Wasser.</x:v>
      </x:c>
      <x:c r="AG21" s="63" t="str">
        <x:v>EC nicht erhöhen bei steigender Diagnose-Drain-EC; PPFD nicht erhöhen bei Stress; Wasserband nie erzwingen; nie mehrere neue Booster gleichzeitig.</x:v>
      </x:c>
      <x:c r="AH21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2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1" s="201" t="str">
        <x:f>IF(A21&lt;'01_Run_Config'!$B$32,"—",IF(A21&lt;'01_Run_Config'!$B$33,"G"&amp;MIN(4,INT((A21-'01_Run_Config'!$B$32)/7)+1),AM21))</x:f>
        <x:v>G3</x:v>
      </x:c>
      <x:c r="AK21" s="35" t="str">
        <x:f>IF(A21&lt;'01_Run_Config'!$B$32,"Keine AN-Additive.",IF(A21&lt;'01_Run_Config'!$B$33,"Veg: Voodoo nur definierte Frischgaben; B-52/Piranha/Tarantula nur A/B; Sensizym nur statt PowerZyme; Rhino Skin AUS mit Athena Balance.",IF(AL21&lt;=7,"Frühblüte: Voodoo; Bud Ignitor/Piranha/Tarantula nur A/B; Rhino Skin AUS mit Balance.",IF(AL21&lt;=35,"Hauptblüte: Big Bud nur A/B STATT HESI-PK; Biostims einzeln testen.",IF(AL21&lt;=49,"Spätblüte: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1" s="60" t="str">
        <x:f>IF(A21&lt;'01_Run_Config'!$B$33,"",A21-'01_Run_Config'!$B$33+1)</x:f>
      </x:c>
      <x:c r="AM21" s="60" t="str">
        <x:f>IF(AL21="","",IF(AL21&gt;49,CHAR(66)&amp;"7+",CHAR(66)&amp;TEXT(INT((AL21-1)/7)+1,"0")))</x:f>
      </x:c>
      <x:c r="AN21" s="60" t="n">
        <x:f>ROUND(0.6108*EXP(17.27*L21/(L21+237.3))*(1-N21/100),2)</x:f>
        <x:v>1.24</x:v>
      </x:c>
      <x:c r="AO21" s="60" t="n">
        <x:f>H21*G21/1000</x:f>
        <x:v>1.35</x:v>
      </x:c>
      <x:c r="AP21" s="60" t="n">
        <x:f>SUM($AO$2:AO21)</x:f>
        <x:v>18.720000000000002</x:v>
      </x:c>
      <x:c r="AQ21" t="n">
        <x:f>'01_Run_Config'!$B$17</x:f>
        <x:v>0</x:v>
      </x:c>
      <x:c r="AR21" t="n">
        <x:f>'01_Run_Config'!$B$22</x:f>
        <x:v>0</x:v>
      </x:c>
      <x:c r="AS21" t="n">
        <x:f>'01_Run_Config'!$B$25</x:f>
        <x:v>0</x:v>
      </x:c>
    </x:row>
    <x:row r="22">
      <x:c r="A22" s="34" t="n">
        <x:v>20</x:v>
      </x:c>
      <x:c r="B22" s="129" t="n">
        <x:f>'01_Run_Config'!$B$4+A22</x:f>
        <x:v>46262</x:v>
      </x:c>
      <x:c r="C22" s="63" t="n">
        <x:f>INT(A22/7)+1</x:f>
        <x:v>3</x:v>
      </x:c>
      <x:c r="D22" s="63" t="str">
        <x:f>"M"&amp;MIN(3,INT(A22/30)+1)</x:f>
        <x:v>M1</x:v>
      </x:c>
      <x:c r="E22" s="63" t="str">
        <x:f>IF(A22&lt;4,"Keimung",IF(A22&lt;8,"Etablierung",IF(A22&lt;15,"Early Veg",IF(A22&lt;'01_Run_Config'!$B$33,IF(A22&lt;22,"Veg / LST","Preflower-Watch"),IF(A22-'01_Run_Config'!$B$33&lt;=6,"Transition / Stretch ("&amp;AM22&amp;")",IF(A22-'01_Run_Config'!$B$33&lt;=13,"Early Flower ("&amp;AM22&amp;")",IF(A22-'01_Run_Config'!$B$33&lt;=20,"Flower I ("&amp;AM22&amp;")",IF(A22-'01_Run_Config'!$B$33&lt;=34,"Peak Flower ("&amp;AM22&amp;")",IF(A22-'01_Run_Config'!$B$33&lt;=41,"Late Flower ("&amp;AM22&amp;")",IF(A22-'01_Run_Config'!$B$33&lt;=48,"Ripening ("&amp;AM22&amp;")","Harvest / Extension ("&amp;AM22&amp;")"))))))))))</x:f>
        <x:v>Veg / LST</x:v>
      </x:c>
      <x:c r="F22" s="63" t="str">
        <x:f>IF(A22&lt;4,"Keimung + Wurzelstart",IF(A22&lt;8,"Sämling etablieren; Wurzelraum erschließen",IF(A22&lt;15,"kompakter Aufbau; LST erst bei Vitalität",IF(A22&lt;'01_Run_Config'!$B$33,"Canopy aufbauen; Preflower beobachten",IF(A22-'01_Run_Config'!$B$33&lt;=6,"Stretch kontrollieren; Bloom-Trigger dokumentieren",IF(A22-'01_Run_Config'!$B$33&lt;=13,"Blütenansatz stabilisieren",IF(A22-'01_Run_Config'!$B$33&lt;=20,"Blütenaufbau ohne neue Stressoren",IF(A22-'01_Run_Config'!$B$33&lt;=34,"stabile Peak-Photosynthese; Klima priorisieren",IF(A22-'01_Run_Config'!$B$33&lt;=41,"Qualität/Schimmelprävention",IF(A22-'01_Run_Config'!$B$33&lt;=48,"Reife ohne Überfütterung","Erntefenster nach Pflanze; keine Kalenderernte"))))))))))</x:f>
        <x:v>Canopy aufbauen; Preflower beobachten</x:v>
      </x:c>
      <x:c r="G22" s="63" t="n">
        <x:v>18</x:v>
      </x:c>
      <x:c r="H22" s="63" t="n">
        <x:v>75</x:v>
      </x:c>
      <x:c r="I22" s="63" t="n">
        <x:v>350</x:v>
      </x:c>
      <x:c r="J22" s="63" t="n">
        <x:f>I22*G22*3600/1000000</x:f>
        <x:v>22.68</x:v>
      </x:c>
      <x:c r="K22" s="63" t="n">
        <x:v>43</x:v>
      </x:c>
      <x:c r="L22" s="63" t="n">
        <x:v>25.5</x:v>
      </x:c>
      <x:c r="M22" s="63" t="n">
        <x:v>22</x:v>
      </x:c>
      <x:c r="N22" s="63" t="n">
        <x:v>62</x:v>
      </x:c>
      <x:c r="O22" s="63" t="n">
        <x:f>ROUND(0.6108*EXP(17.27*(L22+'01_Run_Config'!$B$34)/(L22+'01_Run_Config'!$B$34+237.3))-(N22/100)*0.6108*EXP(17.27*L22/(L22+237.3)),2)</x:f>
        <x:v>1.05</x:v>
      </x:c>
      <x:c r="P22" s="63" t="n">
        <x:f>IF(A22&lt;'01_Run_Config'!$B$32,0.55,IF(A22&lt;'01_Run_Config'!$B$33,IF(A22-'01_Run_Config'!$B$32&lt;=3,0.8,IF(A22-'01_Run_Config'!$B$32&lt;=10,1,IF(A22-'01_Run_Config'!$B$32&lt;=17,1.2,1.4))),IF(A22-'01_Run_Config'!$B$33&lt;=6,1.5,IF(A22-'01_Run_Config'!$B$33&lt;=13,1.6,IF(A22-'01_Run_Config'!$B$33&lt;=20,1.7,IF(A22-'01_Run_Config'!$B$33&lt;=34,1.8,IF(A22-'01_Run_Config'!$B$33&lt;=41,1.6,IF(A22-'01_Run_Config'!$B$33&lt;=48,1.4,1.15))))))))</x:f>
        <x:v>1.2</x:v>
      </x:c>
      <x:c r="Q22" s="63" t="n">
        <x:v>5.9</x:v>
      </x:c>
      <x:c r="R22" s="63" t="n">
        <x:v>0.25</x:v>
      </x:c>
      <x:c r="S22" s="63" t="n">
        <x:v>0.5</x:v>
      </x:c>
      <x:c r="T22" s="63" t="str">
        <x:f>IF(A22&lt;=7,"Manuell",'01_Run_Config'!$B$40)</x:f>
        <x:v>Manuell / indoor-freigegebene Automation</x:v>
      </x:c>
      <x:c r="U22" s="63" t="str">
        <x:f>IF(A22&lt;'01_Run_Config'!$B$32,"Kein Basisdünger",IF(A22&lt;'01_Run_Config'!$B$33,"HESI TNT","HESI Coco"))</x:f>
        <x:v>HESI TNT</x:v>
      </x:c>
      <x:c r="V22" s="63" t="n">
        <x:f>IF(A22&lt;'01_Run_Config'!$B$32,0,IF(A22&lt;'01_Run_Config'!$B$33,IF(A22-'01_Run_Config'!$B$32&lt;=3,1.25,IF(A22-'01_Run_Config'!$B$32&lt;=10,2,2.5)),IF(A22-'01_Run_Config'!$B$33&lt;=6,2.5,IF(A22-'01_Run_Config'!$B$33&lt;=13,3.25,IF(A22-'01_Run_Config'!$B$33&lt;=20,3.75,IF(A22-'01_Run_Config'!$B$33&lt;=34,4,IF(A22-'01_Run_Config'!$B$33&lt;=41,3.5,IF(A22-'01_Run_Config'!$B$33&lt;=48,2.5,1.5))))))))</x:f>
        <x:v>2.5</x:v>
      </x:c>
      <x:c r="W22" s="63" t="n">
        <x:f>IF(OR(A22='01_Run_Config'!$B$32,A22='01_Run_Config'!$B$32+6,A22='01_Run_Config'!$B$32+12),2.5,0)</x:f>
        <x:v>0</x:v>
      </x:c>
      <x:c r="X22" s="63" t="n">
        <x:f>IF(AND(A22&gt;='01_Run_Config'!$B$32+3,A22&lt;='01_Run_Config'!$B$33+35,MOD(A22-('01_Run_Config'!$B$32+3),7)=0),2,0)</x:f>
        <x:v>0</x:v>
      </x:c>
      <x:c r="Y22" s="63" t="n">
        <x:f>IF(A22&gt;='01_Run_Config'!$B$32,0.015,0)</x:f>
        <x:v>0.015</x:v>
      </x:c>
      <x:c r="Z22" s="63" t="n">
        <x:f>IF(AND('01_Run_Config'!$B$26="Hesilicio statt Balance",A22&gt;='01_Run_Config'!$B$32+3,MOD(A22-('01_Run_Config'!$B$32+3),7)=0,A22&lt;='01_Run_Config'!$B$33+35),0.5,0)</x:f>
        <x:v>0</x:v>
      </x:c>
      <x:c r="AA22" s="63" t="n">
        <x:f>IF(AND(A22&gt;='01_Run_Config'!$B$33,A22&lt;='01_Run_Config'!$B$33+35,MOD(A22-'01_Run_Config'!$B$33,7)=0),2,0)</x:f>
        <x:v>0</x:v>
      </x:c>
      <x:c r="AB22" s="63" t="n">
        <x:f>IF(A22='01_Run_Config'!$B$33+21,0.25,IF(A22='01_Run_Config'!$B$33+28,0.35,IF(A22='01_Run_Config'!$B$33+35,0.5,0)))</x:f>
        <x:v>0</x:v>
      </x:c>
      <x:c r="AC22" s="63" t="n">
        <x:f>IF(OR(A22='01_Run_Config'!$B$32,A22='01_Run_Config'!$B$32+7,A22='01_Run_Config'!$B$33+1,A22='01_Run_Config'!$B$33+8),2,0)</x:f>
        <x:v>0</x:v>
      </x:c>
      <x:c r="AD22" s="63" t="str">
        <x:f>IF(A22&lt;'01_Run_Config'!$B$33,"AN-Reference=0 außer Voodoo-Frischgaben",IF(AL22&lt;=7,"A/B: Bud Ignitor oder Mikrobenmodul; nicht Reference",IF(AL22&lt;=35,"A/B: Big Bud STATT HESI-PK; nicht additiv stapeln",IF(AL22&lt;=49,"A/B: Overdrive STATT spätem HESI-PK","AN-Booster auslaufen"))))</x:f>
        <x:v>AN-Reference=0 außer Voodoo-Frischgaben</x:v>
      </x:c>
      <x:c r="AE22" s="63" t="str">
        <x:v>Radiales LST alle 3–4 Tage</x:v>
      </x:c>
      <x:c r="AF22" s="63" t="str">
        <x:v>Morgens Klima/Pflanze/Bewässerung/Leck; Mitte Lichtphase Blattwinkel; vor Dunkel LF/Drain/stehendes Wasser.</x:v>
      </x:c>
      <x:c r="AG22" s="63" t="str">
        <x:v>EC nicht erhöhen bei steigender Diagnose-Drain-EC; PPFD nicht erhöhen bei Stress; Wasserband nie erzwingen; nie mehrere neue Booster gleichzeitig.</x:v>
      </x:c>
      <x:c r="AH22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2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2" s="201" t="str">
        <x:f>IF(A22&lt;'01_Run_Config'!$B$32,"—",IF(A22&lt;'01_Run_Config'!$B$33,"G"&amp;MIN(4,INT((A22-'01_Run_Config'!$B$32)/7)+1),AM22))</x:f>
        <x:v>G3</x:v>
      </x:c>
      <x:c r="AK22" s="35" t="str">
        <x:f>IF(A22&lt;'01_Run_Config'!$B$32,"Keine AN-Additive.",IF(A22&lt;'01_Run_Config'!$B$33,"Veg: Voodoo nur definierte Frischgaben; B-52/Piranha/Tarantula nur A/B; Sensizym nur statt PowerZyme; Rhino Skin AUS mit Athena Balance.",IF(AL22&lt;=7,"Frühblüte: Voodoo; Bud Ignitor/Piranha/Tarantula nur A/B; Rhino Skin AUS mit Balance.",IF(AL22&lt;=35,"Hauptblüte: Big Bud nur A/B STATT HESI-PK; Biostims einzeln testen.",IF(AL22&lt;=49,"Spätblüte: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2" s="60" t="str">
        <x:f>IF(A22&lt;'01_Run_Config'!$B$33,"",A22-'01_Run_Config'!$B$33+1)</x:f>
      </x:c>
      <x:c r="AM22" s="60" t="str">
        <x:f>IF(AL22="","",IF(AL22&gt;49,CHAR(66)&amp;"7+",CHAR(66)&amp;TEXT(INT((AL22-1)/7)+1,"0")))</x:f>
      </x:c>
      <x:c r="AN22" s="60" t="n">
        <x:f>ROUND(0.6108*EXP(17.27*L22/(L22+237.3))*(1-N22/100),2)</x:f>
        <x:v>1.24</x:v>
      </x:c>
      <x:c r="AO22" s="60" t="n">
        <x:f>H22*G22/1000</x:f>
        <x:v>1.35</x:v>
      </x:c>
      <x:c r="AP22" s="60" t="n">
        <x:f>SUM($AO$2:AO22)</x:f>
        <x:v>20.070000000000004</x:v>
      </x:c>
      <x:c r="AQ22" t="n">
        <x:f>'01_Run_Config'!$B$17</x:f>
        <x:v>0</x:v>
      </x:c>
      <x:c r="AR22" t="n">
        <x:f>'01_Run_Config'!$B$22</x:f>
        <x:v>0</x:v>
      </x:c>
      <x:c r="AS22" t="n">
        <x:f>'01_Run_Config'!$B$25</x:f>
        <x:v>0</x:v>
      </x:c>
    </x:row>
    <x:row r="23">
      <x:c r="A23" s="34" t="n">
        <x:v>21</x:v>
      </x:c>
      <x:c r="B23" s="129" t="n">
        <x:f>'01_Run_Config'!$B$4+A23</x:f>
        <x:v>46263</x:v>
      </x:c>
      <x:c r="C23" s="63" t="n">
        <x:f>INT(A23/7)+1</x:f>
        <x:v>4</x:v>
      </x:c>
      <x:c r="D23" s="63" t="str">
        <x:f>"M"&amp;MIN(3,INT(A23/30)+1)</x:f>
        <x:v>M1</x:v>
      </x:c>
      <x:c r="E23" s="63" t="str">
        <x:f>IF(A23&lt;4,"Keimung",IF(A23&lt;8,"Etablierung",IF(A23&lt;15,"Early Veg",IF(A23&lt;'01_Run_Config'!$B$33,IF(A23&lt;22,"Veg / LST","Preflower-Watch"),IF(A23-'01_Run_Config'!$B$33&lt;=6,"Transition / Stretch ("&amp;AM23&amp;")",IF(A23-'01_Run_Config'!$B$33&lt;=13,"Early Flower ("&amp;AM23&amp;")",IF(A23-'01_Run_Config'!$B$33&lt;=20,"Flower I ("&amp;AM23&amp;")",IF(A23-'01_Run_Config'!$B$33&lt;=34,"Peak Flower ("&amp;AM23&amp;")",IF(A23-'01_Run_Config'!$B$33&lt;=41,"Late Flower ("&amp;AM23&amp;")",IF(A23-'01_Run_Config'!$B$33&lt;=48,"Ripening ("&amp;AM23&amp;")","Harvest / Extension ("&amp;AM23&amp;")"))))))))))</x:f>
        <x:v>Veg / LST</x:v>
      </x:c>
      <x:c r="F23" s="63" t="str">
        <x:f>IF(A23&lt;4,"Keimung + Wurzelstart",IF(A23&lt;8,"Sämling etablieren; Wurzelraum erschließen",IF(A23&lt;15,"kompakter Aufbau; LST erst bei Vitalität",IF(A23&lt;'01_Run_Config'!$B$33,"Canopy aufbauen; Preflower beobachten",IF(A23-'01_Run_Config'!$B$33&lt;=6,"Stretch kontrollieren; Bloom-Trigger dokumentieren",IF(A23-'01_Run_Config'!$B$33&lt;=13,"Blütenansatz stabilisieren",IF(A23-'01_Run_Config'!$B$33&lt;=20,"Blütenaufbau ohne neue Stressoren",IF(A23-'01_Run_Config'!$B$33&lt;=34,"stabile Peak-Photosynthese; Klima priorisieren",IF(A23-'01_Run_Config'!$B$33&lt;=41,"Qualität/Schimmelprävention",IF(A23-'01_Run_Config'!$B$33&lt;=48,"Reife ohne Überfütterung","Erntefenster nach Pflanze; keine Kalenderernte"))))))))))</x:f>
        <x:v>Canopy aufbauen; Preflower beobachten</x:v>
      </x:c>
      <x:c r="G23" s="63" t="n">
        <x:v>18</x:v>
      </x:c>
      <x:c r="H23" s="63" t="n">
        <x:v>75</x:v>
      </x:c>
      <x:c r="I23" s="63" t="n">
        <x:v>350</x:v>
      </x:c>
      <x:c r="J23" s="63" t="n">
        <x:f>I23*G23*3600/1000000</x:f>
        <x:v>22.68</x:v>
      </x:c>
      <x:c r="K23" s="63" t="n">
        <x:v>43</x:v>
      </x:c>
      <x:c r="L23" s="63" t="n">
        <x:v>25.5</x:v>
      </x:c>
      <x:c r="M23" s="63" t="n">
        <x:v>22</x:v>
      </x:c>
      <x:c r="N23" s="63" t="n">
        <x:v>62</x:v>
      </x:c>
      <x:c r="O23" s="63" t="n">
        <x:f>ROUND(0.6108*EXP(17.27*(L23+'01_Run_Config'!$B$34)/(L23+'01_Run_Config'!$B$34+237.3))-(N23/100)*0.6108*EXP(17.27*L23/(L23+237.3)),2)</x:f>
        <x:v>1.05</x:v>
      </x:c>
      <x:c r="P23" s="63" t="n">
        <x:f>IF(A23&lt;'01_Run_Config'!$B$32,0.55,IF(A23&lt;'01_Run_Config'!$B$33,IF(A23-'01_Run_Config'!$B$32&lt;=3,0.8,IF(A23-'01_Run_Config'!$B$32&lt;=10,1,IF(A23-'01_Run_Config'!$B$32&lt;=17,1.2,1.4))),IF(A23-'01_Run_Config'!$B$33&lt;=6,1.5,IF(A23-'01_Run_Config'!$B$33&lt;=13,1.6,IF(A23-'01_Run_Config'!$B$33&lt;=20,1.7,IF(A23-'01_Run_Config'!$B$33&lt;=34,1.8,IF(A23-'01_Run_Config'!$B$33&lt;=41,1.6,IF(A23-'01_Run_Config'!$B$33&lt;=48,1.4,1.15))))))))</x:f>
        <x:v>1.2</x:v>
      </x:c>
      <x:c r="Q23" s="63" t="n">
        <x:v>5.9</x:v>
      </x:c>
      <x:c r="R23" s="63" t="n">
        <x:v>0.25</x:v>
      </x:c>
      <x:c r="S23" s="63" t="n">
        <x:v>0.5</x:v>
      </x:c>
      <x:c r="T23" s="63" t="str">
        <x:f>IF(A23&lt;=7,"Manuell",'01_Run_Config'!$B$40)</x:f>
        <x:v>Manuell / indoor-freigegebene Automation</x:v>
      </x:c>
      <x:c r="U23" s="63" t="str">
        <x:f>IF(A23&lt;'01_Run_Config'!$B$32,"Kein Basisdünger",IF(A23&lt;'01_Run_Config'!$B$33,"HESI TNT","HESI Coco"))</x:f>
        <x:v>HESI TNT</x:v>
      </x:c>
      <x:c r="V23" s="63" t="n">
        <x:f>IF(A23&lt;'01_Run_Config'!$B$32,0,IF(A23&lt;'01_Run_Config'!$B$33,IF(A23-'01_Run_Config'!$B$32&lt;=3,1.25,IF(A23-'01_Run_Config'!$B$32&lt;=10,2,2.5)),IF(A23-'01_Run_Config'!$B$33&lt;=6,2.5,IF(A23-'01_Run_Config'!$B$33&lt;=13,3.25,IF(A23-'01_Run_Config'!$B$33&lt;=20,3.75,IF(A23-'01_Run_Config'!$B$33&lt;=34,4,IF(A23-'01_Run_Config'!$B$33&lt;=41,3.5,IF(A23-'01_Run_Config'!$B$33&lt;=48,2.5,1.5))))))))</x:f>
        <x:v>2.5</x:v>
      </x:c>
      <x:c r="W23" s="63" t="n">
        <x:f>IF(OR(A23='01_Run_Config'!$B$32,A23='01_Run_Config'!$B$32+6,A23='01_Run_Config'!$B$32+12),2.5,0)</x:f>
        <x:v>0</x:v>
      </x:c>
      <x:c r="X23" s="63" t="n">
        <x:f>IF(AND(A23&gt;='01_Run_Config'!$B$32+3,A23&lt;='01_Run_Config'!$B$33+35,MOD(A23-('01_Run_Config'!$B$32+3),7)=0),2,0)</x:f>
        <x:v>2</x:v>
      </x:c>
      <x:c r="Y23" s="63" t="n">
        <x:f>IF(A23&gt;='01_Run_Config'!$B$32,0.015,0)</x:f>
        <x:v>0.015</x:v>
      </x:c>
      <x:c r="Z23" s="63" t="n">
        <x:f>IF(AND('01_Run_Config'!$B$26="Hesilicio statt Balance",A23&gt;='01_Run_Config'!$B$32+3,MOD(A23-('01_Run_Config'!$B$32+3),7)=0,A23&lt;='01_Run_Config'!$B$33+35),0.5,0)</x:f>
        <x:v>0</x:v>
      </x:c>
      <x:c r="AA23" s="63" t="n">
        <x:f>IF(AND(A23&gt;='01_Run_Config'!$B$33,A23&lt;='01_Run_Config'!$B$33+35,MOD(A23-'01_Run_Config'!$B$33,7)=0),2,0)</x:f>
        <x:v>0</x:v>
      </x:c>
      <x:c r="AB23" s="63" t="n">
        <x:f>IF(A23='01_Run_Config'!$B$33+21,0.25,IF(A23='01_Run_Config'!$B$33+28,0.35,IF(A23='01_Run_Config'!$B$33+35,0.5,0)))</x:f>
        <x:v>0</x:v>
      </x:c>
      <x:c r="AC23" s="63" t="n">
        <x:f>IF(OR(A23='01_Run_Config'!$B$32,A23='01_Run_Config'!$B$32+7,A23='01_Run_Config'!$B$33+1,A23='01_Run_Config'!$B$33+8),2,0)</x:f>
        <x:v>0</x:v>
      </x:c>
      <x:c r="AD23" s="63" t="str">
        <x:f>IF(A23&lt;'01_Run_Config'!$B$33,"AN-Reference=0 außer Voodoo-Frischgaben",IF(AL23&lt;=7,"A/B: Bud Ignitor oder Mikrobenmodul; nicht Reference",IF(AL23&lt;=35,"A/B: Big Bud STATT HESI-PK; nicht additiv stapeln",IF(AL23&lt;=49,"A/B: Overdrive STATT spätem HESI-PK","AN-Booster auslaufen"))))</x:f>
        <x:v>AN-Reference=0 außer Voodoo-Frischgaben</x:v>
      </x:c>
      <x:c r="AE23" s="63" t="str">
        <x:v>Radiales LST alle 3–4 Tage</x:v>
      </x:c>
      <x:c r="AF23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3" s="63" t="str">
        <x:v>EC nicht erhöhen bei steigender Diagnose-Drain-EC; PPFD nicht erhöhen bei Stress; Wasserband nie erzwingen; nie mehrere neue Booster gleichzeitig.</x:v>
      </x:c>
      <x:c r="AH23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2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3" s="201" t="str">
        <x:f>IF(A23&lt;'01_Run_Config'!$B$32,"—",IF(A23&lt;'01_Run_Config'!$B$33,"G"&amp;MIN(4,INT((A23-'01_Run_Config'!$B$32)/7)+1),AM23))</x:f>
        <x:v>G3</x:v>
      </x:c>
      <x:c r="AK23" s="35" t="str">
        <x:f>IF(A23&lt;'01_Run_Config'!$B$32,"Keine AN-Additive.",IF(A23&lt;'01_Run_Config'!$B$33,"Veg: Voodoo nur definierte Frischgaben; B-52/Piranha/Tarantula nur A/B; Sensizym nur statt PowerZyme; Rhino Skin AUS mit Athena Balance.",IF(AL23&lt;=7,"Frühblüte: Voodoo; Bud Ignitor/Piranha/Tarantula nur A/B; Rhino Skin AUS mit Balance.",IF(AL23&lt;=35,"Hauptblüte: Big Bud nur A/B STATT HESI-PK; Biostims einzeln testen.",IF(AL23&lt;=49,"Spätblüte: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3" s="60" t="str">
        <x:f>IF(A23&lt;'01_Run_Config'!$B$33,"",A23-'01_Run_Config'!$B$33+1)</x:f>
      </x:c>
      <x:c r="AM23" s="60" t="str">
        <x:f>IF(AL23="","",IF(AL23&gt;49,CHAR(66)&amp;"7+",CHAR(66)&amp;TEXT(INT((AL23-1)/7)+1,"0")))</x:f>
      </x:c>
      <x:c r="AN23" s="60" t="n">
        <x:f>ROUND(0.6108*EXP(17.27*L23/(L23+237.3))*(1-N23/100),2)</x:f>
        <x:v>1.24</x:v>
      </x:c>
      <x:c r="AO23" s="60" t="n">
        <x:f>H23*G23/1000</x:f>
        <x:v>1.35</x:v>
      </x:c>
      <x:c r="AP23" s="60" t="n">
        <x:f>SUM($AO$2:AO23)</x:f>
        <x:v>21.420000000000005</x:v>
      </x:c>
      <x:c r="AQ23" t="n">
        <x:f>'01_Run_Config'!$B$17</x:f>
        <x:v>0</x:v>
      </x:c>
      <x:c r="AR23" t="n">
        <x:f>'01_Run_Config'!$B$22</x:f>
        <x:v>0</x:v>
      </x:c>
      <x:c r="AS23" t="n">
        <x:f>'01_Run_Config'!$B$25</x:f>
        <x:v>0</x:v>
      </x:c>
    </x:row>
    <x:row r="24">
      <x:c r="A24" s="34" t="n">
        <x:v>22</x:v>
      </x:c>
      <x:c r="B24" s="129" t="n">
        <x:f>'01_Run_Config'!$B$4+A24</x:f>
        <x:v>46264</x:v>
      </x:c>
      <x:c r="C24" s="63" t="n">
        <x:f>INT(A24/7)+1</x:f>
        <x:v>4</x:v>
      </x:c>
      <x:c r="D24" s="63" t="str">
        <x:f>"M"&amp;MIN(3,INT(A24/30)+1)</x:f>
        <x:v>M1</x:v>
      </x:c>
      <x:c r="E24" s="63" t="str">
        <x:f>IF(A24&lt;4,"Keimung",IF(A24&lt;8,"Etablierung",IF(A24&lt;15,"Early Veg",IF(A24&lt;'01_Run_Config'!$B$33,IF(A24&lt;22,"Veg / LST","Preflower-Watch"),IF(A24-'01_Run_Config'!$B$33&lt;=6,"Transition / Stretch ("&amp;AM24&amp;")",IF(A24-'01_Run_Config'!$B$33&lt;=13,"Early Flower ("&amp;AM24&amp;")",IF(A24-'01_Run_Config'!$B$33&lt;=20,"Flower I ("&amp;AM24&amp;")",IF(A24-'01_Run_Config'!$B$33&lt;=34,"Peak Flower ("&amp;AM24&amp;")",IF(A24-'01_Run_Config'!$B$33&lt;=41,"Late Flower ("&amp;AM24&amp;")",IF(A24-'01_Run_Config'!$B$33&lt;=48,"Ripening ("&amp;AM24&amp;")","Harvest / Extension ("&amp;AM24&amp;")"))))))))))</x:f>
        <x:v>Preflower-Watch</x:v>
      </x:c>
      <x:c r="F24" s="63" t="str">
        <x:f>IF(A24&lt;4,"Keimung + Wurzelstart",IF(A24&lt;8,"Sämling etablieren; Wurzelraum erschließen",IF(A24&lt;15,"kompakter Aufbau; LST erst bei Vitalität",IF(A24&lt;'01_Run_Config'!$B$33,"Canopy aufbauen; Preflower beobachten",IF(A24-'01_Run_Config'!$B$33&lt;=6,"Stretch kontrollieren; Bloom-Trigger dokumentieren",IF(A24-'01_Run_Config'!$B$33&lt;=13,"Blütenansatz stabilisieren",IF(A24-'01_Run_Config'!$B$33&lt;=20,"Blütenaufbau ohne neue Stressoren",IF(A24-'01_Run_Config'!$B$33&lt;=34,"stabile Peak-Photosynthese; Klima priorisieren",IF(A24-'01_Run_Config'!$B$33&lt;=41,"Qualität/Schimmelprävention",IF(A24-'01_Run_Config'!$B$33&lt;=48,"Reife ohne Überfütterung","Erntefenster nach Pflanze; keine Kalenderernte"))))))))))</x:f>
        <x:v>Canopy aufbauen; Preflower beobachten</x:v>
      </x:c>
      <x:c r="G24" s="63" t="n">
        <x:v>18</x:v>
      </x:c>
      <x:c r="H24" s="63" t="n">
        <x:v>95</x:v>
      </x:c>
      <x:c r="I24" s="63" t="n">
        <x:v>450</x:v>
      </x:c>
      <x:c r="J24" s="63" t="n">
        <x:f>I24*G24*3600/1000000</x:f>
        <x:v>29.16</x:v>
      </x:c>
      <x:c r="K24" s="63" t="n">
        <x:v>40</x:v>
      </x:c>
      <x:c r="L24" s="63" t="n">
        <x:v>25.5</x:v>
      </x:c>
      <x:c r="M24" s="63" t="n">
        <x:v>22</x:v>
      </x:c>
      <x:c r="N24" s="63" t="n">
        <x:v>58</x:v>
      </x:c>
      <x:c r="O24" s="63" t="n">
        <x:f>ROUND(0.6108*EXP(17.27*(L24+'01_Run_Config'!$B$34)/(L24+'01_Run_Config'!$B$34+237.3))-(N24/100)*0.6108*EXP(17.27*L24/(L24+237.3)),2)</x:f>
        <x:v>1.18</x:v>
      </x:c>
      <x:c r="P24" s="63" t="n">
        <x:f>IF(A24&lt;'01_Run_Config'!$B$32,0.55,IF(A24&lt;'01_Run_Config'!$B$33,IF(A24-'01_Run_Config'!$B$32&lt;=3,0.8,IF(A24-'01_Run_Config'!$B$32&lt;=10,1,IF(A24-'01_Run_Config'!$B$32&lt;=17,1.2,1.4))),IF(A24-'01_Run_Config'!$B$33&lt;=6,1.5,IF(A24-'01_Run_Config'!$B$33&lt;=13,1.6,IF(A24-'01_Run_Config'!$B$33&lt;=20,1.7,IF(A24-'01_Run_Config'!$B$33&lt;=34,1.8,IF(A24-'01_Run_Config'!$B$33&lt;=41,1.6,IF(A24-'01_Run_Config'!$B$33&lt;=48,1.4,1.15))))))))</x:f>
        <x:v>1.4</x:v>
      </x:c>
      <x:c r="Q24" s="63" t="n">
        <x:v>5.9</x:v>
      </x:c>
      <x:c r="R24" s="63" t="n">
        <x:v>0.4</x:v>
      </x:c>
      <x:c r="S24" s="63" t="n">
        <x:v>0.7</x:v>
      </x:c>
      <x:c r="T24" s="63" t="str">
        <x:f>IF(A24&lt;=7,"Manuell",'01_Run_Config'!$B$40)</x:f>
        <x:v>Manuell / indoor-freigegebene Automation</x:v>
      </x:c>
      <x:c r="U24" s="63" t="str">
        <x:f>IF(A24&lt;'01_Run_Config'!$B$32,"Kein Basisdünger",IF(A24&lt;'01_Run_Config'!$B$33,"HESI TNT","HESI Coco"))</x:f>
        <x:v>HESI TNT</x:v>
      </x:c>
      <x:c r="V24" s="63" t="n">
        <x:f>IF(A24&lt;'01_Run_Config'!$B$32,0,IF(A24&lt;'01_Run_Config'!$B$33,IF(A24-'01_Run_Config'!$B$32&lt;=3,1.25,IF(A24-'01_Run_Config'!$B$32&lt;=10,2,2.5)),IF(A24-'01_Run_Config'!$B$33&lt;=6,2.5,IF(A24-'01_Run_Config'!$B$33&lt;=13,3.25,IF(A24-'01_Run_Config'!$B$33&lt;=20,3.75,IF(A24-'01_Run_Config'!$B$33&lt;=34,4,IF(A24-'01_Run_Config'!$B$33&lt;=41,3.5,IF(A24-'01_Run_Config'!$B$33&lt;=48,2.5,1.5))))))))</x:f>
        <x:v>2.5</x:v>
      </x:c>
      <x:c r="W24" s="63" t="n">
        <x:f>IF(OR(A24='01_Run_Config'!$B$32,A24='01_Run_Config'!$B$32+6,A24='01_Run_Config'!$B$32+12),2.5,0)</x:f>
        <x:v>0</x:v>
      </x:c>
      <x:c r="X24" s="63" t="n">
        <x:f>IF(AND(A24&gt;='01_Run_Config'!$B$32+3,A24&lt;='01_Run_Config'!$B$33+35,MOD(A24-('01_Run_Config'!$B$32+3),7)=0),2,0)</x:f>
        <x:v>0</x:v>
      </x:c>
      <x:c r="Y24" s="63" t="n">
        <x:f>IF(A24&gt;='01_Run_Config'!$B$32,0.015,0)</x:f>
        <x:v>0.015</x:v>
      </x:c>
      <x:c r="Z24" s="63" t="n">
        <x:f>IF(AND('01_Run_Config'!$B$26="Hesilicio statt Balance",A24&gt;='01_Run_Config'!$B$32+3,MOD(A24-('01_Run_Config'!$B$32+3),7)=0,A24&lt;='01_Run_Config'!$B$33+35),0.5,0)</x:f>
        <x:v>0</x:v>
      </x:c>
      <x:c r="AA24" s="63" t="n">
        <x:f>IF(AND(A24&gt;='01_Run_Config'!$B$33,A24&lt;='01_Run_Config'!$B$33+35,MOD(A24-'01_Run_Config'!$B$33,7)=0),2,0)</x:f>
        <x:v>0</x:v>
      </x:c>
      <x:c r="AB24" s="63" t="n">
        <x:f>IF(A24='01_Run_Config'!$B$33+21,0.25,IF(A24='01_Run_Config'!$B$33+28,0.35,IF(A24='01_Run_Config'!$B$33+35,0.5,0)))</x:f>
        <x:v>0</x:v>
      </x:c>
      <x:c r="AC24" s="63" t="n">
        <x:f>IF(OR(A24='01_Run_Config'!$B$32,A24='01_Run_Config'!$B$32+7,A24='01_Run_Config'!$B$33+1,A24='01_Run_Config'!$B$33+8),2,0)</x:f>
        <x:v>0</x:v>
      </x:c>
      <x:c r="AD24" s="63" t="str">
        <x:f>IF(A24&lt;'01_Run_Config'!$B$33,"AN-Reference=0 außer Voodoo-Frischgaben",IF(AL24&lt;=7,"A/B: Bud Ignitor oder Mikrobenmodul; nicht Reference",IF(AL24&lt;=35,"A/B: Big Bud STATT HESI-PK; nicht additiv stapeln",IF(AL24&lt;=49,"A/B: Overdrive STATT spätem HESI-PK","AN-Booster auslaufen"))))</x:f>
        <x:v>AN-Reference=0 außer Voodoo-Frischgaben</x:v>
      </x:c>
      <x:c r="AE24" s="63" t="str">
        <x:v>Letzte strukturelle Korrekturen</x:v>
      </x:c>
      <x:c r="AF24" s="63" t="str">
        <x:v>Morgens Klima/Pflanze/Bewässerung/Leck; Mitte Lichtphase Blattwinkel; vor Dunkel LF/Drain/stehendes Wasser.</x:v>
      </x:c>
      <x:c r="AG24" s="63" t="str">
        <x:v>EC nicht erhöhen bei steigender Diagnose-Drain-EC; PPFD nicht erhöhen bei Stress; Wasserband nie erzwingen; nie mehrere neue Booster gleichzeitig.</x:v>
      </x:c>
      <x:c r="AH24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2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4" s="201" t="str">
        <x:f>IF(A24&lt;'01_Run_Config'!$B$32,"—",IF(A24&lt;'01_Run_Config'!$B$33,"G"&amp;MIN(4,INT((A24-'01_Run_Config'!$B$32)/7)+1),AM24))</x:f>
        <x:v>G3</x:v>
      </x:c>
      <x:c r="AK24" s="35" t="str">
        <x:f>IF(A24&lt;'01_Run_Config'!$B$32,"Keine AN-Additive.",IF(A24&lt;'01_Run_Config'!$B$33,"Veg: Voodoo nur definierte Frischgaben; B-52/Piranha/Tarantula nur A/B; Sensizym nur statt PowerZyme; Rhino Skin AUS mit Athena Balance.",IF(AL24&lt;=7,"Frühblüte: Voodoo; Bud Ignitor/Piranha/Tarantula nur A/B; Rhino Skin AUS mit Balance.",IF(AL24&lt;=35,"Hauptblüte: Big Bud nur A/B STATT HESI-PK; Biostims einzeln testen.",IF(AL24&lt;=49,"Spätblüte: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4" s="60" t="str">
        <x:f>IF(A24&lt;'01_Run_Config'!$B$33,"",A24-'01_Run_Config'!$B$33+1)</x:f>
      </x:c>
      <x:c r="AM24" s="60" t="str">
        <x:f>IF(AL24="","",IF(AL24&gt;49,CHAR(66)&amp;"7+",CHAR(66)&amp;TEXT(INT((AL24-1)/7)+1,"0")))</x:f>
      </x:c>
      <x:c r="AN24" s="60" t="n">
        <x:f>ROUND(0.6108*EXP(17.27*L24/(L24+237.3))*(1-N24/100),2)</x:f>
        <x:v>1.37</x:v>
      </x:c>
      <x:c r="AO24" s="60" t="n">
        <x:f>H24*G24/1000</x:f>
        <x:v>1.71</x:v>
      </x:c>
      <x:c r="AP24" s="60" t="n">
        <x:f>SUM($AO$2:AO24)</x:f>
        <x:v>23.130000000000006</x:v>
      </x:c>
      <x:c r="AQ24" t="n">
        <x:f>'01_Run_Config'!$B$17</x:f>
        <x:v>0</x:v>
      </x:c>
      <x:c r="AR24" t="n">
        <x:f>'01_Run_Config'!$B$22</x:f>
        <x:v>0</x:v>
      </x:c>
      <x:c r="AS24" t="n">
        <x:f>'01_Run_Config'!$B$25</x:f>
        <x:v>0</x:v>
      </x:c>
    </x:row>
    <x:row r="25">
      <x:c r="A25" s="34" t="n">
        <x:v>23</x:v>
      </x:c>
      <x:c r="B25" s="129" t="n">
        <x:f>'01_Run_Config'!$B$4+A25</x:f>
        <x:v>46265</x:v>
      </x:c>
      <x:c r="C25" s="63" t="n">
        <x:f>INT(A25/7)+1</x:f>
        <x:v>4</x:v>
      </x:c>
      <x:c r="D25" s="63" t="str">
        <x:f>"M"&amp;MIN(3,INT(A25/30)+1)</x:f>
        <x:v>M1</x:v>
      </x:c>
      <x:c r="E25" s="63" t="str">
        <x:f>IF(A25&lt;4,"Keimung",IF(A25&lt;8,"Etablierung",IF(A25&lt;15,"Early Veg",IF(A25&lt;'01_Run_Config'!$B$33,IF(A25&lt;22,"Veg / LST","Preflower-Watch"),IF(A25-'01_Run_Config'!$B$33&lt;=6,"Transition / Stretch ("&amp;AM25&amp;")",IF(A25-'01_Run_Config'!$B$33&lt;=13,"Early Flower ("&amp;AM25&amp;")",IF(A25-'01_Run_Config'!$B$33&lt;=20,"Flower I ("&amp;AM25&amp;")",IF(A25-'01_Run_Config'!$B$33&lt;=34,"Peak Flower ("&amp;AM25&amp;")",IF(A25-'01_Run_Config'!$B$33&lt;=41,"Late Flower ("&amp;AM25&amp;")",IF(A25-'01_Run_Config'!$B$33&lt;=48,"Ripening ("&amp;AM25&amp;")","Harvest / Extension ("&amp;AM25&amp;")"))))))))))</x:f>
        <x:v>Preflower-Watch</x:v>
      </x:c>
      <x:c r="F25" s="63" t="str">
        <x:f>IF(A25&lt;4,"Keimung + Wurzelstart",IF(A25&lt;8,"Sämling etablieren; Wurzelraum erschließen",IF(A25&lt;15,"kompakter Aufbau; LST erst bei Vitalität",IF(A25&lt;'01_Run_Config'!$B$33,"Canopy aufbauen; Preflower beobachten",IF(A25-'01_Run_Config'!$B$33&lt;=6,"Stretch kontrollieren; Bloom-Trigger dokumentieren",IF(A25-'01_Run_Config'!$B$33&lt;=13,"Blütenansatz stabilisieren",IF(A25-'01_Run_Config'!$B$33&lt;=20,"Blütenaufbau ohne neue Stressoren",IF(A25-'01_Run_Config'!$B$33&lt;=34,"stabile Peak-Photosynthese; Klima priorisieren",IF(A25-'01_Run_Config'!$B$33&lt;=41,"Qualität/Schimmelprävention",IF(A25-'01_Run_Config'!$B$33&lt;=48,"Reife ohne Überfütterung","Erntefenster nach Pflanze; keine Kalenderernte"))))))))))</x:f>
        <x:v>Canopy aufbauen; Preflower beobachten</x:v>
      </x:c>
      <x:c r="G25" s="63" t="n">
        <x:v>18</x:v>
      </x:c>
      <x:c r="H25" s="63" t="n">
        <x:v>95</x:v>
      </x:c>
      <x:c r="I25" s="63" t="n">
        <x:v>450</x:v>
      </x:c>
      <x:c r="J25" s="63" t="n">
        <x:f>I25*G25*3600/1000000</x:f>
        <x:v>29.16</x:v>
      </x:c>
      <x:c r="K25" s="63" t="n">
        <x:v>40</x:v>
      </x:c>
      <x:c r="L25" s="63" t="n">
        <x:v>25.5</x:v>
      </x:c>
      <x:c r="M25" s="63" t="n">
        <x:v>22</x:v>
      </x:c>
      <x:c r="N25" s="63" t="n">
        <x:v>58</x:v>
      </x:c>
      <x:c r="O25" s="63" t="n">
        <x:f>ROUND(0.6108*EXP(17.27*(L25+'01_Run_Config'!$B$34)/(L25+'01_Run_Config'!$B$34+237.3))-(N25/100)*0.6108*EXP(17.27*L25/(L25+237.3)),2)</x:f>
        <x:v>1.18</x:v>
      </x:c>
      <x:c r="P25" s="63" t="n">
        <x:f>IF(A25&lt;'01_Run_Config'!$B$32,0.55,IF(A25&lt;'01_Run_Config'!$B$33,IF(A25-'01_Run_Config'!$B$32&lt;=3,0.8,IF(A25-'01_Run_Config'!$B$32&lt;=10,1,IF(A25-'01_Run_Config'!$B$32&lt;=17,1.2,1.4))),IF(A25-'01_Run_Config'!$B$33&lt;=6,1.5,IF(A25-'01_Run_Config'!$B$33&lt;=13,1.6,IF(A25-'01_Run_Config'!$B$33&lt;=20,1.7,IF(A25-'01_Run_Config'!$B$33&lt;=34,1.8,IF(A25-'01_Run_Config'!$B$33&lt;=41,1.6,IF(A25-'01_Run_Config'!$B$33&lt;=48,1.4,1.15))))))))</x:f>
        <x:v>1.4</x:v>
      </x:c>
      <x:c r="Q25" s="63" t="n">
        <x:v>5.9</x:v>
      </x:c>
      <x:c r="R25" s="63" t="n">
        <x:v>0.4</x:v>
      </x:c>
      <x:c r="S25" s="63" t="n">
        <x:v>0.7</x:v>
      </x:c>
      <x:c r="T25" s="63" t="str">
        <x:f>IF(A25&lt;=7,"Manuell",'01_Run_Config'!$B$40)</x:f>
        <x:v>Manuell / indoor-freigegebene Automation</x:v>
      </x:c>
      <x:c r="U25" s="63" t="str">
        <x:f>IF(A25&lt;'01_Run_Config'!$B$32,"Kein Basisdünger",IF(A25&lt;'01_Run_Config'!$B$33,"HESI TNT","HESI Coco"))</x:f>
        <x:v>HESI TNT</x:v>
      </x:c>
      <x:c r="V25" s="63" t="n">
        <x:f>IF(A25&lt;'01_Run_Config'!$B$32,0,IF(A25&lt;'01_Run_Config'!$B$33,IF(A25-'01_Run_Config'!$B$32&lt;=3,1.25,IF(A25-'01_Run_Config'!$B$32&lt;=10,2,2.5)),IF(A25-'01_Run_Config'!$B$33&lt;=6,2.5,IF(A25-'01_Run_Config'!$B$33&lt;=13,3.25,IF(A25-'01_Run_Config'!$B$33&lt;=20,3.75,IF(A25-'01_Run_Config'!$B$33&lt;=34,4,IF(A25-'01_Run_Config'!$B$33&lt;=41,3.5,IF(A25-'01_Run_Config'!$B$33&lt;=48,2.5,1.5))))))))</x:f>
        <x:v>2.5</x:v>
      </x:c>
      <x:c r="W25" s="63" t="n">
        <x:f>IF(OR(A25='01_Run_Config'!$B$32,A25='01_Run_Config'!$B$32+6,A25='01_Run_Config'!$B$32+12),2.5,0)</x:f>
        <x:v>0</x:v>
      </x:c>
      <x:c r="X25" s="63" t="n">
        <x:f>IF(AND(A25&gt;='01_Run_Config'!$B$32+3,A25&lt;='01_Run_Config'!$B$33+35,MOD(A25-('01_Run_Config'!$B$32+3),7)=0),2,0)</x:f>
        <x:v>0</x:v>
      </x:c>
      <x:c r="Y25" s="63" t="n">
        <x:f>IF(A25&gt;='01_Run_Config'!$B$32,0.015,0)</x:f>
        <x:v>0.015</x:v>
      </x:c>
      <x:c r="Z25" s="63" t="n">
        <x:f>IF(AND('01_Run_Config'!$B$26="Hesilicio statt Balance",A25&gt;='01_Run_Config'!$B$32+3,MOD(A25-('01_Run_Config'!$B$32+3),7)=0,A25&lt;='01_Run_Config'!$B$33+35),0.5,0)</x:f>
        <x:v>0</x:v>
      </x:c>
      <x:c r="AA25" s="63" t="n">
        <x:f>IF(AND(A25&gt;='01_Run_Config'!$B$33,A25&lt;='01_Run_Config'!$B$33+35,MOD(A25-'01_Run_Config'!$B$33,7)=0),2,0)</x:f>
        <x:v>0</x:v>
      </x:c>
      <x:c r="AB25" s="63" t="n">
        <x:f>IF(A25='01_Run_Config'!$B$33+21,0.25,IF(A25='01_Run_Config'!$B$33+28,0.35,IF(A25='01_Run_Config'!$B$33+35,0.5,0)))</x:f>
        <x:v>0</x:v>
      </x:c>
      <x:c r="AC25" s="63" t="n">
        <x:f>IF(OR(A25='01_Run_Config'!$B$32,A25='01_Run_Config'!$B$32+7,A25='01_Run_Config'!$B$33+1,A25='01_Run_Config'!$B$33+8),2,0)</x:f>
        <x:v>0</x:v>
      </x:c>
      <x:c r="AD25" s="63" t="str">
        <x:f>IF(A25&lt;'01_Run_Config'!$B$33,"AN-Reference=0 außer Voodoo-Frischgaben",IF(AL25&lt;=7,"A/B: Bud Ignitor oder Mikrobenmodul; nicht Reference",IF(AL25&lt;=35,"A/B: Big Bud STATT HESI-PK; nicht additiv stapeln",IF(AL25&lt;=49,"A/B: Overdrive STATT spätem HESI-PK","AN-Booster auslaufen"))))</x:f>
        <x:v>AN-Reference=0 außer Voodoo-Frischgaben</x:v>
      </x:c>
      <x:c r="AE25" s="63" t="str">
        <x:v>Letzte strukturelle Korrekturen</x:v>
      </x:c>
      <x:c r="AF25" s="63" t="str">
        <x:v>Morgens Klima/Pflanze/Bewässerung/Leck; Mitte Lichtphase Blattwinkel; vor Dunkel LF/Drain/stehendes Wasser.</x:v>
      </x:c>
      <x:c r="AG25" s="63" t="str">
        <x:v>EC nicht erhöhen bei steigender Diagnose-Drain-EC; PPFD nicht erhöhen bei Stress; Wasserband nie erzwingen; nie mehrere neue Booster gleichzeitig.</x:v>
      </x:c>
      <x:c r="AH25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2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5" s="201" t="str">
        <x:f>IF(A25&lt;'01_Run_Config'!$B$32,"—",IF(A25&lt;'01_Run_Config'!$B$33,"G"&amp;MIN(4,INT((A25-'01_Run_Config'!$B$32)/7)+1),AM25))</x:f>
        <x:v>G3</x:v>
      </x:c>
      <x:c r="AK25" s="35" t="str">
        <x:f>IF(A25&lt;'01_Run_Config'!$B$32,"Keine AN-Additive.",IF(A25&lt;'01_Run_Config'!$B$33,"Veg: Voodoo nur definierte Frischgaben; B-52/Piranha/Tarantula nur A/B; Sensizym nur statt PowerZyme; Rhino Skin AUS mit Athena Balance.",IF(AL25&lt;=7,"Frühblüte: Voodoo; Bud Ignitor/Piranha/Tarantula nur A/B; Rhino Skin AUS mit Balance.",IF(AL25&lt;=35,"Hauptblüte: Big Bud nur A/B STATT HESI-PK; Biostims einzeln testen.",IF(AL25&lt;=49,"Spätblüte: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5" s="60" t="str">
        <x:f>IF(A25&lt;'01_Run_Config'!$B$33,"",A25-'01_Run_Config'!$B$33+1)</x:f>
      </x:c>
      <x:c r="AM25" s="60" t="str">
        <x:f>IF(AL25="","",IF(AL25&gt;49,CHAR(66)&amp;"7+",CHAR(66)&amp;TEXT(INT((AL25-1)/7)+1,"0")))</x:f>
      </x:c>
      <x:c r="AN25" s="60" t="n">
        <x:f>ROUND(0.6108*EXP(17.27*L25/(L25+237.3))*(1-N25/100),2)</x:f>
        <x:v>1.37</x:v>
      </x:c>
      <x:c r="AO25" s="60" t="n">
        <x:f>H25*G25/1000</x:f>
        <x:v>1.71</x:v>
      </x:c>
      <x:c r="AP25" s="60" t="n">
        <x:f>SUM($AO$2:AO25)</x:f>
        <x:v>24.840000000000007</x:v>
      </x:c>
      <x:c r="AQ25" t="n">
        <x:f>'01_Run_Config'!$B$17</x:f>
        <x:v>0</x:v>
      </x:c>
      <x:c r="AR25" t="n">
        <x:f>'01_Run_Config'!$B$22</x:f>
        <x:v>0</x:v>
      </x:c>
      <x:c r="AS25" t="n">
        <x:f>'01_Run_Config'!$B$25</x:f>
        <x:v>0</x:v>
      </x:c>
    </x:row>
    <x:row r="26">
      <x:c r="A26" s="34" t="n">
        <x:v>24</x:v>
      </x:c>
      <x:c r="B26" s="129" t="n">
        <x:f>'01_Run_Config'!$B$4+A26</x:f>
        <x:v>46266</x:v>
      </x:c>
      <x:c r="C26" s="63" t="n">
        <x:f>INT(A26/7)+1</x:f>
        <x:v>4</x:v>
      </x:c>
      <x:c r="D26" s="63" t="str">
        <x:f>"M"&amp;MIN(3,INT(A26/30)+1)</x:f>
        <x:v>M1</x:v>
      </x:c>
      <x:c r="E26" s="63" t="str">
        <x:f>IF(A26&lt;4,"Keimung",IF(A26&lt;8,"Etablierung",IF(A26&lt;15,"Early Veg",IF(A26&lt;'01_Run_Config'!$B$33,IF(A26&lt;22,"Veg / LST","Preflower-Watch"),IF(A26-'01_Run_Config'!$B$33&lt;=6,"Transition / Stretch ("&amp;AM26&amp;")",IF(A26-'01_Run_Config'!$B$33&lt;=13,"Early Flower ("&amp;AM26&amp;")",IF(A26-'01_Run_Config'!$B$33&lt;=20,"Flower I ("&amp;AM26&amp;")",IF(A26-'01_Run_Config'!$B$33&lt;=34,"Peak Flower ("&amp;AM26&amp;")",IF(A26-'01_Run_Config'!$B$33&lt;=41,"Late Flower ("&amp;AM26&amp;")",IF(A26-'01_Run_Config'!$B$33&lt;=48,"Ripening ("&amp;AM26&amp;")","Harvest / Extension ("&amp;AM26&amp;")"))))))))))</x:f>
        <x:v>Preflower-Watch</x:v>
      </x:c>
      <x:c r="F26" s="63" t="str">
        <x:f>IF(A26&lt;4,"Keimung + Wurzelstart",IF(A26&lt;8,"Sämling etablieren; Wurzelraum erschließen",IF(A26&lt;15,"kompakter Aufbau; LST erst bei Vitalität",IF(A26&lt;'01_Run_Config'!$B$33,"Canopy aufbauen; Preflower beobachten",IF(A26-'01_Run_Config'!$B$33&lt;=6,"Stretch kontrollieren; Bloom-Trigger dokumentieren",IF(A26-'01_Run_Config'!$B$33&lt;=13,"Blütenansatz stabilisieren",IF(A26-'01_Run_Config'!$B$33&lt;=20,"Blütenaufbau ohne neue Stressoren",IF(A26-'01_Run_Config'!$B$33&lt;=34,"stabile Peak-Photosynthese; Klima priorisieren",IF(A26-'01_Run_Config'!$B$33&lt;=41,"Qualität/Schimmelprävention",IF(A26-'01_Run_Config'!$B$33&lt;=48,"Reife ohne Überfütterung","Erntefenster nach Pflanze; keine Kalenderernte"))))))))))</x:f>
        <x:v>Canopy aufbauen; Preflower beobachten</x:v>
      </x:c>
      <x:c r="G26" s="63" t="n">
        <x:v>18</x:v>
      </x:c>
      <x:c r="H26" s="63" t="n">
        <x:v>95</x:v>
      </x:c>
      <x:c r="I26" s="63" t="n">
        <x:v>450</x:v>
      </x:c>
      <x:c r="J26" s="63" t="n">
        <x:f>I26*G26*3600/1000000</x:f>
        <x:v>29.16</x:v>
      </x:c>
      <x:c r="K26" s="63" t="n">
        <x:v>40</x:v>
      </x:c>
      <x:c r="L26" s="63" t="n">
        <x:v>25.5</x:v>
      </x:c>
      <x:c r="M26" s="63" t="n">
        <x:v>22</x:v>
      </x:c>
      <x:c r="N26" s="63" t="n">
        <x:v>58</x:v>
      </x:c>
      <x:c r="O26" s="63" t="n">
        <x:f>ROUND(0.6108*EXP(17.27*(L26+'01_Run_Config'!$B$34)/(L26+'01_Run_Config'!$B$34+237.3))-(N26/100)*0.6108*EXP(17.27*L26/(L26+237.3)),2)</x:f>
        <x:v>1.18</x:v>
      </x:c>
      <x:c r="P26" s="63" t="n">
        <x:f>IF(A26&lt;'01_Run_Config'!$B$32,0.55,IF(A26&lt;'01_Run_Config'!$B$33,IF(A26-'01_Run_Config'!$B$32&lt;=3,0.8,IF(A26-'01_Run_Config'!$B$32&lt;=10,1,IF(A26-'01_Run_Config'!$B$32&lt;=17,1.2,1.4))),IF(A26-'01_Run_Config'!$B$33&lt;=6,1.5,IF(A26-'01_Run_Config'!$B$33&lt;=13,1.6,IF(A26-'01_Run_Config'!$B$33&lt;=20,1.7,IF(A26-'01_Run_Config'!$B$33&lt;=34,1.8,IF(A26-'01_Run_Config'!$B$33&lt;=41,1.6,IF(A26-'01_Run_Config'!$B$33&lt;=48,1.4,1.15))))))))</x:f>
        <x:v>1.4</x:v>
      </x:c>
      <x:c r="Q26" s="63" t="n">
        <x:v>5.9</x:v>
      </x:c>
      <x:c r="R26" s="63" t="n">
        <x:v>0.4</x:v>
      </x:c>
      <x:c r="S26" s="63" t="n">
        <x:v>0.7</x:v>
      </x:c>
      <x:c r="T26" s="63" t="str">
        <x:f>IF(A26&lt;=7,"Manuell",'01_Run_Config'!$B$40)</x:f>
        <x:v>Manuell / indoor-freigegebene Automation</x:v>
      </x:c>
      <x:c r="U26" s="63" t="str">
        <x:f>IF(A26&lt;'01_Run_Config'!$B$32,"Kein Basisdünger",IF(A26&lt;'01_Run_Config'!$B$33,"HESI TNT","HESI Coco"))</x:f>
        <x:v>HESI TNT</x:v>
      </x:c>
      <x:c r="V26" s="63" t="n">
        <x:f>IF(A26&lt;'01_Run_Config'!$B$32,0,IF(A26&lt;'01_Run_Config'!$B$33,IF(A26-'01_Run_Config'!$B$32&lt;=3,1.25,IF(A26-'01_Run_Config'!$B$32&lt;=10,2,2.5)),IF(A26-'01_Run_Config'!$B$33&lt;=6,2.5,IF(A26-'01_Run_Config'!$B$33&lt;=13,3.25,IF(A26-'01_Run_Config'!$B$33&lt;=20,3.75,IF(A26-'01_Run_Config'!$B$33&lt;=34,4,IF(A26-'01_Run_Config'!$B$33&lt;=41,3.5,IF(A26-'01_Run_Config'!$B$33&lt;=48,2.5,1.5))))))))</x:f>
        <x:v>2.5</x:v>
      </x:c>
      <x:c r="W26" s="63" t="n">
        <x:f>IF(OR(A26='01_Run_Config'!$B$32,A26='01_Run_Config'!$B$32+6,A26='01_Run_Config'!$B$32+12),2.5,0)</x:f>
        <x:v>0</x:v>
      </x:c>
      <x:c r="X26" s="63" t="n">
        <x:f>IF(AND(A26&gt;='01_Run_Config'!$B$32+3,A26&lt;='01_Run_Config'!$B$33+35,MOD(A26-('01_Run_Config'!$B$32+3),7)=0),2,0)</x:f>
        <x:v>0</x:v>
      </x:c>
      <x:c r="Y26" s="63" t="n">
        <x:f>IF(A26&gt;='01_Run_Config'!$B$32,0.015,0)</x:f>
        <x:v>0.015</x:v>
      </x:c>
      <x:c r="Z26" s="63" t="n">
        <x:f>IF(AND('01_Run_Config'!$B$26="Hesilicio statt Balance",A26&gt;='01_Run_Config'!$B$32+3,MOD(A26-('01_Run_Config'!$B$32+3),7)=0,A26&lt;='01_Run_Config'!$B$33+35),0.5,0)</x:f>
        <x:v>0</x:v>
      </x:c>
      <x:c r="AA26" s="63" t="n">
        <x:f>IF(AND(A26&gt;='01_Run_Config'!$B$33,A26&lt;='01_Run_Config'!$B$33+35,MOD(A26-'01_Run_Config'!$B$33,7)=0),2,0)</x:f>
        <x:v>0</x:v>
      </x:c>
      <x:c r="AB26" s="63" t="n">
        <x:f>IF(A26='01_Run_Config'!$B$33+21,0.25,IF(A26='01_Run_Config'!$B$33+28,0.35,IF(A26='01_Run_Config'!$B$33+35,0.5,0)))</x:f>
        <x:v>0</x:v>
      </x:c>
      <x:c r="AC26" s="63" t="n">
        <x:f>IF(OR(A26='01_Run_Config'!$B$32,A26='01_Run_Config'!$B$32+7,A26='01_Run_Config'!$B$33+1,A26='01_Run_Config'!$B$33+8),2,0)</x:f>
        <x:v>0</x:v>
      </x:c>
      <x:c r="AD26" s="63" t="str">
        <x:f>IF(A26&lt;'01_Run_Config'!$B$33,"AN-Reference=0 außer Voodoo-Frischgaben",IF(AL26&lt;=7,"A/B: Bud Ignitor oder Mikrobenmodul; nicht Reference",IF(AL26&lt;=35,"A/B: Big Bud STATT HESI-PK; nicht additiv stapeln",IF(AL26&lt;=49,"A/B: Overdrive STATT spätem HESI-PK","AN-Booster auslaufen"))))</x:f>
        <x:v>AN-Reference=0 außer Voodoo-Frischgaben</x:v>
      </x:c>
      <x:c r="AE26" s="63" t="str">
        <x:v>Letzte strukturelle Korrekturen</x:v>
      </x:c>
      <x:c r="AF26" s="63" t="str">
        <x:v>Morgens Klima/Pflanze/Bewässerung/Leck; Mitte Lichtphase Blattwinkel; vor Dunkel LF/Drain/stehendes Wasser.</x:v>
      </x:c>
      <x:c r="AG26" s="63" t="str">
        <x:v>EC nicht erhöhen bei steigender Diagnose-Drain-EC; PPFD nicht erhöhen bei Stress; Wasserband nie erzwingen; nie mehrere neue Booster gleichzeitig.</x:v>
      </x:c>
      <x:c r="AH26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2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6" s="201" t="str">
        <x:f>IF(A26&lt;'01_Run_Config'!$B$32,"—",IF(A26&lt;'01_Run_Config'!$B$33,"G"&amp;MIN(4,INT((A26-'01_Run_Config'!$B$32)/7)+1),AM26))</x:f>
        <x:v>G3</x:v>
      </x:c>
      <x:c r="AK26" s="35" t="str">
        <x:f>IF(A26&lt;'01_Run_Config'!$B$32,"Keine AN-Additive.",IF(A26&lt;'01_Run_Config'!$B$33,"Veg: Voodoo nur definierte Frischgaben; B-52/Piranha/Tarantula nur A/B; Sensizym nur statt PowerZyme; Rhino Skin AUS mit Athena Balance.",IF(AL26&lt;=7,"Frühblüte: Voodoo; Bud Ignitor/Piranha/Tarantula nur A/B; Rhino Skin AUS mit Balance.",IF(AL26&lt;=35,"Hauptblüte: Big Bud nur A/B STATT HESI-PK; Biostims einzeln testen.",IF(AL26&lt;=49,"Spätblüte: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6" s="60" t="str">
        <x:f>IF(A26&lt;'01_Run_Config'!$B$33,"",A26-'01_Run_Config'!$B$33+1)</x:f>
      </x:c>
      <x:c r="AM26" s="60" t="str">
        <x:f>IF(AL26="","",IF(AL26&gt;49,CHAR(66)&amp;"7+",CHAR(66)&amp;TEXT(INT((AL26-1)/7)+1,"0")))</x:f>
      </x:c>
      <x:c r="AN26" s="60" t="n">
        <x:f>ROUND(0.6108*EXP(17.27*L26/(L26+237.3))*(1-N26/100),2)</x:f>
        <x:v>1.37</x:v>
      </x:c>
      <x:c r="AO26" s="60" t="n">
        <x:f>H26*G26/1000</x:f>
        <x:v>1.71</x:v>
      </x:c>
      <x:c r="AP26" s="60" t="n">
        <x:f>SUM($AO$2:AO26)</x:f>
        <x:v>26.550000000000008</x:v>
      </x:c>
      <x:c r="AQ26" t="n">
        <x:f>'01_Run_Config'!$B$17</x:f>
        <x:v>0</x:v>
      </x:c>
      <x:c r="AR26" t="n">
        <x:f>'01_Run_Config'!$B$22</x:f>
        <x:v>0</x:v>
      </x:c>
      <x:c r="AS26" t="n">
        <x:f>'01_Run_Config'!$B$25</x:f>
        <x:v>0</x:v>
      </x:c>
    </x:row>
    <x:row r="27">
      <x:c r="A27" s="34" t="n">
        <x:v>25</x:v>
      </x:c>
      <x:c r="B27" s="129" t="n">
        <x:f>'01_Run_Config'!$B$4+A27</x:f>
        <x:v>46267</x:v>
      </x:c>
      <x:c r="C27" s="63" t="n">
        <x:f>INT(A27/7)+1</x:f>
        <x:v>4</x:v>
      </x:c>
      <x:c r="D27" s="63" t="str">
        <x:f>"M"&amp;MIN(3,INT(A27/30)+1)</x:f>
        <x:v>M1</x:v>
      </x:c>
      <x:c r="E27" s="63" t="str">
        <x:f>IF(A27&lt;4,"Keimung",IF(A27&lt;8,"Etablierung",IF(A27&lt;15,"Early Veg",IF(A27&lt;'01_Run_Config'!$B$33,IF(A27&lt;22,"Veg / LST","Preflower-Watch"),IF(A27-'01_Run_Config'!$B$33&lt;=6,"Transition / Stretch ("&amp;AM27&amp;")",IF(A27-'01_Run_Config'!$B$33&lt;=13,"Early Flower ("&amp;AM27&amp;")",IF(A27-'01_Run_Config'!$B$33&lt;=20,"Flower I ("&amp;AM27&amp;")",IF(A27-'01_Run_Config'!$B$33&lt;=34,"Peak Flower ("&amp;AM27&amp;")",IF(A27-'01_Run_Config'!$B$33&lt;=41,"Late Flower ("&amp;AM27&amp;")",IF(A27-'01_Run_Config'!$B$33&lt;=48,"Ripening ("&amp;AM27&amp;")","Harvest / Extension ("&amp;AM27&amp;")"))))))))))</x:f>
        <x:v>Preflower-Watch</x:v>
      </x:c>
      <x:c r="F27" s="63" t="str">
        <x:f>IF(A27&lt;4,"Keimung + Wurzelstart",IF(A27&lt;8,"Sämling etablieren; Wurzelraum erschließen",IF(A27&lt;15,"kompakter Aufbau; LST erst bei Vitalität",IF(A27&lt;'01_Run_Config'!$B$33,"Canopy aufbauen; Preflower beobachten",IF(A27-'01_Run_Config'!$B$33&lt;=6,"Stretch kontrollieren; Bloom-Trigger dokumentieren",IF(A27-'01_Run_Config'!$B$33&lt;=13,"Blütenansatz stabilisieren",IF(A27-'01_Run_Config'!$B$33&lt;=20,"Blütenaufbau ohne neue Stressoren",IF(A27-'01_Run_Config'!$B$33&lt;=34,"stabile Peak-Photosynthese; Klima priorisieren",IF(A27-'01_Run_Config'!$B$33&lt;=41,"Qualität/Schimmelprävention",IF(A27-'01_Run_Config'!$B$33&lt;=48,"Reife ohne Überfütterung","Erntefenster nach Pflanze; keine Kalenderernte"))))))))))</x:f>
        <x:v>Canopy aufbauen; Preflower beobachten</x:v>
      </x:c>
      <x:c r="G27" s="63" t="n">
        <x:v>18</x:v>
      </x:c>
      <x:c r="H27" s="63" t="n">
        <x:v>95</x:v>
      </x:c>
      <x:c r="I27" s="63" t="n">
        <x:v>450</x:v>
      </x:c>
      <x:c r="J27" s="63" t="n">
        <x:f>I27*G27*3600/1000000</x:f>
        <x:v>29.16</x:v>
      </x:c>
      <x:c r="K27" s="63" t="n">
        <x:v>40</x:v>
      </x:c>
      <x:c r="L27" s="63" t="n">
        <x:v>25.5</x:v>
      </x:c>
      <x:c r="M27" s="63" t="n">
        <x:v>22</x:v>
      </x:c>
      <x:c r="N27" s="63" t="n">
        <x:v>58</x:v>
      </x:c>
      <x:c r="O27" s="63" t="n">
        <x:f>ROUND(0.6108*EXP(17.27*(L27+'01_Run_Config'!$B$34)/(L27+'01_Run_Config'!$B$34+237.3))-(N27/100)*0.6108*EXP(17.27*L27/(L27+237.3)),2)</x:f>
        <x:v>1.18</x:v>
      </x:c>
      <x:c r="P27" s="63" t="n">
        <x:f>IF(A27&lt;'01_Run_Config'!$B$32,0.55,IF(A27&lt;'01_Run_Config'!$B$33,IF(A27-'01_Run_Config'!$B$32&lt;=3,0.8,IF(A27-'01_Run_Config'!$B$32&lt;=10,1,IF(A27-'01_Run_Config'!$B$32&lt;=17,1.2,1.4))),IF(A27-'01_Run_Config'!$B$33&lt;=6,1.5,IF(A27-'01_Run_Config'!$B$33&lt;=13,1.6,IF(A27-'01_Run_Config'!$B$33&lt;=20,1.7,IF(A27-'01_Run_Config'!$B$33&lt;=34,1.8,IF(A27-'01_Run_Config'!$B$33&lt;=41,1.6,IF(A27-'01_Run_Config'!$B$33&lt;=48,1.4,1.15))))))))</x:f>
        <x:v>1.4</x:v>
      </x:c>
      <x:c r="Q27" s="63" t="n">
        <x:v>5.9</x:v>
      </x:c>
      <x:c r="R27" s="63" t="n">
        <x:v>0.4</x:v>
      </x:c>
      <x:c r="S27" s="63" t="n">
        <x:v>0.7</x:v>
      </x:c>
      <x:c r="T27" s="63" t="str">
        <x:f>IF(A27&lt;=7,"Manuell",'01_Run_Config'!$B$40)</x:f>
        <x:v>Manuell / indoor-freigegebene Automation</x:v>
      </x:c>
      <x:c r="U27" s="63" t="str">
        <x:f>IF(A27&lt;'01_Run_Config'!$B$32,"Kein Basisdünger",IF(A27&lt;'01_Run_Config'!$B$33,"HESI TNT","HESI Coco"))</x:f>
        <x:v>HESI TNT</x:v>
      </x:c>
      <x:c r="V27" s="63" t="n">
        <x:f>IF(A27&lt;'01_Run_Config'!$B$32,0,IF(A27&lt;'01_Run_Config'!$B$33,IF(A27-'01_Run_Config'!$B$32&lt;=3,1.25,IF(A27-'01_Run_Config'!$B$32&lt;=10,2,2.5)),IF(A27-'01_Run_Config'!$B$33&lt;=6,2.5,IF(A27-'01_Run_Config'!$B$33&lt;=13,3.25,IF(A27-'01_Run_Config'!$B$33&lt;=20,3.75,IF(A27-'01_Run_Config'!$B$33&lt;=34,4,IF(A27-'01_Run_Config'!$B$33&lt;=41,3.5,IF(A27-'01_Run_Config'!$B$33&lt;=48,2.5,1.5))))))))</x:f>
        <x:v>2.5</x:v>
      </x:c>
      <x:c r="W27" s="63" t="n">
        <x:f>IF(OR(A27='01_Run_Config'!$B$32,A27='01_Run_Config'!$B$32+6,A27='01_Run_Config'!$B$32+12),2.5,0)</x:f>
        <x:v>0</x:v>
      </x:c>
      <x:c r="X27" s="63" t="n">
        <x:f>IF(AND(A27&gt;='01_Run_Config'!$B$32+3,A27&lt;='01_Run_Config'!$B$33+35,MOD(A27-('01_Run_Config'!$B$32+3),7)=0),2,0)</x:f>
        <x:v>0</x:v>
      </x:c>
      <x:c r="Y27" s="63" t="n">
        <x:f>IF(A27&gt;='01_Run_Config'!$B$32,0.015,0)</x:f>
        <x:v>0.015</x:v>
      </x:c>
      <x:c r="Z27" s="63" t="n">
        <x:f>IF(AND('01_Run_Config'!$B$26="Hesilicio statt Balance",A27&gt;='01_Run_Config'!$B$32+3,MOD(A27-('01_Run_Config'!$B$32+3),7)=0,A27&lt;='01_Run_Config'!$B$33+35),0.5,0)</x:f>
        <x:v>0</x:v>
      </x:c>
      <x:c r="AA27" s="63" t="n">
        <x:f>IF(AND(A27&gt;='01_Run_Config'!$B$33,A27&lt;='01_Run_Config'!$B$33+35,MOD(A27-'01_Run_Config'!$B$33,7)=0),2,0)</x:f>
        <x:v>0</x:v>
      </x:c>
      <x:c r="AB27" s="63" t="n">
        <x:f>IF(A27='01_Run_Config'!$B$33+21,0.25,IF(A27='01_Run_Config'!$B$33+28,0.35,IF(A27='01_Run_Config'!$B$33+35,0.5,0)))</x:f>
        <x:v>0</x:v>
      </x:c>
      <x:c r="AC27" s="63" t="n">
        <x:f>IF(OR(A27='01_Run_Config'!$B$32,A27='01_Run_Config'!$B$32+7,A27='01_Run_Config'!$B$33+1,A27='01_Run_Config'!$B$33+8),2,0)</x:f>
        <x:v>0</x:v>
      </x:c>
      <x:c r="AD27" s="63" t="str">
        <x:f>IF(A27&lt;'01_Run_Config'!$B$33,"AN-Reference=0 außer Voodoo-Frischgaben",IF(AL27&lt;=7,"A/B: Bud Ignitor oder Mikrobenmodul; nicht Reference",IF(AL27&lt;=35,"A/B: Big Bud STATT HESI-PK; nicht additiv stapeln",IF(AL27&lt;=49,"A/B: Overdrive STATT spätem HESI-PK","AN-Booster auslaufen"))))</x:f>
        <x:v>AN-Reference=0 außer Voodoo-Frischgaben</x:v>
      </x:c>
      <x:c r="AE27" s="63" t="str">
        <x:v>Letzte strukturelle Korrekturen</x:v>
      </x:c>
      <x:c r="AF27" s="63" t="str">
        <x:v>Morgens Klima/Pflanze/Bewässerung/Leck; Mitte Lichtphase Blattwinkel; vor Dunkel LF/Drain/stehendes Wasser.</x:v>
      </x:c>
      <x:c r="AG27" s="63" t="str">
        <x:v>EC nicht erhöhen bei steigender Diagnose-Drain-EC; PPFD nicht erhöhen bei Stress; Wasserband nie erzwingen; nie mehrere neue Booster gleichzeitig.</x:v>
      </x:c>
      <x:c r="AH27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2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7" s="201" t="str">
        <x:f>IF(A27&lt;'01_Run_Config'!$B$32,"—",IF(A27&lt;'01_Run_Config'!$B$33,"G"&amp;MIN(4,INT((A27-'01_Run_Config'!$B$32)/7)+1),AM27))</x:f>
        <x:v>G4</x:v>
      </x:c>
      <x:c r="AK27" s="35" t="str">
        <x:f>IF(A27&lt;'01_Run_Config'!$B$32,"Keine AN-Additive.",IF(A27&lt;'01_Run_Config'!$B$33,"Veg: Voodoo nur definierte Frischgaben; B-52/Piranha/Tarantula nur A/B; Sensizym nur statt PowerZyme; Rhino Skin AUS mit Athena Balance.",IF(AL27&lt;=7,"Frühblüte: Voodoo; Bud Ignitor/Piranha/Tarantula nur A/B; Rhino Skin AUS mit Balance.",IF(AL27&lt;=35,"Hauptblüte: Big Bud nur A/B STATT HESI-PK; Biostims einzeln testen.",IF(AL27&lt;=49,"Spätblüte: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7" s="60" t="str">
        <x:f>IF(A27&lt;'01_Run_Config'!$B$33,"",A27-'01_Run_Config'!$B$33+1)</x:f>
      </x:c>
      <x:c r="AM27" s="60" t="str">
        <x:f>IF(AL27="","",IF(AL27&gt;49,CHAR(66)&amp;"7+",CHAR(66)&amp;TEXT(INT((AL27-1)/7)+1,"0")))</x:f>
      </x:c>
      <x:c r="AN27" s="60" t="n">
        <x:f>ROUND(0.6108*EXP(17.27*L27/(L27+237.3))*(1-N27/100),2)</x:f>
        <x:v>1.37</x:v>
      </x:c>
      <x:c r="AO27" s="60" t="n">
        <x:f>H27*G27/1000</x:f>
        <x:v>1.71</x:v>
      </x:c>
      <x:c r="AP27" s="60" t="n">
        <x:f>SUM($AO$2:AO27)</x:f>
        <x:v>28.26000000000001</x:v>
      </x:c>
      <x:c r="AQ27" t="n">
        <x:f>'01_Run_Config'!$B$17</x:f>
        <x:v>0</x:v>
      </x:c>
      <x:c r="AR27" t="n">
        <x:f>'01_Run_Config'!$B$22</x:f>
        <x:v>0</x:v>
      </x:c>
      <x:c r="AS27" t="n">
        <x:f>'01_Run_Config'!$B$25</x:f>
        <x:v>0</x:v>
      </x:c>
    </x:row>
    <x:row r="28">
      <x:c r="A28" s="34" t="n">
        <x:v>26</x:v>
      </x:c>
      <x:c r="B28" s="129" t="n">
        <x:f>'01_Run_Config'!$B$4+A28</x:f>
        <x:v>46268</x:v>
      </x:c>
      <x:c r="C28" s="63" t="n">
        <x:f>INT(A28/7)+1</x:f>
        <x:v>4</x:v>
      </x:c>
      <x:c r="D28" s="63" t="str">
        <x:f>"M"&amp;MIN(3,INT(A28/30)+1)</x:f>
        <x:v>M1</x:v>
      </x:c>
      <x:c r="E28" s="63" t="str">
        <x:f>IF(A28&lt;4,"Keimung",IF(A28&lt;8,"Etablierung",IF(A28&lt;15,"Early Veg",IF(A28&lt;'01_Run_Config'!$B$33,IF(A28&lt;22,"Veg / LST","Preflower-Watch"),IF(A28-'01_Run_Config'!$B$33&lt;=6,"Transition / Stretch ("&amp;AM28&amp;")",IF(A28-'01_Run_Config'!$B$33&lt;=13,"Early Flower ("&amp;AM28&amp;")",IF(A28-'01_Run_Config'!$B$33&lt;=20,"Flower I ("&amp;AM28&amp;")",IF(A28-'01_Run_Config'!$B$33&lt;=34,"Peak Flower ("&amp;AM28&amp;")",IF(A28-'01_Run_Config'!$B$33&lt;=41,"Late Flower ("&amp;AM28&amp;")",IF(A28-'01_Run_Config'!$B$33&lt;=48,"Ripening ("&amp;AM28&amp;")","Harvest / Extension ("&amp;AM28&amp;")"))))))))))</x:f>
        <x:v>Preflower-Watch</x:v>
      </x:c>
      <x:c r="F28" s="63" t="str">
        <x:f>IF(A28&lt;4,"Keimung + Wurzelstart",IF(A28&lt;8,"Sämling etablieren; Wurzelraum erschließen",IF(A28&lt;15,"kompakter Aufbau; LST erst bei Vitalität",IF(A28&lt;'01_Run_Config'!$B$33,"Canopy aufbauen; Preflower beobachten",IF(A28-'01_Run_Config'!$B$33&lt;=6,"Stretch kontrollieren; Bloom-Trigger dokumentieren",IF(A28-'01_Run_Config'!$B$33&lt;=13,"Blütenansatz stabilisieren",IF(A28-'01_Run_Config'!$B$33&lt;=20,"Blütenaufbau ohne neue Stressoren",IF(A28-'01_Run_Config'!$B$33&lt;=34,"stabile Peak-Photosynthese; Klima priorisieren",IF(A28-'01_Run_Config'!$B$33&lt;=41,"Qualität/Schimmelprävention",IF(A28-'01_Run_Config'!$B$33&lt;=48,"Reife ohne Überfütterung","Erntefenster nach Pflanze; keine Kalenderernte"))))))))))</x:f>
        <x:v>Canopy aufbauen; Preflower beobachten</x:v>
      </x:c>
      <x:c r="G28" s="63" t="n">
        <x:v>18</x:v>
      </x:c>
      <x:c r="H28" s="63" t="n">
        <x:v>95</x:v>
      </x:c>
      <x:c r="I28" s="63" t="n">
        <x:v>450</x:v>
      </x:c>
      <x:c r="J28" s="63" t="n">
        <x:f>I28*G28*3600/1000000</x:f>
        <x:v>29.16</x:v>
      </x:c>
      <x:c r="K28" s="63" t="n">
        <x:v>40</x:v>
      </x:c>
      <x:c r="L28" s="63" t="n">
        <x:v>25.5</x:v>
      </x:c>
      <x:c r="M28" s="63" t="n">
        <x:v>22</x:v>
      </x:c>
      <x:c r="N28" s="63" t="n">
        <x:v>58</x:v>
      </x:c>
      <x:c r="O28" s="63" t="n">
        <x:f>ROUND(0.6108*EXP(17.27*(L28+'01_Run_Config'!$B$34)/(L28+'01_Run_Config'!$B$34+237.3))-(N28/100)*0.6108*EXP(17.27*L28/(L28+237.3)),2)</x:f>
        <x:v>1.18</x:v>
      </x:c>
      <x:c r="P28" s="63" t="n">
        <x:f>IF(A28&lt;'01_Run_Config'!$B$32,0.55,IF(A28&lt;'01_Run_Config'!$B$33,IF(A28-'01_Run_Config'!$B$32&lt;=3,0.8,IF(A28-'01_Run_Config'!$B$32&lt;=10,1,IF(A28-'01_Run_Config'!$B$32&lt;=17,1.2,1.4))),IF(A28-'01_Run_Config'!$B$33&lt;=6,1.5,IF(A28-'01_Run_Config'!$B$33&lt;=13,1.6,IF(A28-'01_Run_Config'!$B$33&lt;=20,1.7,IF(A28-'01_Run_Config'!$B$33&lt;=34,1.8,IF(A28-'01_Run_Config'!$B$33&lt;=41,1.6,IF(A28-'01_Run_Config'!$B$33&lt;=48,1.4,1.15))))))))</x:f>
        <x:v>1.4</x:v>
      </x:c>
      <x:c r="Q28" s="63" t="n">
        <x:v>5.9</x:v>
      </x:c>
      <x:c r="R28" s="63" t="n">
        <x:v>0.4</x:v>
      </x:c>
      <x:c r="S28" s="63" t="n">
        <x:v>0.7</x:v>
      </x:c>
      <x:c r="T28" s="63" t="str">
        <x:f>IF(A28&lt;=7,"Manuell",'01_Run_Config'!$B$40)</x:f>
        <x:v>Manuell / indoor-freigegebene Automation</x:v>
      </x:c>
      <x:c r="U28" s="63" t="str">
        <x:f>IF(A28&lt;'01_Run_Config'!$B$32,"Kein Basisdünger",IF(A28&lt;'01_Run_Config'!$B$33,"HESI TNT","HESI Coco"))</x:f>
        <x:v>HESI TNT</x:v>
      </x:c>
      <x:c r="V28" s="63" t="n">
        <x:f>IF(A28&lt;'01_Run_Config'!$B$32,0,IF(A28&lt;'01_Run_Config'!$B$33,IF(A28-'01_Run_Config'!$B$32&lt;=3,1.25,IF(A28-'01_Run_Config'!$B$32&lt;=10,2,2.5)),IF(A28-'01_Run_Config'!$B$33&lt;=6,2.5,IF(A28-'01_Run_Config'!$B$33&lt;=13,3.25,IF(A28-'01_Run_Config'!$B$33&lt;=20,3.75,IF(A28-'01_Run_Config'!$B$33&lt;=34,4,IF(A28-'01_Run_Config'!$B$33&lt;=41,3.5,IF(A28-'01_Run_Config'!$B$33&lt;=48,2.5,1.5))))))))</x:f>
        <x:v>2.5</x:v>
      </x:c>
      <x:c r="W28" s="63" t="n">
        <x:f>IF(OR(A28='01_Run_Config'!$B$32,A28='01_Run_Config'!$B$32+6,A28='01_Run_Config'!$B$32+12),2.5,0)</x:f>
        <x:v>0</x:v>
      </x:c>
      <x:c r="X28" s="63" t="n">
        <x:f>IF(AND(A28&gt;='01_Run_Config'!$B$32+3,A28&lt;='01_Run_Config'!$B$33+35,MOD(A28-('01_Run_Config'!$B$32+3),7)=0),2,0)</x:f>
        <x:v>0</x:v>
      </x:c>
      <x:c r="Y28" s="63" t="n">
        <x:f>IF(A28&gt;='01_Run_Config'!$B$32,0.015,0)</x:f>
        <x:v>0.015</x:v>
      </x:c>
      <x:c r="Z28" s="63" t="n">
        <x:f>IF(AND('01_Run_Config'!$B$26="Hesilicio statt Balance",A28&gt;='01_Run_Config'!$B$32+3,MOD(A28-('01_Run_Config'!$B$32+3),7)=0,A28&lt;='01_Run_Config'!$B$33+35),0.5,0)</x:f>
        <x:v>0</x:v>
      </x:c>
      <x:c r="AA28" s="63" t="n">
        <x:f>IF(AND(A28&gt;='01_Run_Config'!$B$33,A28&lt;='01_Run_Config'!$B$33+35,MOD(A28-'01_Run_Config'!$B$33,7)=0),2,0)</x:f>
        <x:v>0</x:v>
      </x:c>
      <x:c r="AB28" s="63" t="n">
        <x:f>IF(A28='01_Run_Config'!$B$33+21,0.25,IF(A28='01_Run_Config'!$B$33+28,0.35,IF(A28='01_Run_Config'!$B$33+35,0.5,0)))</x:f>
        <x:v>0</x:v>
      </x:c>
      <x:c r="AC28" s="63" t="n">
        <x:f>IF(OR(A28='01_Run_Config'!$B$32,A28='01_Run_Config'!$B$32+7,A28='01_Run_Config'!$B$33+1,A28='01_Run_Config'!$B$33+8),2,0)</x:f>
        <x:v>0</x:v>
      </x:c>
      <x:c r="AD28" s="63" t="str">
        <x:f>IF(A28&lt;'01_Run_Config'!$B$33,"AN-Reference=0 außer Voodoo-Frischgaben",IF(AL28&lt;=7,"A/B: Bud Ignitor oder Mikrobenmodul; nicht Reference",IF(AL28&lt;=35,"A/B: Big Bud STATT HESI-PK; nicht additiv stapeln",IF(AL28&lt;=49,"A/B: Overdrive STATT spätem HESI-PK","AN-Booster auslaufen"))))</x:f>
        <x:v>AN-Reference=0 außer Voodoo-Frischgaben</x:v>
      </x:c>
      <x:c r="AE28" s="63" t="str">
        <x:v>Letzte strukturelle Korrekturen</x:v>
      </x:c>
      <x:c r="AF28" s="63" t="str">
        <x:v>Morgens Klima/Pflanze/Bewässerung/Leck; Mitte Lichtphase Blattwinkel; vor Dunkel LF/Drain/stehendes Wasser.</x:v>
      </x:c>
      <x:c r="AG28" s="63" t="str">
        <x:v>EC nicht erhöhen bei steigender Diagnose-Drain-EC; PPFD nicht erhöhen bei Stress; Wasserband nie erzwingen; nie mehrere neue Booster gleichzeitig.</x:v>
      </x:c>
      <x:c r="AH28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2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8" s="201" t="str">
        <x:f>IF(A28&lt;'01_Run_Config'!$B$32,"—",IF(A28&lt;'01_Run_Config'!$B$33,"G"&amp;MIN(4,INT((A28-'01_Run_Config'!$B$32)/7)+1),AM28))</x:f>
        <x:v>G4</x:v>
      </x:c>
      <x:c r="AK28" s="35" t="str">
        <x:f>IF(A28&lt;'01_Run_Config'!$B$32,"Keine AN-Additive.",IF(A28&lt;'01_Run_Config'!$B$33,"Veg: Voodoo nur definierte Frischgaben; B-52/Piranha/Tarantula nur A/B; Sensizym nur statt PowerZyme; Rhino Skin AUS mit Athena Balance.",IF(AL28&lt;=7,"Frühblüte: Voodoo; Bud Ignitor/Piranha/Tarantula nur A/B; Rhino Skin AUS mit Balance.",IF(AL28&lt;=35,"Hauptblüte: Big Bud nur A/B STATT HESI-PK; Biostims einzeln testen.",IF(AL28&lt;=49,"Spätblüte: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8" s="60" t="str">
        <x:f>IF(A28&lt;'01_Run_Config'!$B$33,"",A28-'01_Run_Config'!$B$33+1)</x:f>
      </x:c>
      <x:c r="AM28" s="60" t="str">
        <x:f>IF(AL28="","",IF(AL28&gt;49,CHAR(66)&amp;"7+",CHAR(66)&amp;TEXT(INT((AL28-1)/7)+1,"0")))</x:f>
      </x:c>
      <x:c r="AN28" s="60" t="n">
        <x:f>ROUND(0.6108*EXP(17.27*L28/(L28+237.3))*(1-N28/100),2)</x:f>
        <x:v>1.37</x:v>
      </x:c>
      <x:c r="AO28" s="60" t="n">
        <x:f>H28*G28/1000</x:f>
        <x:v>1.71</x:v>
      </x:c>
      <x:c r="AP28" s="60" t="n">
        <x:f>SUM($AO$2:AO28)</x:f>
        <x:v>29.97000000000001</x:v>
      </x:c>
      <x:c r="AQ28" t="n">
        <x:f>'01_Run_Config'!$B$17</x:f>
        <x:v>0</x:v>
      </x:c>
      <x:c r="AR28" t="n">
        <x:f>'01_Run_Config'!$B$22</x:f>
        <x:v>0</x:v>
      </x:c>
      <x:c r="AS28" t="n">
        <x:f>'01_Run_Config'!$B$25</x:f>
        <x:v>0</x:v>
      </x:c>
    </x:row>
    <x:row r="29">
      <x:c r="A29" s="34" t="n">
        <x:v>27</x:v>
      </x:c>
      <x:c r="B29" s="129" t="n">
        <x:f>'01_Run_Config'!$B$4+A29</x:f>
        <x:v>46269</x:v>
      </x:c>
      <x:c r="C29" s="63" t="n">
        <x:f>INT(A29/7)+1</x:f>
        <x:v>4</x:v>
      </x:c>
      <x:c r="D29" s="63" t="str">
        <x:f>"M"&amp;MIN(3,INT(A29/30)+1)</x:f>
        <x:v>M1</x:v>
      </x:c>
      <x:c r="E29" s="63" t="str">
        <x:f>IF(A29&lt;4,"Keimung",IF(A29&lt;8,"Etablierung",IF(A29&lt;15,"Early Veg",IF(A29&lt;'01_Run_Config'!$B$33,IF(A29&lt;22,"Veg / LST","Preflower-Watch"),IF(A29-'01_Run_Config'!$B$33&lt;=6,"Transition / Stretch ("&amp;AM29&amp;")",IF(A29-'01_Run_Config'!$B$33&lt;=13,"Early Flower ("&amp;AM29&amp;")",IF(A29-'01_Run_Config'!$B$33&lt;=20,"Flower I ("&amp;AM29&amp;")",IF(A29-'01_Run_Config'!$B$33&lt;=34,"Peak Flower ("&amp;AM29&amp;")",IF(A29-'01_Run_Config'!$B$33&lt;=41,"Late Flower ("&amp;AM29&amp;")",IF(A29-'01_Run_Config'!$B$33&lt;=48,"Ripening ("&amp;AM29&amp;")","Harvest / Extension ("&amp;AM29&amp;")"))))))))))</x:f>
        <x:v>Preflower-Watch</x:v>
      </x:c>
      <x:c r="F29" s="63" t="str">
        <x:f>IF(A29&lt;4,"Keimung + Wurzelstart",IF(A29&lt;8,"Sämling etablieren; Wurzelraum erschließen",IF(A29&lt;15,"kompakter Aufbau; LST erst bei Vitalität",IF(A29&lt;'01_Run_Config'!$B$33,"Canopy aufbauen; Preflower beobachten",IF(A29-'01_Run_Config'!$B$33&lt;=6,"Stretch kontrollieren; Bloom-Trigger dokumentieren",IF(A29-'01_Run_Config'!$B$33&lt;=13,"Blütenansatz stabilisieren",IF(A29-'01_Run_Config'!$B$33&lt;=20,"Blütenaufbau ohne neue Stressoren",IF(A29-'01_Run_Config'!$B$33&lt;=34,"stabile Peak-Photosynthese; Klima priorisieren",IF(A29-'01_Run_Config'!$B$33&lt;=41,"Qualität/Schimmelprävention",IF(A29-'01_Run_Config'!$B$33&lt;=48,"Reife ohne Überfütterung","Erntefenster nach Pflanze; keine Kalenderernte"))))))))))</x:f>
        <x:v>Canopy aufbauen; Preflower beobachten</x:v>
      </x:c>
      <x:c r="G29" s="63" t="n">
        <x:v>18</x:v>
      </x:c>
      <x:c r="H29" s="63" t="n">
        <x:v>95</x:v>
      </x:c>
      <x:c r="I29" s="63" t="n">
        <x:v>450</x:v>
      </x:c>
      <x:c r="J29" s="63" t="n">
        <x:f>I29*G29*3600/1000000</x:f>
        <x:v>29.16</x:v>
      </x:c>
      <x:c r="K29" s="63" t="n">
        <x:v>40</x:v>
      </x:c>
      <x:c r="L29" s="63" t="n">
        <x:v>25.5</x:v>
      </x:c>
      <x:c r="M29" s="63" t="n">
        <x:v>22</x:v>
      </x:c>
      <x:c r="N29" s="63" t="n">
        <x:v>58</x:v>
      </x:c>
      <x:c r="O29" s="63" t="n">
        <x:f>ROUND(0.6108*EXP(17.27*(L29+'01_Run_Config'!$B$34)/(L29+'01_Run_Config'!$B$34+237.3))-(N29/100)*0.6108*EXP(17.27*L29/(L29+237.3)),2)</x:f>
        <x:v>1.18</x:v>
      </x:c>
      <x:c r="P29" s="63" t="n">
        <x:f>IF(A29&lt;'01_Run_Config'!$B$32,0.55,IF(A29&lt;'01_Run_Config'!$B$33,IF(A29-'01_Run_Config'!$B$32&lt;=3,0.8,IF(A29-'01_Run_Config'!$B$32&lt;=10,1,IF(A29-'01_Run_Config'!$B$32&lt;=17,1.2,1.4))),IF(A29-'01_Run_Config'!$B$33&lt;=6,1.5,IF(A29-'01_Run_Config'!$B$33&lt;=13,1.6,IF(A29-'01_Run_Config'!$B$33&lt;=20,1.7,IF(A29-'01_Run_Config'!$B$33&lt;=34,1.8,IF(A29-'01_Run_Config'!$B$33&lt;=41,1.6,IF(A29-'01_Run_Config'!$B$33&lt;=48,1.4,1.15))))))))</x:f>
        <x:v>1.4</x:v>
      </x:c>
      <x:c r="Q29" s="63" t="n">
        <x:v>5.9</x:v>
      </x:c>
      <x:c r="R29" s="63" t="n">
        <x:v>0.4</x:v>
      </x:c>
      <x:c r="S29" s="63" t="n">
        <x:v>0.7</x:v>
      </x:c>
      <x:c r="T29" s="63" t="str">
        <x:f>IF(A29&lt;=7,"Manuell",'01_Run_Config'!$B$40)</x:f>
        <x:v>Manuell / indoor-freigegebene Automation</x:v>
      </x:c>
      <x:c r="U29" s="63" t="str">
        <x:f>IF(A29&lt;'01_Run_Config'!$B$32,"Kein Basisdünger",IF(A29&lt;'01_Run_Config'!$B$33,"HESI TNT","HESI Coco"))</x:f>
        <x:v>HESI TNT</x:v>
      </x:c>
      <x:c r="V29" s="63" t="n">
        <x:f>IF(A29&lt;'01_Run_Config'!$B$32,0,IF(A29&lt;'01_Run_Config'!$B$33,IF(A29-'01_Run_Config'!$B$32&lt;=3,1.25,IF(A29-'01_Run_Config'!$B$32&lt;=10,2,2.5)),IF(A29-'01_Run_Config'!$B$33&lt;=6,2.5,IF(A29-'01_Run_Config'!$B$33&lt;=13,3.25,IF(A29-'01_Run_Config'!$B$33&lt;=20,3.75,IF(A29-'01_Run_Config'!$B$33&lt;=34,4,IF(A29-'01_Run_Config'!$B$33&lt;=41,3.5,IF(A29-'01_Run_Config'!$B$33&lt;=48,2.5,1.5))))))))</x:f>
        <x:v>2.5</x:v>
      </x:c>
      <x:c r="W29" s="63" t="n">
        <x:f>IF(OR(A29='01_Run_Config'!$B$32,A29='01_Run_Config'!$B$32+6,A29='01_Run_Config'!$B$32+12),2.5,0)</x:f>
        <x:v>0</x:v>
      </x:c>
      <x:c r="X29" s="63" t="n">
        <x:f>IF(AND(A29&gt;='01_Run_Config'!$B$32+3,A29&lt;='01_Run_Config'!$B$33+35,MOD(A29-('01_Run_Config'!$B$32+3),7)=0),2,0)</x:f>
        <x:v>0</x:v>
      </x:c>
      <x:c r="Y29" s="63" t="n">
        <x:f>IF(A29&gt;='01_Run_Config'!$B$32,0.015,0)</x:f>
        <x:v>0.015</x:v>
      </x:c>
      <x:c r="Z29" s="63" t="n">
        <x:f>IF(AND('01_Run_Config'!$B$26="Hesilicio statt Balance",A29&gt;='01_Run_Config'!$B$32+3,MOD(A29-('01_Run_Config'!$B$32+3),7)=0,A29&lt;='01_Run_Config'!$B$33+35),0.5,0)</x:f>
        <x:v>0</x:v>
      </x:c>
      <x:c r="AA29" s="63" t="n">
        <x:f>IF(AND(A29&gt;='01_Run_Config'!$B$33,A29&lt;='01_Run_Config'!$B$33+35,MOD(A29-'01_Run_Config'!$B$33,7)=0),2,0)</x:f>
        <x:v>0</x:v>
      </x:c>
      <x:c r="AB29" s="63" t="n">
        <x:f>IF(A29='01_Run_Config'!$B$33+21,0.25,IF(A29='01_Run_Config'!$B$33+28,0.35,IF(A29='01_Run_Config'!$B$33+35,0.5,0)))</x:f>
        <x:v>0</x:v>
      </x:c>
      <x:c r="AC29" s="63" t="n">
        <x:f>IF(OR(A29='01_Run_Config'!$B$32,A29='01_Run_Config'!$B$32+7,A29='01_Run_Config'!$B$33+1,A29='01_Run_Config'!$B$33+8),2,0)</x:f>
        <x:v>0</x:v>
      </x:c>
      <x:c r="AD29" s="63" t="str">
        <x:f>IF(A29&lt;'01_Run_Config'!$B$33,"AN-Reference=0 außer Voodoo-Frischgaben",IF(AL29&lt;=7,"A/B: Bud Ignitor oder Mikrobenmodul; nicht Reference",IF(AL29&lt;=35,"A/B: Big Bud STATT HESI-PK; nicht additiv stapeln",IF(AL29&lt;=49,"A/B: Overdrive STATT spätem HESI-PK","AN-Booster auslaufen"))))</x:f>
        <x:v>AN-Reference=0 außer Voodoo-Frischgaben</x:v>
      </x:c>
      <x:c r="AE29" s="63" t="str">
        <x:v>Letzte strukturelle Korrekturen</x:v>
      </x:c>
      <x:c r="AF29" s="63" t="str">
        <x:v>Morgens Klima/Pflanze/Bewässerung/Leck; Mitte Lichtphase Blattwinkel; vor Dunkel LF/Drain/stehendes Wasser.</x:v>
      </x:c>
      <x:c r="AG29" s="63" t="str">
        <x:v>EC nicht erhöhen bei steigender Diagnose-Drain-EC; PPFD nicht erhöhen bei Stress; Wasserband nie erzwingen; nie mehrere neue Booster gleichzeitig.</x:v>
      </x:c>
      <x:c r="AH29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2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9" s="201" t="str">
        <x:f>IF(A29&lt;'01_Run_Config'!$B$32,"—",IF(A29&lt;'01_Run_Config'!$B$33,"G"&amp;MIN(4,INT((A29-'01_Run_Config'!$B$32)/7)+1),AM29))</x:f>
        <x:v>G4</x:v>
      </x:c>
      <x:c r="AK29" s="35" t="str">
        <x:f>IF(A29&lt;'01_Run_Config'!$B$32,"Keine AN-Additive.",IF(A29&lt;'01_Run_Config'!$B$33,"Veg: Voodoo nur definierte Frischgaben; B-52/Piranha/Tarantula nur A/B; Sensizym nur statt PowerZyme; Rhino Skin AUS mit Athena Balance.",IF(AL29&lt;=7,"Frühblüte: Voodoo; Bud Ignitor/Piranha/Tarantula nur A/B; Rhino Skin AUS mit Balance.",IF(AL29&lt;=35,"Hauptblüte: Big Bud nur A/B STATT HESI-PK; Biostims einzeln testen.",IF(AL29&lt;=49,"Spätblüte: Overdrive nur A/B STATT spätem HESI-PK; keine neue zweite Variable.","Booster auslaufen / Reife priorisieren.")))))</x:f>
        <x:v>Veg: Voodoo nur definierte Frischgaben; B-52/Piranha/Tarantula nur A/B; Sensizym nur statt PowerZyme; Rhino Skin AUS mit Athena Balance.</x:v>
      </x:c>
      <x:c r="AL29" s="60" t="str">
        <x:f>IF(A29&lt;'01_Run_Config'!$B$33,"",A29-'01_Run_Config'!$B$33+1)</x:f>
      </x:c>
      <x:c r="AM29" s="60" t="str">
        <x:f>IF(AL29="","",IF(AL29&gt;49,CHAR(66)&amp;"7+",CHAR(66)&amp;TEXT(INT((AL29-1)/7)+1,"0")))</x:f>
      </x:c>
      <x:c r="AN29" s="60" t="n">
        <x:f>ROUND(0.6108*EXP(17.27*L29/(L29+237.3))*(1-N29/100),2)</x:f>
        <x:v>1.37</x:v>
      </x:c>
      <x:c r="AO29" s="60" t="n">
        <x:f>H29*G29/1000</x:f>
        <x:v>1.71</x:v>
      </x:c>
      <x:c r="AP29" s="60" t="n">
        <x:f>SUM($AO$2:AO29)</x:f>
        <x:v>31.68000000000001</x:v>
      </x:c>
      <x:c r="AQ29" t="n">
        <x:f>'01_Run_Config'!$B$17</x:f>
        <x:v>0</x:v>
      </x:c>
      <x:c r="AR29" t="n">
        <x:f>'01_Run_Config'!$B$22</x:f>
        <x:v>0</x:v>
      </x:c>
      <x:c r="AS29" t="n">
        <x:f>'01_Run_Config'!$B$25</x:f>
        <x:v>0</x:v>
      </x:c>
    </x:row>
    <x:row r="30">
      <x:c r="A30" s="34" t="n">
        <x:v>28</x:v>
      </x:c>
      <x:c r="B30" s="129" t="n">
        <x:f>'01_Run_Config'!$B$4+A30</x:f>
        <x:v>46270</x:v>
      </x:c>
      <x:c r="C30" s="63" t="n">
        <x:f>INT(A30/7)+1</x:f>
        <x:v>5</x:v>
      </x:c>
      <x:c r="D30" s="63" t="str">
        <x:f>"M"&amp;MIN(3,INT(A30/30)+1)</x:f>
        <x:v>M1</x:v>
      </x:c>
      <x:c r="E30" s="63" t="str">
        <x:f>IF(A30&lt;4,"Keimung",IF(A30&lt;8,"Etablierung",IF(A30&lt;15,"Early Veg",IF(A30&lt;'01_Run_Config'!$B$33,IF(A30&lt;22,"Veg / LST","Preflower-Watch"),IF(A30-'01_Run_Config'!$B$33&lt;=6,"Transition / Stretch ("&amp;AM30&amp;")",IF(A30-'01_Run_Config'!$B$33&lt;=13,"Early Flower ("&amp;AM30&amp;")",IF(A30-'01_Run_Config'!$B$33&lt;=20,"Flower I ("&amp;AM30&amp;")",IF(A30-'01_Run_Config'!$B$33&lt;=34,"Peak Flower ("&amp;AM30&amp;")",IF(A30-'01_Run_Config'!$B$33&lt;=41,"Late Flower ("&amp;AM30&amp;")",IF(A30-'01_Run_Config'!$B$33&lt;=48,"Ripening ("&amp;AM30&amp;")","Harvest / Extension ("&amp;AM30&amp;")"))))))))))</x:f>
        <x:v>Transition / Stretch (B1)</x:v>
      </x:c>
      <x:c r="F30" s="63" t="str">
        <x:f>IF(A30&lt;4,"Keimung + Wurzelstart",IF(A30&lt;8,"Sämling etablieren; Wurzelraum erschließen",IF(A30&lt;15,"kompakter Aufbau; LST erst bei Vitalität",IF(A30&lt;'01_Run_Config'!$B$33,"Canopy aufbauen; Preflower beobachten",IF(A30-'01_Run_Config'!$B$33&lt;=6,"Stretch kontrollieren; Bloom-Trigger dokumentieren",IF(A30-'01_Run_Config'!$B$33&lt;=13,"Blütenansatz stabilisieren",IF(A30-'01_Run_Config'!$B$33&lt;=20,"Blütenaufbau ohne neue Stressoren",IF(A30-'01_Run_Config'!$B$33&lt;=34,"stabile Peak-Photosynthese; Klima priorisieren",IF(A30-'01_Run_Config'!$B$33&lt;=41,"Qualität/Schimmelprävention",IF(A30-'01_Run_Config'!$B$33&lt;=48,"Reife ohne Überfütterung","Erntefenster nach Pflanze; keine Kalenderernte"))))))))))</x:f>
        <x:v>Stretch kontrollieren; Bloom-Trigger dokumentieren</x:v>
      </x:c>
      <x:c r="G30" s="63" t="n">
        <x:v>18</x:v>
      </x:c>
      <x:c r="H30" s="63" t="n">
        <x:v>95</x:v>
      </x:c>
      <x:c r="I30" s="63" t="n">
        <x:v>450</x:v>
      </x:c>
      <x:c r="J30" s="63" t="n">
        <x:f>I30*G30*3600/1000000</x:f>
        <x:v>29.16</x:v>
      </x:c>
      <x:c r="K30" s="63" t="n">
        <x:v>40</x:v>
      </x:c>
      <x:c r="L30" s="63" t="n">
        <x:v>25.5</x:v>
      </x:c>
      <x:c r="M30" s="63" t="n">
        <x:v>22</x:v>
      </x:c>
      <x:c r="N30" s="63" t="n">
        <x:v>58</x:v>
      </x:c>
      <x:c r="O30" s="63" t="n">
        <x:f>ROUND(0.6108*EXP(17.27*(L30+'01_Run_Config'!$B$34)/(L30+'01_Run_Config'!$B$34+237.3))-(N30/100)*0.6108*EXP(17.27*L30/(L30+237.3)),2)</x:f>
        <x:v>1.18</x:v>
      </x:c>
      <x:c r="P30" s="63" t="n">
        <x:f>IF(A30&lt;'01_Run_Config'!$B$32,0.55,IF(A30&lt;'01_Run_Config'!$B$33,IF(A30-'01_Run_Config'!$B$32&lt;=3,0.8,IF(A30-'01_Run_Config'!$B$32&lt;=10,1,IF(A30-'01_Run_Config'!$B$32&lt;=17,1.2,1.4))),IF(A30-'01_Run_Config'!$B$33&lt;=6,1.5,IF(A30-'01_Run_Config'!$B$33&lt;=13,1.6,IF(A30-'01_Run_Config'!$B$33&lt;=20,1.7,IF(A30-'01_Run_Config'!$B$33&lt;=34,1.8,IF(A30-'01_Run_Config'!$B$33&lt;=41,1.6,IF(A30-'01_Run_Config'!$B$33&lt;=48,1.4,1.15))))))))</x:f>
        <x:v>1.5</x:v>
      </x:c>
      <x:c r="Q30" s="63" t="n">
        <x:v>5.9</x:v>
      </x:c>
      <x:c r="R30" s="63" t="n">
        <x:v>0.4</x:v>
      </x:c>
      <x:c r="S30" s="63" t="n">
        <x:v>0.7</x:v>
      </x:c>
      <x:c r="T30" s="63" t="str">
        <x:f>IF(A30&lt;=7,"Manuell",'01_Run_Config'!$B$40)</x:f>
        <x:v>Manuell / indoor-freigegebene Automation</x:v>
      </x:c>
      <x:c r="U30" s="63" t="str">
        <x:f>IF(A30&lt;'01_Run_Config'!$B$32,"Kein Basisdünger",IF(A30&lt;'01_Run_Config'!$B$33,"HESI TNT","HESI Coco"))</x:f>
        <x:v>HESI Coco</x:v>
      </x:c>
      <x:c r="V30" s="63" t="n">
        <x:f>IF(A30&lt;'01_Run_Config'!$B$32,0,IF(A30&lt;'01_Run_Config'!$B$33,IF(A30-'01_Run_Config'!$B$32&lt;=3,1.25,IF(A30-'01_Run_Config'!$B$32&lt;=10,2,2.5)),IF(A30-'01_Run_Config'!$B$33&lt;=6,2.5,IF(A30-'01_Run_Config'!$B$33&lt;=13,3.25,IF(A30-'01_Run_Config'!$B$33&lt;=20,3.75,IF(A30-'01_Run_Config'!$B$33&lt;=34,4,IF(A30-'01_Run_Config'!$B$33&lt;=41,3.5,IF(A30-'01_Run_Config'!$B$33&lt;=48,2.5,1.5))))))))</x:f>
        <x:v>2.5</x:v>
      </x:c>
      <x:c r="W30" s="63" t="n">
        <x:f>IF(OR(A30='01_Run_Config'!$B$32,A30='01_Run_Config'!$B$32+6,A30='01_Run_Config'!$B$32+12),2.5,0)</x:f>
        <x:v>0</x:v>
      </x:c>
      <x:c r="X30" s="63" t="n">
        <x:f>IF(AND(A30&gt;='01_Run_Config'!$B$32+3,A30&lt;='01_Run_Config'!$B$33+35,MOD(A30-('01_Run_Config'!$B$32+3),7)=0),2,0)</x:f>
        <x:v>2</x:v>
      </x:c>
      <x:c r="Y30" s="63" t="n">
        <x:f>IF(A30&gt;='01_Run_Config'!$B$32,0.015,0)</x:f>
        <x:v>0.015</x:v>
      </x:c>
      <x:c r="Z30" s="63" t="n">
        <x:f>IF(AND('01_Run_Config'!$B$26="Hesilicio statt Balance",A30&gt;='01_Run_Config'!$B$32+3,MOD(A30-('01_Run_Config'!$B$32+3),7)=0,A30&lt;='01_Run_Config'!$B$33+35),0.5,0)</x:f>
        <x:v>0</x:v>
      </x:c>
      <x:c r="AA30" s="63" t="n">
        <x:f>IF(AND(A30&gt;='01_Run_Config'!$B$33,A30&lt;='01_Run_Config'!$B$33+35,MOD(A30-'01_Run_Config'!$B$33,7)=0),2,0)</x:f>
        <x:v>2</x:v>
      </x:c>
      <x:c r="AB30" s="63" t="n">
        <x:f>IF(A30='01_Run_Config'!$B$33+21,0.25,IF(A30='01_Run_Config'!$B$33+28,0.35,IF(A30='01_Run_Config'!$B$33+35,0.5,0)))</x:f>
        <x:v>0</x:v>
      </x:c>
      <x:c r="AC30" s="63" t="n">
        <x:f>IF(OR(A30='01_Run_Config'!$B$32,A30='01_Run_Config'!$B$32+7,A30='01_Run_Config'!$B$33+1,A30='01_Run_Config'!$B$33+8),2,0)</x:f>
        <x:v>0</x:v>
      </x:c>
      <x:c r="AD30" s="63" t="str">
        <x:f>IF(A30&lt;'01_Run_Config'!$B$33,"AN-Reference=0 außer Voodoo-Frischgaben",IF(AL30&lt;=7,"A/B: Bud Ignitor oder Mikrobenmodul; nicht Reference",IF(AL30&lt;=35,"A/B: Big Bud STATT HESI-PK; nicht additiv stapeln",IF(AL30&lt;=49,"A/B: Overdrive STATT spätem HESI-PK","AN-Booster auslaufen"))))</x:f>
        <x:v>A/B: Bud Ignitor oder Mikrobenmodul; nicht Reference</x:v>
      </x:c>
      <x:c r="AE30" s="63" t="str">
        <x:v>Letzte strukturelle Korrekturen</x:v>
      </x:c>
      <x:c r="AF30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0" s="63" t="str">
        <x:v>EC nicht erhöhen bei steigender Diagnose-Drain-EC; PPFD nicht erhöhen bei Stress; Wasserband nie erzwingen; nie mehrere neue Booster gleichzeitig.</x:v>
      </x:c>
      <x:c r="AH30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3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0" s="201" t="str">
        <x:f>IF(A30&lt;'01_Run_Config'!$B$32,"—",IF(A30&lt;'01_Run_Config'!$B$33,"G"&amp;MIN(4,INT((A30-'01_Run_Config'!$B$32)/7)+1),AM30))</x:f>
        <x:v>B1</x:v>
      </x:c>
      <x:c r="AK30" s="35" t="str">
        <x:f>IF(A30&lt;'01_Run_Config'!$B$32,"Keine AN-Additive.",IF(A30&lt;'01_Run_Config'!$B$33,"Veg: Voodoo nur definierte Frischgaben; B-52/Piranha/Tarantula nur A/B; Sensizym nur statt PowerZyme; Rhino Skin AUS mit Athena Balance.",IF(AL30&lt;=7,"Frühblüte: Voodoo; Bud Ignitor/Piranha/Tarantula nur A/B; Rhino Skin AUS mit Balance.",IF(AL30&lt;=35,"Hauptblüte: Big Bud nur A/B STATT HESI-PK; Biostims einzeln testen.",IF(AL30&lt;=49,"Spätblüte: Overdrive nur A/B STATT spätem HESI-PK; keine neue zweite Variable.","Booster auslaufen / Reife priorisieren.")))))</x:f>
        <x:v>Frühblüte: Voodoo; Bud Ignitor/Piranha/Tarantula nur A/B; Rhino Skin AUS mit Balance.</x:v>
      </x:c>
      <x:c r="AL30" s="60" t="n">
        <x:f>IF(A30&lt;'01_Run_Config'!$B$33,"",A30-'01_Run_Config'!$B$33+1)</x:f>
        <x:v>1</x:v>
      </x:c>
      <x:c r="AM30" s="60" t="str">
        <x:f>IF(AL30="","",IF(AL30&gt;49,CHAR(66)&amp;"7+",CHAR(66)&amp;TEXT(INT((AL30-1)/7)+1,"0")))</x:f>
        <x:v>B1</x:v>
      </x:c>
      <x:c r="AN30" s="60" t="n">
        <x:f>ROUND(0.6108*EXP(17.27*L30/(L30+237.3))*(1-N30/100),2)</x:f>
        <x:v>1.37</x:v>
      </x:c>
      <x:c r="AO30" s="60" t="n">
        <x:f>H30*G30/1000</x:f>
        <x:v>1.71</x:v>
      </x:c>
      <x:c r="AP30" s="60" t="n">
        <x:f>SUM($AO$2:AO30)</x:f>
        <x:v>33.39000000000001</x:v>
      </x:c>
      <x:c r="AQ30" t="n">
        <x:f>'01_Run_Config'!$B$17</x:f>
        <x:v>0</x:v>
      </x:c>
      <x:c r="AR30" t="n">
        <x:f>'01_Run_Config'!$B$22</x:f>
        <x:v>0</x:v>
      </x:c>
      <x:c r="AS30" t="n">
        <x:f>'01_Run_Config'!$B$25</x:f>
        <x:v>0</x:v>
      </x:c>
    </x:row>
    <x:row r="31">
      <x:c r="A31" s="34" t="n">
        <x:v>29</x:v>
      </x:c>
      <x:c r="B31" s="129" t="n">
        <x:f>'01_Run_Config'!$B$4+A31</x:f>
        <x:v>46271</x:v>
      </x:c>
      <x:c r="C31" s="63" t="n">
        <x:f>INT(A31/7)+1</x:f>
        <x:v>5</x:v>
      </x:c>
      <x:c r="D31" s="63" t="str">
        <x:f>"M"&amp;MIN(3,INT(A31/30)+1)</x:f>
        <x:v>M1</x:v>
      </x:c>
      <x:c r="E31" s="63" t="str">
        <x:f>IF(A31&lt;4,"Keimung",IF(A31&lt;8,"Etablierung",IF(A31&lt;15,"Early Veg",IF(A31&lt;'01_Run_Config'!$B$33,IF(A31&lt;22,"Veg / LST","Preflower-Watch"),IF(A31-'01_Run_Config'!$B$33&lt;=6,"Transition / Stretch ("&amp;AM31&amp;")",IF(A31-'01_Run_Config'!$B$33&lt;=13,"Early Flower ("&amp;AM31&amp;")",IF(A31-'01_Run_Config'!$B$33&lt;=20,"Flower I ("&amp;AM31&amp;")",IF(A31-'01_Run_Config'!$B$33&lt;=34,"Peak Flower ("&amp;AM31&amp;")",IF(A31-'01_Run_Config'!$B$33&lt;=41,"Late Flower ("&amp;AM31&amp;")",IF(A31-'01_Run_Config'!$B$33&lt;=48,"Ripening ("&amp;AM31&amp;")","Harvest / Extension ("&amp;AM31&amp;")"))))))))))</x:f>
        <x:v>Transition / Stretch (B1)</x:v>
      </x:c>
      <x:c r="F31" s="63" t="str">
        <x:f>IF(A31&lt;4,"Keimung + Wurzelstart",IF(A31&lt;8,"Sämling etablieren; Wurzelraum erschließen",IF(A31&lt;15,"kompakter Aufbau; LST erst bei Vitalität",IF(A31&lt;'01_Run_Config'!$B$33,"Canopy aufbauen; Preflower beobachten",IF(A31-'01_Run_Config'!$B$33&lt;=6,"Stretch kontrollieren; Bloom-Trigger dokumentieren",IF(A31-'01_Run_Config'!$B$33&lt;=13,"Blütenansatz stabilisieren",IF(A31-'01_Run_Config'!$B$33&lt;=20,"Blütenaufbau ohne neue Stressoren",IF(A31-'01_Run_Config'!$B$33&lt;=34,"stabile Peak-Photosynthese; Klima priorisieren",IF(A31-'01_Run_Config'!$B$33&lt;=41,"Qualität/Schimmelprävention",IF(A31-'01_Run_Config'!$B$33&lt;=48,"Reife ohne Überfütterung","Erntefenster nach Pflanze; keine Kalenderernte"))))))))))</x:f>
        <x:v>Stretch kontrollieren; Bloom-Trigger dokumentieren</x:v>
      </x:c>
      <x:c r="G31" s="63" t="n">
        <x:v>18</x:v>
      </x:c>
      <x:c r="H31" s="63" t="n">
        <x:v>120</x:v>
      </x:c>
      <x:c r="I31" s="63" t="n">
        <x:v>550</x:v>
      </x:c>
      <x:c r="J31" s="63" t="n">
        <x:f>I31*G31*3600/1000000</x:f>
        <x:v>35.64</x:v>
      </x:c>
      <x:c r="K31" s="63" t="n">
        <x:v>36</x:v>
      </x:c>
      <x:c r="L31" s="63" t="n">
        <x:v>25</x:v>
      </x:c>
      <x:c r="M31" s="63" t="n">
        <x:v>21.5</x:v>
      </x:c>
      <x:c r="N31" s="63" t="n">
        <x:v>53</x:v>
      </x:c>
      <x:c r="O31" s="63" t="n">
        <x:f>ROUND(0.6108*EXP(17.27*(L31+'01_Run_Config'!$B$34)/(L31+'01_Run_Config'!$B$34+237.3))-(N31/100)*0.6108*EXP(17.27*L31/(L31+237.3)),2)</x:f>
        <x:v>1.3</x:v>
      </x:c>
      <x:c r="P31" s="63" t="n">
        <x:f>IF(A31&lt;'01_Run_Config'!$B$32,0.55,IF(A31&lt;'01_Run_Config'!$B$33,IF(A31-'01_Run_Config'!$B$32&lt;=3,0.8,IF(A31-'01_Run_Config'!$B$32&lt;=10,1,IF(A31-'01_Run_Config'!$B$32&lt;=17,1.2,1.4))),IF(A31-'01_Run_Config'!$B$33&lt;=6,1.5,IF(A31-'01_Run_Config'!$B$33&lt;=13,1.6,IF(A31-'01_Run_Config'!$B$33&lt;=20,1.7,IF(A31-'01_Run_Config'!$B$33&lt;=34,1.8,IF(A31-'01_Run_Config'!$B$33&lt;=41,1.6,IF(A31-'01_Run_Config'!$B$33&lt;=48,1.4,1.15))))))))</x:f>
        <x:v>1.5</x:v>
      </x:c>
      <x:c r="Q31" s="63" t="n">
        <x:v>5.9</x:v>
      </x:c>
      <x:c r="R31" s="63" t="n">
        <x:v>0.6</x:v>
      </x:c>
      <x:c r="S31" s="63" t="n">
        <x:v>1</x:v>
      </x:c>
      <x:c r="T31" s="63" t="str">
        <x:f>IF(A31&lt;=7,"Manuell",'01_Run_Config'!$B$40)</x:f>
        <x:v>Manuell / indoor-freigegebene Automation</x:v>
      </x:c>
      <x:c r="U31" s="63" t="str">
        <x:f>IF(A31&lt;'01_Run_Config'!$B$32,"Kein Basisdünger",IF(A31&lt;'01_Run_Config'!$B$33,"HESI TNT","HESI Coco"))</x:f>
        <x:v>HESI Coco</x:v>
      </x:c>
      <x:c r="V31" s="63" t="n">
        <x:f>IF(A31&lt;'01_Run_Config'!$B$32,0,IF(A31&lt;'01_Run_Config'!$B$33,IF(A31-'01_Run_Config'!$B$32&lt;=3,1.25,IF(A31-'01_Run_Config'!$B$32&lt;=10,2,2.5)),IF(A31-'01_Run_Config'!$B$33&lt;=6,2.5,IF(A31-'01_Run_Config'!$B$33&lt;=13,3.25,IF(A31-'01_Run_Config'!$B$33&lt;=20,3.75,IF(A31-'01_Run_Config'!$B$33&lt;=34,4,IF(A31-'01_Run_Config'!$B$33&lt;=41,3.5,IF(A31-'01_Run_Config'!$B$33&lt;=48,2.5,1.5))))))))</x:f>
        <x:v>2.5</x:v>
      </x:c>
      <x:c r="W31" s="63" t="n">
        <x:f>IF(OR(A31='01_Run_Config'!$B$32,A31='01_Run_Config'!$B$32+6,A31='01_Run_Config'!$B$32+12),2.5,0)</x:f>
        <x:v>0</x:v>
      </x:c>
      <x:c r="X31" s="63" t="n">
        <x:f>IF(AND(A31&gt;='01_Run_Config'!$B$32+3,A31&lt;='01_Run_Config'!$B$33+35,MOD(A31-('01_Run_Config'!$B$32+3),7)=0),2,0)</x:f>
        <x:v>0</x:v>
      </x:c>
      <x:c r="Y31" s="63" t="n">
        <x:f>IF(A31&gt;='01_Run_Config'!$B$32,0.015,0)</x:f>
        <x:v>0.015</x:v>
      </x:c>
      <x:c r="Z31" s="63" t="n">
        <x:f>IF(AND('01_Run_Config'!$B$26="Hesilicio statt Balance",A31&gt;='01_Run_Config'!$B$32+3,MOD(A31-('01_Run_Config'!$B$32+3),7)=0,A31&lt;='01_Run_Config'!$B$33+35),0.5,0)</x:f>
        <x:v>0</x:v>
      </x:c>
      <x:c r="AA31" s="63" t="n">
        <x:f>IF(AND(A31&gt;='01_Run_Config'!$B$33,A31&lt;='01_Run_Config'!$B$33+35,MOD(A31-'01_Run_Config'!$B$33,7)=0),2,0)</x:f>
        <x:v>0</x:v>
      </x:c>
      <x:c r="AB31" s="63" t="n">
        <x:f>IF(A31='01_Run_Config'!$B$33+21,0.25,IF(A31='01_Run_Config'!$B$33+28,0.35,IF(A31='01_Run_Config'!$B$33+35,0.5,0)))</x:f>
        <x:v>0</x:v>
      </x:c>
      <x:c r="AC31" s="63" t="n">
        <x:f>IF(OR(A31='01_Run_Config'!$B$32,A31='01_Run_Config'!$B$32+7,A31='01_Run_Config'!$B$33+1,A31='01_Run_Config'!$B$33+8),2,0)</x:f>
        <x:v>2</x:v>
      </x:c>
      <x:c r="AD31" s="63" t="str">
        <x:f>IF(A31&lt;'01_Run_Config'!$B$33,"AN-Reference=0 außer Voodoo-Frischgaben",IF(AL31&lt;=7,"A/B: Bud Ignitor oder Mikrobenmodul; nicht Reference",IF(AL31&lt;=35,"A/B: Big Bud STATT HESI-PK; nicht additiv stapeln",IF(AL31&lt;=49,"A/B: Overdrive STATT spätem HESI-PK","AN-Booster auslaufen"))))</x:f>
        <x:v>A/B: Bud Ignitor oder Mikrobenmodul; nicht Reference</x:v>
      </x:c>
      <x:c r="AE31" s="63" t="str">
        <x:v>Strukturelles Training beenden</x:v>
      </x:c>
      <x:c r="AF31" s="63" t="str">
        <x:v>Morgens Klima/Pflanze/Bewässerung/Leck; Mitte Lichtphase Blattwinkel; vor Dunkel LF/Drain/stehendes Wasser.</x:v>
      </x:c>
      <x:c r="AG31" s="63" t="str">
        <x:v>EC nicht erhöhen bei steigender Diagnose-Drain-EC; PPFD nicht erhöhen bei Stress; Wasserband nie erzwingen; nie mehrere neue Booster gleichzeitig.</x:v>
      </x:c>
      <x:c r="AH31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3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1" s="201" t="str">
        <x:f>IF(A31&lt;'01_Run_Config'!$B$32,"—",IF(A31&lt;'01_Run_Config'!$B$33,"G"&amp;MIN(4,INT((A31-'01_Run_Config'!$B$32)/7)+1),AM31))</x:f>
        <x:v>B1</x:v>
      </x:c>
      <x:c r="AK31" s="35" t="str">
        <x:f>IF(A31&lt;'01_Run_Config'!$B$32,"Keine AN-Additive.",IF(A31&lt;'01_Run_Config'!$B$33,"Veg: Voodoo nur definierte Frischgaben; B-52/Piranha/Tarantula nur A/B; Sensizym nur statt PowerZyme; Rhino Skin AUS mit Athena Balance.",IF(AL31&lt;=7,"Frühblüte: Voodoo; Bud Ignitor/Piranha/Tarantula nur A/B; Rhino Skin AUS mit Balance.",IF(AL31&lt;=35,"Hauptblüte: Big Bud nur A/B STATT HESI-PK; Biostims einzeln testen.",IF(AL31&lt;=49,"Spätblüte: Overdrive nur A/B STATT spätem HESI-PK; keine neue zweite Variable.","Booster auslaufen / Reife priorisieren.")))))</x:f>
        <x:v>Frühblüte: Voodoo; Bud Ignitor/Piranha/Tarantula nur A/B; Rhino Skin AUS mit Balance.</x:v>
      </x:c>
      <x:c r="AL31" s="60" t="n">
        <x:f>IF(A31&lt;'01_Run_Config'!$B$33,"",A31-'01_Run_Config'!$B$33+1)</x:f>
        <x:v>2</x:v>
      </x:c>
      <x:c r="AM31" s="60" t="str">
        <x:f>IF(AL31="","",IF(AL31&gt;49,CHAR(66)&amp;"7+",CHAR(66)&amp;TEXT(INT((AL31-1)/7)+1,"0")))</x:f>
        <x:v>B1</x:v>
      </x:c>
      <x:c r="AN31" s="60" t="n">
        <x:f>ROUND(0.6108*EXP(17.27*L31/(L31+237.3))*(1-N31/100),2)</x:f>
        <x:v>1.49</x:v>
      </x:c>
      <x:c r="AO31" s="60" t="n">
        <x:f>H31*G31/1000</x:f>
        <x:v>2.16</x:v>
      </x:c>
      <x:c r="AP31" s="60" t="n">
        <x:f>SUM($AO$2:AO31)</x:f>
        <x:v>35.55000000000001</x:v>
      </x:c>
      <x:c r="AQ31" t="n">
        <x:f>'01_Run_Config'!$B$17</x:f>
        <x:v>0</x:v>
      </x:c>
      <x:c r="AR31" t="n">
        <x:f>'01_Run_Config'!$B$22</x:f>
        <x:v>0</x:v>
      </x:c>
      <x:c r="AS31" t="n">
        <x:f>'01_Run_Config'!$B$25</x:f>
        <x:v>0</x:v>
      </x:c>
    </x:row>
    <x:row r="32">
      <x:c r="A32" s="34" t="n">
        <x:v>30</x:v>
      </x:c>
      <x:c r="B32" s="129" t="n">
        <x:f>'01_Run_Config'!$B$4+A32</x:f>
        <x:v>46272</x:v>
      </x:c>
      <x:c r="C32" s="63" t="n">
        <x:f>INT(A32/7)+1</x:f>
        <x:v>5</x:v>
      </x:c>
      <x:c r="D32" s="63" t="str">
        <x:f>"M"&amp;MIN(3,INT(A32/30)+1)</x:f>
        <x:v>M2</x:v>
      </x:c>
      <x:c r="E32" s="63" t="str">
        <x:f>IF(A32&lt;4,"Keimung",IF(A32&lt;8,"Etablierung",IF(A32&lt;15,"Early Veg",IF(A32&lt;'01_Run_Config'!$B$33,IF(A32&lt;22,"Veg / LST","Preflower-Watch"),IF(A32-'01_Run_Config'!$B$33&lt;=6,"Transition / Stretch ("&amp;AM32&amp;")",IF(A32-'01_Run_Config'!$B$33&lt;=13,"Early Flower ("&amp;AM32&amp;")",IF(A32-'01_Run_Config'!$B$33&lt;=20,"Flower I ("&amp;AM32&amp;")",IF(A32-'01_Run_Config'!$B$33&lt;=34,"Peak Flower ("&amp;AM32&amp;")",IF(A32-'01_Run_Config'!$B$33&lt;=41,"Late Flower ("&amp;AM32&amp;")",IF(A32-'01_Run_Config'!$B$33&lt;=48,"Ripening ("&amp;AM32&amp;")","Harvest / Extension ("&amp;AM32&amp;")"))))))))))</x:f>
        <x:v>Transition / Stretch (B1)</x:v>
      </x:c>
      <x:c r="F32" s="63" t="str">
        <x:f>IF(A32&lt;4,"Keimung + Wurzelstart",IF(A32&lt;8,"Sämling etablieren; Wurzelraum erschließen",IF(A32&lt;15,"kompakter Aufbau; LST erst bei Vitalität",IF(A32&lt;'01_Run_Config'!$B$33,"Canopy aufbauen; Preflower beobachten",IF(A32-'01_Run_Config'!$B$33&lt;=6,"Stretch kontrollieren; Bloom-Trigger dokumentieren",IF(A32-'01_Run_Config'!$B$33&lt;=13,"Blütenansatz stabilisieren",IF(A32-'01_Run_Config'!$B$33&lt;=20,"Blütenaufbau ohne neue Stressoren",IF(A32-'01_Run_Config'!$B$33&lt;=34,"stabile Peak-Photosynthese; Klima priorisieren",IF(A32-'01_Run_Config'!$B$33&lt;=41,"Qualität/Schimmelprävention",IF(A32-'01_Run_Config'!$B$33&lt;=48,"Reife ohne Überfütterung","Erntefenster nach Pflanze; keine Kalenderernte"))))))))))</x:f>
        <x:v>Stretch kontrollieren; Bloom-Trigger dokumentieren</x:v>
      </x:c>
      <x:c r="G32" s="63" t="n">
        <x:v>18</x:v>
      </x:c>
      <x:c r="H32" s="63" t="n">
        <x:v>120</x:v>
      </x:c>
      <x:c r="I32" s="63" t="n">
        <x:v>550</x:v>
      </x:c>
      <x:c r="J32" s="63" t="n">
        <x:f>I32*G32*3600/1000000</x:f>
        <x:v>35.64</x:v>
      </x:c>
      <x:c r="K32" s="63" t="n">
        <x:v>36</x:v>
      </x:c>
      <x:c r="L32" s="63" t="n">
        <x:v>25</x:v>
      </x:c>
      <x:c r="M32" s="63" t="n">
        <x:v>21.5</x:v>
      </x:c>
      <x:c r="N32" s="63" t="n">
        <x:v>53</x:v>
      </x:c>
      <x:c r="O32" s="63" t="n">
        <x:f>ROUND(0.6108*EXP(17.27*(L32+'01_Run_Config'!$B$34)/(L32+'01_Run_Config'!$B$34+237.3))-(N32/100)*0.6108*EXP(17.27*L32/(L32+237.3)),2)</x:f>
        <x:v>1.3</x:v>
      </x:c>
      <x:c r="P32" s="63" t="n">
        <x:f>IF(A32&lt;'01_Run_Config'!$B$32,0.55,IF(A32&lt;'01_Run_Config'!$B$33,IF(A32-'01_Run_Config'!$B$32&lt;=3,0.8,IF(A32-'01_Run_Config'!$B$32&lt;=10,1,IF(A32-'01_Run_Config'!$B$32&lt;=17,1.2,1.4))),IF(A32-'01_Run_Config'!$B$33&lt;=6,1.5,IF(A32-'01_Run_Config'!$B$33&lt;=13,1.6,IF(A32-'01_Run_Config'!$B$33&lt;=20,1.7,IF(A32-'01_Run_Config'!$B$33&lt;=34,1.8,IF(A32-'01_Run_Config'!$B$33&lt;=41,1.6,IF(A32-'01_Run_Config'!$B$33&lt;=48,1.4,1.15))))))))</x:f>
        <x:v>1.5</x:v>
      </x:c>
      <x:c r="Q32" s="63" t="n">
        <x:v>5.9</x:v>
      </x:c>
      <x:c r="R32" s="63" t="n">
        <x:v>0.6</x:v>
      </x:c>
      <x:c r="S32" s="63" t="n">
        <x:v>1</x:v>
      </x:c>
      <x:c r="T32" s="63" t="str">
        <x:f>IF(A32&lt;=7,"Manuell",'01_Run_Config'!$B$40)</x:f>
        <x:v>Manuell / indoor-freigegebene Automation</x:v>
      </x:c>
      <x:c r="U32" s="63" t="str">
        <x:f>IF(A32&lt;'01_Run_Config'!$B$32,"Kein Basisdünger",IF(A32&lt;'01_Run_Config'!$B$33,"HESI TNT","HESI Coco"))</x:f>
        <x:v>HESI Coco</x:v>
      </x:c>
      <x:c r="V32" s="63" t="n">
        <x:f>IF(A32&lt;'01_Run_Config'!$B$32,0,IF(A32&lt;'01_Run_Config'!$B$33,IF(A32-'01_Run_Config'!$B$32&lt;=3,1.25,IF(A32-'01_Run_Config'!$B$32&lt;=10,2,2.5)),IF(A32-'01_Run_Config'!$B$33&lt;=6,2.5,IF(A32-'01_Run_Config'!$B$33&lt;=13,3.25,IF(A32-'01_Run_Config'!$B$33&lt;=20,3.75,IF(A32-'01_Run_Config'!$B$33&lt;=34,4,IF(A32-'01_Run_Config'!$B$33&lt;=41,3.5,IF(A32-'01_Run_Config'!$B$33&lt;=48,2.5,1.5))))))))</x:f>
        <x:v>2.5</x:v>
      </x:c>
      <x:c r="W32" s="63" t="n">
        <x:f>IF(OR(A32='01_Run_Config'!$B$32,A32='01_Run_Config'!$B$32+6,A32='01_Run_Config'!$B$32+12),2.5,0)</x:f>
        <x:v>0</x:v>
      </x:c>
      <x:c r="X32" s="63" t="n">
        <x:f>IF(AND(A32&gt;='01_Run_Config'!$B$32+3,A32&lt;='01_Run_Config'!$B$33+35,MOD(A32-('01_Run_Config'!$B$32+3),7)=0),2,0)</x:f>
        <x:v>0</x:v>
      </x:c>
      <x:c r="Y32" s="63" t="n">
        <x:f>IF(A32&gt;='01_Run_Config'!$B$32,0.015,0)</x:f>
        <x:v>0.015</x:v>
      </x:c>
      <x:c r="Z32" s="63" t="n">
        <x:f>IF(AND('01_Run_Config'!$B$26="Hesilicio statt Balance",A32&gt;='01_Run_Config'!$B$32+3,MOD(A32-('01_Run_Config'!$B$32+3),7)=0,A32&lt;='01_Run_Config'!$B$33+35),0.5,0)</x:f>
        <x:v>0</x:v>
      </x:c>
      <x:c r="AA32" s="63" t="n">
        <x:f>IF(AND(A32&gt;='01_Run_Config'!$B$33,A32&lt;='01_Run_Config'!$B$33+35,MOD(A32-'01_Run_Config'!$B$33,7)=0),2,0)</x:f>
        <x:v>0</x:v>
      </x:c>
      <x:c r="AB32" s="63" t="n">
        <x:f>IF(A32='01_Run_Config'!$B$33+21,0.25,IF(A32='01_Run_Config'!$B$33+28,0.35,IF(A32='01_Run_Config'!$B$33+35,0.5,0)))</x:f>
        <x:v>0</x:v>
      </x:c>
      <x:c r="AC32" s="63" t="n">
        <x:f>IF(OR(A32='01_Run_Config'!$B$32,A32='01_Run_Config'!$B$32+7,A32='01_Run_Config'!$B$33+1,A32='01_Run_Config'!$B$33+8),2,0)</x:f>
        <x:v>0</x:v>
      </x:c>
      <x:c r="AD32" s="63" t="str">
        <x:f>IF(A32&lt;'01_Run_Config'!$B$33,"AN-Reference=0 außer Voodoo-Frischgaben",IF(AL32&lt;=7,"A/B: Bud Ignitor oder Mikrobenmodul; nicht Reference",IF(AL32&lt;=35,"A/B: Big Bud STATT HESI-PK; nicht additiv stapeln",IF(AL32&lt;=49,"A/B: Overdrive STATT spätem HESI-PK","AN-Booster auslaufen"))))</x:f>
        <x:v>A/B: Bud Ignitor oder Mikrobenmodul; nicht Reference</x:v>
      </x:c>
      <x:c r="AE32" s="63" t="str">
        <x:v>Strukturelles Training beenden</x:v>
      </x:c>
      <x:c r="AF32" s="63" t="str">
        <x:v>Morgens Klima/Pflanze/Bewässerung/Leck; Mitte Lichtphase Blattwinkel; vor Dunkel LF/Drain/stehendes Wasser.</x:v>
      </x:c>
      <x:c r="AG32" s="63" t="str">
        <x:v>EC nicht erhöhen bei steigender Diagnose-Drain-EC; PPFD nicht erhöhen bei Stress; Wasserband nie erzwingen; nie mehrere neue Booster gleichzeitig.</x:v>
      </x:c>
      <x:c r="AH32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3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2" s="201" t="str">
        <x:f>IF(A32&lt;'01_Run_Config'!$B$32,"—",IF(A32&lt;'01_Run_Config'!$B$33,"G"&amp;MIN(4,INT((A32-'01_Run_Config'!$B$32)/7)+1),AM32))</x:f>
        <x:v>B1</x:v>
      </x:c>
      <x:c r="AK32" s="35" t="str">
        <x:f>IF(A32&lt;'01_Run_Config'!$B$32,"Keine AN-Additive.",IF(A32&lt;'01_Run_Config'!$B$33,"Veg: Voodoo nur definierte Frischgaben; B-52/Piranha/Tarantula nur A/B; Sensizym nur statt PowerZyme; Rhino Skin AUS mit Athena Balance.",IF(AL32&lt;=7,"Frühblüte: Voodoo; Bud Ignitor/Piranha/Tarantula nur A/B; Rhino Skin AUS mit Balance.",IF(AL32&lt;=35,"Hauptblüte: Big Bud nur A/B STATT HESI-PK; Biostims einzeln testen.",IF(AL32&lt;=49,"Spätblüte: Overdrive nur A/B STATT spätem HESI-PK; keine neue zweite Variable.","Booster auslaufen / Reife priorisieren.")))))</x:f>
        <x:v>Frühblüte: Voodoo; Bud Ignitor/Piranha/Tarantula nur A/B; Rhino Skin AUS mit Balance.</x:v>
      </x:c>
      <x:c r="AL32" s="60" t="n">
        <x:f>IF(A32&lt;'01_Run_Config'!$B$33,"",A32-'01_Run_Config'!$B$33+1)</x:f>
        <x:v>3</x:v>
      </x:c>
      <x:c r="AM32" s="60" t="str">
        <x:f>IF(AL32="","",IF(AL32&gt;49,CHAR(66)&amp;"7+",CHAR(66)&amp;TEXT(INT((AL32-1)/7)+1,"0")))</x:f>
        <x:v>B1</x:v>
      </x:c>
      <x:c r="AN32" s="60" t="n">
        <x:f>ROUND(0.6108*EXP(17.27*L32/(L32+237.3))*(1-N32/100),2)</x:f>
        <x:v>1.49</x:v>
      </x:c>
      <x:c r="AO32" s="60" t="n">
        <x:f>H32*G32/1000</x:f>
        <x:v>2.16</x:v>
      </x:c>
      <x:c r="AP32" s="60" t="n">
        <x:f>SUM($AO$2:AO32)</x:f>
        <x:v>37.71000000000001</x:v>
      </x:c>
      <x:c r="AQ32" t="n">
        <x:f>'01_Run_Config'!$B$17</x:f>
        <x:v>0</x:v>
      </x:c>
      <x:c r="AR32" t="n">
        <x:f>'01_Run_Config'!$B$22</x:f>
        <x:v>0</x:v>
      </x:c>
      <x:c r="AS32" t="n">
        <x:f>'01_Run_Config'!$B$25</x:f>
        <x:v>0</x:v>
      </x:c>
    </x:row>
    <x:row r="33">
      <x:c r="A33" s="34" t="n">
        <x:v>31</x:v>
      </x:c>
      <x:c r="B33" s="129" t="n">
        <x:f>'01_Run_Config'!$B$4+A33</x:f>
        <x:v>46273</x:v>
      </x:c>
      <x:c r="C33" s="63" t="n">
        <x:f>INT(A33/7)+1</x:f>
        <x:v>5</x:v>
      </x:c>
      <x:c r="D33" s="63" t="str">
        <x:f>"M"&amp;MIN(3,INT(A33/30)+1)</x:f>
        <x:v>M2</x:v>
      </x:c>
      <x:c r="E33" s="63" t="str">
        <x:f>IF(A33&lt;4,"Keimung",IF(A33&lt;8,"Etablierung",IF(A33&lt;15,"Early Veg",IF(A33&lt;'01_Run_Config'!$B$33,IF(A33&lt;22,"Veg / LST","Preflower-Watch"),IF(A33-'01_Run_Config'!$B$33&lt;=6,"Transition / Stretch ("&amp;AM33&amp;")",IF(A33-'01_Run_Config'!$B$33&lt;=13,"Early Flower ("&amp;AM33&amp;")",IF(A33-'01_Run_Config'!$B$33&lt;=20,"Flower I ("&amp;AM33&amp;")",IF(A33-'01_Run_Config'!$B$33&lt;=34,"Peak Flower ("&amp;AM33&amp;")",IF(A33-'01_Run_Config'!$B$33&lt;=41,"Late Flower ("&amp;AM33&amp;")",IF(A33-'01_Run_Config'!$B$33&lt;=48,"Ripening ("&amp;AM33&amp;")","Harvest / Extension ("&amp;AM33&amp;")"))))))))))</x:f>
        <x:v>Transition / Stretch (B1)</x:v>
      </x:c>
      <x:c r="F33" s="63" t="str">
        <x:f>IF(A33&lt;4,"Keimung + Wurzelstart",IF(A33&lt;8,"Sämling etablieren; Wurzelraum erschließen",IF(A33&lt;15,"kompakter Aufbau; LST erst bei Vitalität",IF(A33&lt;'01_Run_Config'!$B$33,"Canopy aufbauen; Preflower beobachten",IF(A33-'01_Run_Config'!$B$33&lt;=6,"Stretch kontrollieren; Bloom-Trigger dokumentieren",IF(A33-'01_Run_Config'!$B$33&lt;=13,"Blütenansatz stabilisieren",IF(A33-'01_Run_Config'!$B$33&lt;=20,"Blütenaufbau ohne neue Stressoren",IF(A33-'01_Run_Config'!$B$33&lt;=34,"stabile Peak-Photosynthese; Klima priorisieren",IF(A33-'01_Run_Config'!$B$33&lt;=41,"Qualität/Schimmelprävention",IF(A33-'01_Run_Config'!$B$33&lt;=48,"Reife ohne Überfütterung","Erntefenster nach Pflanze; keine Kalenderernte"))))))))))</x:f>
        <x:v>Stretch kontrollieren; Bloom-Trigger dokumentieren</x:v>
      </x:c>
      <x:c r="G33" s="63" t="n">
        <x:v>18</x:v>
      </x:c>
      <x:c r="H33" s="63" t="n">
        <x:v>120</x:v>
      </x:c>
      <x:c r="I33" s="63" t="n">
        <x:v>550</x:v>
      </x:c>
      <x:c r="J33" s="63" t="n">
        <x:f>I33*G33*3600/1000000</x:f>
        <x:v>35.64</x:v>
      </x:c>
      <x:c r="K33" s="63" t="n">
        <x:v>36</x:v>
      </x:c>
      <x:c r="L33" s="63" t="n">
        <x:v>25</x:v>
      </x:c>
      <x:c r="M33" s="63" t="n">
        <x:v>21.5</x:v>
      </x:c>
      <x:c r="N33" s="63" t="n">
        <x:v>53</x:v>
      </x:c>
      <x:c r="O33" s="63" t="n">
        <x:f>ROUND(0.6108*EXP(17.27*(L33+'01_Run_Config'!$B$34)/(L33+'01_Run_Config'!$B$34+237.3))-(N33/100)*0.6108*EXP(17.27*L33/(L33+237.3)),2)</x:f>
        <x:v>1.3</x:v>
      </x:c>
      <x:c r="P33" s="63" t="n">
        <x:f>IF(A33&lt;'01_Run_Config'!$B$32,0.55,IF(A33&lt;'01_Run_Config'!$B$33,IF(A33-'01_Run_Config'!$B$32&lt;=3,0.8,IF(A33-'01_Run_Config'!$B$32&lt;=10,1,IF(A33-'01_Run_Config'!$B$32&lt;=17,1.2,1.4))),IF(A33-'01_Run_Config'!$B$33&lt;=6,1.5,IF(A33-'01_Run_Config'!$B$33&lt;=13,1.6,IF(A33-'01_Run_Config'!$B$33&lt;=20,1.7,IF(A33-'01_Run_Config'!$B$33&lt;=34,1.8,IF(A33-'01_Run_Config'!$B$33&lt;=41,1.6,IF(A33-'01_Run_Config'!$B$33&lt;=48,1.4,1.15))))))))</x:f>
        <x:v>1.5</x:v>
      </x:c>
      <x:c r="Q33" s="63" t="n">
        <x:v>5.9</x:v>
      </x:c>
      <x:c r="R33" s="63" t="n">
        <x:v>0.6</x:v>
      </x:c>
      <x:c r="S33" s="63" t="n">
        <x:v>1</x:v>
      </x:c>
      <x:c r="T33" s="63" t="str">
        <x:f>IF(A33&lt;=7,"Manuell",'01_Run_Config'!$B$40)</x:f>
        <x:v>Manuell / indoor-freigegebene Automation</x:v>
      </x:c>
      <x:c r="U33" s="63" t="str">
        <x:f>IF(A33&lt;'01_Run_Config'!$B$32,"Kein Basisdünger",IF(A33&lt;'01_Run_Config'!$B$33,"HESI TNT","HESI Coco"))</x:f>
        <x:v>HESI Coco</x:v>
      </x:c>
      <x:c r="V33" s="63" t="n">
        <x:f>IF(A33&lt;'01_Run_Config'!$B$32,0,IF(A33&lt;'01_Run_Config'!$B$33,IF(A33-'01_Run_Config'!$B$32&lt;=3,1.25,IF(A33-'01_Run_Config'!$B$32&lt;=10,2,2.5)),IF(A33-'01_Run_Config'!$B$33&lt;=6,2.5,IF(A33-'01_Run_Config'!$B$33&lt;=13,3.25,IF(A33-'01_Run_Config'!$B$33&lt;=20,3.75,IF(A33-'01_Run_Config'!$B$33&lt;=34,4,IF(A33-'01_Run_Config'!$B$33&lt;=41,3.5,IF(A33-'01_Run_Config'!$B$33&lt;=48,2.5,1.5))))))))</x:f>
        <x:v>2.5</x:v>
      </x:c>
      <x:c r="W33" s="63" t="n">
        <x:f>IF(OR(A33='01_Run_Config'!$B$32,A33='01_Run_Config'!$B$32+6,A33='01_Run_Config'!$B$32+12),2.5,0)</x:f>
        <x:v>0</x:v>
      </x:c>
      <x:c r="X33" s="63" t="n">
        <x:f>IF(AND(A33&gt;='01_Run_Config'!$B$32+3,A33&lt;='01_Run_Config'!$B$33+35,MOD(A33-('01_Run_Config'!$B$32+3),7)=0),2,0)</x:f>
        <x:v>0</x:v>
      </x:c>
      <x:c r="Y33" s="63" t="n">
        <x:f>IF(A33&gt;='01_Run_Config'!$B$32,0.015,0)</x:f>
        <x:v>0.015</x:v>
      </x:c>
      <x:c r="Z33" s="63" t="n">
        <x:f>IF(AND('01_Run_Config'!$B$26="Hesilicio statt Balance",A33&gt;='01_Run_Config'!$B$32+3,MOD(A33-('01_Run_Config'!$B$32+3),7)=0,A33&lt;='01_Run_Config'!$B$33+35),0.5,0)</x:f>
        <x:v>0</x:v>
      </x:c>
      <x:c r="AA33" s="63" t="n">
        <x:f>IF(AND(A33&gt;='01_Run_Config'!$B$33,A33&lt;='01_Run_Config'!$B$33+35,MOD(A33-'01_Run_Config'!$B$33,7)=0),2,0)</x:f>
        <x:v>0</x:v>
      </x:c>
      <x:c r="AB33" s="63" t="n">
        <x:f>IF(A33='01_Run_Config'!$B$33+21,0.25,IF(A33='01_Run_Config'!$B$33+28,0.35,IF(A33='01_Run_Config'!$B$33+35,0.5,0)))</x:f>
        <x:v>0</x:v>
      </x:c>
      <x:c r="AC33" s="63" t="n">
        <x:f>IF(OR(A33='01_Run_Config'!$B$32,A33='01_Run_Config'!$B$32+7,A33='01_Run_Config'!$B$33+1,A33='01_Run_Config'!$B$33+8),2,0)</x:f>
        <x:v>0</x:v>
      </x:c>
      <x:c r="AD33" s="63" t="str">
        <x:f>IF(A33&lt;'01_Run_Config'!$B$33,"AN-Reference=0 außer Voodoo-Frischgaben",IF(AL33&lt;=7,"A/B: Bud Ignitor oder Mikrobenmodul; nicht Reference",IF(AL33&lt;=35,"A/B: Big Bud STATT HESI-PK; nicht additiv stapeln",IF(AL33&lt;=49,"A/B: Overdrive STATT spätem HESI-PK","AN-Booster auslaufen"))))</x:f>
        <x:v>A/B: Bud Ignitor oder Mikrobenmodul; nicht Reference</x:v>
      </x:c>
      <x:c r="AE33" s="63" t="str">
        <x:v>Strukturelles Training beenden</x:v>
      </x:c>
      <x:c r="AF33" s="63" t="str">
        <x:v>Morgens Klima/Pflanze/Bewässerung/Leck; Mitte Lichtphase Blattwinkel; vor Dunkel LF/Drain/stehendes Wasser.</x:v>
      </x:c>
      <x:c r="AG33" s="63" t="str">
        <x:v>EC nicht erhöhen bei steigender Diagnose-Drain-EC; PPFD nicht erhöhen bei Stress; Wasserband nie erzwingen; nie mehrere neue Booster gleichzeitig.</x:v>
      </x:c>
      <x:c r="AH33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3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3" s="201" t="str">
        <x:f>IF(A33&lt;'01_Run_Config'!$B$32,"—",IF(A33&lt;'01_Run_Config'!$B$33,"G"&amp;MIN(4,INT((A33-'01_Run_Config'!$B$32)/7)+1),AM33))</x:f>
        <x:v>B1</x:v>
      </x:c>
      <x:c r="AK33" s="35" t="str">
        <x:f>IF(A33&lt;'01_Run_Config'!$B$32,"Keine AN-Additive.",IF(A33&lt;'01_Run_Config'!$B$33,"Veg: Voodoo nur definierte Frischgaben; B-52/Piranha/Tarantula nur A/B; Sensizym nur statt PowerZyme; Rhino Skin AUS mit Athena Balance.",IF(AL33&lt;=7,"Frühblüte: Voodoo; Bud Ignitor/Piranha/Tarantula nur A/B; Rhino Skin AUS mit Balance.",IF(AL33&lt;=35,"Hauptblüte: Big Bud nur A/B STATT HESI-PK; Biostims einzeln testen.",IF(AL33&lt;=49,"Spätblüte: Overdrive nur A/B STATT spätem HESI-PK; keine neue zweite Variable.","Booster auslaufen / Reife priorisieren.")))))</x:f>
        <x:v>Frühblüte: Voodoo; Bud Ignitor/Piranha/Tarantula nur A/B; Rhino Skin AUS mit Balance.</x:v>
      </x:c>
      <x:c r="AL33" s="60" t="n">
        <x:f>IF(A33&lt;'01_Run_Config'!$B$33,"",A33-'01_Run_Config'!$B$33+1)</x:f>
        <x:v>4</x:v>
      </x:c>
      <x:c r="AM33" s="60" t="str">
        <x:f>IF(AL33="","",IF(AL33&gt;49,CHAR(66)&amp;"7+",CHAR(66)&amp;TEXT(INT((AL33-1)/7)+1,"0")))</x:f>
        <x:v>B1</x:v>
      </x:c>
      <x:c r="AN33" s="60" t="n">
        <x:f>ROUND(0.6108*EXP(17.27*L33/(L33+237.3))*(1-N33/100),2)</x:f>
        <x:v>1.49</x:v>
      </x:c>
      <x:c r="AO33" s="60" t="n">
        <x:f>H33*G33/1000</x:f>
        <x:v>2.16</x:v>
      </x:c>
      <x:c r="AP33" s="60" t="n">
        <x:f>SUM($AO$2:AO33)</x:f>
        <x:v>39.870000000000005</x:v>
      </x:c>
      <x:c r="AQ33" t="n">
        <x:f>'01_Run_Config'!$B$17</x:f>
        <x:v>0</x:v>
      </x:c>
      <x:c r="AR33" t="n">
        <x:f>'01_Run_Config'!$B$22</x:f>
        <x:v>0</x:v>
      </x:c>
      <x:c r="AS33" t="n">
        <x:f>'01_Run_Config'!$B$25</x:f>
        <x:v>0</x:v>
      </x:c>
    </x:row>
    <x:row r="34">
      <x:c r="A34" s="34" t="n">
        <x:v>32</x:v>
      </x:c>
      <x:c r="B34" s="129" t="n">
        <x:f>'01_Run_Config'!$B$4+A34</x:f>
        <x:v>46274</x:v>
      </x:c>
      <x:c r="C34" s="63" t="n">
        <x:f>INT(A34/7)+1</x:f>
        <x:v>5</x:v>
      </x:c>
      <x:c r="D34" s="63" t="str">
        <x:f>"M"&amp;MIN(3,INT(A34/30)+1)</x:f>
        <x:v>M2</x:v>
      </x:c>
      <x:c r="E34" s="63" t="str">
        <x:f>IF(A34&lt;4,"Keimung",IF(A34&lt;8,"Etablierung",IF(A34&lt;15,"Early Veg",IF(A34&lt;'01_Run_Config'!$B$33,IF(A34&lt;22,"Veg / LST","Preflower-Watch"),IF(A34-'01_Run_Config'!$B$33&lt;=6,"Transition / Stretch ("&amp;AM34&amp;")",IF(A34-'01_Run_Config'!$B$33&lt;=13,"Early Flower ("&amp;AM34&amp;")",IF(A34-'01_Run_Config'!$B$33&lt;=20,"Flower I ("&amp;AM34&amp;")",IF(A34-'01_Run_Config'!$B$33&lt;=34,"Peak Flower ("&amp;AM34&amp;")",IF(A34-'01_Run_Config'!$B$33&lt;=41,"Late Flower ("&amp;AM34&amp;")",IF(A34-'01_Run_Config'!$B$33&lt;=48,"Ripening ("&amp;AM34&amp;")","Harvest / Extension ("&amp;AM34&amp;")"))))))))))</x:f>
        <x:v>Transition / Stretch (B1)</x:v>
      </x:c>
      <x:c r="F34" s="63" t="str">
        <x:f>IF(A34&lt;4,"Keimung + Wurzelstart",IF(A34&lt;8,"Sämling etablieren; Wurzelraum erschließen",IF(A34&lt;15,"kompakter Aufbau; LST erst bei Vitalität",IF(A34&lt;'01_Run_Config'!$B$33,"Canopy aufbauen; Preflower beobachten",IF(A34-'01_Run_Config'!$B$33&lt;=6,"Stretch kontrollieren; Bloom-Trigger dokumentieren",IF(A34-'01_Run_Config'!$B$33&lt;=13,"Blütenansatz stabilisieren",IF(A34-'01_Run_Config'!$B$33&lt;=20,"Blütenaufbau ohne neue Stressoren",IF(A34-'01_Run_Config'!$B$33&lt;=34,"stabile Peak-Photosynthese; Klima priorisieren",IF(A34-'01_Run_Config'!$B$33&lt;=41,"Qualität/Schimmelprävention",IF(A34-'01_Run_Config'!$B$33&lt;=48,"Reife ohne Überfütterung","Erntefenster nach Pflanze; keine Kalenderernte"))))))))))</x:f>
        <x:v>Stretch kontrollieren; Bloom-Trigger dokumentieren</x:v>
      </x:c>
      <x:c r="G34" s="63" t="n">
        <x:v>18</x:v>
      </x:c>
      <x:c r="H34" s="63" t="n">
        <x:v>120</x:v>
      </x:c>
      <x:c r="I34" s="63" t="n">
        <x:v>550</x:v>
      </x:c>
      <x:c r="J34" s="63" t="n">
        <x:f>I34*G34*3600/1000000</x:f>
        <x:v>35.64</x:v>
      </x:c>
      <x:c r="K34" s="63" t="n">
        <x:v>36</x:v>
      </x:c>
      <x:c r="L34" s="63" t="n">
        <x:v>25</x:v>
      </x:c>
      <x:c r="M34" s="63" t="n">
        <x:v>21.5</x:v>
      </x:c>
      <x:c r="N34" s="63" t="n">
        <x:v>53</x:v>
      </x:c>
      <x:c r="O34" s="63" t="n">
        <x:f>ROUND(0.6108*EXP(17.27*(L34+'01_Run_Config'!$B$34)/(L34+'01_Run_Config'!$B$34+237.3))-(N34/100)*0.6108*EXP(17.27*L34/(L34+237.3)),2)</x:f>
        <x:v>1.3</x:v>
      </x:c>
      <x:c r="P34" s="63" t="n">
        <x:f>IF(A34&lt;'01_Run_Config'!$B$32,0.55,IF(A34&lt;'01_Run_Config'!$B$33,IF(A34-'01_Run_Config'!$B$32&lt;=3,0.8,IF(A34-'01_Run_Config'!$B$32&lt;=10,1,IF(A34-'01_Run_Config'!$B$32&lt;=17,1.2,1.4))),IF(A34-'01_Run_Config'!$B$33&lt;=6,1.5,IF(A34-'01_Run_Config'!$B$33&lt;=13,1.6,IF(A34-'01_Run_Config'!$B$33&lt;=20,1.7,IF(A34-'01_Run_Config'!$B$33&lt;=34,1.8,IF(A34-'01_Run_Config'!$B$33&lt;=41,1.6,IF(A34-'01_Run_Config'!$B$33&lt;=48,1.4,1.15))))))))</x:f>
        <x:v>1.5</x:v>
      </x:c>
      <x:c r="Q34" s="63" t="n">
        <x:v>5.9</x:v>
      </x:c>
      <x:c r="R34" s="63" t="n">
        <x:v>0.6</x:v>
      </x:c>
      <x:c r="S34" s="63" t="n">
        <x:v>1</x:v>
      </x:c>
      <x:c r="T34" s="63" t="str">
        <x:f>IF(A34&lt;=7,"Manuell",'01_Run_Config'!$B$40)</x:f>
        <x:v>Manuell / indoor-freigegebene Automation</x:v>
      </x:c>
      <x:c r="U34" s="63" t="str">
        <x:f>IF(A34&lt;'01_Run_Config'!$B$32,"Kein Basisdünger",IF(A34&lt;'01_Run_Config'!$B$33,"HESI TNT","HESI Coco"))</x:f>
        <x:v>HESI Coco</x:v>
      </x:c>
      <x:c r="V34" s="63" t="n">
        <x:f>IF(A34&lt;'01_Run_Config'!$B$32,0,IF(A34&lt;'01_Run_Config'!$B$33,IF(A34-'01_Run_Config'!$B$32&lt;=3,1.25,IF(A34-'01_Run_Config'!$B$32&lt;=10,2,2.5)),IF(A34-'01_Run_Config'!$B$33&lt;=6,2.5,IF(A34-'01_Run_Config'!$B$33&lt;=13,3.25,IF(A34-'01_Run_Config'!$B$33&lt;=20,3.75,IF(A34-'01_Run_Config'!$B$33&lt;=34,4,IF(A34-'01_Run_Config'!$B$33&lt;=41,3.5,IF(A34-'01_Run_Config'!$B$33&lt;=48,2.5,1.5))))))))</x:f>
        <x:v>2.5</x:v>
      </x:c>
      <x:c r="W34" s="63" t="n">
        <x:f>IF(OR(A34='01_Run_Config'!$B$32,A34='01_Run_Config'!$B$32+6,A34='01_Run_Config'!$B$32+12),2.5,0)</x:f>
        <x:v>0</x:v>
      </x:c>
      <x:c r="X34" s="63" t="n">
        <x:f>IF(AND(A34&gt;='01_Run_Config'!$B$32+3,A34&lt;='01_Run_Config'!$B$33+35,MOD(A34-('01_Run_Config'!$B$32+3),7)=0),2,0)</x:f>
        <x:v>0</x:v>
      </x:c>
      <x:c r="Y34" s="63" t="n">
        <x:f>IF(A34&gt;='01_Run_Config'!$B$32,0.015,0)</x:f>
        <x:v>0.015</x:v>
      </x:c>
      <x:c r="Z34" s="63" t="n">
        <x:f>IF(AND('01_Run_Config'!$B$26="Hesilicio statt Balance",A34&gt;='01_Run_Config'!$B$32+3,MOD(A34-('01_Run_Config'!$B$32+3),7)=0,A34&lt;='01_Run_Config'!$B$33+35),0.5,0)</x:f>
        <x:v>0</x:v>
      </x:c>
      <x:c r="AA34" s="63" t="n">
        <x:f>IF(AND(A34&gt;='01_Run_Config'!$B$33,A34&lt;='01_Run_Config'!$B$33+35,MOD(A34-'01_Run_Config'!$B$33,7)=0),2,0)</x:f>
        <x:v>0</x:v>
      </x:c>
      <x:c r="AB34" s="63" t="n">
        <x:f>IF(A34='01_Run_Config'!$B$33+21,0.25,IF(A34='01_Run_Config'!$B$33+28,0.35,IF(A34='01_Run_Config'!$B$33+35,0.5,0)))</x:f>
        <x:v>0</x:v>
      </x:c>
      <x:c r="AC34" s="63" t="n">
        <x:f>IF(OR(A34='01_Run_Config'!$B$32,A34='01_Run_Config'!$B$32+7,A34='01_Run_Config'!$B$33+1,A34='01_Run_Config'!$B$33+8),2,0)</x:f>
        <x:v>0</x:v>
      </x:c>
      <x:c r="AD34" s="63" t="str">
        <x:f>IF(A34&lt;'01_Run_Config'!$B$33,"AN-Reference=0 außer Voodoo-Frischgaben",IF(AL34&lt;=7,"A/B: Bud Ignitor oder Mikrobenmodul; nicht Reference",IF(AL34&lt;=35,"A/B: Big Bud STATT HESI-PK; nicht additiv stapeln",IF(AL34&lt;=49,"A/B: Overdrive STATT spätem HESI-PK","AN-Booster auslaufen"))))</x:f>
        <x:v>A/B: Bud Ignitor oder Mikrobenmodul; nicht Reference</x:v>
      </x:c>
      <x:c r="AE34" s="63" t="str">
        <x:v>Strukturelles Training beenden</x:v>
      </x:c>
      <x:c r="AF34" s="63" t="str">
        <x:v>Morgens Klima/Pflanze/Bewässerung/Leck; Mitte Lichtphase Blattwinkel; vor Dunkel LF/Drain/stehendes Wasser.</x:v>
      </x:c>
      <x:c r="AG34" s="63" t="str">
        <x:v>EC nicht erhöhen bei steigender Diagnose-Drain-EC; PPFD nicht erhöhen bei Stress; Wasserband nie erzwingen; nie mehrere neue Booster gleichzeitig.</x:v>
      </x:c>
      <x:c r="AH34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3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4" s="201" t="str">
        <x:f>IF(A34&lt;'01_Run_Config'!$B$32,"—",IF(A34&lt;'01_Run_Config'!$B$33,"G"&amp;MIN(4,INT((A34-'01_Run_Config'!$B$32)/7)+1),AM34))</x:f>
        <x:v>B1</x:v>
      </x:c>
      <x:c r="AK34" s="35" t="str">
        <x:f>IF(A34&lt;'01_Run_Config'!$B$32,"Keine AN-Additive.",IF(A34&lt;'01_Run_Config'!$B$33,"Veg: Voodoo nur definierte Frischgaben; B-52/Piranha/Tarantula nur A/B; Sensizym nur statt PowerZyme; Rhino Skin AUS mit Athena Balance.",IF(AL34&lt;=7,"Frühblüte: Voodoo; Bud Ignitor/Piranha/Tarantula nur A/B; Rhino Skin AUS mit Balance.",IF(AL34&lt;=35,"Hauptblüte: Big Bud nur A/B STATT HESI-PK; Biostims einzeln testen.",IF(AL34&lt;=49,"Spätblüte: Overdrive nur A/B STATT spätem HESI-PK; keine neue zweite Variable.","Booster auslaufen / Reife priorisieren.")))))</x:f>
        <x:v>Frühblüte: Voodoo; Bud Ignitor/Piranha/Tarantula nur A/B; Rhino Skin AUS mit Balance.</x:v>
      </x:c>
      <x:c r="AL34" s="60" t="n">
        <x:f>IF(A34&lt;'01_Run_Config'!$B$33,"",A34-'01_Run_Config'!$B$33+1)</x:f>
        <x:v>5</x:v>
      </x:c>
      <x:c r="AM34" s="60" t="str">
        <x:f>IF(AL34="","",IF(AL34&gt;49,CHAR(66)&amp;"7+",CHAR(66)&amp;TEXT(INT((AL34-1)/7)+1,"0")))</x:f>
        <x:v>B1</x:v>
      </x:c>
      <x:c r="AN34" s="60" t="n">
        <x:f>ROUND(0.6108*EXP(17.27*L34/(L34+237.3))*(1-N34/100),2)</x:f>
        <x:v>1.49</x:v>
      </x:c>
      <x:c r="AO34" s="60" t="n">
        <x:f>H34*G34/1000</x:f>
        <x:v>2.16</x:v>
      </x:c>
      <x:c r="AP34" s="60" t="n">
        <x:f>SUM($AO$2:AO34)</x:f>
        <x:v>42.03</x:v>
      </x:c>
      <x:c r="AQ34" t="n">
        <x:f>'01_Run_Config'!$B$17</x:f>
        <x:v>0</x:v>
      </x:c>
      <x:c r="AR34" t="n">
        <x:f>'01_Run_Config'!$B$22</x:f>
        <x:v>0</x:v>
      </x:c>
      <x:c r="AS34" t="n">
        <x:f>'01_Run_Config'!$B$25</x:f>
        <x:v>0</x:v>
      </x:c>
    </x:row>
    <x:row r="35">
      <x:c r="A35" s="34" t="n">
        <x:v>33</x:v>
      </x:c>
      <x:c r="B35" s="129" t="n">
        <x:f>'01_Run_Config'!$B$4+A35</x:f>
        <x:v>46275</x:v>
      </x:c>
      <x:c r="C35" s="63" t="n">
        <x:f>INT(A35/7)+1</x:f>
        <x:v>5</x:v>
      </x:c>
      <x:c r="D35" s="63" t="str">
        <x:f>"M"&amp;MIN(3,INT(A35/30)+1)</x:f>
        <x:v>M2</x:v>
      </x:c>
      <x:c r="E35" s="63" t="str">
        <x:f>IF(A35&lt;4,"Keimung",IF(A35&lt;8,"Etablierung",IF(A35&lt;15,"Early Veg",IF(A35&lt;'01_Run_Config'!$B$33,IF(A35&lt;22,"Veg / LST","Preflower-Watch"),IF(A35-'01_Run_Config'!$B$33&lt;=6,"Transition / Stretch ("&amp;AM35&amp;")",IF(A35-'01_Run_Config'!$B$33&lt;=13,"Early Flower ("&amp;AM35&amp;")",IF(A35-'01_Run_Config'!$B$33&lt;=20,"Flower I ("&amp;AM35&amp;")",IF(A35-'01_Run_Config'!$B$33&lt;=34,"Peak Flower ("&amp;AM35&amp;")",IF(A35-'01_Run_Config'!$B$33&lt;=41,"Late Flower ("&amp;AM35&amp;")",IF(A35-'01_Run_Config'!$B$33&lt;=48,"Ripening ("&amp;AM35&amp;")","Harvest / Extension ("&amp;AM35&amp;")"))))))))))</x:f>
        <x:v>Transition / Stretch (B1)</x:v>
      </x:c>
      <x:c r="F35" s="63" t="str">
        <x:f>IF(A35&lt;4,"Keimung + Wurzelstart",IF(A35&lt;8,"Sämling etablieren; Wurzelraum erschließen",IF(A35&lt;15,"kompakter Aufbau; LST erst bei Vitalität",IF(A35&lt;'01_Run_Config'!$B$33,"Canopy aufbauen; Preflower beobachten",IF(A35-'01_Run_Config'!$B$33&lt;=6,"Stretch kontrollieren; Bloom-Trigger dokumentieren",IF(A35-'01_Run_Config'!$B$33&lt;=13,"Blütenansatz stabilisieren",IF(A35-'01_Run_Config'!$B$33&lt;=20,"Blütenaufbau ohne neue Stressoren",IF(A35-'01_Run_Config'!$B$33&lt;=34,"stabile Peak-Photosynthese; Klima priorisieren",IF(A35-'01_Run_Config'!$B$33&lt;=41,"Qualität/Schimmelprävention",IF(A35-'01_Run_Config'!$B$33&lt;=48,"Reife ohne Überfütterung","Erntefenster nach Pflanze; keine Kalenderernte"))))))))))</x:f>
        <x:v>Stretch kontrollieren; Bloom-Trigger dokumentieren</x:v>
      </x:c>
      <x:c r="G35" s="63" t="n">
        <x:v>18</x:v>
      </x:c>
      <x:c r="H35" s="63" t="n">
        <x:v>120</x:v>
      </x:c>
      <x:c r="I35" s="63" t="n">
        <x:v>550</x:v>
      </x:c>
      <x:c r="J35" s="63" t="n">
        <x:f>I35*G35*3600/1000000</x:f>
        <x:v>35.64</x:v>
      </x:c>
      <x:c r="K35" s="63" t="n">
        <x:v>36</x:v>
      </x:c>
      <x:c r="L35" s="63" t="n">
        <x:v>25</x:v>
      </x:c>
      <x:c r="M35" s="63" t="n">
        <x:v>21.5</x:v>
      </x:c>
      <x:c r="N35" s="63" t="n">
        <x:v>53</x:v>
      </x:c>
      <x:c r="O35" s="63" t="n">
        <x:f>ROUND(0.6108*EXP(17.27*(L35+'01_Run_Config'!$B$34)/(L35+'01_Run_Config'!$B$34+237.3))-(N35/100)*0.6108*EXP(17.27*L35/(L35+237.3)),2)</x:f>
        <x:v>1.3</x:v>
      </x:c>
      <x:c r="P35" s="63" t="n">
        <x:f>IF(A35&lt;'01_Run_Config'!$B$32,0.55,IF(A35&lt;'01_Run_Config'!$B$33,IF(A35-'01_Run_Config'!$B$32&lt;=3,0.8,IF(A35-'01_Run_Config'!$B$32&lt;=10,1,IF(A35-'01_Run_Config'!$B$32&lt;=17,1.2,1.4))),IF(A35-'01_Run_Config'!$B$33&lt;=6,1.5,IF(A35-'01_Run_Config'!$B$33&lt;=13,1.6,IF(A35-'01_Run_Config'!$B$33&lt;=20,1.7,IF(A35-'01_Run_Config'!$B$33&lt;=34,1.8,IF(A35-'01_Run_Config'!$B$33&lt;=41,1.6,IF(A35-'01_Run_Config'!$B$33&lt;=48,1.4,1.15))))))))</x:f>
        <x:v>1.5</x:v>
      </x:c>
      <x:c r="Q35" s="63" t="n">
        <x:v>5.9</x:v>
      </x:c>
      <x:c r="R35" s="63" t="n">
        <x:v>0.6</x:v>
      </x:c>
      <x:c r="S35" s="63" t="n">
        <x:v>1</x:v>
      </x:c>
      <x:c r="T35" s="63" t="str">
        <x:f>IF(A35&lt;=7,"Manuell",'01_Run_Config'!$B$40)</x:f>
        <x:v>Manuell / indoor-freigegebene Automation</x:v>
      </x:c>
      <x:c r="U35" s="63" t="str">
        <x:f>IF(A35&lt;'01_Run_Config'!$B$32,"Kein Basisdünger",IF(A35&lt;'01_Run_Config'!$B$33,"HESI TNT","HESI Coco"))</x:f>
        <x:v>HESI Coco</x:v>
      </x:c>
      <x:c r="V35" s="63" t="n">
        <x:f>IF(A35&lt;'01_Run_Config'!$B$32,0,IF(A35&lt;'01_Run_Config'!$B$33,IF(A35-'01_Run_Config'!$B$32&lt;=3,1.25,IF(A35-'01_Run_Config'!$B$32&lt;=10,2,2.5)),IF(A35-'01_Run_Config'!$B$33&lt;=6,2.5,IF(A35-'01_Run_Config'!$B$33&lt;=13,3.25,IF(A35-'01_Run_Config'!$B$33&lt;=20,3.75,IF(A35-'01_Run_Config'!$B$33&lt;=34,4,IF(A35-'01_Run_Config'!$B$33&lt;=41,3.5,IF(A35-'01_Run_Config'!$B$33&lt;=48,2.5,1.5))))))))</x:f>
        <x:v>2.5</x:v>
      </x:c>
      <x:c r="W35" s="63" t="n">
        <x:f>IF(OR(A35='01_Run_Config'!$B$32,A35='01_Run_Config'!$B$32+6,A35='01_Run_Config'!$B$32+12),2.5,0)</x:f>
        <x:v>0</x:v>
      </x:c>
      <x:c r="X35" s="63" t="n">
        <x:f>IF(AND(A35&gt;='01_Run_Config'!$B$32+3,A35&lt;='01_Run_Config'!$B$33+35,MOD(A35-('01_Run_Config'!$B$32+3),7)=0),2,0)</x:f>
        <x:v>0</x:v>
      </x:c>
      <x:c r="Y35" s="63" t="n">
        <x:f>IF(A35&gt;='01_Run_Config'!$B$32,0.015,0)</x:f>
        <x:v>0.015</x:v>
      </x:c>
      <x:c r="Z35" s="63" t="n">
        <x:f>IF(AND('01_Run_Config'!$B$26="Hesilicio statt Balance",A35&gt;='01_Run_Config'!$B$32+3,MOD(A35-('01_Run_Config'!$B$32+3),7)=0,A35&lt;='01_Run_Config'!$B$33+35),0.5,0)</x:f>
        <x:v>0</x:v>
      </x:c>
      <x:c r="AA35" s="63" t="n">
        <x:f>IF(AND(A35&gt;='01_Run_Config'!$B$33,A35&lt;='01_Run_Config'!$B$33+35,MOD(A35-'01_Run_Config'!$B$33,7)=0),2,0)</x:f>
        <x:v>0</x:v>
      </x:c>
      <x:c r="AB35" s="63" t="n">
        <x:f>IF(A35='01_Run_Config'!$B$33+21,0.25,IF(A35='01_Run_Config'!$B$33+28,0.35,IF(A35='01_Run_Config'!$B$33+35,0.5,0)))</x:f>
        <x:v>0</x:v>
      </x:c>
      <x:c r="AC35" s="63" t="n">
        <x:f>IF(OR(A35='01_Run_Config'!$B$32,A35='01_Run_Config'!$B$32+7,A35='01_Run_Config'!$B$33+1,A35='01_Run_Config'!$B$33+8),2,0)</x:f>
        <x:v>0</x:v>
      </x:c>
      <x:c r="AD35" s="63" t="str">
        <x:f>IF(A35&lt;'01_Run_Config'!$B$33,"AN-Reference=0 außer Voodoo-Frischgaben",IF(AL35&lt;=7,"A/B: Bud Ignitor oder Mikrobenmodul; nicht Reference",IF(AL35&lt;=35,"A/B: Big Bud STATT HESI-PK; nicht additiv stapeln",IF(AL35&lt;=49,"A/B: Overdrive STATT spätem HESI-PK","AN-Booster auslaufen"))))</x:f>
        <x:v>A/B: Bud Ignitor oder Mikrobenmodul; nicht Reference</x:v>
      </x:c>
      <x:c r="AE35" s="63" t="str">
        <x:v>Strukturelles Training beenden</x:v>
      </x:c>
      <x:c r="AF35" s="63" t="str">
        <x:v>Morgens Klima/Pflanze/Bewässerung/Leck; Mitte Lichtphase Blattwinkel; vor Dunkel LF/Drain/stehendes Wasser.</x:v>
      </x:c>
      <x:c r="AG35" s="63" t="str">
        <x:v>EC nicht erhöhen bei steigender Diagnose-Drain-EC; PPFD nicht erhöhen bei Stress; Wasserband nie erzwingen; nie mehrere neue Booster gleichzeitig.</x:v>
      </x:c>
      <x:c r="AH35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3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5" s="201" t="str">
        <x:f>IF(A35&lt;'01_Run_Config'!$B$32,"—",IF(A35&lt;'01_Run_Config'!$B$33,"G"&amp;MIN(4,INT((A35-'01_Run_Config'!$B$32)/7)+1),AM35))</x:f>
        <x:v>B1</x:v>
      </x:c>
      <x:c r="AK35" s="35" t="str">
        <x:f>IF(A35&lt;'01_Run_Config'!$B$32,"Keine AN-Additive.",IF(A35&lt;'01_Run_Config'!$B$33,"Veg: Voodoo nur definierte Frischgaben; B-52/Piranha/Tarantula nur A/B; Sensizym nur statt PowerZyme; Rhino Skin AUS mit Athena Balance.",IF(AL35&lt;=7,"Frühblüte: Voodoo; Bud Ignitor/Piranha/Tarantula nur A/B; Rhino Skin AUS mit Balance.",IF(AL35&lt;=35,"Hauptblüte: Big Bud nur A/B STATT HESI-PK; Biostims einzeln testen.",IF(AL35&lt;=49,"Spätblüte: Overdrive nur A/B STATT spätem HESI-PK; keine neue zweite Variable.","Booster auslaufen / Reife priorisieren.")))))</x:f>
        <x:v>Frühblüte: Voodoo; Bud Ignitor/Piranha/Tarantula nur A/B; Rhino Skin AUS mit Balance.</x:v>
      </x:c>
      <x:c r="AL35" s="60" t="n">
        <x:f>IF(A35&lt;'01_Run_Config'!$B$33,"",A35-'01_Run_Config'!$B$33+1)</x:f>
        <x:v>6</x:v>
      </x:c>
      <x:c r="AM35" s="60" t="str">
        <x:f>IF(AL35="","",IF(AL35&gt;49,CHAR(66)&amp;"7+",CHAR(66)&amp;TEXT(INT((AL35-1)/7)+1,"0")))</x:f>
        <x:v>B1</x:v>
      </x:c>
      <x:c r="AN35" s="60" t="n">
        <x:f>ROUND(0.6108*EXP(17.27*L35/(L35+237.3))*(1-N35/100),2)</x:f>
        <x:v>1.49</x:v>
      </x:c>
      <x:c r="AO35" s="60" t="n">
        <x:f>H35*G35/1000</x:f>
        <x:v>2.16</x:v>
      </x:c>
      <x:c r="AP35" s="60" t="n">
        <x:f>SUM($AO$2:AO35)</x:f>
        <x:v>44.19</x:v>
      </x:c>
      <x:c r="AQ35" t="n">
        <x:f>'01_Run_Config'!$B$17</x:f>
        <x:v>0</x:v>
      </x:c>
      <x:c r="AR35" t="n">
        <x:f>'01_Run_Config'!$B$22</x:f>
        <x:v>0</x:v>
      </x:c>
      <x:c r="AS35" t="n">
        <x:f>'01_Run_Config'!$B$25</x:f>
        <x:v>0</x:v>
      </x:c>
    </x:row>
    <x:row r="36">
      <x:c r="A36" s="34" t="n">
        <x:v>34</x:v>
      </x:c>
      <x:c r="B36" s="129" t="n">
        <x:f>'01_Run_Config'!$B$4+A36</x:f>
        <x:v>46276</x:v>
      </x:c>
      <x:c r="C36" s="63" t="n">
        <x:f>INT(A36/7)+1</x:f>
        <x:v>5</x:v>
      </x:c>
      <x:c r="D36" s="63" t="str">
        <x:f>"M"&amp;MIN(3,INT(A36/30)+1)</x:f>
        <x:v>M2</x:v>
      </x:c>
      <x:c r="E36" s="63" t="str">
        <x:f>IF(A36&lt;4,"Keimung",IF(A36&lt;8,"Etablierung",IF(A36&lt;15,"Early Veg",IF(A36&lt;'01_Run_Config'!$B$33,IF(A36&lt;22,"Veg / LST","Preflower-Watch"),IF(A36-'01_Run_Config'!$B$33&lt;=6,"Transition / Stretch ("&amp;AM36&amp;")",IF(A36-'01_Run_Config'!$B$33&lt;=13,"Early Flower ("&amp;AM36&amp;")",IF(A36-'01_Run_Config'!$B$33&lt;=20,"Flower I ("&amp;AM36&amp;")",IF(A36-'01_Run_Config'!$B$33&lt;=34,"Peak Flower ("&amp;AM36&amp;")",IF(A36-'01_Run_Config'!$B$33&lt;=41,"Late Flower ("&amp;AM36&amp;")",IF(A36-'01_Run_Config'!$B$33&lt;=48,"Ripening ("&amp;AM36&amp;")","Harvest / Extension ("&amp;AM36&amp;")"))))))))))</x:f>
        <x:v>Transition / Stretch (B1)</x:v>
      </x:c>
      <x:c r="F36" s="63" t="str">
        <x:f>IF(A36&lt;4,"Keimung + Wurzelstart",IF(A36&lt;8,"Sämling etablieren; Wurzelraum erschließen",IF(A36&lt;15,"kompakter Aufbau; LST erst bei Vitalität",IF(A36&lt;'01_Run_Config'!$B$33,"Canopy aufbauen; Preflower beobachten",IF(A36-'01_Run_Config'!$B$33&lt;=6,"Stretch kontrollieren; Bloom-Trigger dokumentieren",IF(A36-'01_Run_Config'!$B$33&lt;=13,"Blütenansatz stabilisieren",IF(A36-'01_Run_Config'!$B$33&lt;=20,"Blütenaufbau ohne neue Stressoren",IF(A36-'01_Run_Config'!$B$33&lt;=34,"stabile Peak-Photosynthese; Klima priorisieren",IF(A36-'01_Run_Config'!$B$33&lt;=41,"Qualität/Schimmelprävention",IF(A36-'01_Run_Config'!$B$33&lt;=48,"Reife ohne Überfütterung","Erntefenster nach Pflanze; keine Kalenderernte"))))))))))</x:f>
        <x:v>Stretch kontrollieren; Bloom-Trigger dokumentieren</x:v>
      </x:c>
      <x:c r="G36" s="63" t="n">
        <x:v>18</x:v>
      </x:c>
      <x:c r="H36" s="63" t="n">
        <x:v>120</x:v>
      </x:c>
      <x:c r="I36" s="63" t="n">
        <x:v>550</x:v>
      </x:c>
      <x:c r="J36" s="63" t="n">
        <x:f>I36*G36*3600/1000000</x:f>
        <x:v>35.64</x:v>
      </x:c>
      <x:c r="K36" s="63" t="n">
        <x:v>36</x:v>
      </x:c>
      <x:c r="L36" s="63" t="n">
        <x:v>25</x:v>
      </x:c>
      <x:c r="M36" s="63" t="n">
        <x:v>21.5</x:v>
      </x:c>
      <x:c r="N36" s="63" t="n">
        <x:v>53</x:v>
      </x:c>
      <x:c r="O36" s="63" t="n">
        <x:f>ROUND(0.6108*EXP(17.27*(L36+'01_Run_Config'!$B$34)/(L36+'01_Run_Config'!$B$34+237.3))-(N36/100)*0.6108*EXP(17.27*L36/(L36+237.3)),2)</x:f>
        <x:v>1.3</x:v>
      </x:c>
      <x:c r="P36" s="63" t="n">
        <x:f>IF(A36&lt;'01_Run_Config'!$B$32,0.55,IF(A36&lt;'01_Run_Config'!$B$33,IF(A36-'01_Run_Config'!$B$32&lt;=3,0.8,IF(A36-'01_Run_Config'!$B$32&lt;=10,1,IF(A36-'01_Run_Config'!$B$32&lt;=17,1.2,1.4))),IF(A36-'01_Run_Config'!$B$33&lt;=6,1.5,IF(A36-'01_Run_Config'!$B$33&lt;=13,1.6,IF(A36-'01_Run_Config'!$B$33&lt;=20,1.7,IF(A36-'01_Run_Config'!$B$33&lt;=34,1.8,IF(A36-'01_Run_Config'!$B$33&lt;=41,1.6,IF(A36-'01_Run_Config'!$B$33&lt;=48,1.4,1.15))))))))</x:f>
        <x:v>1.5</x:v>
      </x:c>
      <x:c r="Q36" s="63" t="n">
        <x:v>5.9</x:v>
      </x:c>
      <x:c r="R36" s="63" t="n">
        <x:v>0.6</x:v>
      </x:c>
      <x:c r="S36" s="63" t="n">
        <x:v>1</x:v>
      </x:c>
      <x:c r="T36" s="63" t="str">
        <x:f>IF(A36&lt;=7,"Manuell",'01_Run_Config'!$B$40)</x:f>
        <x:v>Manuell / indoor-freigegebene Automation</x:v>
      </x:c>
      <x:c r="U36" s="63" t="str">
        <x:f>IF(A36&lt;'01_Run_Config'!$B$32,"Kein Basisdünger",IF(A36&lt;'01_Run_Config'!$B$33,"HESI TNT","HESI Coco"))</x:f>
        <x:v>HESI Coco</x:v>
      </x:c>
      <x:c r="V36" s="63" t="n">
        <x:f>IF(A36&lt;'01_Run_Config'!$B$32,0,IF(A36&lt;'01_Run_Config'!$B$33,IF(A36-'01_Run_Config'!$B$32&lt;=3,1.25,IF(A36-'01_Run_Config'!$B$32&lt;=10,2,2.5)),IF(A36-'01_Run_Config'!$B$33&lt;=6,2.5,IF(A36-'01_Run_Config'!$B$33&lt;=13,3.25,IF(A36-'01_Run_Config'!$B$33&lt;=20,3.75,IF(A36-'01_Run_Config'!$B$33&lt;=34,4,IF(A36-'01_Run_Config'!$B$33&lt;=41,3.5,IF(A36-'01_Run_Config'!$B$33&lt;=48,2.5,1.5))))))))</x:f>
        <x:v>2.5</x:v>
      </x:c>
      <x:c r="W36" s="63" t="n">
        <x:f>IF(OR(A36='01_Run_Config'!$B$32,A36='01_Run_Config'!$B$32+6,A36='01_Run_Config'!$B$32+12),2.5,0)</x:f>
        <x:v>0</x:v>
      </x:c>
      <x:c r="X36" s="63" t="n">
        <x:f>IF(AND(A36&gt;='01_Run_Config'!$B$32+3,A36&lt;='01_Run_Config'!$B$33+35,MOD(A36-('01_Run_Config'!$B$32+3),7)=0),2,0)</x:f>
        <x:v>0</x:v>
      </x:c>
      <x:c r="Y36" s="63" t="n">
        <x:f>IF(A36&gt;='01_Run_Config'!$B$32,0.015,0)</x:f>
        <x:v>0.015</x:v>
      </x:c>
      <x:c r="Z36" s="63" t="n">
        <x:f>IF(AND('01_Run_Config'!$B$26="Hesilicio statt Balance",A36&gt;='01_Run_Config'!$B$32+3,MOD(A36-('01_Run_Config'!$B$32+3),7)=0,A36&lt;='01_Run_Config'!$B$33+35),0.5,0)</x:f>
        <x:v>0</x:v>
      </x:c>
      <x:c r="AA36" s="63" t="n">
        <x:f>IF(AND(A36&gt;='01_Run_Config'!$B$33,A36&lt;='01_Run_Config'!$B$33+35,MOD(A36-'01_Run_Config'!$B$33,7)=0),2,0)</x:f>
        <x:v>0</x:v>
      </x:c>
      <x:c r="AB36" s="63" t="n">
        <x:f>IF(A36='01_Run_Config'!$B$33+21,0.25,IF(A36='01_Run_Config'!$B$33+28,0.35,IF(A36='01_Run_Config'!$B$33+35,0.5,0)))</x:f>
        <x:v>0</x:v>
      </x:c>
      <x:c r="AC36" s="63" t="n">
        <x:f>IF(OR(A36='01_Run_Config'!$B$32,A36='01_Run_Config'!$B$32+7,A36='01_Run_Config'!$B$33+1,A36='01_Run_Config'!$B$33+8),2,0)</x:f>
        <x:v>0</x:v>
      </x:c>
      <x:c r="AD36" s="63" t="str">
        <x:f>IF(A36&lt;'01_Run_Config'!$B$33,"AN-Reference=0 außer Voodoo-Frischgaben",IF(AL36&lt;=7,"A/B: Bud Ignitor oder Mikrobenmodul; nicht Reference",IF(AL36&lt;=35,"A/B: Big Bud STATT HESI-PK; nicht additiv stapeln",IF(AL36&lt;=49,"A/B: Overdrive STATT spätem HESI-PK","AN-Booster auslaufen"))))</x:f>
        <x:v>A/B: Bud Ignitor oder Mikrobenmodul; nicht Reference</x:v>
      </x:c>
      <x:c r="AE36" s="63" t="str">
        <x:v>Strukturelles Training beenden</x:v>
      </x:c>
      <x:c r="AF36" s="63" t="str">
        <x:v>Morgens Klima/Pflanze/Bewässerung/Leck; Mitte Lichtphase Blattwinkel; vor Dunkel LF/Drain/stehendes Wasser.</x:v>
      </x:c>
      <x:c r="AG36" s="63" t="str">
        <x:v>EC nicht erhöhen bei steigender Diagnose-Drain-EC; PPFD nicht erhöhen bei Stress; Wasserband nie erzwingen; nie mehrere neue Booster gleichzeitig.</x:v>
      </x:c>
      <x:c r="AH36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3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6" s="201" t="str">
        <x:f>IF(A36&lt;'01_Run_Config'!$B$32,"—",IF(A36&lt;'01_Run_Config'!$B$33,"G"&amp;MIN(4,INT((A36-'01_Run_Config'!$B$32)/7)+1),AM36))</x:f>
        <x:v>B1</x:v>
      </x:c>
      <x:c r="AK36" s="35" t="str">
        <x:f>IF(A36&lt;'01_Run_Config'!$B$32,"Keine AN-Additive.",IF(A36&lt;'01_Run_Config'!$B$33,"Veg: Voodoo nur definierte Frischgaben; B-52/Piranha/Tarantula nur A/B; Sensizym nur statt PowerZyme; Rhino Skin AUS mit Athena Balance.",IF(AL36&lt;=7,"Frühblüte: Voodoo; Bud Ignitor/Piranha/Tarantula nur A/B; Rhino Skin AUS mit Balance.",IF(AL36&lt;=35,"Hauptblüte: Big Bud nur A/B STATT HESI-PK; Biostims einzeln testen.",IF(AL36&lt;=49,"Spätblüte: Overdrive nur A/B STATT spätem HESI-PK; keine neue zweite Variable.","Booster auslaufen / Reife priorisieren.")))))</x:f>
        <x:v>Frühblüte: Voodoo; Bud Ignitor/Piranha/Tarantula nur A/B; Rhino Skin AUS mit Balance.</x:v>
      </x:c>
      <x:c r="AL36" s="60" t="n">
        <x:f>IF(A36&lt;'01_Run_Config'!$B$33,"",A36-'01_Run_Config'!$B$33+1)</x:f>
        <x:v>7</x:v>
      </x:c>
      <x:c r="AM36" s="60" t="str">
        <x:f>IF(AL36="","",IF(AL36&gt;49,CHAR(66)&amp;"7+",CHAR(66)&amp;TEXT(INT((AL36-1)/7)+1,"0")))</x:f>
        <x:v>B1</x:v>
      </x:c>
      <x:c r="AN36" s="60" t="n">
        <x:f>ROUND(0.6108*EXP(17.27*L36/(L36+237.3))*(1-N36/100),2)</x:f>
        <x:v>1.49</x:v>
      </x:c>
      <x:c r="AO36" s="60" t="n">
        <x:f>H36*G36/1000</x:f>
        <x:v>2.16</x:v>
      </x:c>
      <x:c r="AP36" s="60" t="n">
        <x:f>SUM($AO$2:AO36)</x:f>
        <x:v>46.349999999999994</x:v>
      </x:c>
      <x:c r="AQ36" t="n">
        <x:f>'01_Run_Config'!$B$17</x:f>
        <x:v>0</x:v>
      </x:c>
      <x:c r="AR36" t="n">
        <x:f>'01_Run_Config'!$B$22</x:f>
        <x:v>0</x:v>
      </x:c>
      <x:c r="AS36" t="n">
        <x:f>'01_Run_Config'!$B$25</x:f>
        <x:v>0</x:v>
      </x:c>
    </x:row>
    <x:row r="37">
      <x:c r="A37" s="34" t="n">
        <x:v>35</x:v>
      </x:c>
      <x:c r="B37" s="129" t="n">
        <x:f>'01_Run_Config'!$B$4+A37</x:f>
        <x:v>46277</x:v>
      </x:c>
      <x:c r="C37" s="63" t="n">
        <x:f>INT(A37/7)+1</x:f>
        <x:v>6</x:v>
      </x:c>
      <x:c r="D37" s="63" t="str">
        <x:f>"M"&amp;MIN(3,INT(A37/30)+1)</x:f>
        <x:v>M2</x:v>
      </x:c>
      <x:c r="E37" s="63" t="str">
        <x:f>IF(A37&lt;4,"Keimung",IF(A37&lt;8,"Etablierung",IF(A37&lt;15,"Early Veg",IF(A37&lt;'01_Run_Config'!$B$33,IF(A37&lt;22,"Veg / LST","Preflower-Watch"),IF(A37-'01_Run_Config'!$B$33&lt;=6,"Transition / Stretch ("&amp;AM37&amp;")",IF(A37-'01_Run_Config'!$B$33&lt;=13,"Early Flower ("&amp;AM37&amp;")",IF(A37-'01_Run_Config'!$B$33&lt;=20,"Flower I ("&amp;AM37&amp;")",IF(A37-'01_Run_Config'!$B$33&lt;=34,"Peak Flower ("&amp;AM37&amp;")",IF(A37-'01_Run_Config'!$B$33&lt;=41,"Late Flower ("&amp;AM37&amp;")",IF(A37-'01_Run_Config'!$B$33&lt;=48,"Ripening ("&amp;AM37&amp;")","Harvest / Extension ("&amp;AM37&amp;")"))))))))))</x:f>
        <x:v>Early Flower (B2)</x:v>
      </x:c>
      <x:c r="F37" s="63" t="str">
        <x:f>IF(A37&lt;4,"Keimung + Wurzelstart",IF(A37&lt;8,"Sämling etablieren; Wurzelraum erschließen",IF(A37&lt;15,"kompakter Aufbau; LST erst bei Vitalität",IF(A37&lt;'01_Run_Config'!$B$33,"Canopy aufbauen; Preflower beobachten",IF(A37-'01_Run_Config'!$B$33&lt;=6,"Stretch kontrollieren; Bloom-Trigger dokumentieren",IF(A37-'01_Run_Config'!$B$33&lt;=13,"Blütenansatz stabilisieren",IF(A37-'01_Run_Config'!$B$33&lt;=20,"Blütenaufbau ohne neue Stressoren",IF(A37-'01_Run_Config'!$B$33&lt;=34,"stabile Peak-Photosynthese; Klima priorisieren",IF(A37-'01_Run_Config'!$B$33&lt;=41,"Qualität/Schimmelprävention",IF(A37-'01_Run_Config'!$B$33&lt;=48,"Reife ohne Überfütterung","Erntefenster nach Pflanze; keine Kalenderernte"))))))))))</x:f>
        <x:v>Blütenansatz stabilisieren</x:v>
      </x:c>
      <x:c r="G37" s="63" t="n">
        <x:v>18</x:v>
      </x:c>
      <x:c r="H37" s="63" t="n">
        <x:v>120</x:v>
      </x:c>
      <x:c r="I37" s="63" t="n">
        <x:v>550</x:v>
      </x:c>
      <x:c r="J37" s="63" t="n">
        <x:f>I37*G37*3600/1000000</x:f>
        <x:v>35.64</x:v>
      </x:c>
      <x:c r="K37" s="63" t="n">
        <x:v>36</x:v>
      </x:c>
      <x:c r="L37" s="63" t="n">
        <x:v>25</x:v>
      </x:c>
      <x:c r="M37" s="63" t="n">
        <x:v>21.5</x:v>
      </x:c>
      <x:c r="N37" s="63" t="n">
        <x:v>53</x:v>
      </x:c>
      <x:c r="O37" s="63" t="n">
        <x:f>ROUND(0.6108*EXP(17.27*(L37+'01_Run_Config'!$B$34)/(L37+'01_Run_Config'!$B$34+237.3))-(N37/100)*0.6108*EXP(17.27*L37/(L37+237.3)),2)</x:f>
        <x:v>1.3</x:v>
      </x:c>
      <x:c r="P37" s="63" t="n">
        <x:f>IF(A37&lt;'01_Run_Config'!$B$32,0.55,IF(A37&lt;'01_Run_Config'!$B$33,IF(A37-'01_Run_Config'!$B$32&lt;=3,0.8,IF(A37-'01_Run_Config'!$B$32&lt;=10,1,IF(A37-'01_Run_Config'!$B$32&lt;=17,1.2,1.4))),IF(A37-'01_Run_Config'!$B$33&lt;=6,1.5,IF(A37-'01_Run_Config'!$B$33&lt;=13,1.6,IF(A37-'01_Run_Config'!$B$33&lt;=20,1.7,IF(A37-'01_Run_Config'!$B$33&lt;=34,1.8,IF(A37-'01_Run_Config'!$B$33&lt;=41,1.6,IF(A37-'01_Run_Config'!$B$33&lt;=48,1.4,1.15))))))))</x:f>
        <x:v>1.6</x:v>
      </x:c>
      <x:c r="Q37" s="63" t="n">
        <x:v>5.9</x:v>
      </x:c>
      <x:c r="R37" s="63" t="n">
        <x:v>0.6</x:v>
      </x:c>
      <x:c r="S37" s="63" t="n">
        <x:v>1</x:v>
      </x:c>
      <x:c r="T37" s="63" t="str">
        <x:f>IF(A37&lt;=7,"Manuell",'01_Run_Config'!$B$40)</x:f>
        <x:v>Manuell / indoor-freigegebene Automation</x:v>
      </x:c>
      <x:c r="U37" s="63" t="str">
        <x:f>IF(A37&lt;'01_Run_Config'!$B$32,"Kein Basisdünger",IF(A37&lt;'01_Run_Config'!$B$33,"HESI TNT","HESI Coco"))</x:f>
        <x:v>HESI Coco</x:v>
      </x:c>
      <x:c r="V37" s="63" t="n">
        <x:f>IF(A37&lt;'01_Run_Config'!$B$32,0,IF(A37&lt;'01_Run_Config'!$B$33,IF(A37-'01_Run_Config'!$B$32&lt;=3,1.25,IF(A37-'01_Run_Config'!$B$32&lt;=10,2,2.5)),IF(A37-'01_Run_Config'!$B$33&lt;=6,2.5,IF(A37-'01_Run_Config'!$B$33&lt;=13,3.25,IF(A37-'01_Run_Config'!$B$33&lt;=20,3.75,IF(A37-'01_Run_Config'!$B$33&lt;=34,4,IF(A37-'01_Run_Config'!$B$33&lt;=41,3.5,IF(A37-'01_Run_Config'!$B$33&lt;=48,2.5,1.5))))))))</x:f>
        <x:v>3.25</x:v>
      </x:c>
      <x:c r="W37" s="63" t="n">
        <x:f>IF(OR(A37='01_Run_Config'!$B$32,A37='01_Run_Config'!$B$32+6,A37='01_Run_Config'!$B$32+12),2.5,0)</x:f>
        <x:v>0</x:v>
      </x:c>
      <x:c r="X37" s="63" t="n">
        <x:f>IF(AND(A37&gt;='01_Run_Config'!$B$32+3,A37&lt;='01_Run_Config'!$B$33+35,MOD(A37-('01_Run_Config'!$B$32+3),7)=0),2,0)</x:f>
        <x:v>2</x:v>
      </x:c>
      <x:c r="Y37" s="63" t="n">
        <x:f>IF(A37&gt;='01_Run_Config'!$B$32,0.015,0)</x:f>
        <x:v>0.015</x:v>
      </x:c>
      <x:c r="Z37" s="63" t="n">
        <x:f>IF(AND('01_Run_Config'!$B$26="Hesilicio statt Balance",A37&gt;='01_Run_Config'!$B$32+3,MOD(A37-('01_Run_Config'!$B$32+3),7)=0,A37&lt;='01_Run_Config'!$B$33+35),0.5,0)</x:f>
        <x:v>0</x:v>
      </x:c>
      <x:c r="AA37" s="63" t="n">
        <x:f>IF(AND(A37&gt;='01_Run_Config'!$B$33,A37&lt;='01_Run_Config'!$B$33+35,MOD(A37-'01_Run_Config'!$B$33,7)=0),2,0)</x:f>
        <x:v>2</x:v>
      </x:c>
      <x:c r="AB37" s="63" t="n">
        <x:f>IF(A37='01_Run_Config'!$B$33+21,0.25,IF(A37='01_Run_Config'!$B$33+28,0.35,IF(A37='01_Run_Config'!$B$33+35,0.5,0)))</x:f>
        <x:v>0</x:v>
      </x:c>
      <x:c r="AC37" s="63" t="n">
        <x:f>IF(OR(A37='01_Run_Config'!$B$32,A37='01_Run_Config'!$B$32+7,A37='01_Run_Config'!$B$33+1,A37='01_Run_Config'!$B$33+8),2,0)</x:f>
        <x:v>0</x:v>
      </x:c>
      <x:c r="AD37" s="63" t="str">
        <x:f>IF(A37&lt;'01_Run_Config'!$B$33,"AN-Reference=0 außer Voodoo-Frischgaben",IF(AL37&lt;=7,"A/B: Bud Ignitor oder Mikrobenmodul; nicht Reference",IF(AL37&lt;=35,"A/B: Big Bud STATT HESI-PK; nicht additiv stapeln",IF(AL37&lt;=49,"A/B: Overdrive STATT spätem HESI-PK","AN-Booster auslaufen"))))</x:f>
        <x:v>A/B: Big Bud STATT HESI-PK; nicht additiv stapeln</x:v>
      </x:c>
      <x:c r="AE37" s="63" t="str">
        <x:v>Strukturelles Training beenden</x:v>
      </x:c>
      <x:c r="AF37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7" s="63" t="str">
        <x:v>EC nicht erhöhen bei steigender Diagnose-Drain-EC; PPFD nicht erhöhen bei Stress; Wasserband nie erzwingen; nie mehrere neue Booster gleichzeitig.</x:v>
      </x:c>
      <x:c r="AH37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3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7" s="201" t="str">
        <x:f>IF(A37&lt;'01_Run_Config'!$B$32,"—",IF(A37&lt;'01_Run_Config'!$B$33,"G"&amp;MIN(4,INT((A37-'01_Run_Config'!$B$32)/7)+1),AM37))</x:f>
        <x:v>B2</x:v>
      </x:c>
      <x:c r="AK37" s="35" t="str">
        <x:f>IF(A37&lt;'01_Run_Config'!$B$32,"Keine AN-Additive.",IF(A37&lt;'01_Run_Config'!$B$33,"Veg: Voodoo nur definierte Frischgaben; B-52/Piranha/Tarantula nur A/B; Sensizym nur statt PowerZyme; Rhino Skin AUS mit Athena Balance.",IF(AL37&lt;=7,"Frühblüte: Voodoo; Bud Ignitor/Piranha/Tarantula nur A/B; Rhino Skin AUS mit Balance.",IF(AL37&lt;=35,"Hauptblüte: Big Bud nur A/B STATT HESI-PK; Biostims einzeln testen.",IF(AL37&lt;=49,"Spätblüte: Overdrive nur A/B STATT spätem HESI-PK; keine neue zweite Variable.","Booster auslaufen / Reife priorisieren.")))))</x:f>
        <x:v>Hauptblüte: Big Bud nur A/B STATT HESI-PK; Biostims einzeln testen.</x:v>
      </x:c>
      <x:c r="AL37" s="60" t="n">
        <x:f>IF(A37&lt;'01_Run_Config'!$B$33,"",A37-'01_Run_Config'!$B$33+1)</x:f>
        <x:v>8</x:v>
      </x:c>
      <x:c r="AM37" s="60" t="str">
        <x:f>IF(AL37="","",IF(AL37&gt;49,CHAR(66)&amp;"7+",CHAR(66)&amp;TEXT(INT((AL37-1)/7)+1,"0")))</x:f>
        <x:v>B2</x:v>
      </x:c>
      <x:c r="AN37" s="60" t="n">
        <x:f>ROUND(0.6108*EXP(17.27*L37/(L37+237.3))*(1-N37/100),2)</x:f>
        <x:v>1.49</x:v>
      </x:c>
      <x:c r="AO37" s="60" t="n">
        <x:f>H37*G37/1000</x:f>
        <x:v>2.16</x:v>
      </x:c>
      <x:c r="AP37" s="60" t="n">
        <x:f>SUM($AO$2:AO37)</x:f>
        <x:v>48.50999999999999</x:v>
      </x:c>
      <x:c r="AQ37" t="n">
        <x:f>'01_Run_Config'!$B$17</x:f>
        <x:v>0</x:v>
      </x:c>
      <x:c r="AR37" t="n">
        <x:f>'01_Run_Config'!$B$22</x:f>
        <x:v>0</x:v>
      </x:c>
      <x:c r="AS37" t="n">
        <x:f>'01_Run_Config'!$B$25</x:f>
        <x:v>0</x:v>
      </x:c>
    </x:row>
    <x:row r="38">
      <x:c r="A38" s="34" t="n">
        <x:v>36</x:v>
      </x:c>
      <x:c r="B38" s="129" t="n">
        <x:f>'01_Run_Config'!$B$4+A38</x:f>
        <x:v>46278</x:v>
      </x:c>
      <x:c r="C38" s="63" t="n">
        <x:f>INT(A38/7)+1</x:f>
        <x:v>6</x:v>
      </x:c>
      <x:c r="D38" s="63" t="str">
        <x:f>"M"&amp;MIN(3,INT(A38/30)+1)</x:f>
        <x:v>M2</x:v>
      </x:c>
      <x:c r="E38" s="63" t="str">
        <x:f>IF(A38&lt;4,"Keimung",IF(A38&lt;8,"Etablierung",IF(A38&lt;15,"Early Veg",IF(A38&lt;'01_Run_Config'!$B$33,IF(A38&lt;22,"Veg / LST","Preflower-Watch"),IF(A38-'01_Run_Config'!$B$33&lt;=6,"Transition / Stretch ("&amp;AM38&amp;")",IF(A38-'01_Run_Config'!$B$33&lt;=13,"Early Flower ("&amp;AM38&amp;")",IF(A38-'01_Run_Config'!$B$33&lt;=20,"Flower I ("&amp;AM38&amp;")",IF(A38-'01_Run_Config'!$B$33&lt;=34,"Peak Flower ("&amp;AM38&amp;")",IF(A38-'01_Run_Config'!$B$33&lt;=41,"Late Flower ("&amp;AM38&amp;")",IF(A38-'01_Run_Config'!$B$33&lt;=48,"Ripening ("&amp;AM38&amp;")","Harvest / Extension ("&amp;AM38&amp;")"))))))))))</x:f>
        <x:v>Early Flower (B2)</x:v>
      </x:c>
      <x:c r="F38" s="63" t="str">
        <x:f>IF(A38&lt;4,"Keimung + Wurzelstart",IF(A38&lt;8,"Sämling etablieren; Wurzelraum erschließen",IF(A38&lt;15,"kompakter Aufbau; LST erst bei Vitalität",IF(A38&lt;'01_Run_Config'!$B$33,"Canopy aufbauen; Preflower beobachten",IF(A38-'01_Run_Config'!$B$33&lt;=6,"Stretch kontrollieren; Bloom-Trigger dokumentieren",IF(A38-'01_Run_Config'!$B$33&lt;=13,"Blütenansatz stabilisieren",IF(A38-'01_Run_Config'!$B$33&lt;=20,"Blütenaufbau ohne neue Stressoren",IF(A38-'01_Run_Config'!$B$33&lt;=34,"stabile Peak-Photosynthese; Klima priorisieren",IF(A38-'01_Run_Config'!$B$33&lt;=41,"Qualität/Schimmelprävention",IF(A38-'01_Run_Config'!$B$33&lt;=48,"Reife ohne Überfütterung","Erntefenster nach Pflanze; keine Kalenderernte"))))))))))</x:f>
        <x:v>Blütenansatz stabilisieren</x:v>
      </x:c>
      <x:c r="G38" s="63" t="n">
        <x:v>18</x:v>
      </x:c>
      <x:c r="H38" s="63" t="n">
        <x:v>135</x:v>
      </x:c>
      <x:c r="I38" s="63" t="n">
        <x:v>600</x:v>
      </x:c>
      <x:c r="J38" s="63" t="n">
        <x:f>I38*G38*3600/1000000</x:f>
        <x:v>38.88</x:v>
      </x:c>
      <x:c r="K38" s="63" t="n">
        <x:v>34</x:v>
      </x:c>
      <x:c r="L38" s="63" t="n">
        <x:v>25</x:v>
      </x:c>
      <x:c r="M38" s="63" t="n">
        <x:v>21.5</x:v>
      </x:c>
      <x:c r="N38" s="63" t="n">
        <x:v>50</x:v>
      </x:c>
      <x:c r="O38" s="63" t="n">
        <x:f>ROUND(0.6108*EXP(17.27*(L38+'01_Run_Config'!$B$34)/(L38+'01_Run_Config'!$B$34+237.3))-(N38/100)*0.6108*EXP(17.27*L38/(L38+237.3)),2)</x:f>
        <x:v>1.4</x:v>
      </x:c>
      <x:c r="P38" s="63" t="n">
        <x:f>IF(A38&lt;'01_Run_Config'!$B$32,0.55,IF(A38&lt;'01_Run_Config'!$B$33,IF(A38-'01_Run_Config'!$B$32&lt;=3,0.8,IF(A38-'01_Run_Config'!$B$32&lt;=10,1,IF(A38-'01_Run_Config'!$B$32&lt;=17,1.2,1.4))),IF(A38-'01_Run_Config'!$B$33&lt;=6,1.5,IF(A38-'01_Run_Config'!$B$33&lt;=13,1.6,IF(A38-'01_Run_Config'!$B$33&lt;=20,1.7,IF(A38-'01_Run_Config'!$B$33&lt;=34,1.8,IF(A38-'01_Run_Config'!$B$33&lt;=41,1.6,IF(A38-'01_Run_Config'!$B$33&lt;=48,1.4,1.15))))))))</x:f>
        <x:v>1.6</x:v>
      </x:c>
      <x:c r="Q38" s="63" t="n">
        <x:v>5.9</x:v>
      </x:c>
      <x:c r="R38" s="63" t="n">
        <x:v>0.8</x:v>
      </x:c>
      <x:c r="S38" s="63" t="n">
        <x:v>1.2</x:v>
      </x:c>
      <x:c r="T38" s="63" t="str">
        <x:f>IF(A38&lt;=7,"Manuell",'01_Run_Config'!$B$40)</x:f>
        <x:v>Manuell / indoor-freigegebene Automation</x:v>
      </x:c>
      <x:c r="U38" s="63" t="str">
        <x:f>IF(A38&lt;'01_Run_Config'!$B$32,"Kein Basisdünger",IF(A38&lt;'01_Run_Config'!$B$33,"HESI TNT","HESI Coco"))</x:f>
        <x:v>HESI Coco</x:v>
      </x:c>
      <x:c r="V38" s="63" t="n">
        <x:f>IF(A38&lt;'01_Run_Config'!$B$32,0,IF(A38&lt;'01_Run_Config'!$B$33,IF(A38-'01_Run_Config'!$B$32&lt;=3,1.25,IF(A38-'01_Run_Config'!$B$32&lt;=10,2,2.5)),IF(A38-'01_Run_Config'!$B$33&lt;=6,2.5,IF(A38-'01_Run_Config'!$B$33&lt;=13,3.25,IF(A38-'01_Run_Config'!$B$33&lt;=20,3.75,IF(A38-'01_Run_Config'!$B$33&lt;=34,4,IF(A38-'01_Run_Config'!$B$33&lt;=41,3.5,IF(A38-'01_Run_Config'!$B$33&lt;=48,2.5,1.5))))))))</x:f>
        <x:v>3.25</x:v>
      </x:c>
      <x:c r="W38" s="63" t="n">
        <x:f>IF(OR(A38='01_Run_Config'!$B$32,A38='01_Run_Config'!$B$32+6,A38='01_Run_Config'!$B$32+12),2.5,0)</x:f>
        <x:v>0</x:v>
      </x:c>
      <x:c r="X38" s="63" t="n">
        <x:f>IF(AND(A38&gt;='01_Run_Config'!$B$32+3,A38&lt;='01_Run_Config'!$B$33+35,MOD(A38-('01_Run_Config'!$B$32+3),7)=0),2,0)</x:f>
        <x:v>0</x:v>
      </x:c>
      <x:c r="Y38" s="63" t="n">
        <x:f>IF(A38&gt;='01_Run_Config'!$B$32,0.015,0)</x:f>
        <x:v>0.015</x:v>
      </x:c>
      <x:c r="Z38" s="63" t="n">
        <x:f>IF(AND('01_Run_Config'!$B$26="Hesilicio statt Balance",A38&gt;='01_Run_Config'!$B$32+3,MOD(A38-('01_Run_Config'!$B$32+3),7)=0,A38&lt;='01_Run_Config'!$B$33+35),0.5,0)</x:f>
        <x:v>0</x:v>
      </x:c>
      <x:c r="AA38" s="63" t="n">
        <x:f>IF(AND(A38&gt;='01_Run_Config'!$B$33,A38&lt;='01_Run_Config'!$B$33+35,MOD(A38-'01_Run_Config'!$B$33,7)=0),2,0)</x:f>
        <x:v>0</x:v>
      </x:c>
      <x:c r="AB38" s="63" t="n">
        <x:f>IF(A38='01_Run_Config'!$B$33+21,0.25,IF(A38='01_Run_Config'!$B$33+28,0.35,IF(A38='01_Run_Config'!$B$33+35,0.5,0)))</x:f>
        <x:v>0</x:v>
      </x:c>
      <x:c r="AC38" s="63" t="n">
        <x:f>IF(OR(A38='01_Run_Config'!$B$32,A38='01_Run_Config'!$B$32+7,A38='01_Run_Config'!$B$33+1,A38='01_Run_Config'!$B$33+8),2,0)</x:f>
        <x:v>2</x:v>
      </x:c>
      <x:c r="AD38" s="63" t="str">
        <x:f>IF(A38&lt;'01_Run_Config'!$B$33,"AN-Reference=0 außer Voodoo-Frischgaben",IF(AL38&lt;=7,"A/B: Bud Ignitor oder Mikrobenmodul; nicht Reference",IF(AL38&lt;=35,"A/B: Big Bud STATT HESI-PK; nicht additiv stapeln",IF(AL38&lt;=49,"A/B: Overdrive STATT spätem HESI-PK","AN-Booster auslaufen"))))</x:f>
        <x:v>A/B: Big Bud STATT HESI-PK; nicht additiv stapeln</x:v>
      </x:c>
      <x:c r="AE38" s="63" t="str">
        <x:v>Leaf-tucking / minimal entlasten</x:v>
      </x:c>
      <x:c r="AF38" s="63" t="str">
        <x:v>Morgens Klima/Pflanze/Bewässerung/Leck; Mitte Lichtphase Blattwinkel; vor Dunkel LF/Drain/stehendes Wasser.</x:v>
      </x:c>
      <x:c r="AG38" s="63" t="str">
        <x:v>EC nicht erhöhen bei steigender Diagnose-Drain-EC; PPFD nicht erhöhen bei Stress; Wasserband nie erzwingen; nie mehrere neue Booster gleichzeitig.</x:v>
      </x:c>
      <x:c r="AH38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3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8" s="201" t="str">
        <x:f>IF(A38&lt;'01_Run_Config'!$B$32,"—",IF(A38&lt;'01_Run_Config'!$B$33,"G"&amp;MIN(4,INT((A38-'01_Run_Config'!$B$32)/7)+1),AM38))</x:f>
        <x:v>B2</x:v>
      </x:c>
      <x:c r="AK38" s="35" t="str">
        <x:f>IF(A38&lt;'01_Run_Config'!$B$32,"Keine AN-Additive.",IF(A38&lt;'01_Run_Config'!$B$33,"Veg: Voodoo nur definierte Frischgaben; B-52/Piranha/Tarantula nur A/B; Sensizym nur statt PowerZyme; Rhino Skin AUS mit Athena Balance.",IF(AL38&lt;=7,"Frühblüte: Voodoo; Bud Ignitor/Piranha/Tarantula nur A/B; Rhino Skin AUS mit Balance.",IF(AL38&lt;=35,"Hauptblüte: Big Bud nur A/B STATT HESI-PK; Biostims einzeln testen.",IF(AL38&lt;=49,"Spätblüte: Overdrive nur A/B STATT spätem HESI-PK; keine neue zweite Variable.","Booster auslaufen / Reife priorisieren.")))))</x:f>
        <x:v>Hauptblüte: Big Bud nur A/B STATT HESI-PK; Biostims einzeln testen.</x:v>
      </x:c>
      <x:c r="AL38" s="60" t="n">
        <x:f>IF(A38&lt;'01_Run_Config'!$B$33,"",A38-'01_Run_Config'!$B$33+1)</x:f>
        <x:v>9</x:v>
      </x:c>
      <x:c r="AM38" s="60" t="str">
        <x:f>IF(AL38="","",IF(AL38&gt;49,CHAR(66)&amp;"7+",CHAR(66)&amp;TEXT(INT((AL38-1)/7)+1,"0")))</x:f>
        <x:v>B2</x:v>
      </x:c>
      <x:c r="AN38" s="60" t="n">
        <x:f>ROUND(0.6108*EXP(17.27*L38/(L38+237.3))*(1-N38/100),2)</x:f>
        <x:v>1.58</x:v>
      </x:c>
      <x:c r="AO38" s="60" t="n">
        <x:f>H38*G38/1000</x:f>
        <x:v>2.43</x:v>
      </x:c>
      <x:c r="AP38" s="60" t="n">
        <x:f>SUM($AO$2:AO38)</x:f>
        <x:v>50.93999999999999</x:v>
      </x:c>
      <x:c r="AQ38" t="n">
        <x:f>'01_Run_Config'!$B$17</x:f>
        <x:v>0</x:v>
      </x:c>
      <x:c r="AR38" t="n">
        <x:f>'01_Run_Config'!$B$22</x:f>
        <x:v>0</x:v>
      </x:c>
      <x:c r="AS38" t="n">
        <x:f>'01_Run_Config'!$B$25</x:f>
        <x:v>0</x:v>
      </x:c>
    </x:row>
    <x:row r="39">
      <x:c r="A39" s="34" t="n">
        <x:v>37</x:v>
      </x:c>
      <x:c r="B39" s="129" t="n">
        <x:f>'01_Run_Config'!$B$4+A39</x:f>
        <x:v>46279</x:v>
      </x:c>
      <x:c r="C39" s="63" t="n">
        <x:f>INT(A39/7)+1</x:f>
        <x:v>6</x:v>
      </x:c>
      <x:c r="D39" s="63" t="str">
        <x:f>"M"&amp;MIN(3,INT(A39/30)+1)</x:f>
        <x:v>M2</x:v>
      </x:c>
      <x:c r="E39" s="63" t="str">
        <x:f>IF(A39&lt;4,"Keimung",IF(A39&lt;8,"Etablierung",IF(A39&lt;15,"Early Veg",IF(A39&lt;'01_Run_Config'!$B$33,IF(A39&lt;22,"Veg / LST","Preflower-Watch"),IF(A39-'01_Run_Config'!$B$33&lt;=6,"Transition / Stretch ("&amp;AM39&amp;")",IF(A39-'01_Run_Config'!$B$33&lt;=13,"Early Flower ("&amp;AM39&amp;")",IF(A39-'01_Run_Config'!$B$33&lt;=20,"Flower I ("&amp;AM39&amp;")",IF(A39-'01_Run_Config'!$B$33&lt;=34,"Peak Flower ("&amp;AM39&amp;")",IF(A39-'01_Run_Config'!$B$33&lt;=41,"Late Flower ("&amp;AM39&amp;")",IF(A39-'01_Run_Config'!$B$33&lt;=48,"Ripening ("&amp;AM39&amp;")","Harvest / Extension ("&amp;AM39&amp;")"))))))))))</x:f>
        <x:v>Early Flower (B2)</x:v>
      </x:c>
      <x:c r="F39" s="63" t="str">
        <x:f>IF(A39&lt;4,"Keimung + Wurzelstart",IF(A39&lt;8,"Sämling etablieren; Wurzelraum erschließen",IF(A39&lt;15,"kompakter Aufbau; LST erst bei Vitalität",IF(A39&lt;'01_Run_Config'!$B$33,"Canopy aufbauen; Preflower beobachten",IF(A39-'01_Run_Config'!$B$33&lt;=6,"Stretch kontrollieren; Bloom-Trigger dokumentieren",IF(A39-'01_Run_Config'!$B$33&lt;=13,"Blütenansatz stabilisieren",IF(A39-'01_Run_Config'!$B$33&lt;=20,"Blütenaufbau ohne neue Stressoren",IF(A39-'01_Run_Config'!$B$33&lt;=34,"stabile Peak-Photosynthese; Klima priorisieren",IF(A39-'01_Run_Config'!$B$33&lt;=41,"Qualität/Schimmelprävention",IF(A39-'01_Run_Config'!$B$33&lt;=48,"Reife ohne Überfütterung","Erntefenster nach Pflanze; keine Kalenderernte"))))))))))</x:f>
        <x:v>Blütenansatz stabilisieren</x:v>
      </x:c>
      <x:c r="G39" s="63" t="n">
        <x:v>18</x:v>
      </x:c>
      <x:c r="H39" s="63" t="n">
        <x:v>135</x:v>
      </x:c>
      <x:c r="I39" s="63" t="n">
        <x:v>600</x:v>
      </x:c>
      <x:c r="J39" s="63" t="n">
        <x:f>I39*G39*3600/1000000</x:f>
        <x:v>38.88</x:v>
      </x:c>
      <x:c r="K39" s="63" t="n">
        <x:v>34</x:v>
      </x:c>
      <x:c r="L39" s="63" t="n">
        <x:v>25</x:v>
      </x:c>
      <x:c r="M39" s="63" t="n">
        <x:v>21.5</x:v>
      </x:c>
      <x:c r="N39" s="63" t="n">
        <x:v>50</x:v>
      </x:c>
      <x:c r="O39" s="63" t="n">
        <x:f>ROUND(0.6108*EXP(17.27*(L39+'01_Run_Config'!$B$34)/(L39+'01_Run_Config'!$B$34+237.3))-(N39/100)*0.6108*EXP(17.27*L39/(L39+237.3)),2)</x:f>
        <x:v>1.4</x:v>
      </x:c>
      <x:c r="P39" s="63" t="n">
        <x:f>IF(A39&lt;'01_Run_Config'!$B$32,0.55,IF(A39&lt;'01_Run_Config'!$B$33,IF(A39-'01_Run_Config'!$B$32&lt;=3,0.8,IF(A39-'01_Run_Config'!$B$32&lt;=10,1,IF(A39-'01_Run_Config'!$B$32&lt;=17,1.2,1.4))),IF(A39-'01_Run_Config'!$B$33&lt;=6,1.5,IF(A39-'01_Run_Config'!$B$33&lt;=13,1.6,IF(A39-'01_Run_Config'!$B$33&lt;=20,1.7,IF(A39-'01_Run_Config'!$B$33&lt;=34,1.8,IF(A39-'01_Run_Config'!$B$33&lt;=41,1.6,IF(A39-'01_Run_Config'!$B$33&lt;=48,1.4,1.15))))))))</x:f>
        <x:v>1.6</x:v>
      </x:c>
      <x:c r="Q39" s="63" t="n">
        <x:v>5.9</x:v>
      </x:c>
      <x:c r="R39" s="63" t="n">
        <x:v>0.8</x:v>
      </x:c>
      <x:c r="S39" s="63" t="n">
        <x:v>1.2</x:v>
      </x:c>
      <x:c r="T39" s="63" t="str">
        <x:f>IF(A39&lt;=7,"Manuell",'01_Run_Config'!$B$40)</x:f>
        <x:v>Manuell / indoor-freigegebene Automation</x:v>
      </x:c>
      <x:c r="U39" s="63" t="str">
        <x:f>IF(A39&lt;'01_Run_Config'!$B$32,"Kein Basisdünger",IF(A39&lt;'01_Run_Config'!$B$33,"HESI TNT","HESI Coco"))</x:f>
        <x:v>HESI Coco</x:v>
      </x:c>
      <x:c r="V39" s="63" t="n">
        <x:f>IF(A39&lt;'01_Run_Config'!$B$32,0,IF(A39&lt;'01_Run_Config'!$B$33,IF(A39-'01_Run_Config'!$B$32&lt;=3,1.25,IF(A39-'01_Run_Config'!$B$32&lt;=10,2,2.5)),IF(A39-'01_Run_Config'!$B$33&lt;=6,2.5,IF(A39-'01_Run_Config'!$B$33&lt;=13,3.25,IF(A39-'01_Run_Config'!$B$33&lt;=20,3.75,IF(A39-'01_Run_Config'!$B$33&lt;=34,4,IF(A39-'01_Run_Config'!$B$33&lt;=41,3.5,IF(A39-'01_Run_Config'!$B$33&lt;=48,2.5,1.5))))))))</x:f>
        <x:v>3.25</x:v>
      </x:c>
      <x:c r="W39" s="63" t="n">
        <x:f>IF(OR(A39='01_Run_Config'!$B$32,A39='01_Run_Config'!$B$32+6,A39='01_Run_Config'!$B$32+12),2.5,0)</x:f>
        <x:v>0</x:v>
      </x:c>
      <x:c r="X39" s="63" t="n">
        <x:f>IF(AND(A39&gt;='01_Run_Config'!$B$32+3,A39&lt;='01_Run_Config'!$B$33+35,MOD(A39-('01_Run_Config'!$B$32+3),7)=0),2,0)</x:f>
        <x:v>0</x:v>
      </x:c>
      <x:c r="Y39" s="63" t="n">
        <x:f>IF(A39&gt;='01_Run_Config'!$B$32,0.015,0)</x:f>
        <x:v>0.015</x:v>
      </x:c>
      <x:c r="Z39" s="63" t="n">
        <x:f>IF(AND('01_Run_Config'!$B$26="Hesilicio statt Balance",A39&gt;='01_Run_Config'!$B$32+3,MOD(A39-('01_Run_Config'!$B$32+3),7)=0,A39&lt;='01_Run_Config'!$B$33+35),0.5,0)</x:f>
        <x:v>0</x:v>
      </x:c>
      <x:c r="AA39" s="63" t="n">
        <x:f>IF(AND(A39&gt;='01_Run_Config'!$B$33,A39&lt;='01_Run_Config'!$B$33+35,MOD(A39-'01_Run_Config'!$B$33,7)=0),2,0)</x:f>
        <x:v>0</x:v>
      </x:c>
      <x:c r="AB39" s="63" t="n">
        <x:f>IF(A39='01_Run_Config'!$B$33+21,0.25,IF(A39='01_Run_Config'!$B$33+28,0.35,IF(A39='01_Run_Config'!$B$33+35,0.5,0)))</x:f>
        <x:v>0</x:v>
      </x:c>
      <x:c r="AC39" s="63" t="n">
        <x:f>IF(OR(A39='01_Run_Config'!$B$32,A39='01_Run_Config'!$B$32+7,A39='01_Run_Config'!$B$33+1,A39='01_Run_Config'!$B$33+8),2,0)</x:f>
        <x:v>0</x:v>
      </x:c>
      <x:c r="AD39" s="63" t="str">
        <x:f>IF(A39&lt;'01_Run_Config'!$B$33,"AN-Reference=0 außer Voodoo-Frischgaben",IF(AL39&lt;=7,"A/B: Bud Ignitor oder Mikrobenmodul; nicht Reference",IF(AL39&lt;=35,"A/B: Big Bud STATT HESI-PK; nicht additiv stapeln",IF(AL39&lt;=49,"A/B: Overdrive STATT spätem HESI-PK","AN-Booster auslaufen"))))</x:f>
        <x:v>A/B: Big Bud STATT HESI-PK; nicht additiv stapeln</x:v>
      </x:c>
      <x:c r="AE39" s="63" t="str">
        <x:v>Leaf-tucking / minimal entlasten</x:v>
      </x:c>
      <x:c r="AF39" s="63" t="str">
        <x:v>Morgens Klima/Pflanze/Bewässerung/Leck; Mitte Lichtphase Blattwinkel; vor Dunkel LF/Drain/stehendes Wasser.</x:v>
      </x:c>
      <x:c r="AG39" s="63" t="str">
        <x:v>EC nicht erhöhen bei steigender Diagnose-Drain-EC; PPFD nicht erhöhen bei Stress; Wasserband nie erzwingen; nie mehrere neue Booster gleichzeitig.</x:v>
      </x:c>
      <x:c r="AH39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3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9" s="201" t="str">
        <x:f>IF(A39&lt;'01_Run_Config'!$B$32,"—",IF(A39&lt;'01_Run_Config'!$B$33,"G"&amp;MIN(4,INT((A39-'01_Run_Config'!$B$32)/7)+1),AM39))</x:f>
        <x:v>B2</x:v>
      </x:c>
      <x:c r="AK39" s="35" t="str">
        <x:f>IF(A39&lt;'01_Run_Config'!$B$32,"Keine AN-Additive.",IF(A39&lt;'01_Run_Config'!$B$33,"Veg: Voodoo nur definierte Frischgaben; B-52/Piranha/Tarantula nur A/B; Sensizym nur statt PowerZyme; Rhino Skin AUS mit Athena Balance.",IF(AL39&lt;=7,"Frühblüte: Voodoo; Bud Ignitor/Piranha/Tarantula nur A/B; Rhino Skin AUS mit Balance.",IF(AL39&lt;=35,"Hauptblüte: Big Bud nur A/B STATT HESI-PK; Biostims einzeln testen.",IF(AL39&lt;=49,"Spätblüte: Overdrive nur A/B STATT spätem HESI-PK; keine neue zweite Variable.","Booster auslaufen / Reife priorisieren.")))))</x:f>
        <x:v>Hauptblüte: Big Bud nur A/B STATT HESI-PK; Biostims einzeln testen.</x:v>
      </x:c>
      <x:c r="AL39" s="60" t="n">
        <x:f>IF(A39&lt;'01_Run_Config'!$B$33,"",A39-'01_Run_Config'!$B$33+1)</x:f>
        <x:v>10</x:v>
      </x:c>
      <x:c r="AM39" s="60" t="str">
        <x:f>IF(AL39="","",IF(AL39&gt;49,CHAR(66)&amp;"7+",CHAR(66)&amp;TEXT(INT((AL39-1)/7)+1,"0")))</x:f>
        <x:v>B2</x:v>
      </x:c>
      <x:c r="AN39" s="60" t="n">
        <x:f>ROUND(0.6108*EXP(17.27*L39/(L39+237.3))*(1-N39/100),2)</x:f>
        <x:v>1.58</x:v>
      </x:c>
      <x:c r="AO39" s="60" t="n">
        <x:f>H39*G39/1000</x:f>
        <x:v>2.43</x:v>
      </x:c>
      <x:c r="AP39" s="60" t="n">
        <x:f>SUM($AO$2:AO39)</x:f>
        <x:v>53.36999999999999</x:v>
      </x:c>
      <x:c r="AQ39" t="n">
        <x:f>'01_Run_Config'!$B$17</x:f>
        <x:v>0</x:v>
      </x:c>
      <x:c r="AR39" t="n">
        <x:f>'01_Run_Config'!$B$22</x:f>
        <x:v>0</x:v>
      </x:c>
      <x:c r="AS39" t="n">
        <x:f>'01_Run_Config'!$B$25</x:f>
        <x:v>0</x:v>
      </x:c>
    </x:row>
    <x:row r="40">
      <x:c r="A40" s="34" t="n">
        <x:v>38</x:v>
      </x:c>
      <x:c r="B40" s="129" t="n">
        <x:f>'01_Run_Config'!$B$4+A40</x:f>
        <x:v>46280</x:v>
      </x:c>
      <x:c r="C40" s="63" t="n">
        <x:f>INT(A40/7)+1</x:f>
        <x:v>6</x:v>
      </x:c>
      <x:c r="D40" s="63" t="str">
        <x:f>"M"&amp;MIN(3,INT(A40/30)+1)</x:f>
        <x:v>M2</x:v>
      </x:c>
      <x:c r="E40" s="63" t="str">
        <x:f>IF(A40&lt;4,"Keimung",IF(A40&lt;8,"Etablierung",IF(A40&lt;15,"Early Veg",IF(A40&lt;'01_Run_Config'!$B$33,IF(A40&lt;22,"Veg / LST","Preflower-Watch"),IF(A40-'01_Run_Config'!$B$33&lt;=6,"Transition / Stretch ("&amp;AM40&amp;")",IF(A40-'01_Run_Config'!$B$33&lt;=13,"Early Flower ("&amp;AM40&amp;")",IF(A40-'01_Run_Config'!$B$33&lt;=20,"Flower I ("&amp;AM40&amp;")",IF(A40-'01_Run_Config'!$B$33&lt;=34,"Peak Flower ("&amp;AM40&amp;")",IF(A40-'01_Run_Config'!$B$33&lt;=41,"Late Flower ("&amp;AM40&amp;")",IF(A40-'01_Run_Config'!$B$33&lt;=48,"Ripening ("&amp;AM40&amp;")","Harvest / Extension ("&amp;AM40&amp;")"))))))))))</x:f>
        <x:v>Early Flower (B2)</x:v>
      </x:c>
      <x:c r="F40" s="63" t="str">
        <x:f>IF(A40&lt;4,"Keimung + Wurzelstart",IF(A40&lt;8,"Sämling etablieren; Wurzelraum erschließen",IF(A40&lt;15,"kompakter Aufbau; LST erst bei Vitalität",IF(A40&lt;'01_Run_Config'!$B$33,"Canopy aufbauen; Preflower beobachten",IF(A40-'01_Run_Config'!$B$33&lt;=6,"Stretch kontrollieren; Bloom-Trigger dokumentieren",IF(A40-'01_Run_Config'!$B$33&lt;=13,"Blütenansatz stabilisieren",IF(A40-'01_Run_Config'!$B$33&lt;=20,"Blütenaufbau ohne neue Stressoren",IF(A40-'01_Run_Config'!$B$33&lt;=34,"stabile Peak-Photosynthese; Klima priorisieren",IF(A40-'01_Run_Config'!$B$33&lt;=41,"Qualität/Schimmelprävention",IF(A40-'01_Run_Config'!$B$33&lt;=48,"Reife ohne Überfütterung","Erntefenster nach Pflanze; keine Kalenderernte"))))))))))</x:f>
        <x:v>Blütenansatz stabilisieren</x:v>
      </x:c>
      <x:c r="G40" s="63" t="n">
        <x:v>18</x:v>
      </x:c>
      <x:c r="H40" s="63" t="n">
        <x:v>135</x:v>
      </x:c>
      <x:c r="I40" s="63" t="n">
        <x:v>600</x:v>
      </x:c>
      <x:c r="J40" s="63" t="n">
        <x:f>I40*G40*3600/1000000</x:f>
        <x:v>38.88</x:v>
      </x:c>
      <x:c r="K40" s="63" t="n">
        <x:v>34</x:v>
      </x:c>
      <x:c r="L40" s="63" t="n">
        <x:v>25</x:v>
      </x:c>
      <x:c r="M40" s="63" t="n">
        <x:v>21.5</x:v>
      </x:c>
      <x:c r="N40" s="63" t="n">
        <x:v>50</x:v>
      </x:c>
      <x:c r="O40" s="63" t="n">
        <x:f>ROUND(0.6108*EXP(17.27*(L40+'01_Run_Config'!$B$34)/(L40+'01_Run_Config'!$B$34+237.3))-(N40/100)*0.6108*EXP(17.27*L40/(L40+237.3)),2)</x:f>
        <x:v>1.4</x:v>
      </x:c>
      <x:c r="P40" s="63" t="n">
        <x:f>IF(A40&lt;'01_Run_Config'!$B$32,0.55,IF(A40&lt;'01_Run_Config'!$B$33,IF(A40-'01_Run_Config'!$B$32&lt;=3,0.8,IF(A40-'01_Run_Config'!$B$32&lt;=10,1,IF(A40-'01_Run_Config'!$B$32&lt;=17,1.2,1.4))),IF(A40-'01_Run_Config'!$B$33&lt;=6,1.5,IF(A40-'01_Run_Config'!$B$33&lt;=13,1.6,IF(A40-'01_Run_Config'!$B$33&lt;=20,1.7,IF(A40-'01_Run_Config'!$B$33&lt;=34,1.8,IF(A40-'01_Run_Config'!$B$33&lt;=41,1.6,IF(A40-'01_Run_Config'!$B$33&lt;=48,1.4,1.15))))))))</x:f>
        <x:v>1.6</x:v>
      </x:c>
      <x:c r="Q40" s="63" t="n">
        <x:v>5.9</x:v>
      </x:c>
      <x:c r="R40" s="63" t="n">
        <x:v>0.8</x:v>
      </x:c>
      <x:c r="S40" s="63" t="n">
        <x:v>1.2</x:v>
      </x:c>
      <x:c r="T40" s="63" t="str">
        <x:f>IF(A40&lt;=7,"Manuell",'01_Run_Config'!$B$40)</x:f>
        <x:v>Manuell / indoor-freigegebene Automation</x:v>
      </x:c>
      <x:c r="U40" s="63" t="str">
        <x:f>IF(A40&lt;'01_Run_Config'!$B$32,"Kein Basisdünger",IF(A40&lt;'01_Run_Config'!$B$33,"HESI TNT","HESI Coco"))</x:f>
        <x:v>HESI Coco</x:v>
      </x:c>
      <x:c r="V40" s="63" t="n">
        <x:f>IF(A40&lt;'01_Run_Config'!$B$32,0,IF(A40&lt;'01_Run_Config'!$B$33,IF(A40-'01_Run_Config'!$B$32&lt;=3,1.25,IF(A40-'01_Run_Config'!$B$32&lt;=10,2,2.5)),IF(A40-'01_Run_Config'!$B$33&lt;=6,2.5,IF(A40-'01_Run_Config'!$B$33&lt;=13,3.25,IF(A40-'01_Run_Config'!$B$33&lt;=20,3.75,IF(A40-'01_Run_Config'!$B$33&lt;=34,4,IF(A40-'01_Run_Config'!$B$33&lt;=41,3.5,IF(A40-'01_Run_Config'!$B$33&lt;=48,2.5,1.5))))))))</x:f>
        <x:v>3.25</x:v>
      </x:c>
      <x:c r="W40" s="63" t="n">
        <x:f>IF(OR(A40='01_Run_Config'!$B$32,A40='01_Run_Config'!$B$32+6,A40='01_Run_Config'!$B$32+12),2.5,0)</x:f>
        <x:v>0</x:v>
      </x:c>
      <x:c r="X40" s="63" t="n">
        <x:f>IF(AND(A40&gt;='01_Run_Config'!$B$32+3,A40&lt;='01_Run_Config'!$B$33+35,MOD(A40-('01_Run_Config'!$B$32+3),7)=0),2,0)</x:f>
        <x:v>0</x:v>
      </x:c>
      <x:c r="Y40" s="63" t="n">
        <x:f>IF(A40&gt;='01_Run_Config'!$B$32,0.015,0)</x:f>
        <x:v>0.015</x:v>
      </x:c>
      <x:c r="Z40" s="63" t="n">
        <x:f>IF(AND('01_Run_Config'!$B$26="Hesilicio statt Balance",A40&gt;='01_Run_Config'!$B$32+3,MOD(A40-('01_Run_Config'!$B$32+3),7)=0,A40&lt;='01_Run_Config'!$B$33+35),0.5,0)</x:f>
        <x:v>0</x:v>
      </x:c>
      <x:c r="AA40" s="63" t="n">
        <x:f>IF(AND(A40&gt;='01_Run_Config'!$B$33,A40&lt;='01_Run_Config'!$B$33+35,MOD(A40-'01_Run_Config'!$B$33,7)=0),2,0)</x:f>
        <x:v>0</x:v>
      </x:c>
      <x:c r="AB40" s="63" t="n">
        <x:f>IF(A40='01_Run_Config'!$B$33+21,0.25,IF(A40='01_Run_Config'!$B$33+28,0.35,IF(A40='01_Run_Config'!$B$33+35,0.5,0)))</x:f>
        <x:v>0</x:v>
      </x:c>
      <x:c r="AC40" s="63" t="n">
        <x:f>IF(OR(A40='01_Run_Config'!$B$32,A40='01_Run_Config'!$B$32+7,A40='01_Run_Config'!$B$33+1,A40='01_Run_Config'!$B$33+8),2,0)</x:f>
        <x:v>0</x:v>
      </x:c>
      <x:c r="AD40" s="63" t="str">
        <x:f>IF(A40&lt;'01_Run_Config'!$B$33,"AN-Reference=0 außer Voodoo-Frischgaben",IF(AL40&lt;=7,"A/B: Bud Ignitor oder Mikrobenmodul; nicht Reference",IF(AL40&lt;=35,"A/B: Big Bud STATT HESI-PK; nicht additiv stapeln",IF(AL40&lt;=49,"A/B: Overdrive STATT spätem HESI-PK","AN-Booster auslaufen"))))</x:f>
        <x:v>A/B: Big Bud STATT HESI-PK; nicht additiv stapeln</x:v>
      </x:c>
      <x:c r="AE40" s="63" t="str">
        <x:v>Leaf-tucking / minimal entlasten</x:v>
      </x:c>
      <x:c r="AF40" s="63" t="str">
        <x:v>Morgens Klima/Pflanze/Bewässerung/Leck; Mitte Lichtphase Blattwinkel; vor Dunkel LF/Drain/stehendes Wasser.</x:v>
      </x:c>
      <x:c r="AG40" s="63" t="str">
        <x:v>EC nicht erhöhen bei steigender Diagnose-Drain-EC; PPFD nicht erhöhen bei Stress; Wasserband nie erzwingen; nie mehrere neue Booster gleichzeitig.</x:v>
      </x:c>
      <x:c r="AH40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4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0" s="201" t="str">
        <x:f>IF(A40&lt;'01_Run_Config'!$B$32,"—",IF(A40&lt;'01_Run_Config'!$B$33,"G"&amp;MIN(4,INT((A40-'01_Run_Config'!$B$32)/7)+1),AM40))</x:f>
        <x:v>B2</x:v>
      </x:c>
      <x:c r="AK40" s="35" t="str">
        <x:f>IF(A40&lt;'01_Run_Config'!$B$32,"Keine AN-Additive.",IF(A40&lt;'01_Run_Config'!$B$33,"Veg: Voodoo nur definierte Frischgaben; B-52/Piranha/Tarantula nur A/B; Sensizym nur statt PowerZyme; Rhino Skin AUS mit Athena Balance.",IF(AL40&lt;=7,"Frühblüte: Voodoo; Bud Ignitor/Piranha/Tarantula nur A/B; Rhino Skin AUS mit Balance.",IF(AL40&lt;=35,"Hauptblüte: Big Bud nur A/B STATT HESI-PK; Biostims einzeln testen.",IF(AL40&lt;=49,"Spätblüte: Overdrive nur A/B STATT spätem HESI-PK; keine neue zweite Variable.","Booster auslaufen / Reife priorisieren.")))))</x:f>
        <x:v>Hauptblüte: Big Bud nur A/B STATT HESI-PK; Biostims einzeln testen.</x:v>
      </x:c>
      <x:c r="AL40" s="60" t="n">
        <x:f>IF(A40&lt;'01_Run_Config'!$B$33,"",A40-'01_Run_Config'!$B$33+1)</x:f>
        <x:v>11</x:v>
      </x:c>
      <x:c r="AM40" s="60" t="str">
        <x:f>IF(AL40="","",IF(AL40&gt;49,CHAR(66)&amp;"7+",CHAR(66)&amp;TEXT(INT((AL40-1)/7)+1,"0")))</x:f>
        <x:v>B2</x:v>
      </x:c>
      <x:c r="AN40" s="60" t="n">
        <x:f>ROUND(0.6108*EXP(17.27*L40/(L40+237.3))*(1-N40/100),2)</x:f>
        <x:v>1.58</x:v>
      </x:c>
      <x:c r="AO40" s="60" t="n">
        <x:f>H40*G40/1000</x:f>
        <x:v>2.43</x:v>
      </x:c>
      <x:c r="AP40" s="60" t="n">
        <x:f>SUM($AO$2:AO40)</x:f>
        <x:v>55.79999999999999</x:v>
      </x:c>
      <x:c r="AQ40" t="n">
        <x:f>'01_Run_Config'!$B$17</x:f>
        <x:v>0</x:v>
      </x:c>
      <x:c r="AR40" t="n">
        <x:f>'01_Run_Config'!$B$22</x:f>
        <x:v>0</x:v>
      </x:c>
      <x:c r="AS40" t="n">
        <x:f>'01_Run_Config'!$B$25</x:f>
        <x:v>0</x:v>
      </x:c>
    </x:row>
    <x:row r="41">
      <x:c r="A41" s="34" t="n">
        <x:v>39</x:v>
      </x:c>
      <x:c r="B41" s="129" t="n">
        <x:f>'01_Run_Config'!$B$4+A41</x:f>
        <x:v>46281</x:v>
      </x:c>
      <x:c r="C41" s="63" t="n">
        <x:f>INT(A41/7)+1</x:f>
        <x:v>6</x:v>
      </x:c>
      <x:c r="D41" s="63" t="str">
        <x:f>"M"&amp;MIN(3,INT(A41/30)+1)</x:f>
        <x:v>M2</x:v>
      </x:c>
      <x:c r="E41" s="63" t="str">
        <x:f>IF(A41&lt;4,"Keimung",IF(A41&lt;8,"Etablierung",IF(A41&lt;15,"Early Veg",IF(A41&lt;'01_Run_Config'!$B$33,IF(A41&lt;22,"Veg / LST","Preflower-Watch"),IF(A41-'01_Run_Config'!$B$33&lt;=6,"Transition / Stretch ("&amp;AM41&amp;")",IF(A41-'01_Run_Config'!$B$33&lt;=13,"Early Flower ("&amp;AM41&amp;")",IF(A41-'01_Run_Config'!$B$33&lt;=20,"Flower I ("&amp;AM41&amp;")",IF(A41-'01_Run_Config'!$B$33&lt;=34,"Peak Flower ("&amp;AM41&amp;")",IF(A41-'01_Run_Config'!$B$33&lt;=41,"Late Flower ("&amp;AM41&amp;")",IF(A41-'01_Run_Config'!$B$33&lt;=48,"Ripening ("&amp;AM41&amp;")","Harvest / Extension ("&amp;AM41&amp;")"))))))))))</x:f>
        <x:v>Early Flower (B2)</x:v>
      </x:c>
      <x:c r="F41" s="63" t="str">
        <x:f>IF(A41&lt;4,"Keimung + Wurzelstart",IF(A41&lt;8,"Sämling etablieren; Wurzelraum erschließen",IF(A41&lt;15,"kompakter Aufbau; LST erst bei Vitalität",IF(A41&lt;'01_Run_Config'!$B$33,"Canopy aufbauen; Preflower beobachten",IF(A41-'01_Run_Config'!$B$33&lt;=6,"Stretch kontrollieren; Bloom-Trigger dokumentieren",IF(A41-'01_Run_Config'!$B$33&lt;=13,"Blütenansatz stabilisieren",IF(A41-'01_Run_Config'!$B$33&lt;=20,"Blütenaufbau ohne neue Stressoren",IF(A41-'01_Run_Config'!$B$33&lt;=34,"stabile Peak-Photosynthese; Klima priorisieren",IF(A41-'01_Run_Config'!$B$33&lt;=41,"Qualität/Schimmelprävention",IF(A41-'01_Run_Config'!$B$33&lt;=48,"Reife ohne Überfütterung","Erntefenster nach Pflanze; keine Kalenderernte"))))))))))</x:f>
        <x:v>Blütenansatz stabilisieren</x:v>
      </x:c>
      <x:c r="G41" s="63" t="n">
        <x:v>18</x:v>
      </x:c>
      <x:c r="H41" s="63" t="n">
        <x:v>135</x:v>
      </x:c>
      <x:c r="I41" s="63" t="n">
        <x:v>600</x:v>
      </x:c>
      <x:c r="J41" s="63" t="n">
        <x:f>I41*G41*3600/1000000</x:f>
        <x:v>38.88</x:v>
      </x:c>
      <x:c r="K41" s="63" t="n">
        <x:v>34</x:v>
      </x:c>
      <x:c r="L41" s="63" t="n">
        <x:v>25</x:v>
      </x:c>
      <x:c r="M41" s="63" t="n">
        <x:v>21.5</x:v>
      </x:c>
      <x:c r="N41" s="63" t="n">
        <x:v>50</x:v>
      </x:c>
      <x:c r="O41" s="63" t="n">
        <x:f>ROUND(0.6108*EXP(17.27*(L41+'01_Run_Config'!$B$34)/(L41+'01_Run_Config'!$B$34+237.3))-(N41/100)*0.6108*EXP(17.27*L41/(L41+237.3)),2)</x:f>
        <x:v>1.4</x:v>
      </x:c>
      <x:c r="P41" s="63" t="n">
        <x:f>IF(A41&lt;'01_Run_Config'!$B$32,0.55,IF(A41&lt;'01_Run_Config'!$B$33,IF(A41-'01_Run_Config'!$B$32&lt;=3,0.8,IF(A41-'01_Run_Config'!$B$32&lt;=10,1,IF(A41-'01_Run_Config'!$B$32&lt;=17,1.2,1.4))),IF(A41-'01_Run_Config'!$B$33&lt;=6,1.5,IF(A41-'01_Run_Config'!$B$33&lt;=13,1.6,IF(A41-'01_Run_Config'!$B$33&lt;=20,1.7,IF(A41-'01_Run_Config'!$B$33&lt;=34,1.8,IF(A41-'01_Run_Config'!$B$33&lt;=41,1.6,IF(A41-'01_Run_Config'!$B$33&lt;=48,1.4,1.15))))))))</x:f>
        <x:v>1.6</x:v>
      </x:c>
      <x:c r="Q41" s="63" t="n">
        <x:v>5.9</x:v>
      </x:c>
      <x:c r="R41" s="63" t="n">
        <x:v>0.8</x:v>
      </x:c>
      <x:c r="S41" s="63" t="n">
        <x:v>1.2</x:v>
      </x:c>
      <x:c r="T41" s="63" t="str">
        <x:f>IF(A41&lt;=7,"Manuell",'01_Run_Config'!$B$40)</x:f>
        <x:v>Manuell / indoor-freigegebene Automation</x:v>
      </x:c>
      <x:c r="U41" s="63" t="str">
        <x:f>IF(A41&lt;'01_Run_Config'!$B$32,"Kein Basisdünger",IF(A41&lt;'01_Run_Config'!$B$33,"HESI TNT","HESI Coco"))</x:f>
        <x:v>HESI Coco</x:v>
      </x:c>
      <x:c r="V41" s="63" t="n">
        <x:f>IF(A41&lt;'01_Run_Config'!$B$32,0,IF(A41&lt;'01_Run_Config'!$B$33,IF(A41-'01_Run_Config'!$B$32&lt;=3,1.25,IF(A41-'01_Run_Config'!$B$32&lt;=10,2,2.5)),IF(A41-'01_Run_Config'!$B$33&lt;=6,2.5,IF(A41-'01_Run_Config'!$B$33&lt;=13,3.25,IF(A41-'01_Run_Config'!$B$33&lt;=20,3.75,IF(A41-'01_Run_Config'!$B$33&lt;=34,4,IF(A41-'01_Run_Config'!$B$33&lt;=41,3.5,IF(A41-'01_Run_Config'!$B$33&lt;=48,2.5,1.5))))))))</x:f>
        <x:v>3.25</x:v>
      </x:c>
      <x:c r="W41" s="63" t="n">
        <x:f>IF(OR(A41='01_Run_Config'!$B$32,A41='01_Run_Config'!$B$32+6,A41='01_Run_Config'!$B$32+12),2.5,0)</x:f>
        <x:v>0</x:v>
      </x:c>
      <x:c r="X41" s="63" t="n">
        <x:f>IF(AND(A41&gt;='01_Run_Config'!$B$32+3,A41&lt;='01_Run_Config'!$B$33+35,MOD(A41-('01_Run_Config'!$B$32+3),7)=0),2,0)</x:f>
        <x:v>0</x:v>
      </x:c>
      <x:c r="Y41" s="63" t="n">
        <x:f>IF(A41&gt;='01_Run_Config'!$B$32,0.015,0)</x:f>
        <x:v>0.015</x:v>
      </x:c>
      <x:c r="Z41" s="63" t="n">
        <x:f>IF(AND('01_Run_Config'!$B$26="Hesilicio statt Balance",A41&gt;='01_Run_Config'!$B$32+3,MOD(A41-('01_Run_Config'!$B$32+3),7)=0,A41&lt;='01_Run_Config'!$B$33+35),0.5,0)</x:f>
        <x:v>0</x:v>
      </x:c>
      <x:c r="AA41" s="63" t="n">
        <x:f>IF(AND(A41&gt;='01_Run_Config'!$B$33,A41&lt;='01_Run_Config'!$B$33+35,MOD(A41-'01_Run_Config'!$B$33,7)=0),2,0)</x:f>
        <x:v>0</x:v>
      </x:c>
      <x:c r="AB41" s="63" t="n">
        <x:f>IF(A41='01_Run_Config'!$B$33+21,0.25,IF(A41='01_Run_Config'!$B$33+28,0.35,IF(A41='01_Run_Config'!$B$33+35,0.5,0)))</x:f>
        <x:v>0</x:v>
      </x:c>
      <x:c r="AC41" s="63" t="n">
        <x:f>IF(OR(A41='01_Run_Config'!$B$32,A41='01_Run_Config'!$B$32+7,A41='01_Run_Config'!$B$33+1,A41='01_Run_Config'!$B$33+8),2,0)</x:f>
        <x:v>0</x:v>
      </x:c>
      <x:c r="AD41" s="63" t="str">
        <x:f>IF(A41&lt;'01_Run_Config'!$B$33,"AN-Reference=0 außer Voodoo-Frischgaben",IF(AL41&lt;=7,"A/B: Bud Ignitor oder Mikrobenmodul; nicht Reference",IF(AL41&lt;=35,"A/B: Big Bud STATT HESI-PK; nicht additiv stapeln",IF(AL41&lt;=49,"A/B: Overdrive STATT spätem HESI-PK","AN-Booster auslaufen"))))</x:f>
        <x:v>A/B: Big Bud STATT HESI-PK; nicht additiv stapeln</x:v>
      </x:c>
      <x:c r="AE41" s="63" t="str">
        <x:v>Leaf-tucking / minimal entlasten</x:v>
      </x:c>
      <x:c r="AF41" s="63" t="str">
        <x:v>Morgens Klima/Pflanze/Bewässerung/Leck; Mitte Lichtphase Blattwinkel; vor Dunkel LF/Drain/stehendes Wasser.</x:v>
      </x:c>
      <x:c r="AG41" s="63" t="str">
        <x:v>EC nicht erhöhen bei steigender Diagnose-Drain-EC; PPFD nicht erhöhen bei Stress; Wasserband nie erzwingen; nie mehrere neue Booster gleichzeitig.</x:v>
      </x:c>
      <x:c r="AH41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4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1" s="201" t="str">
        <x:f>IF(A41&lt;'01_Run_Config'!$B$32,"—",IF(A41&lt;'01_Run_Config'!$B$33,"G"&amp;MIN(4,INT((A41-'01_Run_Config'!$B$32)/7)+1),AM41))</x:f>
        <x:v>B2</x:v>
      </x:c>
      <x:c r="AK41" s="35" t="str">
        <x:f>IF(A41&lt;'01_Run_Config'!$B$32,"Keine AN-Additive.",IF(A41&lt;'01_Run_Config'!$B$33,"Veg: Voodoo nur definierte Frischgaben; B-52/Piranha/Tarantula nur A/B; Sensizym nur statt PowerZyme; Rhino Skin AUS mit Athena Balance.",IF(AL41&lt;=7,"Frühblüte: Voodoo; Bud Ignitor/Piranha/Tarantula nur A/B; Rhino Skin AUS mit Balance.",IF(AL41&lt;=35,"Hauptblüte: Big Bud nur A/B STATT HESI-PK; Biostims einzeln testen.",IF(AL41&lt;=49,"Spätblüte: Overdrive nur A/B STATT spätem HESI-PK; keine neue zweite Variable.","Booster auslaufen / Reife priorisieren.")))))</x:f>
        <x:v>Hauptblüte: Big Bud nur A/B STATT HESI-PK; Biostims einzeln testen.</x:v>
      </x:c>
      <x:c r="AL41" s="60" t="n">
        <x:f>IF(A41&lt;'01_Run_Config'!$B$33,"",A41-'01_Run_Config'!$B$33+1)</x:f>
        <x:v>12</x:v>
      </x:c>
      <x:c r="AM41" s="60" t="str">
        <x:f>IF(AL41="","",IF(AL41&gt;49,CHAR(66)&amp;"7+",CHAR(66)&amp;TEXT(INT((AL41-1)/7)+1,"0")))</x:f>
        <x:v>B2</x:v>
      </x:c>
      <x:c r="AN41" s="60" t="n">
        <x:f>ROUND(0.6108*EXP(17.27*L41/(L41+237.3))*(1-N41/100),2)</x:f>
        <x:v>1.58</x:v>
      </x:c>
      <x:c r="AO41" s="60" t="n">
        <x:f>H41*G41/1000</x:f>
        <x:v>2.43</x:v>
      </x:c>
      <x:c r="AP41" s="60" t="n">
        <x:f>SUM($AO$2:AO41)</x:f>
        <x:v>58.22999999999999</x:v>
      </x:c>
      <x:c r="AQ41" t="n">
        <x:f>'01_Run_Config'!$B$17</x:f>
        <x:v>0</x:v>
      </x:c>
      <x:c r="AR41" t="n">
        <x:f>'01_Run_Config'!$B$22</x:f>
        <x:v>0</x:v>
      </x:c>
      <x:c r="AS41" t="n">
        <x:f>'01_Run_Config'!$B$25</x:f>
        <x:v>0</x:v>
      </x:c>
    </x:row>
    <x:row r="42">
      <x:c r="A42" s="34" t="n">
        <x:v>40</x:v>
      </x:c>
      <x:c r="B42" s="129" t="n">
        <x:f>'01_Run_Config'!$B$4+A42</x:f>
        <x:v>46282</x:v>
      </x:c>
      <x:c r="C42" s="63" t="n">
        <x:f>INT(A42/7)+1</x:f>
        <x:v>6</x:v>
      </x:c>
      <x:c r="D42" s="63" t="str">
        <x:f>"M"&amp;MIN(3,INT(A42/30)+1)</x:f>
        <x:v>M2</x:v>
      </x:c>
      <x:c r="E42" s="63" t="str">
        <x:f>IF(A42&lt;4,"Keimung",IF(A42&lt;8,"Etablierung",IF(A42&lt;15,"Early Veg",IF(A42&lt;'01_Run_Config'!$B$33,IF(A42&lt;22,"Veg / LST","Preflower-Watch"),IF(A42-'01_Run_Config'!$B$33&lt;=6,"Transition / Stretch ("&amp;AM42&amp;")",IF(A42-'01_Run_Config'!$B$33&lt;=13,"Early Flower ("&amp;AM42&amp;")",IF(A42-'01_Run_Config'!$B$33&lt;=20,"Flower I ("&amp;AM42&amp;")",IF(A42-'01_Run_Config'!$B$33&lt;=34,"Peak Flower ("&amp;AM42&amp;")",IF(A42-'01_Run_Config'!$B$33&lt;=41,"Late Flower ("&amp;AM42&amp;")",IF(A42-'01_Run_Config'!$B$33&lt;=48,"Ripening ("&amp;AM42&amp;")","Harvest / Extension ("&amp;AM42&amp;")"))))))))))</x:f>
        <x:v>Early Flower (B2)</x:v>
      </x:c>
      <x:c r="F42" s="63" t="str">
        <x:f>IF(A42&lt;4,"Keimung + Wurzelstart",IF(A42&lt;8,"Sämling etablieren; Wurzelraum erschließen",IF(A42&lt;15,"kompakter Aufbau; LST erst bei Vitalität",IF(A42&lt;'01_Run_Config'!$B$33,"Canopy aufbauen; Preflower beobachten",IF(A42-'01_Run_Config'!$B$33&lt;=6,"Stretch kontrollieren; Bloom-Trigger dokumentieren",IF(A42-'01_Run_Config'!$B$33&lt;=13,"Blütenansatz stabilisieren",IF(A42-'01_Run_Config'!$B$33&lt;=20,"Blütenaufbau ohne neue Stressoren",IF(A42-'01_Run_Config'!$B$33&lt;=34,"stabile Peak-Photosynthese; Klima priorisieren",IF(A42-'01_Run_Config'!$B$33&lt;=41,"Qualität/Schimmelprävention",IF(A42-'01_Run_Config'!$B$33&lt;=48,"Reife ohne Überfütterung","Erntefenster nach Pflanze; keine Kalenderernte"))))))))))</x:f>
        <x:v>Blütenansatz stabilisieren</x:v>
      </x:c>
      <x:c r="G42" s="63" t="n">
        <x:v>18</x:v>
      </x:c>
      <x:c r="H42" s="63" t="n">
        <x:v>135</x:v>
      </x:c>
      <x:c r="I42" s="63" t="n">
        <x:v>600</x:v>
      </x:c>
      <x:c r="J42" s="63" t="n">
        <x:f>I42*G42*3600/1000000</x:f>
        <x:v>38.88</x:v>
      </x:c>
      <x:c r="K42" s="63" t="n">
        <x:v>34</x:v>
      </x:c>
      <x:c r="L42" s="63" t="n">
        <x:v>25</x:v>
      </x:c>
      <x:c r="M42" s="63" t="n">
        <x:v>21.5</x:v>
      </x:c>
      <x:c r="N42" s="63" t="n">
        <x:v>50</x:v>
      </x:c>
      <x:c r="O42" s="63" t="n">
        <x:f>ROUND(0.6108*EXP(17.27*(L42+'01_Run_Config'!$B$34)/(L42+'01_Run_Config'!$B$34+237.3))-(N42/100)*0.6108*EXP(17.27*L42/(L42+237.3)),2)</x:f>
        <x:v>1.4</x:v>
      </x:c>
      <x:c r="P42" s="63" t="n">
        <x:f>IF(A42&lt;'01_Run_Config'!$B$32,0.55,IF(A42&lt;'01_Run_Config'!$B$33,IF(A42-'01_Run_Config'!$B$32&lt;=3,0.8,IF(A42-'01_Run_Config'!$B$32&lt;=10,1,IF(A42-'01_Run_Config'!$B$32&lt;=17,1.2,1.4))),IF(A42-'01_Run_Config'!$B$33&lt;=6,1.5,IF(A42-'01_Run_Config'!$B$33&lt;=13,1.6,IF(A42-'01_Run_Config'!$B$33&lt;=20,1.7,IF(A42-'01_Run_Config'!$B$33&lt;=34,1.8,IF(A42-'01_Run_Config'!$B$33&lt;=41,1.6,IF(A42-'01_Run_Config'!$B$33&lt;=48,1.4,1.15))))))))</x:f>
        <x:v>1.6</x:v>
      </x:c>
      <x:c r="Q42" s="63" t="n">
        <x:v>5.9</x:v>
      </x:c>
      <x:c r="R42" s="63" t="n">
        <x:v>0.8</x:v>
      </x:c>
      <x:c r="S42" s="63" t="n">
        <x:v>1.2</x:v>
      </x:c>
      <x:c r="T42" s="63" t="str">
        <x:f>IF(A42&lt;=7,"Manuell",'01_Run_Config'!$B$40)</x:f>
        <x:v>Manuell / indoor-freigegebene Automation</x:v>
      </x:c>
      <x:c r="U42" s="63" t="str">
        <x:f>IF(A42&lt;'01_Run_Config'!$B$32,"Kein Basisdünger",IF(A42&lt;'01_Run_Config'!$B$33,"HESI TNT","HESI Coco"))</x:f>
        <x:v>HESI Coco</x:v>
      </x:c>
      <x:c r="V42" s="63" t="n">
        <x:f>IF(A42&lt;'01_Run_Config'!$B$32,0,IF(A42&lt;'01_Run_Config'!$B$33,IF(A42-'01_Run_Config'!$B$32&lt;=3,1.25,IF(A42-'01_Run_Config'!$B$32&lt;=10,2,2.5)),IF(A42-'01_Run_Config'!$B$33&lt;=6,2.5,IF(A42-'01_Run_Config'!$B$33&lt;=13,3.25,IF(A42-'01_Run_Config'!$B$33&lt;=20,3.75,IF(A42-'01_Run_Config'!$B$33&lt;=34,4,IF(A42-'01_Run_Config'!$B$33&lt;=41,3.5,IF(A42-'01_Run_Config'!$B$33&lt;=48,2.5,1.5))))))))</x:f>
        <x:v>3.25</x:v>
      </x:c>
      <x:c r="W42" s="63" t="n">
        <x:f>IF(OR(A42='01_Run_Config'!$B$32,A42='01_Run_Config'!$B$32+6,A42='01_Run_Config'!$B$32+12),2.5,0)</x:f>
        <x:v>0</x:v>
      </x:c>
      <x:c r="X42" s="63" t="n">
        <x:f>IF(AND(A42&gt;='01_Run_Config'!$B$32+3,A42&lt;='01_Run_Config'!$B$33+35,MOD(A42-('01_Run_Config'!$B$32+3),7)=0),2,0)</x:f>
        <x:v>0</x:v>
      </x:c>
      <x:c r="Y42" s="63" t="n">
        <x:f>IF(A42&gt;='01_Run_Config'!$B$32,0.015,0)</x:f>
        <x:v>0.015</x:v>
      </x:c>
      <x:c r="Z42" s="63" t="n">
        <x:f>IF(AND('01_Run_Config'!$B$26="Hesilicio statt Balance",A42&gt;='01_Run_Config'!$B$32+3,MOD(A42-('01_Run_Config'!$B$32+3),7)=0,A42&lt;='01_Run_Config'!$B$33+35),0.5,0)</x:f>
        <x:v>0</x:v>
      </x:c>
      <x:c r="AA42" s="63" t="n">
        <x:f>IF(AND(A42&gt;='01_Run_Config'!$B$33,A42&lt;='01_Run_Config'!$B$33+35,MOD(A42-'01_Run_Config'!$B$33,7)=0),2,0)</x:f>
        <x:v>0</x:v>
      </x:c>
      <x:c r="AB42" s="63" t="n">
        <x:f>IF(A42='01_Run_Config'!$B$33+21,0.25,IF(A42='01_Run_Config'!$B$33+28,0.35,IF(A42='01_Run_Config'!$B$33+35,0.5,0)))</x:f>
        <x:v>0</x:v>
      </x:c>
      <x:c r="AC42" s="63" t="n">
        <x:f>IF(OR(A42='01_Run_Config'!$B$32,A42='01_Run_Config'!$B$32+7,A42='01_Run_Config'!$B$33+1,A42='01_Run_Config'!$B$33+8),2,0)</x:f>
        <x:v>0</x:v>
      </x:c>
      <x:c r="AD42" s="63" t="str">
        <x:f>IF(A42&lt;'01_Run_Config'!$B$33,"AN-Reference=0 außer Voodoo-Frischgaben",IF(AL42&lt;=7,"A/B: Bud Ignitor oder Mikrobenmodul; nicht Reference",IF(AL42&lt;=35,"A/B: Big Bud STATT HESI-PK; nicht additiv stapeln",IF(AL42&lt;=49,"A/B: Overdrive STATT spätem HESI-PK","AN-Booster auslaufen"))))</x:f>
        <x:v>A/B: Big Bud STATT HESI-PK; nicht additiv stapeln</x:v>
      </x:c>
      <x:c r="AE42" s="63" t="str">
        <x:v>Leaf-tucking / minimal entlasten</x:v>
      </x:c>
      <x:c r="AF42" s="63" t="str">
        <x:v>Morgens Klima/Pflanze/Bewässerung/Leck; Mitte Lichtphase Blattwinkel; vor Dunkel LF/Drain/stehendes Wasser.</x:v>
      </x:c>
      <x:c r="AG42" s="63" t="str">
        <x:v>EC nicht erhöhen bei steigender Diagnose-Drain-EC; PPFD nicht erhöhen bei Stress; Wasserband nie erzwingen; nie mehrere neue Booster gleichzeitig.</x:v>
      </x:c>
      <x:c r="AH42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4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2" s="201" t="str">
        <x:f>IF(A42&lt;'01_Run_Config'!$B$32,"—",IF(A42&lt;'01_Run_Config'!$B$33,"G"&amp;MIN(4,INT((A42-'01_Run_Config'!$B$32)/7)+1),AM42))</x:f>
        <x:v>B2</x:v>
      </x:c>
      <x:c r="AK42" s="35" t="str">
        <x:f>IF(A42&lt;'01_Run_Config'!$B$32,"Keine AN-Additive.",IF(A42&lt;'01_Run_Config'!$B$33,"Veg: Voodoo nur definierte Frischgaben; B-52/Piranha/Tarantula nur A/B; Sensizym nur statt PowerZyme; Rhino Skin AUS mit Athena Balance.",IF(AL42&lt;=7,"Frühblüte: Voodoo; Bud Ignitor/Piranha/Tarantula nur A/B; Rhino Skin AUS mit Balance.",IF(AL42&lt;=35,"Hauptblüte: Big Bud nur A/B STATT HESI-PK; Biostims einzeln testen.",IF(AL42&lt;=49,"Spätblüte: Overdrive nur A/B STATT spätem HESI-PK; keine neue zweite Variable.","Booster auslaufen / Reife priorisieren.")))))</x:f>
        <x:v>Hauptblüte: Big Bud nur A/B STATT HESI-PK; Biostims einzeln testen.</x:v>
      </x:c>
      <x:c r="AL42" s="60" t="n">
        <x:f>IF(A42&lt;'01_Run_Config'!$B$33,"",A42-'01_Run_Config'!$B$33+1)</x:f>
        <x:v>13</x:v>
      </x:c>
      <x:c r="AM42" s="60" t="str">
        <x:f>IF(AL42="","",IF(AL42&gt;49,CHAR(66)&amp;"7+",CHAR(66)&amp;TEXT(INT((AL42-1)/7)+1,"0")))</x:f>
        <x:v>B2</x:v>
      </x:c>
      <x:c r="AN42" s="60" t="n">
        <x:f>ROUND(0.6108*EXP(17.27*L42/(L42+237.3))*(1-N42/100),2)</x:f>
        <x:v>1.58</x:v>
      </x:c>
      <x:c r="AO42" s="60" t="n">
        <x:f>H42*G42/1000</x:f>
        <x:v>2.43</x:v>
      </x:c>
      <x:c r="AP42" s="60" t="n">
        <x:f>SUM($AO$2:AO42)</x:f>
        <x:v>60.65999999999999</x:v>
      </x:c>
      <x:c r="AQ42" t="n">
        <x:f>'01_Run_Config'!$B$17</x:f>
        <x:v>0</x:v>
      </x:c>
      <x:c r="AR42" t="n">
        <x:f>'01_Run_Config'!$B$22</x:f>
        <x:v>0</x:v>
      </x:c>
      <x:c r="AS42" t="n">
        <x:f>'01_Run_Config'!$B$25</x:f>
        <x:v>0</x:v>
      </x:c>
    </x:row>
    <x:row r="43">
      <x:c r="A43" s="34" t="n">
        <x:v>41</x:v>
      </x:c>
      <x:c r="B43" s="129" t="n">
        <x:f>'01_Run_Config'!$B$4+A43</x:f>
        <x:v>46283</x:v>
      </x:c>
      <x:c r="C43" s="63" t="n">
        <x:f>INT(A43/7)+1</x:f>
        <x:v>6</x:v>
      </x:c>
      <x:c r="D43" s="63" t="str">
        <x:f>"M"&amp;MIN(3,INT(A43/30)+1)</x:f>
        <x:v>M2</x:v>
      </x:c>
      <x:c r="E43" s="63" t="str">
        <x:f>IF(A43&lt;4,"Keimung",IF(A43&lt;8,"Etablierung",IF(A43&lt;15,"Early Veg",IF(A43&lt;'01_Run_Config'!$B$33,IF(A43&lt;22,"Veg / LST","Preflower-Watch"),IF(A43-'01_Run_Config'!$B$33&lt;=6,"Transition / Stretch ("&amp;AM43&amp;")",IF(A43-'01_Run_Config'!$B$33&lt;=13,"Early Flower ("&amp;AM43&amp;")",IF(A43-'01_Run_Config'!$B$33&lt;=20,"Flower I ("&amp;AM43&amp;")",IF(A43-'01_Run_Config'!$B$33&lt;=34,"Peak Flower ("&amp;AM43&amp;")",IF(A43-'01_Run_Config'!$B$33&lt;=41,"Late Flower ("&amp;AM43&amp;")",IF(A43-'01_Run_Config'!$B$33&lt;=48,"Ripening ("&amp;AM43&amp;")","Harvest / Extension ("&amp;AM43&amp;")"))))))))))</x:f>
        <x:v>Early Flower (B2)</x:v>
      </x:c>
      <x:c r="F43" s="63" t="str">
        <x:f>IF(A43&lt;4,"Keimung + Wurzelstart",IF(A43&lt;8,"Sämling etablieren; Wurzelraum erschließen",IF(A43&lt;15,"kompakter Aufbau; LST erst bei Vitalität",IF(A43&lt;'01_Run_Config'!$B$33,"Canopy aufbauen; Preflower beobachten",IF(A43-'01_Run_Config'!$B$33&lt;=6,"Stretch kontrollieren; Bloom-Trigger dokumentieren",IF(A43-'01_Run_Config'!$B$33&lt;=13,"Blütenansatz stabilisieren",IF(A43-'01_Run_Config'!$B$33&lt;=20,"Blütenaufbau ohne neue Stressoren",IF(A43-'01_Run_Config'!$B$33&lt;=34,"stabile Peak-Photosynthese; Klima priorisieren",IF(A43-'01_Run_Config'!$B$33&lt;=41,"Qualität/Schimmelprävention",IF(A43-'01_Run_Config'!$B$33&lt;=48,"Reife ohne Überfütterung","Erntefenster nach Pflanze; keine Kalenderernte"))))))))))</x:f>
        <x:v>Blütenansatz stabilisieren</x:v>
      </x:c>
      <x:c r="G43" s="63" t="n">
        <x:v>18</x:v>
      </x:c>
      <x:c r="H43" s="63" t="n">
        <x:v>135</x:v>
      </x:c>
      <x:c r="I43" s="63" t="n">
        <x:v>600</x:v>
      </x:c>
      <x:c r="J43" s="63" t="n">
        <x:f>I43*G43*3600/1000000</x:f>
        <x:v>38.88</x:v>
      </x:c>
      <x:c r="K43" s="63" t="n">
        <x:v>34</x:v>
      </x:c>
      <x:c r="L43" s="63" t="n">
        <x:v>25</x:v>
      </x:c>
      <x:c r="M43" s="63" t="n">
        <x:v>21.5</x:v>
      </x:c>
      <x:c r="N43" s="63" t="n">
        <x:v>50</x:v>
      </x:c>
      <x:c r="O43" s="63" t="n">
        <x:f>ROUND(0.6108*EXP(17.27*(L43+'01_Run_Config'!$B$34)/(L43+'01_Run_Config'!$B$34+237.3))-(N43/100)*0.6108*EXP(17.27*L43/(L43+237.3)),2)</x:f>
        <x:v>1.4</x:v>
      </x:c>
      <x:c r="P43" s="63" t="n">
        <x:f>IF(A43&lt;'01_Run_Config'!$B$32,0.55,IF(A43&lt;'01_Run_Config'!$B$33,IF(A43-'01_Run_Config'!$B$32&lt;=3,0.8,IF(A43-'01_Run_Config'!$B$32&lt;=10,1,IF(A43-'01_Run_Config'!$B$32&lt;=17,1.2,1.4))),IF(A43-'01_Run_Config'!$B$33&lt;=6,1.5,IF(A43-'01_Run_Config'!$B$33&lt;=13,1.6,IF(A43-'01_Run_Config'!$B$33&lt;=20,1.7,IF(A43-'01_Run_Config'!$B$33&lt;=34,1.8,IF(A43-'01_Run_Config'!$B$33&lt;=41,1.6,IF(A43-'01_Run_Config'!$B$33&lt;=48,1.4,1.15))))))))</x:f>
        <x:v>1.6</x:v>
      </x:c>
      <x:c r="Q43" s="63" t="n">
        <x:v>5.9</x:v>
      </x:c>
      <x:c r="R43" s="63" t="n">
        <x:v>0.8</x:v>
      </x:c>
      <x:c r="S43" s="63" t="n">
        <x:v>1.2</x:v>
      </x:c>
      <x:c r="T43" s="63" t="str">
        <x:f>IF(A43&lt;=7,"Manuell",'01_Run_Config'!$B$40)</x:f>
        <x:v>Manuell / indoor-freigegebene Automation</x:v>
      </x:c>
      <x:c r="U43" s="63" t="str">
        <x:f>IF(A43&lt;'01_Run_Config'!$B$32,"Kein Basisdünger",IF(A43&lt;'01_Run_Config'!$B$33,"HESI TNT","HESI Coco"))</x:f>
        <x:v>HESI Coco</x:v>
      </x:c>
      <x:c r="V43" s="63" t="n">
        <x:f>IF(A43&lt;'01_Run_Config'!$B$32,0,IF(A43&lt;'01_Run_Config'!$B$33,IF(A43-'01_Run_Config'!$B$32&lt;=3,1.25,IF(A43-'01_Run_Config'!$B$32&lt;=10,2,2.5)),IF(A43-'01_Run_Config'!$B$33&lt;=6,2.5,IF(A43-'01_Run_Config'!$B$33&lt;=13,3.25,IF(A43-'01_Run_Config'!$B$33&lt;=20,3.75,IF(A43-'01_Run_Config'!$B$33&lt;=34,4,IF(A43-'01_Run_Config'!$B$33&lt;=41,3.5,IF(A43-'01_Run_Config'!$B$33&lt;=48,2.5,1.5))))))))</x:f>
        <x:v>3.25</x:v>
      </x:c>
      <x:c r="W43" s="63" t="n">
        <x:f>IF(OR(A43='01_Run_Config'!$B$32,A43='01_Run_Config'!$B$32+6,A43='01_Run_Config'!$B$32+12),2.5,0)</x:f>
        <x:v>0</x:v>
      </x:c>
      <x:c r="X43" s="63" t="n">
        <x:f>IF(AND(A43&gt;='01_Run_Config'!$B$32+3,A43&lt;='01_Run_Config'!$B$33+35,MOD(A43-('01_Run_Config'!$B$32+3),7)=0),2,0)</x:f>
        <x:v>0</x:v>
      </x:c>
      <x:c r="Y43" s="63" t="n">
        <x:f>IF(A43&gt;='01_Run_Config'!$B$32,0.015,0)</x:f>
        <x:v>0.015</x:v>
      </x:c>
      <x:c r="Z43" s="63" t="n">
        <x:f>IF(AND('01_Run_Config'!$B$26="Hesilicio statt Balance",A43&gt;='01_Run_Config'!$B$32+3,MOD(A43-('01_Run_Config'!$B$32+3),7)=0,A43&lt;='01_Run_Config'!$B$33+35),0.5,0)</x:f>
        <x:v>0</x:v>
      </x:c>
      <x:c r="AA43" s="63" t="n">
        <x:f>IF(AND(A43&gt;='01_Run_Config'!$B$33,A43&lt;='01_Run_Config'!$B$33+35,MOD(A43-'01_Run_Config'!$B$33,7)=0),2,0)</x:f>
        <x:v>0</x:v>
      </x:c>
      <x:c r="AB43" s="63" t="n">
        <x:f>IF(A43='01_Run_Config'!$B$33+21,0.25,IF(A43='01_Run_Config'!$B$33+28,0.35,IF(A43='01_Run_Config'!$B$33+35,0.5,0)))</x:f>
        <x:v>0</x:v>
      </x:c>
      <x:c r="AC43" s="63" t="n">
        <x:f>IF(OR(A43='01_Run_Config'!$B$32,A43='01_Run_Config'!$B$32+7,A43='01_Run_Config'!$B$33+1,A43='01_Run_Config'!$B$33+8),2,0)</x:f>
        <x:v>0</x:v>
      </x:c>
      <x:c r="AD43" s="63" t="str">
        <x:f>IF(A43&lt;'01_Run_Config'!$B$33,"AN-Reference=0 außer Voodoo-Frischgaben",IF(AL43&lt;=7,"A/B: Bud Ignitor oder Mikrobenmodul; nicht Reference",IF(AL43&lt;=35,"A/B: Big Bud STATT HESI-PK; nicht additiv stapeln",IF(AL43&lt;=49,"A/B: Overdrive STATT spätem HESI-PK","AN-Booster auslaufen"))))</x:f>
        <x:v>A/B: Big Bud STATT HESI-PK; nicht additiv stapeln</x:v>
      </x:c>
      <x:c r="AE43" s="63" t="str">
        <x:v>Leaf-tucking / minimal entlasten</x:v>
      </x:c>
      <x:c r="AF43" s="63" t="str">
        <x:v>Morgens Klima/Pflanze/Bewässerung/Leck; Mitte Lichtphase Blattwinkel; vor Dunkel LF/Drain/stehendes Wasser.</x:v>
      </x:c>
      <x:c r="AG43" s="63" t="str">
        <x:v>EC nicht erhöhen bei steigender Diagnose-Drain-EC; PPFD nicht erhöhen bei Stress; Wasserband nie erzwingen; nie mehrere neue Booster gleichzeitig.</x:v>
      </x:c>
      <x:c r="AH43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4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3" s="201" t="str">
        <x:f>IF(A43&lt;'01_Run_Config'!$B$32,"—",IF(A43&lt;'01_Run_Config'!$B$33,"G"&amp;MIN(4,INT((A43-'01_Run_Config'!$B$32)/7)+1),AM43))</x:f>
        <x:v>B2</x:v>
      </x:c>
      <x:c r="AK43" s="35" t="str">
        <x:f>IF(A43&lt;'01_Run_Config'!$B$32,"Keine AN-Additive.",IF(A43&lt;'01_Run_Config'!$B$33,"Veg: Voodoo nur definierte Frischgaben; B-52/Piranha/Tarantula nur A/B; Sensizym nur statt PowerZyme; Rhino Skin AUS mit Athena Balance.",IF(AL43&lt;=7,"Frühblüte: Voodoo; Bud Ignitor/Piranha/Tarantula nur A/B; Rhino Skin AUS mit Balance.",IF(AL43&lt;=35,"Hauptblüte: Big Bud nur A/B STATT HESI-PK; Biostims einzeln testen.",IF(AL43&lt;=49,"Spätblüte: Overdrive nur A/B STATT spätem HESI-PK; keine neue zweite Variable.","Booster auslaufen / Reife priorisieren.")))))</x:f>
        <x:v>Hauptblüte: Big Bud nur A/B STATT HESI-PK; Biostims einzeln testen.</x:v>
      </x:c>
      <x:c r="AL43" s="60" t="n">
        <x:f>IF(A43&lt;'01_Run_Config'!$B$33,"",A43-'01_Run_Config'!$B$33+1)</x:f>
        <x:v>14</x:v>
      </x:c>
      <x:c r="AM43" s="60" t="str">
        <x:f>IF(AL43="","",IF(AL43&gt;49,CHAR(66)&amp;"7+",CHAR(66)&amp;TEXT(INT((AL43-1)/7)+1,"0")))</x:f>
        <x:v>B2</x:v>
      </x:c>
      <x:c r="AN43" s="60" t="n">
        <x:f>ROUND(0.6108*EXP(17.27*L43/(L43+237.3))*(1-N43/100),2)</x:f>
        <x:v>1.58</x:v>
      </x:c>
      <x:c r="AO43" s="60" t="n">
        <x:f>H43*G43/1000</x:f>
        <x:v>2.43</x:v>
      </x:c>
      <x:c r="AP43" s="60" t="n">
        <x:f>SUM($AO$2:AO43)</x:f>
        <x:v>63.08999999999999</x:v>
      </x:c>
      <x:c r="AQ43" t="n">
        <x:f>'01_Run_Config'!$B$17</x:f>
        <x:v>0</x:v>
      </x:c>
      <x:c r="AR43" t="n">
        <x:f>'01_Run_Config'!$B$22</x:f>
        <x:v>0</x:v>
      </x:c>
      <x:c r="AS43" t="n">
        <x:f>'01_Run_Config'!$B$25</x:f>
        <x:v>0</x:v>
      </x:c>
    </x:row>
    <x:row r="44">
      <x:c r="A44" s="34" t="n">
        <x:v>42</x:v>
      </x:c>
      <x:c r="B44" s="129" t="n">
        <x:f>'01_Run_Config'!$B$4+A44</x:f>
        <x:v>46284</x:v>
      </x:c>
      <x:c r="C44" s="63" t="n">
        <x:f>INT(A44/7)+1</x:f>
        <x:v>7</x:v>
      </x:c>
      <x:c r="D44" s="63" t="str">
        <x:f>"M"&amp;MIN(3,INT(A44/30)+1)</x:f>
        <x:v>M2</x:v>
      </x:c>
      <x:c r="E44" s="63" t="str">
        <x:f>IF(A44&lt;4,"Keimung",IF(A44&lt;8,"Etablierung",IF(A44&lt;15,"Early Veg",IF(A44&lt;'01_Run_Config'!$B$33,IF(A44&lt;22,"Veg / LST","Preflower-Watch"),IF(A44-'01_Run_Config'!$B$33&lt;=6,"Transition / Stretch ("&amp;AM44&amp;")",IF(A44-'01_Run_Config'!$B$33&lt;=13,"Early Flower ("&amp;AM44&amp;")",IF(A44-'01_Run_Config'!$B$33&lt;=20,"Flower I ("&amp;AM44&amp;")",IF(A44-'01_Run_Config'!$B$33&lt;=34,"Peak Flower ("&amp;AM44&amp;")",IF(A44-'01_Run_Config'!$B$33&lt;=41,"Late Flower ("&amp;AM44&amp;")",IF(A44-'01_Run_Config'!$B$33&lt;=48,"Ripening ("&amp;AM44&amp;")","Harvest / Extension ("&amp;AM44&amp;")"))))))))))</x:f>
        <x:v>Flower I (B3)</x:v>
      </x:c>
      <x:c r="F44" s="63" t="str">
        <x:f>IF(A44&lt;4,"Keimung + Wurzelstart",IF(A44&lt;8,"Sämling etablieren; Wurzelraum erschließen",IF(A44&lt;15,"kompakter Aufbau; LST erst bei Vitalität",IF(A44&lt;'01_Run_Config'!$B$33,"Canopy aufbauen; Preflower beobachten",IF(A44-'01_Run_Config'!$B$33&lt;=6,"Stretch kontrollieren; Bloom-Trigger dokumentieren",IF(A44-'01_Run_Config'!$B$33&lt;=13,"Blütenansatz stabilisieren",IF(A44-'01_Run_Config'!$B$33&lt;=20,"Blütenaufbau ohne neue Stressoren",IF(A44-'01_Run_Config'!$B$33&lt;=34,"stabile Peak-Photosynthese; Klima priorisieren",IF(A44-'01_Run_Config'!$B$33&lt;=41,"Qualität/Schimmelprävention",IF(A44-'01_Run_Config'!$B$33&lt;=48,"Reife ohne Überfütterung","Erntefenster nach Pflanze; keine Kalenderernte"))))))))))</x:f>
        <x:v>Blütenaufbau ohne neue Stressoren</x:v>
      </x:c>
      <x:c r="G44" s="63" t="n">
        <x:v>18</x:v>
      </x:c>
      <x:c r="H44" s="63" t="n">
        <x:v>135</x:v>
      </x:c>
      <x:c r="I44" s="63" t="n">
        <x:v>600</x:v>
      </x:c>
      <x:c r="J44" s="63" t="n">
        <x:f>I44*G44*3600/1000000</x:f>
        <x:v>38.88</x:v>
      </x:c>
      <x:c r="K44" s="63" t="n">
        <x:v>34</x:v>
      </x:c>
      <x:c r="L44" s="63" t="n">
        <x:v>25</x:v>
      </x:c>
      <x:c r="M44" s="63" t="n">
        <x:v>21.5</x:v>
      </x:c>
      <x:c r="N44" s="63" t="n">
        <x:v>50</x:v>
      </x:c>
      <x:c r="O44" s="63" t="n">
        <x:f>ROUND(0.6108*EXP(17.27*(L44+'01_Run_Config'!$B$34)/(L44+'01_Run_Config'!$B$34+237.3))-(N44/100)*0.6108*EXP(17.27*L44/(L44+237.3)),2)</x:f>
        <x:v>1.4</x:v>
      </x:c>
      <x:c r="P44" s="63" t="n">
        <x:f>IF(A44&lt;'01_Run_Config'!$B$32,0.55,IF(A44&lt;'01_Run_Config'!$B$33,IF(A44-'01_Run_Config'!$B$32&lt;=3,0.8,IF(A44-'01_Run_Config'!$B$32&lt;=10,1,IF(A44-'01_Run_Config'!$B$32&lt;=17,1.2,1.4))),IF(A44-'01_Run_Config'!$B$33&lt;=6,1.5,IF(A44-'01_Run_Config'!$B$33&lt;=13,1.6,IF(A44-'01_Run_Config'!$B$33&lt;=20,1.7,IF(A44-'01_Run_Config'!$B$33&lt;=34,1.8,IF(A44-'01_Run_Config'!$B$33&lt;=41,1.6,IF(A44-'01_Run_Config'!$B$33&lt;=48,1.4,1.15))))))))</x:f>
        <x:v>1.7</x:v>
      </x:c>
      <x:c r="Q44" s="63" t="n">
        <x:v>5.9</x:v>
      </x:c>
      <x:c r="R44" s="63" t="n">
        <x:v>0.8</x:v>
      </x:c>
      <x:c r="S44" s="63" t="n">
        <x:v>1.2</x:v>
      </x:c>
      <x:c r="T44" s="63" t="str">
        <x:f>IF(A44&lt;=7,"Manuell",'01_Run_Config'!$B$40)</x:f>
        <x:v>Manuell / indoor-freigegebene Automation</x:v>
      </x:c>
      <x:c r="U44" s="63" t="str">
        <x:f>IF(A44&lt;'01_Run_Config'!$B$32,"Kein Basisdünger",IF(A44&lt;'01_Run_Config'!$B$33,"HESI TNT","HESI Coco"))</x:f>
        <x:v>HESI Coco</x:v>
      </x:c>
      <x:c r="V44" s="63" t="n">
        <x:f>IF(A44&lt;'01_Run_Config'!$B$32,0,IF(A44&lt;'01_Run_Config'!$B$33,IF(A44-'01_Run_Config'!$B$32&lt;=3,1.25,IF(A44-'01_Run_Config'!$B$32&lt;=10,2,2.5)),IF(A44-'01_Run_Config'!$B$33&lt;=6,2.5,IF(A44-'01_Run_Config'!$B$33&lt;=13,3.25,IF(A44-'01_Run_Config'!$B$33&lt;=20,3.75,IF(A44-'01_Run_Config'!$B$33&lt;=34,4,IF(A44-'01_Run_Config'!$B$33&lt;=41,3.5,IF(A44-'01_Run_Config'!$B$33&lt;=48,2.5,1.5))))))))</x:f>
        <x:v>3.75</x:v>
      </x:c>
      <x:c r="W44" s="63" t="n">
        <x:f>IF(OR(A44='01_Run_Config'!$B$32,A44='01_Run_Config'!$B$32+6,A44='01_Run_Config'!$B$32+12),2.5,0)</x:f>
        <x:v>0</x:v>
      </x:c>
      <x:c r="X44" s="63" t="n">
        <x:f>IF(AND(A44&gt;='01_Run_Config'!$B$32+3,A44&lt;='01_Run_Config'!$B$33+35,MOD(A44-('01_Run_Config'!$B$32+3),7)=0),2,0)</x:f>
        <x:v>2</x:v>
      </x:c>
      <x:c r="Y44" s="63" t="n">
        <x:f>IF(A44&gt;='01_Run_Config'!$B$32,0.015,0)</x:f>
        <x:v>0.015</x:v>
      </x:c>
      <x:c r="Z44" s="63" t="n">
        <x:f>IF(AND('01_Run_Config'!$B$26="Hesilicio statt Balance",A44&gt;='01_Run_Config'!$B$32+3,MOD(A44-('01_Run_Config'!$B$32+3),7)=0,A44&lt;='01_Run_Config'!$B$33+35),0.5,0)</x:f>
        <x:v>0</x:v>
      </x:c>
      <x:c r="AA44" s="63" t="n">
        <x:f>IF(AND(A44&gt;='01_Run_Config'!$B$33,A44&lt;='01_Run_Config'!$B$33+35,MOD(A44-'01_Run_Config'!$B$33,7)=0),2,0)</x:f>
        <x:v>2</x:v>
      </x:c>
      <x:c r="AB44" s="63" t="n">
        <x:f>IF(A44='01_Run_Config'!$B$33+21,0.25,IF(A44='01_Run_Config'!$B$33+28,0.35,IF(A44='01_Run_Config'!$B$33+35,0.5,0)))</x:f>
        <x:v>0</x:v>
      </x:c>
      <x:c r="AC44" s="63" t="n">
        <x:f>IF(OR(A44='01_Run_Config'!$B$32,A44='01_Run_Config'!$B$32+7,A44='01_Run_Config'!$B$33+1,A44='01_Run_Config'!$B$33+8),2,0)</x:f>
        <x:v>0</x:v>
      </x:c>
      <x:c r="AD44" s="63" t="str">
        <x:f>IF(A44&lt;'01_Run_Config'!$B$33,"AN-Reference=0 außer Voodoo-Frischgaben",IF(AL44&lt;=7,"A/B: Bud Ignitor oder Mikrobenmodul; nicht Reference",IF(AL44&lt;=35,"A/B: Big Bud STATT HESI-PK; nicht additiv stapeln",IF(AL44&lt;=49,"A/B: Overdrive STATT spätem HESI-PK","AN-Booster auslaufen"))))</x:f>
        <x:v>A/B: Big Bud STATT HESI-PK; nicht additiv stapeln</x:v>
      </x:c>
      <x:c r="AE44" s="63" t="str">
        <x:v>Leaf-tucking / minimal entlasten</x:v>
      </x:c>
      <x:c r="AF44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44" s="63" t="str">
        <x:v>EC nicht erhöhen bei steigender Diagnose-Drain-EC; PPFD nicht erhöhen bei Stress; Wasserband nie erzwingen; nie mehrere neue Booster gleichzeitig.</x:v>
      </x:c>
      <x:c r="AH44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4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4" s="201" t="str">
        <x:f>IF(A44&lt;'01_Run_Config'!$B$32,"—",IF(A44&lt;'01_Run_Config'!$B$33,"G"&amp;MIN(4,INT((A44-'01_Run_Config'!$B$32)/7)+1),AM44))</x:f>
        <x:v>B3</x:v>
      </x:c>
      <x:c r="AK44" s="35" t="str">
        <x:f>IF(A44&lt;'01_Run_Config'!$B$32,"Keine AN-Additive.",IF(A44&lt;'01_Run_Config'!$B$33,"Veg: Voodoo nur definierte Frischgaben; B-52/Piranha/Tarantula nur A/B; Sensizym nur statt PowerZyme; Rhino Skin AUS mit Athena Balance.",IF(AL44&lt;=7,"Frühblüte: Voodoo; Bud Ignitor/Piranha/Tarantula nur A/B; Rhino Skin AUS mit Balance.",IF(AL44&lt;=35,"Hauptblüte: Big Bud nur A/B STATT HESI-PK; Biostims einzeln testen.",IF(AL44&lt;=49,"Spätblüte: Overdrive nur A/B STATT spätem HESI-PK; keine neue zweite Variable.","Booster auslaufen / Reife priorisieren.")))))</x:f>
        <x:v>Hauptblüte: Big Bud nur A/B STATT HESI-PK; Biostims einzeln testen.</x:v>
      </x:c>
      <x:c r="AL44" s="60" t="n">
        <x:f>IF(A44&lt;'01_Run_Config'!$B$33,"",A44-'01_Run_Config'!$B$33+1)</x:f>
        <x:v>15</x:v>
      </x:c>
      <x:c r="AM44" s="60" t="str">
        <x:f>IF(AL44="","",IF(AL44&gt;49,CHAR(66)&amp;"7+",CHAR(66)&amp;TEXT(INT((AL44-1)/7)+1,"0")))</x:f>
        <x:v>B3</x:v>
      </x:c>
      <x:c r="AN44" s="60" t="n">
        <x:f>ROUND(0.6108*EXP(17.27*L44/(L44+237.3))*(1-N44/100),2)</x:f>
        <x:v>1.58</x:v>
      </x:c>
      <x:c r="AO44" s="60" t="n">
        <x:f>H44*G44/1000</x:f>
        <x:v>2.43</x:v>
      </x:c>
      <x:c r="AP44" s="60" t="n">
        <x:f>SUM($AO$2:AO44)</x:f>
        <x:v>65.52</x:v>
      </x:c>
      <x:c r="AQ44" t="n">
        <x:f>'01_Run_Config'!$B$17</x:f>
        <x:v>0</x:v>
      </x:c>
      <x:c r="AR44" t="n">
        <x:f>'01_Run_Config'!$B$22</x:f>
        <x:v>0</x:v>
      </x:c>
      <x:c r="AS44" t="n">
        <x:f>'01_Run_Config'!$B$25</x:f>
        <x:v>0</x:v>
      </x:c>
    </x:row>
    <x:row r="45">
      <x:c r="A45" s="34" t="n">
        <x:v>43</x:v>
      </x:c>
      <x:c r="B45" s="129" t="n">
        <x:f>'01_Run_Config'!$B$4+A45</x:f>
        <x:v>46285</x:v>
      </x:c>
      <x:c r="C45" s="63" t="n">
        <x:f>INT(A45/7)+1</x:f>
        <x:v>7</x:v>
      </x:c>
      <x:c r="D45" s="63" t="str">
        <x:f>"M"&amp;MIN(3,INT(A45/30)+1)</x:f>
        <x:v>M2</x:v>
      </x:c>
      <x:c r="E45" s="63" t="str">
        <x:f>IF(A45&lt;4,"Keimung",IF(A45&lt;8,"Etablierung",IF(A45&lt;15,"Early Veg",IF(A45&lt;'01_Run_Config'!$B$33,IF(A45&lt;22,"Veg / LST","Preflower-Watch"),IF(A45-'01_Run_Config'!$B$33&lt;=6,"Transition / Stretch ("&amp;AM45&amp;")",IF(A45-'01_Run_Config'!$B$33&lt;=13,"Early Flower ("&amp;AM45&amp;")",IF(A45-'01_Run_Config'!$B$33&lt;=20,"Flower I ("&amp;AM45&amp;")",IF(A45-'01_Run_Config'!$B$33&lt;=34,"Peak Flower ("&amp;AM45&amp;")",IF(A45-'01_Run_Config'!$B$33&lt;=41,"Late Flower ("&amp;AM45&amp;")",IF(A45-'01_Run_Config'!$B$33&lt;=48,"Ripening ("&amp;AM45&amp;")","Harvest / Extension ("&amp;AM45&amp;")"))))))))))</x:f>
        <x:v>Flower I (B3)</x:v>
      </x:c>
      <x:c r="F45" s="63" t="str">
        <x:f>IF(A45&lt;4,"Keimung + Wurzelstart",IF(A45&lt;8,"Sämling etablieren; Wurzelraum erschließen",IF(A45&lt;15,"kompakter Aufbau; LST erst bei Vitalität",IF(A45&lt;'01_Run_Config'!$B$33,"Canopy aufbauen; Preflower beobachten",IF(A45-'01_Run_Config'!$B$33&lt;=6,"Stretch kontrollieren; Bloom-Trigger dokumentieren",IF(A45-'01_Run_Config'!$B$33&lt;=13,"Blütenansatz stabilisieren",IF(A45-'01_Run_Config'!$B$33&lt;=20,"Blütenaufbau ohne neue Stressoren",IF(A45-'01_Run_Config'!$B$33&lt;=34,"stabile Peak-Photosynthese; Klima priorisieren",IF(A45-'01_Run_Config'!$B$33&lt;=41,"Qualität/Schimmelprävention",IF(A45-'01_Run_Config'!$B$33&lt;=48,"Reife ohne Überfütterung","Erntefenster nach Pflanze; keine Kalenderernte"))))))))))</x:f>
        <x:v>Blütenaufbau ohne neue Stressoren</x:v>
      </x:c>
      <x:c r="G45" s="63" t="n">
        <x:v>18</x:v>
      </x:c>
      <x:c r="H45" s="63" t="n">
        <x:v>140</x:v>
      </x:c>
      <x:c r="I45" s="63" t="n">
        <x:v>625</x:v>
      </x:c>
      <x:c r="J45" s="63" t="n">
        <x:f>I45*G45*3600/1000000</x:f>
        <x:v>40.5</x:v>
      </x:c>
      <x:c r="K45" s="63" t="n">
        <x:v>34</x:v>
      </x:c>
      <x:c r="L45" s="63" t="n">
        <x:v>24.5</x:v>
      </x:c>
      <x:c r="M45" s="63" t="n">
        <x:v>21</x:v>
      </x:c>
      <x:c r="N45" s="63" t="n">
        <x:v>47</x:v>
      </x:c>
      <x:c r="O45" s="63" t="n">
        <x:f>ROUND(0.6108*EXP(17.27*(L45+'01_Run_Config'!$B$34)/(L45+'01_Run_Config'!$B$34+237.3))-(N45/100)*0.6108*EXP(17.27*L45/(L45+237.3)),2)</x:f>
        <x:v>1.45</x:v>
      </x:c>
      <x:c r="P45" s="63" t="n">
        <x:f>IF(A45&lt;'01_Run_Config'!$B$32,0.55,IF(A45&lt;'01_Run_Config'!$B$33,IF(A45-'01_Run_Config'!$B$32&lt;=3,0.8,IF(A45-'01_Run_Config'!$B$32&lt;=10,1,IF(A45-'01_Run_Config'!$B$32&lt;=17,1.2,1.4))),IF(A45-'01_Run_Config'!$B$33&lt;=6,1.5,IF(A45-'01_Run_Config'!$B$33&lt;=13,1.6,IF(A45-'01_Run_Config'!$B$33&lt;=20,1.7,IF(A45-'01_Run_Config'!$B$33&lt;=34,1.8,IF(A45-'01_Run_Config'!$B$33&lt;=41,1.6,IF(A45-'01_Run_Config'!$B$33&lt;=48,1.4,1.15))))))))</x:f>
        <x:v>1.7</x:v>
      </x:c>
      <x:c r="Q45" s="63" t="n">
        <x:v>5.9</x:v>
      </x:c>
      <x:c r="R45" s="63" t="n">
        <x:v>0.9</x:v>
      </x:c>
      <x:c r="S45" s="63" t="n">
        <x:v>1.5</x:v>
      </x:c>
      <x:c r="T45" s="63" t="str">
        <x:f>IF(A45&lt;=7,"Manuell",'01_Run_Config'!$B$40)</x:f>
        <x:v>Manuell / indoor-freigegebene Automation</x:v>
      </x:c>
      <x:c r="U45" s="63" t="str">
        <x:f>IF(A45&lt;'01_Run_Config'!$B$32,"Kein Basisdünger",IF(A45&lt;'01_Run_Config'!$B$33,"HESI TNT","HESI Coco"))</x:f>
        <x:v>HESI Coco</x:v>
      </x:c>
      <x:c r="V45" s="63" t="n">
        <x:f>IF(A45&lt;'01_Run_Config'!$B$32,0,IF(A45&lt;'01_Run_Config'!$B$33,IF(A45-'01_Run_Config'!$B$32&lt;=3,1.25,IF(A45-'01_Run_Config'!$B$32&lt;=10,2,2.5)),IF(A45-'01_Run_Config'!$B$33&lt;=6,2.5,IF(A45-'01_Run_Config'!$B$33&lt;=13,3.25,IF(A45-'01_Run_Config'!$B$33&lt;=20,3.75,IF(A45-'01_Run_Config'!$B$33&lt;=34,4,IF(A45-'01_Run_Config'!$B$33&lt;=41,3.5,IF(A45-'01_Run_Config'!$B$33&lt;=48,2.5,1.5))))))))</x:f>
        <x:v>3.75</x:v>
      </x:c>
      <x:c r="W45" s="63" t="n">
        <x:f>IF(OR(A45='01_Run_Config'!$B$32,A45='01_Run_Config'!$B$32+6,A45='01_Run_Config'!$B$32+12),2.5,0)</x:f>
        <x:v>0</x:v>
      </x:c>
      <x:c r="X45" s="63" t="n">
        <x:f>IF(AND(A45&gt;='01_Run_Config'!$B$32+3,A45&lt;='01_Run_Config'!$B$33+35,MOD(A45-('01_Run_Config'!$B$32+3),7)=0),2,0)</x:f>
        <x:v>0</x:v>
      </x:c>
      <x:c r="Y45" s="63" t="n">
        <x:f>IF(A45&gt;='01_Run_Config'!$B$32,0.015,0)</x:f>
        <x:v>0.015</x:v>
      </x:c>
      <x:c r="Z45" s="63" t="n">
        <x:f>IF(AND('01_Run_Config'!$B$26="Hesilicio statt Balance",A45&gt;='01_Run_Config'!$B$32+3,MOD(A45-('01_Run_Config'!$B$32+3),7)=0,A45&lt;='01_Run_Config'!$B$33+35),0.5,0)</x:f>
        <x:v>0</x:v>
      </x:c>
      <x:c r="AA45" s="63" t="n">
        <x:f>IF(AND(A45&gt;='01_Run_Config'!$B$33,A45&lt;='01_Run_Config'!$B$33+35,MOD(A45-'01_Run_Config'!$B$33,7)=0),2,0)</x:f>
        <x:v>0</x:v>
      </x:c>
      <x:c r="AB45" s="63" t="n">
        <x:f>IF(A45='01_Run_Config'!$B$33+21,0.25,IF(A45='01_Run_Config'!$B$33+28,0.35,IF(A45='01_Run_Config'!$B$33+35,0.5,0)))</x:f>
        <x:v>0</x:v>
      </x:c>
      <x:c r="AC45" s="63" t="n">
        <x:f>IF(OR(A45='01_Run_Config'!$B$32,A45='01_Run_Config'!$B$32+7,A45='01_Run_Config'!$B$33+1,A45='01_Run_Config'!$B$33+8),2,0)</x:f>
        <x:v>0</x:v>
      </x:c>
      <x:c r="AD45" s="63" t="str">
        <x:f>IF(A45&lt;'01_Run_Config'!$B$33,"AN-Reference=0 außer Voodoo-Frischgaben",IF(AL45&lt;=7,"A/B: Bud Ignitor oder Mikrobenmodul; nicht Reference",IF(AL45&lt;=35,"A/B: Big Bud STATT HESI-PK; nicht additiv stapeln",IF(AL45&lt;=49,"A/B: Overdrive STATT spätem HESI-PK","AN-Booster auslaufen"))))</x:f>
        <x:v>A/B: Big Bud STATT HESI-PK; nicht additiv stapeln</x:v>
      </x:c>
      <x:c r="AE45" s="63" t="str">
        <x:v>Nur Support / Luftkanäle</x:v>
      </x:c>
      <x:c r="AF45" s="63" t="str">
        <x:v>Morgens Klima/Pflanze/Bewässerung/Leck; Mitte Lichtphase Blattwinkel; vor Dunkel LF/Drain/stehendes Wasser.</x:v>
      </x:c>
      <x:c r="AG45" s="63" t="str">
        <x:v>EC nicht erhöhen bei steigender Diagnose-Drain-EC; PPFD nicht erhöhen bei Stress; Wasserband nie erzwingen; nie mehrere neue Booster gleichzeitig.</x:v>
      </x:c>
      <x:c r="AH45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4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5" s="201" t="str">
        <x:f>IF(A45&lt;'01_Run_Config'!$B$32,"—",IF(A45&lt;'01_Run_Config'!$B$33,"G"&amp;MIN(4,INT((A45-'01_Run_Config'!$B$32)/7)+1),AM45))</x:f>
        <x:v>B3</x:v>
      </x:c>
      <x:c r="AK45" s="35" t="str">
        <x:f>IF(A45&lt;'01_Run_Config'!$B$32,"Keine AN-Additive.",IF(A45&lt;'01_Run_Config'!$B$33,"Veg: Voodoo nur definierte Frischgaben; B-52/Piranha/Tarantula nur A/B; Sensizym nur statt PowerZyme; Rhino Skin AUS mit Athena Balance.",IF(AL45&lt;=7,"Frühblüte: Voodoo; Bud Ignitor/Piranha/Tarantula nur A/B; Rhino Skin AUS mit Balance.",IF(AL45&lt;=35,"Hauptblüte: Big Bud nur A/B STATT HESI-PK; Biostims einzeln testen.",IF(AL45&lt;=49,"Spätblüte: Overdrive nur A/B STATT spätem HESI-PK; keine neue zweite Variable.","Booster auslaufen / Reife priorisieren.")))))</x:f>
        <x:v>Hauptblüte: Big Bud nur A/B STATT HESI-PK; Biostims einzeln testen.</x:v>
      </x:c>
      <x:c r="AL45" s="60" t="n">
        <x:f>IF(A45&lt;'01_Run_Config'!$B$33,"",A45-'01_Run_Config'!$B$33+1)</x:f>
        <x:v>16</x:v>
      </x:c>
      <x:c r="AM45" s="60" t="str">
        <x:f>IF(AL45="","",IF(AL45&gt;49,CHAR(66)&amp;"7+",CHAR(66)&amp;TEXT(INT((AL45-1)/7)+1,"0")))</x:f>
        <x:v>B3</x:v>
      </x:c>
      <x:c r="AN45" s="60" t="n">
        <x:f>ROUND(0.6108*EXP(17.27*L45/(L45+237.3))*(1-N45/100),2)</x:f>
        <x:v>1.63</x:v>
      </x:c>
      <x:c r="AO45" s="60" t="n">
        <x:f>H45*G45/1000</x:f>
        <x:v>2.52</x:v>
      </x:c>
      <x:c r="AP45" s="60" t="n">
        <x:f>SUM($AO$2:AO45)</x:f>
        <x:v>68.03999999999999</x:v>
      </x:c>
      <x:c r="AQ45" t="n">
        <x:f>'01_Run_Config'!$B$17</x:f>
        <x:v>0</x:v>
      </x:c>
      <x:c r="AR45" t="n">
        <x:f>'01_Run_Config'!$B$22</x:f>
        <x:v>0</x:v>
      </x:c>
      <x:c r="AS45" t="n">
        <x:f>'01_Run_Config'!$B$25</x:f>
        <x:v>0</x:v>
      </x:c>
    </x:row>
    <x:row r="46">
      <x:c r="A46" s="34" t="n">
        <x:v>44</x:v>
      </x:c>
      <x:c r="B46" s="129" t="n">
        <x:f>'01_Run_Config'!$B$4+A46</x:f>
        <x:v>46286</x:v>
      </x:c>
      <x:c r="C46" s="63" t="n">
        <x:f>INT(A46/7)+1</x:f>
        <x:v>7</x:v>
      </x:c>
      <x:c r="D46" s="63" t="str">
        <x:f>"M"&amp;MIN(3,INT(A46/30)+1)</x:f>
        <x:v>M2</x:v>
      </x:c>
      <x:c r="E46" s="63" t="str">
        <x:f>IF(A46&lt;4,"Keimung",IF(A46&lt;8,"Etablierung",IF(A46&lt;15,"Early Veg",IF(A46&lt;'01_Run_Config'!$B$33,IF(A46&lt;22,"Veg / LST","Preflower-Watch"),IF(A46-'01_Run_Config'!$B$33&lt;=6,"Transition / Stretch ("&amp;AM46&amp;")",IF(A46-'01_Run_Config'!$B$33&lt;=13,"Early Flower ("&amp;AM46&amp;")",IF(A46-'01_Run_Config'!$B$33&lt;=20,"Flower I ("&amp;AM46&amp;")",IF(A46-'01_Run_Config'!$B$33&lt;=34,"Peak Flower ("&amp;AM46&amp;")",IF(A46-'01_Run_Config'!$B$33&lt;=41,"Late Flower ("&amp;AM46&amp;")",IF(A46-'01_Run_Config'!$B$33&lt;=48,"Ripening ("&amp;AM46&amp;")","Harvest / Extension ("&amp;AM46&amp;")"))))))))))</x:f>
        <x:v>Flower I (B3)</x:v>
      </x:c>
      <x:c r="F46" s="63" t="str">
        <x:f>IF(A46&lt;4,"Keimung + Wurzelstart",IF(A46&lt;8,"Sämling etablieren; Wurzelraum erschließen",IF(A46&lt;15,"kompakter Aufbau; LST erst bei Vitalität",IF(A46&lt;'01_Run_Config'!$B$33,"Canopy aufbauen; Preflower beobachten",IF(A46-'01_Run_Config'!$B$33&lt;=6,"Stretch kontrollieren; Bloom-Trigger dokumentieren",IF(A46-'01_Run_Config'!$B$33&lt;=13,"Blütenansatz stabilisieren",IF(A46-'01_Run_Config'!$B$33&lt;=20,"Blütenaufbau ohne neue Stressoren",IF(A46-'01_Run_Config'!$B$33&lt;=34,"stabile Peak-Photosynthese; Klima priorisieren",IF(A46-'01_Run_Config'!$B$33&lt;=41,"Qualität/Schimmelprävention",IF(A46-'01_Run_Config'!$B$33&lt;=48,"Reife ohne Überfütterung","Erntefenster nach Pflanze; keine Kalenderernte"))))))))))</x:f>
        <x:v>Blütenaufbau ohne neue Stressoren</x:v>
      </x:c>
      <x:c r="G46" s="63" t="n">
        <x:v>18</x:v>
      </x:c>
      <x:c r="H46" s="63" t="n">
        <x:v>140</x:v>
      </x:c>
      <x:c r="I46" s="63" t="n">
        <x:v>625</x:v>
      </x:c>
      <x:c r="J46" s="63" t="n">
        <x:f>I46*G46*3600/1000000</x:f>
        <x:v>40.5</x:v>
      </x:c>
      <x:c r="K46" s="63" t="n">
        <x:v>34</x:v>
      </x:c>
      <x:c r="L46" s="63" t="n">
        <x:v>24.5</x:v>
      </x:c>
      <x:c r="M46" s="63" t="n">
        <x:v>21</x:v>
      </x:c>
      <x:c r="N46" s="63" t="n">
        <x:v>47</x:v>
      </x:c>
      <x:c r="O46" s="63" t="n">
        <x:f>ROUND(0.6108*EXP(17.27*(L46+'01_Run_Config'!$B$34)/(L46+'01_Run_Config'!$B$34+237.3))-(N46/100)*0.6108*EXP(17.27*L46/(L46+237.3)),2)</x:f>
        <x:v>1.45</x:v>
      </x:c>
      <x:c r="P46" s="63" t="n">
        <x:f>IF(A46&lt;'01_Run_Config'!$B$32,0.55,IF(A46&lt;'01_Run_Config'!$B$33,IF(A46-'01_Run_Config'!$B$32&lt;=3,0.8,IF(A46-'01_Run_Config'!$B$32&lt;=10,1,IF(A46-'01_Run_Config'!$B$32&lt;=17,1.2,1.4))),IF(A46-'01_Run_Config'!$B$33&lt;=6,1.5,IF(A46-'01_Run_Config'!$B$33&lt;=13,1.6,IF(A46-'01_Run_Config'!$B$33&lt;=20,1.7,IF(A46-'01_Run_Config'!$B$33&lt;=34,1.8,IF(A46-'01_Run_Config'!$B$33&lt;=41,1.6,IF(A46-'01_Run_Config'!$B$33&lt;=48,1.4,1.15))))))))</x:f>
        <x:v>1.7</x:v>
      </x:c>
      <x:c r="Q46" s="63" t="n">
        <x:v>5.9</x:v>
      </x:c>
      <x:c r="R46" s="63" t="n">
        <x:v>0.9</x:v>
      </x:c>
      <x:c r="S46" s="63" t="n">
        <x:v>1.5</x:v>
      </x:c>
      <x:c r="T46" s="63" t="str">
        <x:f>IF(A46&lt;=7,"Manuell",'01_Run_Config'!$B$40)</x:f>
        <x:v>Manuell / indoor-freigegebene Automation</x:v>
      </x:c>
      <x:c r="U46" s="63" t="str">
        <x:f>IF(A46&lt;'01_Run_Config'!$B$32,"Kein Basisdünger",IF(A46&lt;'01_Run_Config'!$B$33,"HESI TNT","HESI Coco"))</x:f>
        <x:v>HESI Coco</x:v>
      </x:c>
      <x:c r="V46" s="63" t="n">
        <x:f>IF(A46&lt;'01_Run_Config'!$B$32,0,IF(A46&lt;'01_Run_Config'!$B$33,IF(A46-'01_Run_Config'!$B$32&lt;=3,1.25,IF(A46-'01_Run_Config'!$B$32&lt;=10,2,2.5)),IF(A46-'01_Run_Config'!$B$33&lt;=6,2.5,IF(A46-'01_Run_Config'!$B$33&lt;=13,3.25,IF(A46-'01_Run_Config'!$B$33&lt;=20,3.75,IF(A46-'01_Run_Config'!$B$33&lt;=34,4,IF(A46-'01_Run_Config'!$B$33&lt;=41,3.5,IF(A46-'01_Run_Config'!$B$33&lt;=48,2.5,1.5))))))))</x:f>
        <x:v>3.75</x:v>
      </x:c>
      <x:c r="W46" s="63" t="n">
        <x:f>IF(OR(A46='01_Run_Config'!$B$32,A46='01_Run_Config'!$B$32+6,A46='01_Run_Config'!$B$32+12),2.5,0)</x:f>
        <x:v>0</x:v>
      </x:c>
      <x:c r="X46" s="63" t="n">
        <x:f>IF(AND(A46&gt;='01_Run_Config'!$B$32+3,A46&lt;='01_Run_Config'!$B$33+35,MOD(A46-('01_Run_Config'!$B$32+3),7)=0),2,0)</x:f>
        <x:v>0</x:v>
      </x:c>
      <x:c r="Y46" s="63" t="n">
        <x:f>IF(A46&gt;='01_Run_Config'!$B$32,0.015,0)</x:f>
        <x:v>0.015</x:v>
      </x:c>
      <x:c r="Z46" s="63" t="n">
        <x:f>IF(AND('01_Run_Config'!$B$26="Hesilicio statt Balance",A46&gt;='01_Run_Config'!$B$32+3,MOD(A46-('01_Run_Config'!$B$32+3),7)=0,A46&lt;='01_Run_Config'!$B$33+35),0.5,0)</x:f>
        <x:v>0</x:v>
      </x:c>
      <x:c r="AA46" s="63" t="n">
        <x:f>IF(AND(A46&gt;='01_Run_Config'!$B$33,A46&lt;='01_Run_Config'!$B$33+35,MOD(A46-'01_Run_Config'!$B$33,7)=0),2,0)</x:f>
        <x:v>0</x:v>
      </x:c>
      <x:c r="AB46" s="63" t="n">
        <x:f>IF(A46='01_Run_Config'!$B$33+21,0.25,IF(A46='01_Run_Config'!$B$33+28,0.35,IF(A46='01_Run_Config'!$B$33+35,0.5,0)))</x:f>
        <x:v>0</x:v>
      </x:c>
      <x:c r="AC46" s="63" t="n">
        <x:f>IF(OR(A46='01_Run_Config'!$B$32,A46='01_Run_Config'!$B$32+7,A46='01_Run_Config'!$B$33+1,A46='01_Run_Config'!$B$33+8),2,0)</x:f>
        <x:v>0</x:v>
      </x:c>
      <x:c r="AD46" s="63" t="str">
        <x:f>IF(A46&lt;'01_Run_Config'!$B$33,"AN-Reference=0 außer Voodoo-Frischgaben",IF(AL46&lt;=7,"A/B: Bud Ignitor oder Mikrobenmodul; nicht Reference",IF(AL46&lt;=35,"A/B: Big Bud STATT HESI-PK; nicht additiv stapeln",IF(AL46&lt;=49,"A/B: Overdrive STATT spätem HESI-PK","AN-Booster auslaufen"))))</x:f>
        <x:v>A/B: Big Bud STATT HESI-PK; nicht additiv stapeln</x:v>
      </x:c>
      <x:c r="AE46" s="63" t="str">
        <x:v>Nur Support / Luftkanäle</x:v>
      </x:c>
      <x:c r="AF46" s="63" t="str">
        <x:v>Morgens Klima/Pflanze/Bewässerung/Leck; Mitte Lichtphase Blattwinkel; vor Dunkel LF/Drain/stehendes Wasser.</x:v>
      </x:c>
      <x:c r="AG46" s="63" t="str">
        <x:v>EC nicht erhöhen bei steigender Diagnose-Drain-EC; PPFD nicht erhöhen bei Stress; Wasserband nie erzwingen; nie mehrere neue Booster gleichzeitig.</x:v>
      </x:c>
      <x:c r="AH46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4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6" s="201" t="str">
        <x:f>IF(A46&lt;'01_Run_Config'!$B$32,"—",IF(A46&lt;'01_Run_Config'!$B$33,"G"&amp;MIN(4,INT((A46-'01_Run_Config'!$B$32)/7)+1),AM46))</x:f>
        <x:v>B3</x:v>
      </x:c>
      <x:c r="AK46" s="35" t="str">
        <x:f>IF(A46&lt;'01_Run_Config'!$B$32,"Keine AN-Additive.",IF(A46&lt;'01_Run_Config'!$B$33,"Veg: Voodoo nur definierte Frischgaben; B-52/Piranha/Tarantula nur A/B; Sensizym nur statt PowerZyme; Rhino Skin AUS mit Athena Balance.",IF(AL46&lt;=7,"Frühblüte: Voodoo; Bud Ignitor/Piranha/Tarantula nur A/B; Rhino Skin AUS mit Balance.",IF(AL46&lt;=35,"Hauptblüte: Big Bud nur A/B STATT HESI-PK; Biostims einzeln testen.",IF(AL46&lt;=49,"Spätblüte: Overdrive nur A/B STATT spätem HESI-PK; keine neue zweite Variable.","Booster auslaufen / Reife priorisieren.")))))</x:f>
        <x:v>Hauptblüte: Big Bud nur A/B STATT HESI-PK; Biostims einzeln testen.</x:v>
      </x:c>
      <x:c r="AL46" s="60" t="n">
        <x:f>IF(A46&lt;'01_Run_Config'!$B$33,"",A46-'01_Run_Config'!$B$33+1)</x:f>
        <x:v>17</x:v>
      </x:c>
      <x:c r="AM46" s="60" t="str">
        <x:f>IF(AL46="","",IF(AL46&gt;49,CHAR(66)&amp;"7+",CHAR(66)&amp;TEXT(INT((AL46-1)/7)+1,"0")))</x:f>
        <x:v>B3</x:v>
      </x:c>
      <x:c r="AN46" s="60" t="n">
        <x:f>ROUND(0.6108*EXP(17.27*L46/(L46+237.3))*(1-N46/100),2)</x:f>
        <x:v>1.63</x:v>
      </x:c>
      <x:c r="AO46" s="60" t="n">
        <x:f>H46*G46/1000</x:f>
        <x:v>2.52</x:v>
      </x:c>
      <x:c r="AP46" s="60" t="n">
        <x:f>SUM($AO$2:AO46)</x:f>
        <x:v>70.55999999999999</x:v>
      </x:c>
      <x:c r="AQ46" t="n">
        <x:f>'01_Run_Config'!$B$17</x:f>
        <x:v>0</x:v>
      </x:c>
      <x:c r="AR46" t="n">
        <x:f>'01_Run_Config'!$B$22</x:f>
        <x:v>0</x:v>
      </x:c>
      <x:c r="AS46" t="n">
        <x:f>'01_Run_Config'!$B$25</x:f>
        <x:v>0</x:v>
      </x:c>
    </x:row>
    <x:row r="47">
      <x:c r="A47" s="34" t="n">
        <x:v>45</x:v>
      </x:c>
      <x:c r="B47" s="129" t="n">
        <x:f>'01_Run_Config'!$B$4+A47</x:f>
        <x:v>46287</x:v>
      </x:c>
      <x:c r="C47" s="63" t="n">
        <x:f>INT(A47/7)+1</x:f>
        <x:v>7</x:v>
      </x:c>
      <x:c r="D47" s="63" t="str">
        <x:f>"M"&amp;MIN(3,INT(A47/30)+1)</x:f>
        <x:v>M2</x:v>
      </x:c>
      <x:c r="E47" s="63" t="str">
        <x:f>IF(A47&lt;4,"Keimung",IF(A47&lt;8,"Etablierung",IF(A47&lt;15,"Early Veg",IF(A47&lt;'01_Run_Config'!$B$33,IF(A47&lt;22,"Veg / LST","Preflower-Watch"),IF(A47-'01_Run_Config'!$B$33&lt;=6,"Transition / Stretch ("&amp;AM47&amp;")",IF(A47-'01_Run_Config'!$B$33&lt;=13,"Early Flower ("&amp;AM47&amp;")",IF(A47-'01_Run_Config'!$B$33&lt;=20,"Flower I ("&amp;AM47&amp;")",IF(A47-'01_Run_Config'!$B$33&lt;=34,"Peak Flower ("&amp;AM47&amp;")",IF(A47-'01_Run_Config'!$B$33&lt;=41,"Late Flower ("&amp;AM47&amp;")",IF(A47-'01_Run_Config'!$B$33&lt;=48,"Ripening ("&amp;AM47&amp;")","Harvest / Extension ("&amp;AM47&amp;")"))))))))))</x:f>
        <x:v>Flower I (B3)</x:v>
      </x:c>
      <x:c r="F47" s="63" t="str">
        <x:f>IF(A47&lt;4,"Keimung + Wurzelstart",IF(A47&lt;8,"Sämling etablieren; Wurzelraum erschließen",IF(A47&lt;15,"kompakter Aufbau; LST erst bei Vitalität",IF(A47&lt;'01_Run_Config'!$B$33,"Canopy aufbauen; Preflower beobachten",IF(A47-'01_Run_Config'!$B$33&lt;=6,"Stretch kontrollieren; Bloom-Trigger dokumentieren",IF(A47-'01_Run_Config'!$B$33&lt;=13,"Blütenansatz stabilisieren",IF(A47-'01_Run_Config'!$B$33&lt;=20,"Blütenaufbau ohne neue Stressoren",IF(A47-'01_Run_Config'!$B$33&lt;=34,"stabile Peak-Photosynthese; Klima priorisieren",IF(A47-'01_Run_Config'!$B$33&lt;=41,"Qualität/Schimmelprävention",IF(A47-'01_Run_Config'!$B$33&lt;=48,"Reife ohne Überfütterung","Erntefenster nach Pflanze; keine Kalenderernte"))))))))))</x:f>
        <x:v>Blütenaufbau ohne neue Stressoren</x:v>
      </x:c>
      <x:c r="G47" s="63" t="n">
        <x:v>18</x:v>
      </x:c>
      <x:c r="H47" s="63" t="n">
        <x:v>140</x:v>
      </x:c>
      <x:c r="I47" s="63" t="n">
        <x:v>625</x:v>
      </x:c>
      <x:c r="J47" s="63" t="n">
        <x:f>I47*G47*3600/1000000</x:f>
        <x:v>40.5</x:v>
      </x:c>
      <x:c r="K47" s="63" t="n">
        <x:v>34</x:v>
      </x:c>
      <x:c r="L47" s="63" t="n">
        <x:v>24.5</x:v>
      </x:c>
      <x:c r="M47" s="63" t="n">
        <x:v>21</x:v>
      </x:c>
      <x:c r="N47" s="63" t="n">
        <x:v>47</x:v>
      </x:c>
      <x:c r="O47" s="63" t="n">
        <x:f>ROUND(0.6108*EXP(17.27*(L47+'01_Run_Config'!$B$34)/(L47+'01_Run_Config'!$B$34+237.3))-(N47/100)*0.6108*EXP(17.27*L47/(L47+237.3)),2)</x:f>
        <x:v>1.45</x:v>
      </x:c>
      <x:c r="P47" s="63" t="n">
        <x:f>IF(A47&lt;'01_Run_Config'!$B$32,0.55,IF(A47&lt;'01_Run_Config'!$B$33,IF(A47-'01_Run_Config'!$B$32&lt;=3,0.8,IF(A47-'01_Run_Config'!$B$32&lt;=10,1,IF(A47-'01_Run_Config'!$B$32&lt;=17,1.2,1.4))),IF(A47-'01_Run_Config'!$B$33&lt;=6,1.5,IF(A47-'01_Run_Config'!$B$33&lt;=13,1.6,IF(A47-'01_Run_Config'!$B$33&lt;=20,1.7,IF(A47-'01_Run_Config'!$B$33&lt;=34,1.8,IF(A47-'01_Run_Config'!$B$33&lt;=41,1.6,IF(A47-'01_Run_Config'!$B$33&lt;=48,1.4,1.15))))))))</x:f>
        <x:v>1.7</x:v>
      </x:c>
      <x:c r="Q47" s="63" t="n">
        <x:v>5.9</x:v>
      </x:c>
      <x:c r="R47" s="63" t="n">
        <x:v>0.9</x:v>
      </x:c>
      <x:c r="S47" s="63" t="n">
        <x:v>1.5</x:v>
      </x:c>
      <x:c r="T47" s="63" t="str">
        <x:f>IF(A47&lt;=7,"Manuell",'01_Run_Config'!$B$40)</x:f>
        <x:v>Manuell / indoor-freigegebene Automation</x:v>
      </x:c>
      <x:c r="U47" s="63" t="str">
        <x:f>IF(A47&lt;'01_Run_Config'!$B$32,"Kein Basisdünger",IF(A47&lt;'01_Run_Config'!$B$33,"HESI TNT","HESI Coco"))</x:f>
        <x:v>HESI Coco</x:v>
      </x:c>
      <x:c r="V47" s="63" t="n">
        <x:f>IF(A47&lt;'01_Run_Config'!$B$32,0,IF(A47&lt;'01_Run_Config'!$B$33,IF(A47-'01_Run_Config'!$B$32&lt;=3,1.25,IF(A47-'01_Run_Config'!$B$32&lt;=10,2,2.5)),IF(A47-'01_Run_Config'!$B$33&lt;=6,2.5,IF(A47-'01_Run_Config'!$B$33&lt;=13,3.25,IF(A47-'01_Run_Config'!$B$33&lt;=20,3.75,IF(A47-'01_Run_Config'!$B$33&lt;=34,4,IF(A47-'01_Run_Config'!$B$33&lt;=41,3.5,IF(A47-'01_Run_Config'!$B$33&lt;=48,2.5,1.5))))))))</x:f>
        <x:v>3.75</x:v>
      </x:c>
      <x:c r="W47" s="63" t="n">
        <x:f>IF(OR(A47='01_Run_Config'!$B$32,A47='01_Run_Config'!$B$32+6,A47='01_Run_Config'!$B$32+12),2.5,0)</x:f>
        <x:v>0</x:v>
      </x:c>
      <x:c r="X47" s="63" t="n">
        <x:f>IF(AND(A47&gt;='01_Run_Config'!$B$32+3,A47&lt;='01_Run_Config'!$B$33+35,MOD(A47-('01_Run_Config'!$B$32+3),7)=0),2,0)</x:f>
        <x:v>0</x:v>
      </x:c>
      <x:c r="Y47" s="63" t="n">
        <x:f>IF(A47&gt;='01_Run_Config'!$B$32,0.015,0)</x:f>
        <x:v>0.015</x:v>
      </x:c>
      <x:c r="Z47" s="63" t="n">
        <x:f>IF(AND('01_Run_Config'!$B$26="Hesilicio statt Balance",A47&gt;='01_Run_Config'!$B$32+3,MOD(A47-('01_Run_Config'!$B$32+3),7)=0,A47&lt;='01_Run_Config'!$B$33+35),0.5,0)</x:f>
        <x:v>0</x:v>
      </x:c>
      <x:c r="AA47" s="63" t="n">
        <x:f>IF(AND(A47&gt;='01_Run_Config'!$B$33,A47&lt;='01_Run_Config'!$B$33+35,MOD(A47-'01_Run_Config'!$B$33,7)=0),2,0)</x:f>
        <x:v>0</x:v>
      </x:c>
      <x:c r="AB47" s="63" t="n">
        <x:f>IF(A47='01_Run_Config'!$B$33+21,0.25,IF(A47='01_Run_Config'!$B$33+28,0.35,IF(A47='01_Run_Config'!$B$33+35,0.5,0)))</x:f>
        <x:v>0</x:v>
      </x:c>
      <x:c r="AC47" s="63" t="n">
        <x:f>IF(OR(A47='01_Run_Config'!$B$32,A47='01_Run_Config'!$B$32+7,A47='01_Run_Config'!$B$33+1,A47='01_Run_Config'!$B$33+8),2,0)</x:f>
        <x:v>0</x:v>
      </x:c>
      <x:c r="AD47" s="63" t="str">
        <x:f>IF(A47&lt;'01_Run_Config'!$B$33,"AN-Reference=0 außer Voodoo-Frischgaben",IF(AL47&lt;=7,"A/B: Bud Ignitor oder Mikrobenmodul; nicht Reference",IF(AL47&lt;=35,"A/B: Big Bud STATT HESI-PK; nicht additiv stapeln",IF(AL47&lt;=49,"A/B: Overdrive STATT spätem HESI-PK","AN-Booster auslaufen"))))</x:f>
        <x:v>A/B: Big Bud STATT HESI-PK; nicht additiv stapeln</x:v>
      </x:c>
      <x:c r="AE47" s="63" t="str">
        <x:v>Nur Support / Luftkanäle</x:v>
      </x:c>
      <x:c r="AF47" s="63" t="str">
        <x:v>Morgens Klima/Pflanze/Bewässerung/Leck; Mitte Lichtphase Blattwinkel; vor Dunkel LF/Drain/stehendes Wasser.</x:v>
      </x:c>
      <x:c r="AG47" s="63" t="str">
        <x:v>EC nicht erhöhen bei steigender Diagnose-Drain-EC; PPFD nicht erhöhen bei Stress; Wasserband nie erzwingen; nie mehrere neue Booster gleichzeitig.</x:v>
      </x:c>
      <x:c r="AH47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4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7" s="201" t="str">
        <x:f>IF(A47&lt;'01_Run_Config'!$B$32,"—",IF(A47&lt;'01_Run_Config'!$B$33,"G"&amp;MIN(4,INT((A47-'01_Run_Config'!$B$32)/7)+1),AM47))</x:f>
        <x:v>B3</x:v>
      </x:c>
      <x:c r="AK47" s="35" t="str">
        <x:f>IF(A47&lt;'01_Run_Config'!$B$32,"Keine AN-Additive.",IF(A47&lt;'01_Run_Config'!$B$33,"Veg: Voodoo nur definierte Frischgaben; B-52/Piranha/Tarantula nur A/B; Sensizym nur statt PowerZyme; Rhino Skin AUS mit Athena Balance.",IF(AL47&lt;=7,"Frühblüte: Voodoo; Bud Ignitor/Piranha/Tarantula nur A/B; Rhino Skin AUS mit Balance.",IF(AL47&lt;=35,"Hauptblüte: Big Bud nur A/B STATT HESI-PK; Biostims einzeln testen.",IF(AL47&lt;=49,"Spätblüte: Overdrive nur A/B STATT spätem HESI-PK; keine neue zweite Variable.","Booster auslaufen / Reife priorisieren.")))))</x:f>
        <x:v>Hauptblüte: Big Bud nur A/B STATT HESI-PK; Biostims einzeln testen.</x:v>
      </x:c>
      <x:c r="AL47" s="60" t="n">
        <x:f>IF(A47&lt;'01_Run_Config'!$B$33,"",A47-'01_Run_Config'!$B$33+1)</x:f>
        <x:v>18</x:v>
      </x:c>
      <x:c r="AM47" s="60" t="str">
        <x:f>IF(AL47="","",IF(AL47&gt;49,CHAR(66)&amp;"7+",CHAR(66)&amp;TEXT(INT((AL47-1)/7)+1,"0")))</x:f>
        <x:v>B3</x:v>
      </x:c>
      <x:c r="AN47" s="60" t="n">
        <x:f>ROUND(0.6108*EXP(17.27*L47/(L47+237.3))*(1-N47/100),2)</x:f>
        <x:v>1.63</x:v>
      </x:c>
      <x:c r="AO47" s="60" t="n">
        <x:f>H47*G47/1000</x:f>
        <x:v>2.52</x:v>
      </x:c>
      <x:c r="AP47" s="60" t="n">
        <x:f>SUM($AO$2:AO47)</x:f>
        <x:v>73.07999999999998</x:v>
      </x:c>
      <x:c r="AQ47" t="n">
        <x:f>'01_Run_Config'!$B$17</x:f>
        <x:v>0</x:v>
      </x:c>
      <x:c r="AR47" t="n">
        <x:f>'01_Run_Config'!$B$22</x:f>
        <x:v>0</x:v>
      </x:c>
      <x:c r="AS47" t="n">
        <x:f>'01_Run_Config'!$B$25</x:f>
        <x:v>0</x:v>
      </x:c>
    </x:row>
    <x:row r="48">
      <x:c r="A48" s="34" t="n">
        <x:v>46</x:v>
      </x:c>
      <x:c r="B48" s="129" t="n">
        <x:f>'01_Run_Config'!$B$4+A48</x:f>
        <x:v>46288</x:v>
      </x:c>
      <x:c r="C48" s="63" t="n">
        <x:f>INT(A48/7)+1</x:f>
        <x:v>7</x:v>
      </x:c>
      <x:c r="D48" s="63" t="str">
        <x:f>"M"&amp;MIN(3,INT(A48/30)+1)</x:f>
        <x:v>M2</x:v>
      </x:c>
      <x:c r="E48" s="63" t="str">
        <x:f>IF(A48&lt;4,"Keimung",IF(A48&lt;8,"Etablierung",IF(A48&lt;15,"Early Veg",IF(A48&lt;'01_Run_Config'!$B$33,IF(A48&lt;22,"Veg / LST","Preflower-Watch"),IF(A48-'01_Run_Config'!$B$33&lt;=6,"Transition / Stretch ("&amp;AM48&amp;")",IF(A48-'01_Run_Config'!$B$33&lt;=13,"Early Flower ("&amp;AM48&amp;")",IF(A48-'01_Run_Config'!$B$33&lt;=20,"Flower I ("&amp;AM48&amp;")",IF(A48-'01_Run_Config'!$B$33&lt;=34,"Peak Flower ("&amp;AM48&amp;")",IF(A48-'01_Run_Config'!$B$33&lt;=41,"Late Flower ("&amp;AM48&amp;")",IF(A48-'01_Run_Config'!$B$33&lt;=48,"Ripening ("&amp;AM48&amp;")","Harvest / Extension ("&amp;AM48&amp;")"))))))))))</x:f>
        <x:v>Flower I (B3)</x:v>
      </x:c>
      <x:c r="F48" s="63" t="str">
        <x:f>IF(A48&lt;4,"Keimung + Wurzelstart",IF(A48&lt;8,"Sämling etablieren; Wurzelraum erschließen",IF(A48&lt;15,"kompakter Aufbau; LST erst bei Vitalität",IF(A48&lt;'01_Run_Config'!$B$33,"Canopy aufbauen; Preflower beobachten",IF(A48-'01_Run_Config'!$B$33&lt;=6,"Stretch kontrollieren; Bloom-Trigger dokumentieren",IF(A48-'01_Run_Config'!$B$33&lt;=13,"Blütenansatz stabilisieren",IF(A48-'01_Run_Config'!$B$33&lt;=20,"Blütenaufbau ohne neue Stressoren",IF(A48-'01_Run_Config'!$B$33&lt;=34,"stabile Peak-Photosynthese; Klima priorisieren",IF(A48-'01_Run_Config'!$B$33&lt;=41,"Qualität/Schimmelprävention",IF(A48-'01_Run_Config'!$B$33&lt;=48,"Reife ohne Überfütterung","Erntefenster nach Pflanze; keine Kalenderernte"))))))))))</x:f>
        <x:v>Blütenaufbau ohne neue Stressoren</x:v>
      </x:c>
      <x:c r="G48" s="63" t="n">
        <x:v>18</x:v>
      </x:c>
      <x:c r="H48" s="63" t="n">
        <x:v>140</x:v>
      </x:c>
      <x:c r="I48" s="63" t="n">
        <x:v>625</x:v>
      </x:c>
      <x:c r="J48" s="63" t="n">
        <x:f>I48*G48*3600/1000000</x:f>
        <x:v>40.5</x:v>
      </x:c>
      <x:c r="K48" s="63" t="n">
        <x:v>34</x:v>
      </x:c>
      <x:c r="L48" s="63" t="n">
        <x:v>24.5</x:v>
      </x:c>
      <x:c r="M48" s="63" t="n">
        <x:v>21</x:v>
      </x:c>
      <x:c r="N48" s="63" t="n">
        <x:v>47</x:v>
      </x:c>
      <x:c r="O48" s="63" t="n">
        <x:f>ROUND(0.6108*EXP(17.27*(L48+'01_Run_Config'!$B$34)/(L48+'01_Run_Config'!$B$34+237.3))-(N48/100)*0.6108*EXP(17.27*L48/(L48+237.3)),2)</x:f>
        <x:v>1.45</x:v>
      </x:c>
      <x:c r="P48" s="63" t="n">
        <x:f>IF(A48&lt;'01_Run_Config'!$B$32,0.55,IF(A48&lt;'01_Run_Config'!$B$33,IF(A48-'01_Run_Config'!$B$32&lt;=3,0.8,IF(A48-'01_Run_Config'!$B$32&lt;=10,1,IF(A48-'01_Run_Config'!$B$32&lt;=17,1.2,1.4))),IF(A48-'01_Run_Config'!$B$33&lt;=6,1.5,IF(A48-'01_Run_Config'!$B$33&lt;=13,1.6,IF(A48-'01_Run_Config'!$B$33&lt;=20,1.7,IF(A48-'01_Run_Config'!$B$33&lt;=34,1.8,IF(A48-'01_Run_Config'!$B$33&lt;=41,1.6,IF(A48-'01_Run_Config'!$B$33&lt;=48,1.4,1.15))))))))</x:f>
        <x:v>1.7</x:v>
      </x:c>
      <x:c r="Q48" s="63" t="n">
        <x:v>5.9</x:v>
      </x:c>
      <x:c r="R48" s="63" t="n">
        <x:v>0.9</x:v>
      </x:c>
      <x:c r="S48" s="63" t="n">
        <x:v>1.5</x:v>
      </x:c>
      <x:c r="T48" s="63" t="str">
        <x:f>IF(A48&lt;=7,"Manuell",'01_Run_Config'!$B$40)</x:f>
        <x:v>Manuell / indoor-freigegebene Automation</x:v>
      </x:c>
      <x:c r="U48" s="63" t="str">
        <x:f>IF(A48&lt;'01_Run_Config'!$B$32,"Kein Basisdünger",IF(A48&lt;'01_Run_Config'!$B$33,"HESI TNT","HESI Coco"))</x:f>
        <x:v>HESI Coco</x:v>
      </x:c>
      <x:c r="V48" s="63" t="n">
        <x:f>IF(A48&lt;'01_Run_Config'!$B$32,0,IF(A48&lt;'01_Run_Config'!$B$33,IF(A48-'01_Run_Config'!$B$32&lt;=3,1.25,IF(A48-'01_Run_Config'!$B$32&lt;=10,2,2.5)),IF(A48-'01_Run_Config'!$B$33&lt;=6,2.5,IF(A48-'01_Run_Config'!$B$33&lt;=13,3.25,IF(A48-'01_Run_Config'!$B$33&lt;=20,3.75,IF(A48-'01_Run_Config'!$B$33&lt;=34,4,IF(A48-'01_Run_Config'!$B$33&lt;=41,3.5,IF(A48-'01_Run_Config'!$B$33&lt;=48,2.5,1.5))))))))</x:f>
        <x:v>3.75</x:v>
      </x:c>
      <x:c r="W48" s="63" t="n">
        <x:f>IF(OR(A48='01_Run_Config'!$B$32,A48='01_Run_Config'!$B$32+6,A48='01_Run_Config'!$B$32+12),2.5,0)</x:f>
        <x:v>0</x:v>
      </x:c>
      <x:c r="X48" s="63" t="n">
        <x:f>IF(AND(A48&gt;='01_Run_Config'!$B$32+3,A48&lt;='01_Run_Config'!$B$33+35,MOD(A48-('01_Run_Config'!$B$32+3),7)=0),2,0)</x:f>
        <x:v>0</x:v>
      </x:c>
      <x:c r="Y48" s="63" t="n">
        <x:f>IF(A48&gt;='01_Run_Config'!$B$32,0.015,0)</x:f>
        <x:v>0.015</x:v>
      </x:c>
      <x:c r="Z48" s="63" t="n">
        <x:f>IF(AND('01_Run_Config'!$B$26="Hesilicio statt Balance",A48&gt;='01_Run_Config'!$B$32+3,MOD(A48-('01_Run_Config'!$B$32+3),7)=0,A48&lt;='01_Run_Config'!$B$33+35),0.5,0)</x:f>
        <x:v>0</x:v>
      </x:c>
      <x:c r="AA48" s="63" t="n">
        <x:f>IF(AND(A48&gt;='01_Run_Config'!$B$33,A48&lt;='01_Run_Config'!$B$33+35,MOD(A48-'01_Run_Config'!$B$33,7)=0),2,0)</x:f>
        <x:v>0</x:v>
      </x:c>
      <x:c r="AB48" s="63" t="n">
        <x:f>IF(A48='01_Run_Config'!$B$33+21,0.25,IF(A48='01_Run_Config'!$B$33+28,0.35,IF(A48='01_Run_Config'!$B$33+35,0.5,0)))</x:f>
        <x:v>0</x:v>
      </x:c>
      <x:c r="AC48" s="63" t="n">
        <x:f>IF(OR(A48='01_Run_Config'!$B$32,A48='01_Run_Config'!$B$32+7,A48='01_Run_Config'!$B$33+1,A48='01_Run_Config'!$B$33+8),2,0)</x:f>
        <x:v>0</x:v>
      </x:c>
      <x:c r="AD48" s="63" t="str">
        <x:f>IF(A48&lt;'01_Run_Config'!$B$33,"AN-Reference=0 außer Voodoo-Frischgaben",IF(AL48&lt;=7,"A/B: Bud Ignitor oder Mikrobenmodul; nicht Reference",IF(AL48&lt;=35,"A/B: Big Bud STATT HESI-PK; nicht additiv stapeln",IF(AL48&lt;=49,"A/B: Overdrive STATT spätem HESI-PK","AN-Booster auslaufen"))))</x:f>
        <x:v>A/B: Big Bud STATT HESI-PK; nicht additiv stapeln</x:v>
      </x:c>
      <x:c r="AE48" s="63" t="str">
        <x:v>Nur Support / Luftkanäle</x:v>
      </x:c>
      <x:c r="AF48" s="63" t="str">
        <x:v>Morgens Klima/Pflanze/Bewässerung/Leck; Mitte Lichtphase Blattwinkel; vor Dunkel LF/Drain/stehendes Wasser.</x:v>
      </x:c>
      <x:c r="AG48" s="63" t="str">
        <x:v>EC nicht erhöhen bei steigender Diagnose-Drain-EC; PPFD nicht erhöhen bei Stress; Wasserband nie erzwingen; nie mehrere neue Booster gleichzeitig.</x:v>
      </x:c>
      <x:c r="AH48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4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8" s="201" t="str">
        <x:f>IF(A48&lt;'01_Run_Config'!$B$32,"—",IF(A48&lt;'01_Run_Config'!$B$33,"G"&amp;MIN(4,INT((A48-'01_Run_Config'!$B$32)/7)+1),AM48))</x:f>
        <x:v>B3</x:v>
      </x:c>
      <x:c r="AK48" s="35" t="str">
        <x:f>IF(A48&lt;'01_Run_Config'!$B$32,"Keine AN-Additive.",IF(A48&lt;'01_Run_Config'!$B$33,"Veg: Voodoo nur definierte Frischgaben; B-52/Piranha/Tarantula nur A/B; Sensizym nur statt PowerZyme; Rhino Skin AUS mit Athena Balance.",IF(AL48&lt;=7,"Frühblüte: Voodoo; Bud Ignitor/Piranha/Tarantula nur A/B; Rhino Skin AUS mit Balance.",IF(AL48&lt;=35,"Hauptblüte: Big Bud nur A/B STATT HESI-PK; Biostims einzeln testen.",IF(AL48&lt;=49,"Spätblüte: Overdrive nur A/B STATT spätem HESI-PK; keine neue zweite Variable.","Booster auslaufen / Reife priorisieren.")))))</x:f>
        <x:v>Hauptblüte: Big Bud nur A/B STATT HESI-PK; Biostims einzeln testen.</x:v>
      </x:c>
      <x:c r="AL48" s="60" t="n">
        <x:f>IF(A48&lt;'01_Run_Config'!$B$33,"",A48-'01_Run_Config'!$B$33+1)</x:f>
        <x:v>19</x:v>
      </x:c>
      <x:c r="AM48" s="60" t="str">
        <x:f>IF(AL48="","",IF(AL48&gt;49,CHAR(66)&amp;"7+",CHAR(66)&amp;TEXT(INT((AL48-1)/7)+1,"0")))</x:f>
        <x:v>B3</x:v>
      </x:c>
      <x:c r="AN48" s="60" t="n">
        <x:f>ROUND(0.6108*EXP(17.27*L48/(L48+237.3))*(1-N48/100),2)</x:f>
        <x:v>1.63</x:v>
      </x:c>
      <x:c r="AO48" s="60" t="n">
        <x:f>H48*G48/1000</x:f>
        <x:v>2.52</x:v>
      </x:c>
      <x:c r="AP48" s="60" t="n">
        <x:f>SUM($AO$2:AO48)</x:f>
        <x:v>75.59999999999998</x:v>
      </x:c>
      <x:c r="AQ48" t="n">
        <x:f>'01_Run_Config'!$B$17</x:f>
        <x:v>0</x:v>
      </x:c>
      <x:c r="AR48" t="n">
        <x:f>'01_Run_Config'!$B$22</x:f>
        <x:v>0</x:v>
      </x:c>
      <x:c r="AS48" t="n">
        <x:f>'01_Run_Config'!$B$25</x:f>
        <x:v>0</x:v>
      </x:c>
    </x:row>
    <x:row r="49">
      <x:c r="A49" s="34" t="n">
        <x:v>47</x:v>
      </x:c>
      <x:c r="B49" s="129" t="n">
        <x:f>'01_Run_Config'!$B$4+A49</x:f>
        <x:v>46289</x:v>
      </x:c>
      <x:c r="C49" s="63" t="n">
        <x:f>INT(A49/7)+1</x:f>
        <x:v>7</x:v>
      </x:c>
      <x:c r="D49" s="63" t="str">
        <x:f>"M"&amp;MIN(3,INT(A49/30)+1)</x:f>
        <x:v>M2</x:v>
      </x:c>
      <x:c r="E49" s="63" t="str">
        <x:f>IF(A49&lt;4,"Keimung",IF(A49&lt;8,"Etablierung",IF(A49&lt;15,"Early Veg",IF(A49&lt;'01_Run_Config'!$B$33,IF(A49&lt;22,"Veg / LST","Preflower-Watch"),IF(A49-'01_Run_Config'!$B$33&lt;=6,"Transition / Stretch ("&amp;AM49&amp;")",IF(A49-'01_Run_Config'!$B$33&lt;=13,"Early Flower ("&amp;AM49&amp;")",IF(A49-'01_Run_Config'!$B$33&lt;=20,"Flower I ("&amp;AM49&amp;")",IF(A49-'01_Run_Config'!$B$33&lt;=34,"Peak Flower ("&amp;AM49&amp;")",IF(A49-'01_Run_Config'!$B$33&lt;=41,"Late Flower ("&amp;AM49&amp;")",IF(A49-'01_Run_Config'!$B$33&lt;=48,"Ripening ("&amp;AM49&amp;")","Harvest / Extension ("&amp;AM49&amp;")"))))))))))</x:f>
        <x:v>Flower I (B3)</x:v>
      </x:c>
      <x:c r="F49" s="63" t="str">
        <x:f>IF(A49&lt;4,"Keimung + Wurzelstart",IF(A49&lt;8,"Sämling etablieren; Wurzelraum erschließen",IF(A49&lt;15,"kompakter Aufbau; LST erst bei Vitalität",IF(A49&lt;'01_Run_Config'!$B$33,"Canopy aufbauen; Preflower beobachten",IF(A49-'01_Run_Config'!$B$33&lt;=6,"Stretch kontrollieren; Bloom-Trigger dokumentieren",IF(A49-'01_Run_Config'!$B$33&lt;=13,"Blütenansatz stabilisieren",IF(A49-'01_Run_Config'!$B$33&lt;=20,"Blütenaufbau ohne neue Stressoren",IF(A49-'01_Run_Config'!$B$33&lt;=34,"stabile Peak-Photosynthese; Klima priorisieren",IF(A49-'01_Run_Config'!$B$33&lt;=41,"Qualität/Schimmelprävention",IF(A49-'01_Run_Config'!$B$33&lt;=48,"Reife ohne Überfütterung","Erntefenster nach Pflanze; keine Kalenderernte"))))))))))</x:f>
        <x:v>Blütenaufbau ohne neue Stressoren</x:v>
      </x:c>
      <x:c r="G49" s="63" t="n">
        <x:v>18</x:v>
      </x:c>
      <x:c r="H49" s="63" t="n">
        <x:v>140</x:v>
      </x:c>
      <x:c r="I49" s="63" t="n">
        <x:v>625</x:v>
      </x:c>
      <x:c r="J49" s="63" t="n">
        <x:f>I49*G49*3600/1000000</x:f>
        <x:v>40.5</x:v>
      </x:c>
      <x:c r="K49" s="63" t="n">
        <x:v>34</x:v>
      </x:c>
      <x:c r="L49" s="63" t="n">
        <x:v>24.5</x:v>
      </x:c>
      <x:c r="M49" s="63" t="n">
        <x:v>21</x:v>
      </x:c>
      <x:c r="N49" s="63" t="n">
        <x:v>47</x:v>
      </x:c>
      <x:c r="O49" s="63" t="n">
        <x:f>ROUND(0.6108*EXP(17.27*(L49+'01_Run_Config'!$B$34)/(L49+'01_Run_Config'!$B$34+237.3))-(N49/100)*0.6108*EXP(17.27*L49/(L49+237.3)),2)</x:f>
        <x:v>1.45</x:v>
      </x:c>
      <x:c r="P49" s="63" t="n">
        <x:f>IF(A49&lt;'01_Run_Config'!$B$32,0.55,IF(A49&lt;'01_Run_Config'!$B$33,IF(A49-'01_Run_Config'!$B$32&lt;=3,0.8,IF(A49-'01_Run_Config'!$B$32&lt;=10,1,IF(A49-'01_Run_Config'!$B$32&lt;=17,1.2,1.4))),IF(A49-'01_Run_Config'!$B$33&lt;=6,1.5,IF(A49-'01_Run_Config'!$B$33&lt;=13,1.6,IF(A49-'01_Run_Config'!$B$33&lt;=20,1.7,IF(A49-'01_Run_Config'!$B$33&lt;=34,1.8,IF(A49-'01_Run_Config'!$B$33&lt;=41,1.6,IF(A49-'01_Run_Config'!$B$33&lt;=48,1.4,1.15))))))))</x:f>
        <x:v>1.7</x:v>
      </x:c>
      <x:c r="Q49" s="63" t="n">
        <x:v>5.9</x:v>
      </x:c>
      <x:c r="R49" s="63" t="n">
        <x:v>0.9</x:v>
      </x:c>
      <x:c r="S49" s="63" t="n">
        <x:v>1.5</x:v>
      </x:c>
      <x:c r="T49" s="63" t="str">
        <x:f>IF(A49&lt;=7,"Manuell",'01_Run_Config'!$B$40)</x:f>
        <x:v>Manuell / indoor-freigegebene Automation</x:v>
      </x:c>
      <x:c r="U49" s="63" t="str">
        <x:f>IF(A49&lt;'01_Run_Config'!$B$32,"Kein Basisdünger",IF(A49&lt;'01_Run_Config'!$B$33,"HESI TNT","HESI Coco"))</x:f>
        <x:v>HESI Coco</x:v>
      </x:c>
      <x:c r="V49" s="63" t="n">
        <x:f>IF(A49&lt;'01_Run_Config'!$B$32,0,IF(A49&lt;'01_Run_Config'!$B$33,IF(A49-'01_Run_Config'!$B$32&lt;=3,1.25,IF(A49-'01_Run_Config'!$B$32&lt;=10,2,2.5)),IF(A49-'01_Run_Config'!$B$33&lt;=6,2.5,IF(A49-'01_Run_Config'!$B$33&lt;=13,3.25,IF(A49-'01_Run_Config'!$B$33&lt;=20,3.75,IF(A49-'01_Run_Config'!$B$33&lt;=34,4,IF(A49-'01_Run_Config'!$B$33&lt;=41,3.5,IF(A49-'01_Run_Config'!$B$33&lt;=48,2.5,1.5))))))))</x:f>
        <x:v>3.75</x:v>
      </x:c>
      <x:c r="W49" s="63" t="n">
        <x:f>IF(OR(A49='01_Run_Config'!$B$32,A49='01_Run_Config'!$B$32+6,A49='01_Run_Config'!$B$32+12),2.5,0)</x:f>
        <x:v>0</x:v>
      </x:c>
      <x:c r="X49" s="63" t="n">
        <x:f>IF(AND(A49&gt;='01_Run_Config'!$B$32+3,A49&lt;='01_Run_Config'!$B$33+35,MOD(A49-('01_Run_Config'!$B$32+3),7)=0),2,0)</x:f>
        <x:v>0</x:v>
      </x:c>
      <x:c r="Y49" s="63" t="n">
        <x:f>IF(A49&gt;='01_Run_Config'!$B$32,0.015,0)</x:f>
        <x:v>0.015</x:v>
      </x:c>
      <x:c r="Z49" s="63" t="n">
        <x:f>IF(AND('01_Run_Config'!$B$26="Hesilicio statt Balance",A49&gt;='01_Run_Config'!$B$32+3,MOD(A49-('01_Run_Config'!$B$32+3),7)=0,A49&lt;='01_Run_Config'!$B$33+35),0.5,0)</x:f>
        <x:v>0</x:v>
      </x:c>
      <x:c r="AA49" s="63" t="n">
        <x:f>IF(AND(A49&gt;='01_Run_Config'!$B$33,A49&lt;='01_Run_Config'!$B$33+35,MOD(A49-'01_Run_Config'!$B$33,7)=0),2,0)</x:f>
        <x:v>0</x:v>
      </x:c>
      <x:c r="AB49" s="63" t="n">
        <x:f>IF(A49='01_Run_Config'!$B$33+21,0.25,IF(A49='01_Run_Config'!$B$33+28,0.35,IF(A49='01_Run_Config'!$B$33+35,0.5,0)))</x:f>
        <x:v>0</x:v>
      </x:c>
      <x:c r="AC49" s="63" t="n">
        <x:f>IF(OR(A49='01_Run_Config'!$B$32,A49='01_Run_Config'!$B$32+7,A49='01_Run_Config'!$B$33+1,A49='01_Run_Config'!$B$33+8),2,0)</x:f>
        <x:v>0</x:v>
      </x:c>
      <x:c r="AD49" s="63" t="str">
        <x:f>IF(A49&lt;'01_Run_Config'!$B$33,"AN-Reference=0 außer Voodoo-Frischgaben",IF(AL49&lt;=7,"A/B: Bud Ignitor oder Mikrobenmodul; nicht Reference",IF(AL49&lt;=35,"A/B: Big Bud STATT HESI-PK; nicht additiv stapeln",IF(AL49&lt;=49,"A/B: Overdrive STATT spätem HESI-PK","AN-Booster auslaufen"))))</x:f>
        <x:v>A/B: Big Bud STATT HESI-PK; nicht additiv stapeln</x:v>
      </x:c>
      <x:c r="AE49" s="63" t="str">
        <x:v>Nur Support / Luftkanäle</x:v>
      </x:c>
      <x:c r="AF49" s="63" t="str">
        <x:v>Morgens Klima/Pflanze/Bewässerung/Leck; Mitte Lichtphase Blattwinkel; vor Dunkel LF/Drain/stehendes Wasser.</x:v>
      </x:c>
      <x:c r="AG49" s="63" t="str">
        <x:v>EC nicht erhöhen bei steigender Diagnose-Drain-EC; PPFD nicht erhöhen bei Stress; Wasserband nie erzwingen; nie mehrere neue Booster gleichzeitig.</x:v>
      </x:c>
      <x:c r="AH49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4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9" s="201" t="str">
        <x:f>IF(A49&lt;'01_Run_Config'!$B$32,"—",IF(A49&lt;'01_Run_Config'!$B$33,"G"&amp;MIN(4,INT((A49-'01_Run_Config'!$B$32)/7)+1),AM49))</x:f>
        <x:v>B3</x:v>
      </x:c>
      <x:c r="AK49" s="35" t="str">
        <x:f>IF(A49&lt;'01_Run_Config'!$B$32,"Keine AN-Additive.",IF(A49&lt;'01_Run_Config'!$B$33,"Veg: Voodoo nur definierte Frischgaben; B-52/Piranha/Tarantula nur A/B; Sensizym nur statt PowerZyme; Rhino Skin AUS mit Athena Balance.",IF(AL49&lt;=7,"Frühblüte: Voodoo; Bud Ignitor/Piranha/Tarantula nur A/B; Rhino Skin AUS mit Balance.",IF(AL49&lt;=35,"Hauptblüte: Big Bud nur A/B STATT HESI-PK; Biostims einzeln testen.",IF(AL49&lt;=49,"Spätblüte: Overdrive nur A/B STATT spätem HESI-PK; keine neue zweite Variable.","Booster auslaufen / Reife priorisieren.")))))</x:f>
        <x:v>Hauptblüte: Big Bud nur A/B STATT HESI-PK; Biostims einzeln testen.</x:v>
      </x:c>
      <x:c r="AL49" s="60" t="n">
        <x:f>IF(A49&lt;'01_Run_Config'!$B$33,"",A49-'01_Run_Config'!$B$33+1)</x:f>
        <x:v>20</x:v>
      </x:c>
      <x:c r="AM49" s="60" t="str">
        <x:f>IF(AL49="","",IF(AL49&gt;49,CHAR(66)&amp;"7+",CHAR(66)&amp;TEXT(INT((AL49-1)/7)+1,"0")))</x:f>
        <x:v>B3</x:v>
      </x:c>
      <x:c r="AN49" s="60" t="n">
        <x:f>ROUND(0.6108*EXP(17.27*L49/(L49+237.3))*(1-N49/100),2)</x:f>
        <x:v>1.63</x:v>
      </x:c>
      <x:c r="AO49" s="60" t="n">
        <x:f>H49*G49/1000</x:f>
        <x:v>2.52</x:v>
      </x:c>
      <x:c r="AP49" s="60" t="n">
        <x:f>SUM($AO$2:AO49)</x:f>
        <x:v>78.11999999999998</x:v>
      </x:c>
      <x:c r="AQ49" t="n">
        <x:f>'01_Run_Config'!$B$17</x:f>
        <x:v>0</x:v>
      </x:c>
      <x:c r="AR49" t="n">
        <x:f>'01_Run_Config'!$B$22</x:f>
        <x:v>0</x:v>
      </x:c>
      <x:c r="AS49" t="n">
        <x:f>'01_Run_Config'!$B$25</x:f>
        <x:v>0</x:v>
      </x:c>
    </x:row>
    <x:row r="50">
      <x:c r="A50" s="34" t="n">
        <x:v>48</x:v>
      </x:c>
      <x:c r="B50" s="129" t="n">
        <x:f>'01_Run_Config'!$B$4+A50</x:f>
        <x:v>46290</x:v>
      </x:c>
      <x:c r="C50" s="63" t="n">
        <x:f>INT(A50/7)+1</x:f>
        <x:v>7</x:v>
      </x:c>
      <x:c r="D50" s="63" t="str">
        <x:f>"M"&amp;MIN(3,INT(A50/30)+1)</x:f>
        <x:v>M2</x:v>
      </x:c>
      <x:c r="E50" s="63" t="str">
        <x:f>IF(A50&lt;4,"Keimung",IF(A50&lt;8,"Etablierung",IF(A50&lt;15,"Early Veg",IF(A50&lt;'01_Run_Config'!$B$33,IF(A50&lt;22,"Veg / LST","Preflower-Watch"),IF(A50-'01_Run_Config'!$B$33&lt;=6,"Transition / Stretch ("&amp;AM50&amp;")",IF(A50-'01_Run_Config'!$B$33&lt;=13,"Early Flower ("&amp;AM50&amp;")",IF(A50-'01_Run_Config'!$B$33&lt;=20,"Flower I ("&amp;AM50&amp;")",IF(A50-'01_Run_Config'!$B$33&lt;=34,"Peak Flower ("&amp;AM50&amp;")",IF(A50-'01_Run_Config'!$B$33&lt;=41,"Late Flower ("&amp;AM50&amp;")",IF(A50-'01_Run_Config'!$B$33&lt;=48,"Ripening ("&amp;AM50&amp;")","Harvest / Extension ("&amp;AM50&amp;")"))))))))))</x:f>
        <x:v>Flower I (B3)</x:v>
      </x:c>
      <x:c r="F50" s="63" t="str">
        <x:f>IF(A50&lt;4,"Keimung + Wurzelstart",IF(A50&lt;8,"Sämling etablieren; Wurzelraum erschließen",IF(A50&lt;15,"kompakter Aufbau; LST erst bei Vitalität",IF(A50&lt;'01_Run_Config'!$B$33,"Canopy aufbauen; Preflower beobachten",IF(A50-'01_Run_Config'!$B$33&lt;=6,"Stretch kontrollieren; Bloom-Trigger dokumentieren",IF(A50-'01_Run_Config'!$B$33&lt;=13,"Blütenansatz stabilisieren",IF(A50-'01_Run_Config'!$B$33&lt;=20,"Blütenaufbau ohne neue Stressoren",IF(A50-'01_Run_Config'!$B$33&lt;=34,"stabile Peak-Photosynthese; Klima priorisieren",IF(A50-'01_Run_Config'!$B$33&lt;=41,"Qualität/Schimmelprävention",IF(A50-'01_Run_Config'!$B$33&lt;=48,"Reife ohne Überfütterung","Erntefenster nach Pflanze; keine Kalenderernte"))))))))))</x:f>
        <x:v>Blütenaufbau ohne neue Stressoren</x:v>
      </x:c>
      <x:c r="G50" s="63" t="n">
        <x:v>18</x:v>
      </x:c>
      <x:c r="H50" s="63" t="n">
        <x:v>140</x:v>
      </x:c>
      <x:c r="I50" s="63" t="n">
        <x:v>625</x:v>
      </x:c>
      <x:c r="J50" s="63" t="n">
        <x:f>I50*G50*3600/1000000</x:f>
        <x:v>40.5</x:v>
      </x:c>
      <x:c r="K50" s="63" t="n">
        <x:v>34</x:v>
      </x:c>
      <x:c r="L50" s="63" t="n">
        <x:v>24.5</x:v>
      </x:c>
      <x:c r="M50" s="63" t="n">
        <x:v>21</x:v>
      </x:c>
      <x:c r="N50" s="63" t="n">
        <x:v>47</x:v>
      </x:c>
      <x:c r="O50" s="63" t="n">
        <x:f>ROUND(0.6108*EXP(17.27*(L50+'01_Run_Config'!$B$34)/(L50+'01_Run_Config'!$B$34+237.3))-(N50/100)*0.6108*EXP(17.27*L50/(L50+237.3)),2)</x:f>
        <x:v>1.45</x:v>
      </x:c>
      <x:c r="P50" s="63" t="n">
        <x:f>IF(A50&lt;'01_Run_Config'!$B$32,0.55,IF(A50&lt;'01_Run_Config'!$B$33,IF(A50-'01_Run_Config'!$B$32&lt;=3,0.8,IF(A50-'01_Run_Config'!$B$32&lt;=10,1,IF(A50-'01_Run_Config'!$B$32&lt;=17,1.2,1.4))),IF(A50-'01_Run_Config'!$B$33&lt;=6,1.5,IF(A50-'01_Run_Config'!$B$33&lt;=13,1.6,IF(A50-'01_Run_Config'!$B$33&lt;=20,1.7,IF(A50-'01_Run_Config'!$B$33&lt;=34,1.8,IF(A50-'01_Run_Config'!$B$33&lt;=41,1.6,IF(A50-'01_Run_Config'!$B$33&lt;=48,1.4,1.15))))))))</x:f>
        <x:v>1.7</x:v>
      </x:c>
      <x:c r="Q50" s="63" t="n">
        <x:v>5.9</x:v>
      </x:c>
      <x:c r="R50" s="63" t="n">
        <x:v>0.9</x:v>
      </x:c>
      <x:c r="S50" s="63" t="n">
        <x:v>1.5</x:v>
      </x:c>
      <x:c r="T50" s="63" t="str">
        <x:f>IF(A50&lt;=7,"Manuell",'01_Run_Config'!$B$40)</x:f>
        <x:v>Manuell / indoor-freigegebene Automation</x:v>
      </x:c>
      <x:c r="U50" s="63" t="str">
        <x:f>IF(A50&lt;'01_Run_Config'!$B$32,"Kein Basisdünger",IF(A50&lt;'01_Run_Config'!$B$33,"HESI TNT","HESI Coco"))</x:f>
        <x:v>HESI Coco</x:v>
      </x:c>
      <x:c r="V50" s="63" t="n">
        <x:f>IF(A50&lt;'01_Run_Config'!$B$32,0,IF(A50&lt;'01_Run_Config'!$B$33,IF(A50-'01_Run_Config'!$B$32&lt;=3,1.25,IF(A50-'01_Run_Config'!$B$32&lt;=10,2,2.5)),IF(A50-'01_Run_Config'!$B$33&lt;=6,2.5,IF(A50-'01_Run_Config'!$B$33&lt;=13,3.25,IF(A50-'01_Run_Config'!$B$33&lt;=20,3.75,IF(A50-'01_Run_Config'!$B$33&lt;=34,4,IF(A50-'01_Run_Config'!$B$33&lt;=41,3.5,IF(A50-'01_Run_Config'!$B$33&lt;=48,2.5,1.5))))))))</x:f>
        <x:v>3.75</x:v>
      </x:c>
      <x:c r="W50" s="63" t="n">
        <x:f>IF(OR(A50='01_Run_Config'!$B$32,A50='01_Run_Config'!$B$32+6,A50='01_Run_Config'!$B$32+12),2.5,0)</x:f>
        <x:v>0</x:v>
      </x:c>
      <x:c r="X50" s="63" t="n">
        <x:f>IF(AND(A50&gt;='01_Run_Config'!$B$32+3,A50&lt;='01_Run_Config'!$B$33+35,MOD(A50-('01_Run_Config'!$B$32+3),7)=0),2,0)</x:f>
        <x:v>0</x:v>
      </x:c>
      <x:c r="Y50" s="63" t="n">
        <x:f>IF(A50&gt;='01_Run_Config'!$B$32,0.015,0)</x:f>
        <x:v>0.015</x:v>
      </x:c>
      <x:c r="Z50" s="63" t="n">
        <x:f>IF(AND('01_Run_Config'!$B$26="Hesilicio statt Balance",A50&gt;='01_Run_Config'!$B$32+3,MOD(A50-('01_Run_Config'!$B$32+3),7)=0,A50&lt;='01_Run_Config'!$B$33+35),0.5,0)</x:f>
        <x:v>0</x:v>
      </x:c>
      <x:c r="AA50" s="63" t="n">
        <x:f>IF(AND(A50&gt;='01_Run_Config'!$B$33,A50&lt;='01_Run_Config'!$B$33+35,MOD(A50-'01_Run_Config'!$B$33,7)=0),2,0)</x:f>
        <x:v>0</x:v>
      </x:c>
      <x:c r="AB50" s="63" t="n">
        <x:f>IF(A50='01_Run_Config'!$B$33+21,0.25,IF(A50='01_Run_Config'!$B$33+28,0.35,IF(A50='01_Run_Config'!$B$33+35,0.5,0)))</x:f>
        <x:v>0</x:v>
      </x:c>
      <x:c r="AC50" s="63" t="n">
        <x:f>IF(OR(A50='01_Run_Config'!$B$32,A50='01_Run_Config'!$B$32+7,A50='01_Run_Config'!$B$33+1,A50='01_Run_Config'!$B$33+8),2,0)</x:f>
        <x:v>0</x:v>
      </x:c>
      <x:c r="AD50" s="63" t="str">
        <x:f>IF(A50&lt;'01_Run_Config'!$B$33,"AN-Reference=0 außer Voodoo-Frischgaben",IF(AL50&lt;=7,"A/B: Bud Ignitor oder Mikrobenmodul; nicht Reference",IF(AL50&lt;=35,"A/B: Big Bud STATT HESI-PK; nicht additiv stapeln",IF(AL50&lt;=49,"A/B: Overdrive STATT spätem HESI-PK","AN-Booster auslaufen"))))</x:f>
        <x:v>A/B: Big Bud STATT HESI-PK; nicht additiv stapeln</x:v>
      </x:c>
      <x:c r="AE50" s="63" t="str">
        <x:v>Nur Support / Luftkanäle</x:v>
      </x:c>
      <x:c r="AF50" s="63" t="str">
        <x:v>Morgens Klima/Pflanze/Bewässerung/Leck; Mitte Lichtphase Blattwinkel; vor Dunkel LF/Drain/stehendes Wasser.</x:v>
      </x:c>
      <x:c r="AG50" s="63" t="str">
        <x:v>EC nicht erhöhen bei steigender Diagnose-Drain-EC; PPFD nicht erhöhen bei Stress; Wasserband nie erzwingen; nie mehrere neue Booster gleichzeitig.</x:v>
      </x:c>
      <x:c r="AH50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5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0" s="201" t="str">
        <x:f>IF(A50&lt;'01_Run_Config'!$B$32,"—",IF(A50&lt;'01_Run_Config'!$B$33,"G"&amp;MIN(4,INT((A50-'01_Run_Config'!$B$32)/7)+1),AM50))</x:f>
        <x:v>B3</x:v>
      </x:c>
      <x:c r="AK50" s="35" t="str">
        <x:f>IF(A50&lt;'01_Run_Config'!$B$32,"Keine AN-Additive.",IF(A50&lt;'01_Run_Config'!$B$33,"Veg: Voodoo nur definierte Frischgaben; B-52/Piranha/Tarantula nur A/B; Sensizym nur statt PowerZyme; Rhino Skin AUS mit Athena Balance.",IF(AL50&lt;=7,"Frühblüte: Voodoo; Bud Ignitor/Piranha/Tarantula nur A/B; Rhino Skin AUS mit Balance.",IF(AL50&lt;=35,"Hauptblüte: Big Bud nur A/B STATT HESI-PK; Biostims einzeln testen.",IF(AL50&lt;=49,"Spätblüte: Overdrive nur A/B STATT spätem HESI-PK; keine neue zweite Variable.","Booster auslaufen / Reife priorisieren.")))))</x:f>
        <x:v>Hauptblüte: Big Bud nur A/B STATT HESI-PK; Biostims einzeln testen.</x:v>
      </x:c>
      <x:c r="AL50" s="60" t="n">
        <x:f>IF(A50&lt;'01_Run_Config'!$B$33,"",A50-'01_Run_Config'!$B$33+1)</x:f>
        <x:v>21</x:v>
      </x:c>
      <x:c r="AM50" s="60" t="str">
        <x:f>IF(AL50="","",IF(AL50&gt;49,CHAR(66)&amp;"7+",CHAR(66)&amp;TEXT(INT((AL50-1)/7)+1,"0")))</x:f>
        <x:v>B3</x:v>
      </x:c>
      <x:c r="AN50" s="60" t="n">
        <x:f>ROUND(0.6108*EXP(17.27*L50/(L50+237.3))*(1-N50/100),2)</x:f>
        <x:v>1.63</x:v>
      </x:c>
      <x:c r="AO50" s="60" t="n">
        <x:f>H50*G50/1000</x:f>
        <x:v>2.52</x:v>
      </x:c>
      <x:c r="AP50" s="60" t="n">
        <x:f>SUM($AO$2:AO50)</x:f>
        <x:v>80.63999999999997</x:v>
      </x:c>
      <x:c r="AQ50" t="n">
        <x:f>'01_Run_Config'!$B$17</x:f>
        <x:v>0</x:v>
      </x:c>
      <x:c r="AR50" t="n">
        <x:f>'01_Run_Config'!$B$22</x:f>
        <x:v>0</x:v>
      </x:c>
      <x:c r="AS50" t="n">
        <x:f>'01_Run_Config'!$B$25</x:f>
        <x:v>0</x:v>
      </x:c>
    </x:row>
    <x:row r="51">
      <x:c r="A51" s="34" t="n">
        <x:v>49</x:v>
      </x:c>
      <x:c r="B51" s="129" t="n">
        <x:f>'01_Run_Config'!$B$4+A51</x:f>
        <x:v>46291</x:v>
      </x:c>
      <x:c r="C51" s="63" t="n">
        <x:f>INT(A51/7)+1</x:f>
        <x:v>8</x:v>
      </x:c>
      <x:c r="D51" s="63" t="str">
        <x:f>"M"&amp;MIN(3,INT(A51/30)+1)</x:f>
        <x:v>M2</x:v>
      </x:c>
      <x:c r="E51" s="63" t="str">
        <x:f>IF(A51&lt;4,"Keimung",IF(A51&lt;8,"Etablierung",IF(A51&lt;15,"Early Veg",IF(A51&lt;'01_Run_Config'!$B$33,IF(A51&lt;22,"Veg / LST","Preflower-Watch"),IF(A51-'01_Run_Config'!$B$33&lt;=6,"Transition / Stretch ("&amp;AM51&amp;")",IF(A51-'01_Run_Config'!$B$33&lt;=13,"Early Flower ("&amp;AM51&amp;")",IF(A51-'01_Run_Config'!$B$33&lt;=20,"Flower I ("&amp;AM51&amp;")",IF(A51-'01_Run_Config'!$B$33&lt;=34,"Peak Flower ("&amp;AM51&amp;")",IF(A51-'01_Run_Config'!$B$33&lt;=41,"Late Flower ("&amp;AM51&amp;")",IF(A51-'01_Run_Config'!$B$33&lt;=48,"Ripening ("&amp;AM51&amp;")","Harvest / Extension ("&amp;AM51&amp;")"))))))))))</x:f>
        <x:v>Peak Flower (B4)</x:v>
      </x:c>
      <x:c r="F51" s="63" t="str">
        <x:f>IF(A51&lt;4,"Keimung + Wurzelstart",IF(A51&lt;8,"Sämling etablieren; Wurzelraum erschließen",IF(A51&lt;15,"kompakter Aufbau; LST erst bei Vitalität",IF(A51&lt;'01_Run_Config'!$B$33,"Canopy aufbauen; Preflower beobachten",IF(A51-'01_Run_Config'!$B$33&lt;=6,"Stretch kontrollieren; Bloom-Trigger dokumentieren",IF(A51-'01_Run_Config'!$B$33&lt;=13,"Blütenansatz stabilisieren",IF(A51-'01_Run_Config'!$B$33&lt;=20,"Blütenaufbau ohne neue Stressoren",IF(A51-'01_Run_Config'!$B$33&lt;=34,"stabile Peak-Photosynthese; Klima priorisieren",IF(A51-'01_Run_Config'!$B$33&lt;=41,"Qualität/Schimmelprävention",IF(A51-'01_Run_Config'!$B$33&lt;=48,"Reife ohne Überfütterung","Erntefenster nach Pflanze; keine Kalenderernte"))))))))))</x:f>
        <x:v>stabile Peak-Photosynthese; Klima priorisieren</x:v>
      </x:c>
      <x:c r="G51" s="63" t="n">
        <x:v>18</x:v>
      </x:c>
      <x:c r="H51" s="63" t="n">
        <x:v>140</x:v>
      </x:c>
      <x:c r="I51" s="63" t="n">
        <x:v>625</x:v>
      </x:c>
      <x:c r="J51" s="63" t="n">
        <x:f>I51*G51*3600/1000000</x:f>
        <x:v>40.5</x:v>
      </x:c>
      <x:c r="K51" s="63" t="n">
        <x:v>34</x:v>
      </x:c>
      <x:c r="L51" s="63" t="n">
        <x:v>24.5</x:v>
      </x:c>
      <x:c r="M51" s="63" t="n">
        <x:v>21</x:v>
      </x:c>
      <x:c r="N51" s="63" t="n">
        <x:v>47</x:v>
      </x:c>
      <x:c r="O51" s="63" t="n">
        <x:f>ROUND(0.6108*EXP(17.27*(L51+'01_Run_Config'!$B$34)/(L51+'01_Run_Config'!$B$34+237.3))-(N51/100)*0.6108*EXP(17.27*L51/(L51+237.3)),2)</x:f>
        <x:v>1.45</x:v>
      </x:c>
      <x:c r="P51" s="63" t="n">
        <x:f>IF(A51&lt;'01_Run_Config'!$B$32,0.55,IF(A51&lt;'01_Run_Config'!$B$33,IF(A51-'01_Run_Config'!$B$32&lt;=3,0.8,IF(A51-'01_Run_Config'!$B$32&lt;=10,1,IF(A51-'01_Run_Config'!$B$32&lt;=17,1.2,1.4))),IF(A51-'01_Run_Config'!$B$33&lt;=6,1.5,IF(A51-'01_Run_Config'!$B$33&lt;=13,1.6,IF(A51-'01_Run_Config'!$B$33&lt;=20,1.7,IF(A51-'01_Run_Config'!$B$33&lt;=34,1.8,IF(A51-'01_Run_Config'!$B$33&lt;=41,1.6,IF(A51-'01_Run_Config'!$B$33&lt;=48,1.4,1.15))))))))</x:f>
        <x:v>1.8</x:v>
      </x:c>
      <x:c r="Q51" s="63" t="n">
        <x:v>5.9</x:v>
      </x:c>
      <x:c r="R51" s="63" t="n">
        <x:v>0.9</x:v>
      </x:c>
      <x:c r="S51" s="63" t="n">
        <x:v>1.5</x:v>
      </x:c>
      <x:c r="T51" s="63" t="str">
        <x:f>IF(A51&lt;=7,"Manuell",'01_Run_Config'!$B$40)</x:f>
        <x:v>Manuell / indoor-freigegebene Automation</x:v>
      </x:c>
      <x:c r="U51" s="63" t="str">
        <x:f>IF(A51&lt;'01_Run_Config'!$B$32,"Kein Basisdünger",IF(A51&lt;'01_Run_Config'!$B$33,"HESI TNT","HESI Coco"))</x:f>
        <x:v>HESI Coco</x:v>
      </x:c>
      <x:c r="V51" s="63" t="n">
        <x:f>IF(A51&lt;'01_Run_Config'!$B$32,0,IF(A51&lt;'01_Run_Config'!$B$33,IF(A51-'01_Run_Config'!$B$32&lt;=3,1.25,IF(A51-'01_Run_Config'!$B$32&lt;=10,2,2.5)),IF(A51-'01_Run_Config'!$B$33&lt;=6,2.5,IF(A51-'01_Run_Config'!$B$33&lt;=13,3.25,IF(A51-'01_Run_Config'!$B$33&lt;=20,3.75,IF(A51-'01_Run_Config'!$B$33&lt;=34,4,IF(A51-'01_Run_Config'!$B$33&lt;=41,3.5,IF(A51-'01_Run_Config'!$B$33&lt;=48,2.5,1.5))))))))</x:f>
        <x:v>4</x:v>
      </x:c>
      <x:c r="W51" s="63" t="n">
        <x:f>IF(OR(A51='01_Run_Config'!$B$32,A51='01_Run_Config'!$B$32+6,A51='01_Run_Config'!$B$32+12),2.5,0)</x:f>
        <x:v>0</x:v>
      </x:c>
      <x:c r="X51" s="63" t="n">
        <x:f>IF(AND(A51&gt;='01_Run_Config'!$B$32+3,A51&lt;='01_Run_Config'!$B$33+35,MOD(A51-('01_Run_Config'!$B$32+3),7)=0),2,0)</x:f>
        <x:v>2</x:v>
      </x:c>
      <x:c r="Y51" s="63" t="n">
        <x:f>IF(A51&gt;='01_Run_Config'!$B$32,0.015,0)</x:f>
        <x:v>0.015</x:v>
      </x:c>
      <x:c r="Z51" s="63" t="n">
        <x:f>IF(AND('01_Run_Config'!$B$26="Hesilicio statt Balance",A51&gt;='01_Run_Config'!$B$32+3,MOD(A51-('01_Run_Config'!$B$32+3),7)=0,A51&lt;='01_Run_Config'!$B$33+35),0.5,0)</x:f>
        <x:v>0</x:v>
      </x:c>
      <x:c r="AA51" s="63" t="n">
        <x:f>IF(AND(A51&gt;='01_Run_Config'!$B$33,A51&lt;='01_Run_Config'!$B$33+35,MOD(A51-'01_Run_Config'!$B$33,7)=0),2,0)</x:f>
        <x:v>2</x:v>
      </x:c>
      <x:c r="AB51" s="63" t="n">
        <x:f>IF(A51='01_Run_Config'!$B$33+21,0.25,IF(A51='01_Run_Config'!$B$33+28,0.35,IF(A51='01_Run_Config'!$B$33+35,0.5,0)))</x:f>
        <x:v>0.25</x:v>
      </x:c>
      <x:c r="AC51" s="63" t="n">
        <x:f>IF(OR(A51='01_Run_Config'!$B$32,A51='01_Run_Config'!$B$32+7,A51='01_Run_Config'!$B$33+1,A51='01_Run_Config'!$B$33+8),2,0)</x:f>
        <x:v>0</x:v>
      </x:c>
      <x:c r="AD51" s="63" t="str">
        <x:f>IF(A51&lt;'01_Run_Config'!$B$33,"AN-Reference=0 außer Voodoo-Frischgaben",IF(AL51&lt;=7,"A/B: Bud Ignitor oder Mikrobenmodul; nicht Reference",IF(AL51&lt;=35,"A/B: Big Bud STATT HESI-PK; nicht additiv stapeln",IF(AL51&lt;=49,"A/B: Overdrive STATT spätem HESI-PK","AN-Booster auslaufen"))))</x:f>
        <x:v>A/B: Big Bud STATT HESI-PK; nicht additiv stapeln</x:v>
      </x:c>
      <x:c r="AE51" s="63" t="str">
        <x:v>Nur Support / Luftkanäle</x:v>
      </x:c>
      <x:c r="AF51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1" s="63" t="str">
        <x:v>EC nicht erhöhen bei steigender Diagnose-Drain-EC; PPFD nicht erhöhen bei Stress; Wasserband nie erzwingen; nie mehrere neue Booster gleichzeitig.</x:v>
      </x:c>
      <x:c r="AH51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5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1" s="201" t="str">
        <x:f>IF(A51&lt;'01_Run_Config'!$B$32,"—",IF(A51&lt;'01_Run_Config'!$B$33,"G"&amp;MIN(4,INT((A51-'01_Run_Config'!$B$32)/7)+1),AM51))</x:f>
        <x:v>B4</x:v>
      </x:c>
      <x:c r="AK51" s="35" t="str">
        <x:f>IF(A51&lt;'01_Run_Config'!$B$32,"Keine AN-Additive.",IF(A51&lt;'01_Run_Config'!$B$33,"Veg: Voodoo nur definierte Frischgaben; B-52/Piranha/Tarantula nur A/B; Sensizym nur statt PowerZyme; Rhino Skin AUS mit Athena Balance.",IF(AL51&lt;=7,"Frühblüte: Voodoo; Bud Ignitor/Piranha/Tarantula nur A/B; Rhino Skin AUS mit Balance.",IF(AL51&lt;=35,"Hauptblüte: Big Bud nur A/B STATT HESI-PK; Biostims einzeln testen.",IF(AL51&lt;=49,"Spätblüte: Overdrive nur A/B STATT spätem HESI-PK; keine neue zweite Variable.","Booster auslaufen / Reife priorisieren.")))))</x:f>
        <x:v>Hauptblüte: Big Bud nur A/B STATT HESI-PK; Biostims einzeln testen.</x:v>
      </x:c>
      <x:c r="AL51" s="60" t="n">
        <x:f>IF(A51&lt;'01_Run_Config'!$B$33,"",A51-'01_Run_Config'!$B$33+1)</x:f>
        <x:v>22</x:v>
      </x:c>
      <x:c r="AM51" s="60" t="str">
        <x:f>IF(AL51="","",IF(AL51&gt;49,CHAR(66)&amp;"7+",CHAR(66)&amp;TEXT(INT((AL51-1)/7)+1,"0")))</x:f>
        <x:v>B4</x:v>
      </x:c>
      <x:c r="AN51" s="60" t="n">
        <x:f>ROUND(0.6108*EXP(17.27*L51/(L51+237.3))*(1-N51/100),2)</x:f>
        <x:v>1.63</x:v>
      </x:c>
      <x:c r="AO51" s="60" t="n">
        <x:f>H51*G51/1000</x:f>
        <x:v>2.52</x:v>
      </x:c>
      <x:c r="AP51" s="60" t="n">
        <x:f>SUM($AO$2:AO51)</x:f>
        <x:v>83.15999999999997</x:v>
      </x:c>
      <x:c r="AQ51" t="n">
        <x:f>'01_Run_Config'!$B$17</x:f>
        <x:v>0</x:v>
      </x:c>
      <x:c r="AR51" t="n">
        <x:f>'01_Run_Config'!$B$22</x:f>
        <x:v>0</x:v>
      </x:c>
      <x:c r="AS51" t="n">
        <x:f>'01_Run_Config'!$B$25</x:f>
        <x:v>0</x:v>
      </x:c>
    </x:row>
    <x:row r="52">
      <x:c r="A52" s="34" t="n">
        <x:v>50</x:v>
      </x:c>
      <x:c r="B52" s="129" t="n">
        <x:f>'01_Run_Config'!$B$4+A52</x:f>
        <x:v>46292</x:v>
      </x:c>
      <x:c r="C52" s="63" t="n">
        <x:f>INT(A52/7)+1</x:f>
        <x:v>8</x:v>
      </x:c>
      <x:c r="D52" s="63" t="str">
        <x:f>"M"&amp;MIN(3,INT(A52/30)+1)</x:f>
        <x:v>M2</x:v>
      </x:c>
      <x:c r="E52" s="63" t="str">
        <x:f>IF(A52&lt;4,"Keimung",IF(A52&lt;8,"Etablierung",IF(A52&lt;15,"Early Veg",IF(A52&lt;'01_Run_Config'!$B$33,IF(A52&lt;22,"Veg / LST","Preflower-Watch"),IF(A52-'01_Run_Config'!$B$33&lt;=6,"Transition / Stretch ("&amp;AM52&amp;")",IF(A52-'01_Run_Config'!$B$33&lt;=13,"Early Flower ("&amp;AM52&amp;")",IF(A52-'01_Run_Config'!$B$33&lt;=20,"Flower I ("&amp;AM52&amp;")",IF(A52-'01_Run_Config'!$B$33&lt;=34,"Peak Flower ("&amp;AM52&amp;")",IF(A52-'01_Run_Config'!$B$33&lt;=41,"Late Flower ("&amp;AM52&amp;")",IF(A52-'01_Run_Config'!$B$33&lt;=48,"Ripening ("&amp;AM52&amp;")","Harvest / Extension ("&amp;AM52&amp;")"))))))))))</x:f>
        <x:v>Peak Flower (B4)</x:v>
      </x:c>
      <x:c r="F52" s="63" t="str">
        <x:f>IF(A52&lt;4,"Keimung + Wurzelstart",IF(A52&lt;8,"Sämling etablieren; Wurzelraum erschließen",IF(A52&lt;15,"kompakter Aufbau; LST erst bei Vitalität",IF(A52&lt;'01_Run_Config'!$B$33,"Canopy aufbauen; Preflower beobachten",IF(A52-'01_Run_Config'!$B$33&lt;=6,"Stretch kontrollieren; Bloom-Trigger dokumentieren",IF(A52-'01_Run_Config'!$B$33&lt;=13,"Blütenansatz stabilisieren",IF(A52-'01_Run_Config'!$B$33&lt;=20,"Blütenaufbau ohne neue Stressoren",IF(A52-'01_Run_Config'!$B$33&lt;=34,"stabile Peak-Photosynthese; Klima priorisieren",IF(A52-'01_Run_Config'!$B$33&lt;=41,"Qualität/Schimmelprävention",IF(A52-'01_Run_Config'!$B$33&lt;=48,"Reife ohne Überfütterung","Erntefenster nach Pflanze; keine Kalenderernte"))))))))))</x:f>
        <x:v>stabile Peak-Photosynthese; Klima priorisieren</x:v>
      </x:c>
      <x:c r="G52" s="63" t="n">
        <x:v>18</x:v>
      </x:c>
      <x:c r="H52" s="63" t="n">
        <x:v>140</x:v>
      </x:c>
      <x:c r="I52" s="63" t="n">
        <x:v>625</x:v>
      </x:c>
      <x:c r="J52" s="63" t="n">
        <x:f>I52*G52*3600/1000000</x:f>
        <x:v>40.5</x:v>
      </x:c>
      <x:c r="K52" s="63" t="n">
        <x:v>34</x:v>
      </x:c>
      <x:c r="L52" s="63" t="n">
        <x:v>24.5</x:v>
      </x:c>
      <x:c r="M52" s="63" t="n">
        <x:v>21</x:v>
      </x:c>
      <x:c r="N52" s="63" t="n">
        <x:v>47</x:v>
      </x:c>
      <x:c r="O52" s="63" t="n">
        <x:f>ROUND(0.6108*EXP(17.27*(L52+'01_Run_Config'!$B$34)/(L52+'01_Run_Config'!$B$34+237.3))-(N52/100)*0.6108*EXP(17.27*L52/(L52+237.3)),2)</x:f>
        <x:v>1.45</x:v>
      </x:c>
      <x:c r="P52" s="63" t="n">
        <x:f>IF(A52&lt;'01_Run_Config'!$B$32,0.55,IF(A52&lt;'01_Run_Config'!$B$33,IF(A52-'01_Run_Config'!$B$32&lt;=3,0.8,IF(A52-'01_Run_Config'!$B$32&lt;=10,1,IF(A52-'01_Run_Config'!$B$32&lt;=17,1.2,1.4))),IF(A52-'01_Run_Config'!$B$33&lt;=6,1.5,IF(A52-'01_Run_Config'!$B$33&lt;=13,1.6,IF(A52-'01_Run_Config'!$B$33&lt;=20,1.7,IF(A52-'01_Run_Config'!$B$33&lt;=34,1.8,IF(A52-'01_Run_Config'!$B$33&lt;=41,1.6,IF(A52-'01_Run_Config'!$B$33&lt;=48,1.4,1.15))))))))</x:f>
        <x:v>1.8</x:v>
      </x:c>
      <x:c r="Q52" s="63" t="n">
        <x:v>5.9</x:v>
      </x:c>
      <x:c r="R52" s="63" t="n">
        <x:v>0.9</x:v>
      </x:c>
      <x:c r="S52" s="63" t="n">
        <x:v>1.5</x:v>
      </x:c>
      <x:c r="T52" s="63" t="str">
        <x:f>IF(A52&lt;=7,"Manuell",'01_Run_Config'!$B$40)</x:f>
        <x:v>Manuell / indoor-freigegebene Automation</x:v>
      </x:c>
      <x:c r="U52" s="63" t="str">
        <x:f>IF(A52&lt;'01_Run_Config'!$B$32,"Kein Basisdünger",IF(A52&lt;'01_Run_Config'!$B$33,"HESI TNT","HESI Coco"))</x:f>
        <x:v>HESI Coco</x:v>
      </x:c>
      <x:c r="V52" s="63" t="n">
        <x:f>IF(A52&lt;'01_Run_Config'!$B$32,0,IF(A52&lt;'01_Run_Config'!$B$33,IF(A52-'01_Run_Config'!$B$32&lt;=3,1.25,IF(A52-'01_Run_Config'!$B$32&lt;=10,2,2.5)),IF(A52-'01_Run_Config'!$B$33&lt;=6,2.5,IF(A52-'01_Run_Config'!$B$33&lt;=13,3.25,IF(A52-'01_Run_Config'!$B$33&lt;=20,3.75,IF(A52-'01_Run_Config'!$B$33&lt;=34,4,IF(A52-'01_Run_Config'!$B$33&lt;=41,3.5,IF(A52-'01_Run_Config'!$B$33&lt;=48,2.5,1.5))))))))</x:f>
        <x:v>4</x:v>
      </x:c>
      <x:c r="W52" s="63" t="n">
        <x:f>IF(OR(A52='01_Run_Config'!$B$32,A52='01_Run_Config'!$B$32+6,A52='01_Run_Config'!$B$32+12),2.5,0)</x:f>
        <x:v>0</x:v>
      </x:c>
      <x:c r="X52" s="63" t="n">
        <x:f>IF(AND(A52&gt;='01_Run_Config'!$B$32+3,A52&lt;='01_Run_Config'!$B$33+35,MOD(A52-('01_Run_Config'!$B$32+3),7)=0),2,0)</x:f>
        <x:v>0</x:v>
      </x:c>
      <x:c r="Y52" s="63" t="n">
        <x:f>IF(A52&gt;='01_Run_Config'!$B$32,0.015,0)</x:f>
        <x:v>0.015</x:v>
      </x:c>
      <x:c r="Z52" s="63" t="n">
        <x:f>IF(AND('01_Run_Config'!$B$26="Hesilicio statt Balance",A52&gt;='01_Run_Config'!$B$32+3,MOD(A52-('01_Run_Config'!$B$32+3),7)=0,A52&lt;='01_Run_Config'!$B$33+35),0.5,0)</x:f>
        <x:v>0</x:v>
      </x:c>
      <x:c r="AA52" s="63" t="n">
        <x:f>IF(AND(A52&gt;='01_Run_Config'!$B$33,A52&lt;='01_Run_Config'!$B$33+35,MOD(A52-'01_Run_Config'!$B$33,7)=0),2,0)</x:f>
        <x:v>0</x:v>
      </x:c>
      <x:c r="AB52" s="63" t="n">
        <x:f>IF(A52='01_Run_Config'!$B$33+21,0.25,IF(A52='01_Run_Config'!$B$33+28,0.35,IF(A52='01_Run_Config'!$B$33+35,0.5,0)))</x:f>
        <x:v>0</x:v>
      </x:c>
      <x:c r="AC52" s="63" t="n">
        <x:f>IF(OR(A52='01_Run_Config'!$B$32,A52='01_Run_Config'!$B$32+7,A52='01_Run_Config'!$B$33+1,A52='01_Run_Config'!$B$33+8),2,0)</x:f>
        <x:v>0</x:v>
      </x:c>
      <x:c r="AD52" s="63" t="str">
        <x:f>IF(A52&lt;'01_Run_Config'!$B$33,"AN-Reference=0 außer Voodoo-Frischgaben",IF(AL52&lt;=7,"A/B: Bud Ignitor oder Mikrobenmodul; nicht Reference",IF(AL52&lt;=35,"A/B: Big Bud STATT HESI-PK; nicht additiv stapeln",IF(AL52&lt;=49,"A/B: Overdrive STATT spätem HESI-PK","AN-Booster auslaufen"))))</x:f>
        <x:v>A/B: Big Bud STATT HESI-PK; nicht additiv stapeln</x:v>
      </x:c>
      <x:c r="AE52" s="63" t="str">
        <x:v>Nur Support / Luftkanäle</x:v>
      </x:c>
      <x:c r="AF52" s="63" t="str">
        <x:v>Morgens Klima/Pflanze/Bewässerung/Leck; Mitte Lichtphase Blattwinkel; vor Dunkel LF/Drain/stehendes Wasser.</x:v>
      </x:c>
      <x:c r="AG52" s="63" t="str">
        <x:v>EC nicht erhöhen bei steigender Diagnose-Drain-EC; PPFD nicht erhöhen bei Stress; Wasserband nie erzwingen; nie mehrere neue Booster gleichzeitig.</x:v>
      </x:c>
      <x:c r="AH52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5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2" s="201" t="str">
        <x:f>IF(A52&lt;'01_Run_Config'!$B$32,"—",IF(A52&lt;'01_Run_Config'!$B$33,"G"&amp;MIN(4,INT((A52-'01_Run_Config'!$B$32)/7)+1),AM52))</x:f>
        <x:v>B4</x:v>
      </x:c>
      <x:c r="AK52" s="35" t="str">
        <x:f>IF(A52&lt;'01_Run_Config'!$B$32,"Keine AN-Additive.",IF(A52&lt;'01_Run_Config'!$B$33,"Veg: Voodoo nur definierte Frischgaben; B-52/Piranha/Tarantula nur A/B; Sensizym nur statt PowerZyme; Rhino Skin AUS mit Athena Balance.",IF(AL52&lt;=7,"Frühblüte: Voodoo; Bud Ignitor/Piranha/Tarantula nur A/B; Rhino Skin AUS mit Balance.",IF(AL52&lt;=35,"Hauptblüte: Big Bud nur A/B STATT HESI-PK; Biostims einzeln testen.",IF(AL52&lt;=49,"Spätblüte: Overdrive nur A/B STATT spätem HESI-PK; keine neue zweite Variable.","Booster auslaufen / Reife priorisieren.")))))</x:f>
        <x:v>Hauptblüte: Big Bud nur A/B STATT HESI-PK; Biostims einzeln testen.</x:v>
      </x:c>
      <x:c r="AL52" s="60" t="n">
        <x:f>IF(A52&lt;'01_Run_Config'!$B$33,"",A52-'01_Run_Config'!$B$33+1)</x:f>
        <x:v>23</x:v>
      </x:c>
      <x:c r="AM52" s="60" t="str">
        <x:f>IF(AL52="","",IF(AL52&gt;49,CHAR(66)&amp;"7+",CHAR(66)&amp;TEXT(INT((AL52-1)/7)+1,"0")))</x:f>
        <x:v>B4</x:v>
      </x:c>
      <x:c r="AN52" s="60" t="n">
        <x:f>ROUND(0.6108*EXP(17.27*L52/(L52+237.3))*(1-N52/100),2)</x:f>
        <x:v>1.63</x:v>
      </x:c>
      <x:c r="AO52" s="60" t="n">
        <x:f>H52*G52/1000</x:f>
        <x:v>2.52</x:v>
      </x:c>
      <x:c r="AP52" s="60" t="n">
        <x:f>SUM($AO$2:AO52)</x:f>
        <x:v>85.67999999999996</x:v>
      </x:c>
      <x:c r="AQ52" t="n">
        <x:f>'01_Run_Config'!$B$17</x:f>
        <x:v>0</x:v>
      </x:c>
      <x:c r="AR52" t="n">
        <x:f>'01_Run_Config'!$B$22</x:f>
        <x:v>0</x:v>
      </x:c>
      <x:c r="AS52" t="n">
        <x:f>'01_Run_Config'!$B$25</x:f>
        <x:v>0</x:v>
      </x:c>
    </x:row>
    <x:row r="53">
      <x:c r="A53" s="34" t="n">
        <x:v>51</x:v>
      </x:c>
      <x:c r="B53" s="129" t="n">
        <x:f>'01_Run_Config'!$B$4+A53</x:f>
        <x:v>46293</x:v>
      </x:c>
      <x:c r="C53" s="63" t="n">
        <x:f>INT(A53/7)+1</x:f>
        <x:v>8</x:v>
      </x:c>
      <x:c r="D53" s="63" t="str">
        <x:f>"M"&amp;MIN(3,INT(A53/30)+1)</x:f>
        <x:v>M2</x:v>
      </x:c>
      <x:c r="E53" s="63" t="str">
        <x:f>IF(A53&lt;4,"Keimung",IF(A53&lt;8,"Etablierung",IF(A53&lt;15,"Early Veg",IF(A53&lt;'01_Run_Config'!$B$33,IF(A53&lt;22,"Veg / LST","Preflower-Watch"),IF(A53-'01_Run_Config'!$B$33&lt;=6,"Transition / Stretch ("&amp;AM53&amp;")",IF(A53-'01_Run_Config'!$B$33&lt;=13,"Early Flower ("&amp;AM53&amp;")",IF(A53-'01_Run_Config'!$B$33&lt;=20,"Flower I ("&amp;AM53&amp;")",IF(A53-'01_Run_Config'!$B$33&lt;=34,"Peak Flower ("&amp;AM53&amp;")",IF(A53-'01_Run_Config'!$B$33&lt;=41,"Late Flower ("&amp;AM53&amp;")",IF(A53-'01_Run_Config'!$B$33&lt;=48,"Ripening ("&amp;AM53&amp;")","Harvest / Extension ("&amp;AM53&amp;")"))))))))))</x:f>
        <x:v>Peak Flower (B4)</x:v>
      </x:c>
      <x:c r="F53" s="63" t="str">
        <x:f>IF(A53&lt;4,"Keimung + Wurzelstart",IF(A53&lt;8,"Sämling etablieren; Wurzelraum erschließen",IF(A53&lt;15,"kompakter Aufbau; LST erst bei Vitalität",IF(A53&lt;'01_Run_Config'!$B$33,"Canopy aufbauen; Preflower beobachten",IF(A53-'01_Run_Config'!$B$33&lt;=6,"Stretch kontrollieren; Bloom-Trigger dokumentieren",IF(A53-'01_Run_Config'!$B$33&lt;=13,"Blütenansatz stabilisieren",IF(A53-'01_Run_Config'!$B$33&lt;=20,"Blütenaufbau ohne neue Stressoren",IF(A53-'01_Run_Config'!$B$33&lt;=34,"stabile Peak-Photosynthese; Klima priorisieren",IF(A53-'01_Run_Config'!$B$33&lt;=41,"Qualität/Schimmelprävention",IF(A53-'01_Run_Config'!$B$33&lt;=48,"Reife ohne Überfütterung","Erntefenster nach Pflanze; keine Kalenderernte"))))))))))</x:f>
        <x:v>stabile Peak-Photosynthese; Klima priorisieren</x:v>
      </x:c>
      <x:c r="G53" s="63" t="n">
        <x:v>18</x:v>
      </x:c>
      <x:c r="H53" s="63" t="n">
        <x:v>140</x:v>
      </x:c>
      <x:c r="I53" s="63" t="n">
        <x:v>625</x:v>
      </x:c>
      <x:c r="J53" s="63" t="n">
        <x:f>I53*G53*3600/1000000</x:f>
        <x:v>40.5</x:v>
      </x:c>
      <x:c r="K53" s="63" t="n">
        <x:v>34</x:v>
      </x:c>
      <x:c r="L53" s="63" t="n">
        <x:v>24.5</x:v>
      </x:c>
      <x:c r="M53" s="63" t="n">
        <x:v>21</x:v>
      </x:c>
      <x:c r="N53" s="63" t="n">
        <x:v>47</x:v>
      </x:c>
      <x:c r="O53" s="63" t="n">
        <x:f>ROUND(0.6108*EXP(17.27*(L53+'01_Run_Config'!$B$34)/(L53+'01_Run_Config'!$B$34+237.3))-(N53/100)*0.6108*EXP(17.27*L53/(L53+237.3)),2)</x:f>
        <x:v>1.45</x:v>
      </x:c>
      <x:c r="P53" s="63" t="n">
        <x:f>IF(A53&lt;'01_Run_Config'!$B$32,0.55,IF(A53&lt;'01_Run_Config'!$B$33,IF(A53-'01_Run_Config'!$B$32&lt;=3,0.8,IF(A53-'01_Run_Config'!$B$32&lt;=10,1,IF(A53-'01_Run_Config'!$B$32&lt;=17,1.2,1.4))),IF(A53-'01_Run_Config'!$B$33&lt;=6,1.5,IF(A53-'01_Run_Config'!$B$33&lt;=13,1.6,IF(A53-'01_Run_Config'!$B$33&lt;=20,1.7,IF(A53-'01_Run_Config'!$B$33&lt;=34,1.8,IF(A53-'01_Run_Config'!$B$33&lt;=41,1.6,IF(A53-'01_Run_Config'!$B$33&lt;=48,1.4,1.15))))))))</x:f>
        <x:v>1.8</x:v>
      </x:c>
      <x:c r="Q53" s="63" t="n">
        <x:v>5.9</x:v>
      </x:c>
      <x:c r="R53" s="63" t="n">
        <x:v>0.9</x:v>
      </x:c>
      <x:c r="S53" s="63" t="n">
        <x:v>1.5</x:v>
      </x:c>
      <x:c r="T53" s="63" t="str">
        <x:f>IF(A53&lt;=7,"Manuell",'01_Run_Config'!$B$40)</x:f>
        <x:v>Manuell / indoor-freigegebene Automation</x:v>
      </x:c>
      <x:c r="U53" s="63" t="str">
        <x:f>IF(A53&lt;'01_Run_Config'!$B$32,"Kein Basisdünger",IF(A53&lt;'01_Run_Config'!$B$33,"HESI TNT","HESI Coco"))</x:f>
        <x:v>HESI Coco</x:v>
      </x:c>
      <x:c r="V53" s="63" t="n">
        <x:f>IF(A53&lt;'01_Run_Config'!$B$32,0,IF(A53&lt;'01_Run_Config'!$B$33,IF(A53-'01_Run_Config'!$B$32&lt;=3,1.25,IF(A53-'01_Run_Config'!$B$32&lt;=10,2,2.5)),IF(A53-'01_Run_Config'!$B$33&lt;=6,2.5,IF(A53-'01_Run_Config'!$B$33&lt;=13,3.25,IF(A53-'01_Run_Config'!$B$33&lt;=20,3.75,IF(A53-'01_Run_Config'!$B$33&lt;=34,4,IF(A53-'01_Run_Config'!$B$33&lt;=41,3.5,IF(A53-'01_Run_Config'!$B$33&lt;=48,2.5,1.5))))))))</x:f>
        <x:v>4</x:v>
      </x:c>
      <x:c r="W53" s="63" t="n">
        <x:f>IF(OR(A53='01_Run_Config'!$B$32,A53='01_Run_Config'!$B$32+6,A53='01_Run_Config'!$B$32+12),2.5,0)</x:f>
        <x:v>0</x:v>
      </x:c>
      <x:c r="X53" s="63" t="n">
        <x:f>IF(AND(A53&gt;='01_Run_Config'!$B$32+3,A53&lt;='01_Run_Config'!$B$33+35,MOD(A53-('01_Run_Config'!$B$32+3),7)=0),2,0)</x:f>
        <x:v>0</x:v>
      </x:c>
      <x:c r="Y53" s="63" t="n">
        <x:f>IF(A53&gt;='01_Run_Config'!$B$32,0.015,0)</x:f>
        <x:v>0.015</x:v>
      </x:c>
      <x:c r="Z53" s="63" t="n">
        <x:f>IF(AND('01_Run_Config'!$B$26="Hesilicio statt Balance",A53&gt;='01_Run_Config'!$B$32+3,MOD(A53-('01_Run_Config'!$B$32+3),7)=0,A53&lt;='01_Run_Config'!$B$33+35),0.5,0)</x:f>
        <x:v>0</x:v>
      </x:c>
      <x:c r="AA53" s="63" t="n">
        <x:f>IF(AND(A53&gt;='01_Run_Config'!$B$33,A53&lt;='01_Run_Config'!$B$33+35,MOD(A53-'01_Run_Config'!$B$33,7)=0),2,0)</x:f>
        <x:v>0</x:v>
      </x:c>
      <x:c r="AB53" s="63" t="n">
        <x:f>IF(A53='01_Run_Config'!$B$33+21,0.25,IF(A53='01_Run_Config'!$B$33+28,0.35,IF(A53='01_Run_Config'!$B$33+35,0.5,0)))</x:f>
        <x:v>0</x:v>
      </x:c>
      <x:c r="AC53" s="63" t="n">
        <x:f>IF(OR(A53='01_Run_Config'!$B$32,A53='01_Run_Config'!$B$32+7,A53='01_Run_Config'!$B$33+1,A53='01_Run_Config'!$B$33+8),2,0)</x:f>
        <x:v>0</x:v>
      </x:c>
      <x:c r="AD53" s="63" t="str">
        <x:f>IF(A53&lt;'01_Run_Config'!$B$33,"AN-Reference=0 außer Voodoo-Frischgaben",IF(AL53&lt;=7,"A/B: Bud Ignitor oder Mikrobenmodul; nicht Reference",IF(AL53&lt;=35,"A/B: Big Bud STATT HESI-PK; nicht additiv stapeln",IF(AL53&lt;=49,"A/B: Overdrive STATT spätem HESI-PK","AN-Booster auslaufen"))))</x:f>
        <x:v>A/B: Big Bud STATT HESI-PK; nicht additiv stapeln</x:v>
      </x:c>
      <x:c r="AE53" s="63" t="str">
        <x:v>Nur Support / Luftkanäle</x:v>
      </x:c>
      <x:c r="AF53" s="63" t="str">
        <x:v>Morgens Klima/Pflanze/Bewässerung/Leck; Mitte Lichtphase Blattwinkel; vor Dunkel LF/Drain/stehendes Wasser.</x:v>
      </x:c>
      <x:c r="AG53" s="63" t="str">
        <x:v>EC nicht erhöhen bei steigender Diagnose-Drain-EC; PPFD nicht erhöhen bei Stress; Wasserband nie erzwingen; nie mehrere neue Booster gleichzeitig.</x:v>
      </x:c>
      <x:c r="AH53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5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3" s="201" t="str">
        <x:f>IF(A53&lt;'01_Run_Config'!$B$32,"—",IF(A53&lt;'01_Run_Config'!$B$33,"G"&amp;MIN(4,INT((A53-'01_Run_Config'!$B$32)/7)+1),AM53))</x:f>
        <x:v>B4</x:v>
      </x:c>
      <x:c r="AK53" s="35" t="str">
        <x:f>IF(A53&lt;'01_Run_Config'!$B$32,"Keine AN-Additive.",IF(A53&lt;'01_Run_Config'!$B$33,"Veg: Voodoo nur definierte Frischgaben; B-52/Piranha/Tarantula nur A/B; Sensizym nur statt PowerZyme; Rhino Skin AUS mit Athena Balance.",IF(AL53&lt;=7,"Frühblüte: Voodoo; Bud Ignitor/Piranha/Tarantula nur A/B; Rhino Skin AUS mit Balance.",IF(AL53&lt;=35,"Hauptblüte: Big Bud nur A/B STATT HESI-PK; Biostims einzeln testen.",IF(AL53&lt;=49,"Spätblüte: Overdrive nur A/B STATT spätem HESI-PK; keine neue zweite Variable.","Booster auslaufen / Reife priorisieren.")))))</x:f>
        <x:v>Hauptblüte: Big Bud nur A/B STATT HESI-PK; Biostims einzeln testen.</x:v>
      </x:c>
      <x:c r="AL53" s="60" t="n">
        <x:f>IF(A53&lt;'01_Run_Config'!$B$33,"",A53-'01_Run_Config'!$B$33+1)</x:f>
        <x:v>24</x:v>
      </x:c>
      <x:c r="AM53" s="60" t="str">
        <x:f>IF(AL53="","",IF(AL53&gt;49,CHAR(66)&amp;"7+",CHAR(66)&amp;TEXT(INT((AL53-1)/7)+1,"0")))</x:f>
        <x:v>B4</x:v>
      </x:c>
      <x:c r="AN53" s="60" t="n">
        <x:f>ROUND(0.6108*EXP(17.27*L53/(L53+237.3))*(1-N53/100),2)</x:f>
        <x:v>1.63</x:v>
      </x:c>
      <x:c r="AO53" s="60" t="n">
        <x:f>H53*G53/1000</x:f>
        <x:v>2.52</x:v>
      </x:c>
      <x:c r="AP53" s="60" t="n">
        <x:f>SUM($AO$2:AO53)</x:f>
        <x:v>88.19999999999996</x:v>
      </x:c>
      <x:c r="AQ53" t="n">
        <x:f>'01_Run_Config'!$B$17</x:f>
        <x:v>0</x:v>
      </x:c>
      <x:c r="AR53" t="n">
        <x:f>'01_Run_Config'!$B$22</x:f>
        <x:v>0</x:v>
      </x:c>
      <x:c r="AS53" t="n">
        <x:f>'01_Run_Config'!$B$25</x:f>
        <x:v>0</x:v>
      </x:c>
    </x:row>
    <x:row r="54">
      <x:c r="A54" s="34" t="n">
        <x:v>52</x:v>
      </x:c>
      <x:c r="B54" s="129" t="n">
        <x:f>'01_Run_Config'!$B$4+A54</x:f>
        <x:v>46294</x:v>
      </x:c>
      <x:c r="C54" s="63" t="n">
        <x:f>INT(A54/7)+1</x:f>
        <x:v>8</x:v>
      </x:c>
      <x:c r="D54" s="63" t="str">
        <x:f>"M"&amp;MIN(3,INT(A54/30)+1)</x:f>
        <x:v>M2</x:v>
      </x:c>
      <x:c r="E54" s="63" t="str">
        <x:f>IF(A54&lt;4,"Keimung",IF(A54&lt;8,"Etablierung",IF(A54&lt;15,"Early Veg",IF(A54&lt;'01_Run_Config'!$B$33,IF(A54&lt;22,"Veg / LST","Preflower-Watch"),IF(A54-'01_Run_Config'!$B$33&lt;=6,"Transition / Stretch ("&amp;AM54&amp;")",IF(A54-'01_Run_Config'!$B$33&lt;=13,"Early Flower ("&amp;AM54&amp;")",IF(A54-'01_Run_Config'!$B$33&lt;=20,"Flower I ("&amp;AM54&amp;")",IF(A54-'01_Run_Config'!$B$33&lt;=34,"Peak Flower ("&amp;AM54&amp;")",IF(A54-'01_Run_Config'!$B$33&lt;=41,"Late Flower ("&amp;AM54&amp;")",IF(A54-'01_Run_Config'!$B$33&lt;=48,"Ripening ("&amp;AM54&amp;")","Harvest / Extension ("&amp;AM54&amp;")"))))))))))</x:f>
        <x:v>Peak Flower (B4)</x:v>
      </x:c>
      <x:c r="F54" s="63" t="str">
        <x:f>IF(A54&lt;4,"Keimung + Wurzelstart",IF(A54&lt;8,"Sämling etablieren; Wurzelraum erschließen",IF(A54&lt;15,"kompakter Aufbau; LST erst bei Vitalität",IF(A54&lt;'01_Run_Config'!$B$33,"Canopy aufbauen; Preflower beobachten",IF(A54-'01_Run_Config'!$B$33&lt;=6,"Stretch kontrollieren; Bloom-Trigger dokumentieren",IF(A54-'01_Run_Config'!$B$33&lt;=13,"Blütenansatz stabilisieren",IF(A54-'01_Run_Config'!$B$33&lt;=20,"Blütenaufbau ohne neue Stressoren",IF(A54-'01_Run_Config'!$B$33&lt;=34,"stabile Peak-Photosynthese; Klima priorisieren",IF(A54-'01_Run_Config'!$B$33&lt;=41,"Qualität/Schimmelprävention",IF(A54-'01_Run_Config'!$B$33&lt;=48,"Reife ohne Überfütterung","Erntefenster nach Pflanze; keine Kalenderernte"))))))))))</x:f>
        <x:v>stabile Peak-Photosynthese; Klima priorisieren</x:v>
      </x:c>
      <x:c r="G54" s="63" t="n">
        <x:v>18</x:v>
      </x:c>
      <x:c r="H54" s="63" t="n">
        <x:v>140</x:v>
      </x:c>
      <x:c r="I54" s="63" t="n">
        <x:v>625</x:v>
      </x:c>
      <x:c r="J54" s="63" t="n">
        <x:f>I54*G54*3600/1000000</x:f>
        <x:v>40.5</x:v>
      </x:c>
      <x:c r="K54" s="63" t="n">
        <x:v>34</x:v>
      </x:c>
      <x:c r="L54" s="63" t="n">
        <x:v>24.5</x:v>
      </x:c>
      <x:c r="M54" s="63" t="n">
        <x:v>21</x:v>
      </x:c>
      <x:c r="N54" s="63" t="n">
        <x:v>47</x:v>
      </x:c>
      <x:c r="O54" s="63" t="n">
        <x:f>ROUND(0.6108*EXP(17.27*(L54+'01_Run_Config'!$B$34)/(L54+'01_Run_Config'!$B$34+237.3))-(N54/100)*0.6108*EXP(17.27*L54/(L54+237.3)),2)</x:f>
        <x:v>1.45</x:v>
      </x:c>
      <x:c r="P54" s="63" t="n">
        <x:f>IF(A54&lt;'01_Run_Config'!$B$32,0.55,IF(A54&lt;'01_Run_Config'!$B$33,IF(A54-'01_Run_Config'!$B$32&lt;=3,0.8,IF(A54-'01_Run_Config'!$B$32&lt;=10,1,IF(A54-'01_Run_Config'!$B$32&lt;=17,1.2,1.4))),IF(A54-'01_Run_Config'!$B$33&lt;=6,1.5,IF(A54-'01_Run_Config'!$B$33&lt;=13,1.6,IF(A54-'01_Run_Config'!$B$33&lt;=20,1.7,IF(A54-'01_Run_Config'!$B$33&lt;=34,1.8,IF(A54-'01_Run_Config'!$B$33&lt;=41,1.6,IF(A54-'01_Run_Config'!$B$33&lt;=48,1.4,1.15))))))))</x:f>
        <x:v>1.8</x:v>
      </x:c>
      <x:c r="Q54" s="63" t="n">
        <x:v>5.9</x:v>
      </x:c>
      <x:c r="R54" s="63" t="n">
        <x:v>0.9</x:v>
      </x:c>
      <x:c r="S54" s="63" t="n">
        <x:v>1.5</x:v>
      </x:c>
      <x:c r="T54" s="63" t="str">
        <x:f>IF(A54&lt;=7,"Manuell",'01_Run_Config'!$B$40)</x:f>
        <x:v>Manuell / indoor-freigegebene Automation</x:v>
      </x:c>
      <x:c r="U54" s="63" t="str">
        <x:f>IF(A54&lt;'01_Run_Config'!$B$32,"Kein Basisdünger",IF(A54&lt;'01_Run_Config'!$B$33,"HESI TNT","HESI Coco"))</x:f>
        <x:v>HESI Coco</x:v>
      </x:c>
      <x:c r="V54" s="63" t="n">
        <x:f>IF(A54&lt;'01_Run_Config'!$B$32,0,IF(A54&lt;'01_Run_Config'!$B$33,IF(A54-'01_Run_Config'!$B$32&lt;=3,1.25,IF(A54-'01_Run_Config'!$B$32&lt;=10,2,2.5)),IF(A54-'01_Run_Config'!$B$33&lt;=6,2.5,IF(A54-'01_Run_Config'!$B$33&lt;=13,3.25,IF(A54-'01_Run_Config'!$B$33&lt;=20,3.75,IF(A54-'01_Run_Config'!$B$33&lt;=34,4,IF(A54-'01_Run_Config'!$B$33&lt;=41,3.5,IF(A54-'01_Run_Config'!$B$33&lt;=48,2.5,1.5))))))))</x:f>
        <x:v>4</x:v>
      </x:c>
      <x:c r="W54" s="63" t="n">
        <x:f>IF(OR(A54='01_Run_Config'!$B$32,A54='01_Run_Config'!$B$32+6,A54='01_Run_Config'!$B$32+12),2.5,0)</x:f>
        <x:v>0</x:v>
      </x:c>
      <x:c r="X54" s="63" t="n">
        <x:f>IF(AND(A54&gt;='01_Run_Config'!$B$32+3,A54&lt;='01_Run_Config'!$B$33+35,MOD(A54-('01_Run_Config'!$B$32+3),7)=0),2,0)</x:f>
        <x:v>0</x:v>
      </x:c>
      <x:c r="Y54" s="63" t="n">
        <x:f>IF(A54&gt;='01_Run_Config'!$B$32,0.015,0)</x:f>
        <x:v>0.015</x:v>
      </x:c>
      <x:c r="Z54" s="63" t="n">
        <x:f>IF(AND('01_Run_Config'!$B$26="Hesilicio statt Balance",A54&gt;='01_Run_Config'!$B$32+3,MOD(A54-('01_Run_Config'!$B$32+3),7)=0,A54&lt;='01_Run_Config'!$B$33+35),0.5,0)</x:f>
        <x:v>0</x:v>
      </x:c>
      <x:c r="AA54" s="63" t="n">
        <x:f>IF(AND(A54&gt;='01_Run_Config'!$B$33,A54&lt;='01_Run_Config'!$B$33+35,MOD(A54-'01_Run_Config'!$B$33,7)=0),2,0)</x:f>
        <x:v>0</x:v>
      </x:c>
      <x:c r="AB54" s="63" t="n">
        <x:f>IF(A54='01_Run_Config'!$B$33+21,0.25,IF(A54='01_Run_Config'!$B$33+28,0.35,IF(A54='01_Run_Config'!$B$33+35,0.5,0)))</x:f>
        <x:v>0</x:v>
      </x:c>
      <x:c r="AC54" s="63" t="n">
        <x:f>IF(OR(A54='01_Run_Config'!$B$32,A54='01_Run_Config'!$B$32+7,A54='01_Run_Config'!$B$33+1,A54='01_Run_Config'!$B$33+8),2,0)</x:f>
        <x:v>0</x:v>
      </x:c>
      <x:c r="AD54" s="63" t="str">
        <x:f>IF(A54&lt;'01_Run_Config'!$B$33,"AN-Reference=0 außer Voodoo-Frischgaben",IF(AL54&lt;=7,"A/B: Bud Ignitor oder Mikrobenmodul; nicht Reference",IF(AL54&lt;=35,"A/B: Big Bud STATT HESI-PK; nicht additiv stapeln",IF(AL54&lt;=49,"A/B: Overdrive STATT spätem HESI-PK","AN-Booster auslaufen"))))</x:f>
        <x:v>A/B: Big Bud STATT HESI-PK; nicht additiv stapeln</x:v>
      </x:c>
      <x:c r="AE54" s="63" t="str">
        <x:v>Nur Support / Luftkanäle</x:v>
      </x:c>
      <x:c r="AF54" s="63" t="str">
        <x:v>Morgens Klima/Pflanze/Bewässerung/Leck; Mitte Lichtphase Blattwinkel; vor Dunkel LF/Drain/stehendes Wasser.</x:v>
      </x:c>
      <x:c r="AG54" s="63" t="str">
        <x:v>EC nicht erhöhen bei steigender Diagnose-Drain-EC; PPFD nicht erhöhen bei Stress; Wasserband nie erzwingen; nie mehrere neue Booster gleichzeitig.</x:v>
      </x:c>
      <x:c r="AH54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5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4" s="201" t="str">
        <x:f>IF(A54&lt;'01_Run_Config'!$B$32,"—",IF(A54&lt;'01_Run_Config'!$B$33,"G"&amp;MIN(4,INT((A54-'01_Run_Config'!$B$32)/7)+1),AM54))</x:f>
        <x:v>B4</x:v>
      </x:c>
      <x:c r="AK54" s="35" t="str">
        <x:f>IF(A54&lt;'01_Run_Config'!$B$32,"Keine AN-Additive.",IF(A54&lt;'01_Run_Config'!$B$33,"Veg: Voodoo nur definierte Frischgaben; B-52/Piranha/Tarantula nur A/B; Sensizym nur statt PowerZyme; Rhino Skin AUS mit Athena Balance.",IF(AL54&lt;=7,"Frühblüte: Voodoo; Bud Ignitor/Piranha/Tarantula nur A/B; Rhino Skin AUS mit Balance.",IF(AL54&lt;=35,"Hauptblüte: Big Bud nur A/B STATT HESI-PK; Biostims einzeln testen.",IF(AL54&lt;=49,"Spätblüte: Overdrive nur A/B STATT spätem HESI-PK; keine neue zweite Variable.","Booster auslaufen / Reife priorisieren.")))))</x:f>
        <x:v>Hauptblüte: Big Bud nur A/B STATT HESI-PK; Biostims einzeln testen.</x:v>
      </x:c>
      <x:c r="AL54" s="60" t="n">
        <x:f>IF(A54&lt;'01_Run_Config'!$B$33,"",A54-'01_Run_Config'!$B$33+1)</x:f>
        <x:v>25</x:v>
      </x:c>
      <x:c r="AM54" s="60" t="str">
        <x:f>IF(AL54="","",IF(AL54&gt;49,CHAR(66)&amp;"7+",CHAR(66)&amp;TEXT(INT((AL54-1)/7)+1,"0")))</x:f>
        <x:v>B4</x:v>
      </x:c>
      <x:c r="AN54" s="60" t="n">
        <x:f>ROUND(0.6108*EXP(17.27*L54/(L54+237.3))*(1-N54/100),2)</x:f>
        <x:v>1.63</x:v>
      </x:c>
      <x:c r="AO54" s="60" t="n">
        <x:f>H54*G54/1000</x:f>
        <x:v>2.52</x:v>
      </x:c>
      <x:c r="AP54" s="60" t="n">
        <x:f>SUM($AO$2:AO54)</x:f>
        <x:v>90.71999999999996</x:v>
      </x:c>
      <x:c r="AQ54" t="n">
        <x:f>'01_Run_Config'!$B$17</x:f>
        <x:v>0</x:v>
      </x:c>
      <x:c r="AR54" t="n">
        <x:f>'01_Run_Config'!$B$22</x:f>
        <x:v>0</x:v>
      </x:c>
      <x:c r="AS54" t="n">
        <x:f>'01_Run_Config'!$B$25</x:f>
        <x:v>0</x:v>
      </x:c>
    </x:row>
    <x:row r="55">
      <x:c r="A55" s="34" t="n">
        <x:v>53</x:v>
      </x:c>
      <x:c r="B55" s="129" t="n">
        <x:f>'01_Run_Config'!$B$4+A55</x:f>
        <x:v>46295</x:v>
      </x:c>
      <x:c r="C55" s="63" t="n">
        <x:f>INT(A55/7)+1</x:f>
        <x:v>8</x:v>
      </x:c>
      <x:c r="D55" s="63" t="str">
        <x:f>"M"&amp;MIN(3,INT(A55/30)+1)</x:f>
        <x:v>M2</x:v>
      </x:c>
      <x:c r="E55" s="63" t="str">
        <x:f>IF(A55&lt;4,"Keimung",IF(A55&lt;8,"Etablierung",IF(A55&lt;15,"Early Veg",IF(A55&lt;'01_Run_Config'!$B$33,IF(A55&lt;22,"Veg / LST","Preflower-Watch"),IF(A55-'01_Run_Config'!$B$33&lt;=6,"Transition / Stretch ("&amp;AM55&amp;")",IF(A55-'01_Run_Config'!$B$33&lt;=13,"Early Flower ("&amp;AM55&amp;")",IF(A55-'01_Run_Config'!$B$33&lt;=20,"Flower I ("&amp;AM55&amp;")",IF(A55-'01_Run_Config'!$B$33&lt;=34,"Peak Flower ("&amp;AM55&amp;")",IF(A55-'01_Run_Config'!$B$33&lt;=41,"Late Flower ("&amp;AM55&amp;")",IF(A55-'01_Run_Config'!$B$33&lt;=48,"Ripening ("&amp;AM55&amp;")","Harvest / Extension ("&amp;AM55&amp;")"))))))))))</x:f>
        <x:v>Peak Flower (B4)</x:v>
      </x:c>
      <x:c r="F55" s="63" t="str">
        <x:f>IF(A55&lt;4,"Keimung + Wurzelstart",IF(A55&lt;8,"Sämling etablieren; Wurzelraum erschließen",IF(A55&lt;15,"kompakter Aufbau; LST erst bei Vitalität",IF(A55&lt;'01_Run_Config'!$B$33,"Canopy aufbauen; Preflower beobachten",IF(A55-'01_Run_Config'!$B$33&lt;=6,"Stretch kontrollieren; Bloom-Trigger dokumentieren",IF(A55-'01_Run_Config'!$B$33&lt;=13,"Blütenansatz stabilisieren",IF(A55-'01_Run_Config'!$B$33&lt;=20,"Blütenaufbau ohne neue Stressoren",IF(A55-'01_Run_Config'!$B$33&lt;=34,"stabile Peak-Photosynthese; Klima priorisieren",IF(A55-'01_Run_Config'!$B$33&lt;=41,"Qualität/Schimmelprävention",IF(A55-'01_Run_Config'!$B$33&lt;=48,"Reife ohne Überfütterung","Erntefenster nach Pflanze; keine Kalenderernte"))))))))))</x:f>
        <x:v>stabile Peak-Photosynthese; Klima priorisieren</x:v>
      </x:c>
      <x:c r="G55" s="63" t="n">
        <x:v>18</x:v>
      </x:c>
      <x:c r="H55" s="63" t="n">
        <x:v>140</x:v>
      </x:c>
      <x:c r="I55" s="63" t="n">
        <x:v>625</x:v>
      </x:c>
      <x:c r="J55" s="63" t="n">
        <x:f>I55*G55*3600/1000000</x:f>
        <x:v>40.5</x:v>
      </x:c>
      <x:c r="K55" s="63" t="n">
        <x:v>34</x:v>
      </x:c>
      <x:c r="L55" s="63" t="n">
        <x:v>24.5</x:v>
      </x:c>
      <x:c r="M55" s="63" t="n">
        <x:v>21</x:v>
      </x:c>
      <x:c r="N55" s="63" t="n">
        <x:v>47</x:v>
      </x:c>
      <x:c r="O55" s="63" t="n">
        <x:f>ROUND(0.6108*EXP(17.27*(L55+'01_Run_Config'!$B$34)/(L55+'01_Run_Config'!$B$34+237.3))-(N55/100)*0.6108*EXP(17.27*L55/(L55+237.3)),2)</x:f>
        <x:v>1.45</x:v>
      </x:c>
      <x:c r="P55" s="63" t="n">
        <x:f>IF(A55&lt;'01_Run_Config'!$B$32,0.55,IF(A55&lt;'01_Run_Config'!$B$33,IF(A55-'01_Run_Config'!$B$32&lt;=3,0.8,IF(A55-'01_Run_Config'!$B$32&lt;=10,1,IF(A55-'01_Run_Config'!$B$32&lt;=17,1.2,1.4))),IF(A55-'01_Run_Config'!$B$33&lt;=6,1.5,IF(A55-'01_Run_Config'!$B$33&lt;=13,1.6,IF(A55-'01_Run_Config'!$B$33&lt;=20,1.7,IF(A55-'01_Run_Config'!$B$33&lt;=34,1.8,IF(A55-'01_Run_Config'!$B$33&lt;=41,1.6,IF(A55-'01_Run_Config'!$B$33&lt;=48,1.4,1.15))))))))</x:f>
        <x:v>1.8</x:v>
      </x:c>
      <x:c r="Q55" s="63" t="n">
        <x:v>5.9</x:v>
      </x:c>
      <x:c r="R55" s="63" t="n">
        <x:v>0.9</x:v>
      </x:c>
      <x:c r="S55" s="63" t="n">
        <x:v>1.5</x:v>
      </x:c>
      <x:c r="T55" s="63" t="str">
        <x:f>IF(A55&lt;=7,"Manuell",'01_Run_Config'!$B$40)</x:f>
        <x:v>Manuell / indoor-freigegebene Automation</x:v>
      </x:c>
      <x:c r="U55" s="63" t="str">
        <x:f>IF(A55&lt;'01_Run_Config'!$B$32,"Kein Basisdünger",IF(A55&lt;'01_Run_Config'!$B$33,"HESI TNT","HESI Coco"))</x:f>
        <x:v>HESI Coco</x:v>
      </x:c>
      <x:c r="V55" s="63" t="n">
        <x:f>IF(A55&lt;'01_Run_Config'!$B$32,0,IF(A55&lt;'01_Run_Config'!$B$33,IF(A55-'01_Run_Config'!$B$32&lt;=3,1.25,IF(A55-'01_Run_Config'!$B$32&lt;=10,2,2.5)),IF(A55-'01_Run_Config'!$B$33&lt;=6,2.5,IF(A55-'01_Run_Config'!$B$33&lt;=13,3.25,IF(A55-'01_Run_Config'!$B$33&lt;=20,3.75,IF(A55-'01_Run_Config'!$B$33&lt;=34,4,IF(A55-'01_Run_Config'!$B$33&lt;=41,3.5,IF(A55-'01_Run_Config'!$B$33&lt;=48,2.5,1.5))))))))</x:f>
        <x:v>4</x:v>
      </x:c>
      <x:c r="W55" s="63" t="n">
        <x:f>IF(OR(A55='01_Run_Config'!$B$32,A55='01_Run_Config'!$B$32+6,A55='01_Run_Config'!$B$32+12),2.5,0)</x:f>
        <x:v>0</x:v>
      </x:c>
      <x:c r="X55" s="63" t="n">
        <x:f>IF(AND(A55&gt;='01_Run_Config'!$B$32+3,A55&lt;='01_Run_Config'!$B$33+35,MOD(A55-('01_Run_Config'!$B$32+3),7)=0),2,0)</x:f>
        <x:v>0</x:v>
      </x:c>
      <x:c r="Y55" s="63" t="n">
        <x:f>IF(A55&gt;='01_Run_Config'!$B$32,0.015,0)</x:f>
        <x:v>0.015</x:v>
      </x:c>
      <x:c r="Z55" s="63" t="n">
        <x:f>IF(AND('01_Run_Config'!$B$26="Hesilicio statt Balance",A55&gt;='01_Run_Config'!$B$32+3,MOD(A55-('01_Run_Config'!$B$32+3),7)=0,A55&lt;='01_Run_Config'!$B$33+35),0.5,0)</x:f>
        <x:v>0</x:v>
      </x:c>
      <x:c r="AA55" s="63" t="n">
        <x:f>IF(AND(A55&gt;='01_Run_Config'!$B$33,A55&lt;='01_Run_Config'!$B$33+35,MOD(A55-'01_Run_Config'!$B$33,7)=0),2,0)</x:f>
        <x:v>0</x:v>
      </x:c>
      <x:c r="AB55" s="63" t="n">
        <x:f>IF(A55='01_Run_Config'!$B$33+21,0.25,IF(A55='01_Run_Config'!$B$33+28,0.35,IF(A55='01_Run_Config'!$B$33+35,0.5,0)))</x:f>
        <x:v>0</x:v>
      </x:c>
      <x:c r="AC55" s="63" t="n">
        <x:f>IF(OR(A55='01_Run_Config'!$B$32,A55='01_Run_Config'!$B$32+7,A55='01_Run_Config'!$B$33+1,A55='01_Run_Config'!$B$33+8),2,0)</x:f>
        <x:v>0</x:v>
      </x:c>
      <x:c r="AD55" s="63" t="str">
        <x:f>IF(A55&lt;'01_Run_Config'!$B$33,"AN-Reference=0 außer Voodoo-Frischgaben",IF(AL55&lt;=7,"A/B: Bud Ignitor oder Mikrobenmodul; nicht Reference",IF(AL55&lt;=35,"A/B: Big Bud STATT HESI-PK; nicht additiv stapeln",IF(AL55&lt;=49,"A/B: Overdrive STATT spätem HESI-PK","AN-Booster auslaufen"))))</x:f>
        <x:v>A/B: Big Bud STATT HESI-PK; nicht additiv stapeln</x:v>
      </x:c>
      <x:c r="AE55" s="63" t="str">
        <x:v>Nur Support / Luftkanäle</x:v>
      </x:c>
      <x:c r="AF55" s="63" t="str">
        <x:v>Morgens Klima/Pflanze/Bewässerung/Leck; Mitte Lichtphase Blattwinkel; vor Dunkel LF/Drain/stehendes Wasser.</x:v>
      </x:c>
      <x:c r="AG55" s="63" t="str">
        <x:v>EC nicht erhöhen bei steigender Diagnose-Drain-EC; PPFD nicht erhöhen bei Stress; Wasserband nie erzwingen; nie mehrere neue Booster gleichzeitig.</x:v>
      </x:c>
      <x:c r="AH55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5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5" s="201" t="str">
        <x:f>IF(A55&lt;'01_Run_Config'!$B$32,"—",IF(A55&lt;'01_Run_Config'!$B$33,"G"&amp;MIN(4,INT((A55-'01_Run_Config'!$B$32)/7)+1),AM55))</x:f>
        <x:v>B4</x:v>
      </x:c>
      <x:c r="AK55" s="35" t="str">
        <x:f>IF(A55&lt;'01_Run_Config'!$B$32,"Keine AN-Additive.",IF(A55&lt;'01_Run_Config'!$B$33,"Veg: Voodoo nur definierte Frischgaben; B-52/Piranha/Tarantula nur A/B; Sensizym nur statt PowerZyme; Rhino Skin AUS mit Athena Balance.",IF(AL55&lt;=7,"Frühblüte: Voodoo; Bud Ignitor/Piranha/Tarantula nur A/B; Rhino Skin AUS mit Balance.",IF(AL55&lt;=35,"Hauptblüte: Big Bud nur A/B STATT HESI-PK; Biostims einzeln testen.",IF(AL55&lt;=49,"Spätblüte: Overdrive nur A/B STATT spätem HESI-PK; keine neue zweite Variable.","Booster auslaufen / Reife priorisieren.")))))</x:f>
        <x:v>Hauptblüte: Big Bud nur A/B STATT HESI-PK; Biostims einzeln testen.</x:v>
      </x:c>
      <x:c r="AL55" s="60" t="n">
        <x:f>IF(A55&lt;'01_Run_Config'!$B$33,"",A55-'01_Run_Config'!$B$33+1)</x:f>
        <x:v>26</x:v>
      </x:c>
      <x:c r="AM55" s="60" t="str">
        <x:f>IF(AL55="","",IF(AL55&gt;49,CHAR(66)&amp;"7+",CHAR(66)&amp;TEXT(INT((AL55-1)/7)+1,"0")))</x:f>
        <x:v>B4</x:v>
      </x:c>
      <x:c r="AN55" s="60" t="n">
        <x:f>ROUND(0.6108*EXP(17.27*L55/(L55+237.3))*(1-N55/100),2)</x:f>
        <x:v>1.63</x:v>
      </x:c>
      <x:c r="AO55" s="60" t="n">
        <x:f>H55*G55/1000</x:f>
        <x:v>2.52</x:v>
      </x:c>
      <x:c r="AP55" s="60" t="n">
        <x:f>SUM($AO$2:AO55)</x:f>
        <x:v>93.23999999999995</x:v>
      </x:c>
      <x:c r="AQ55" t="n">
        <x:f>'01_Run_Config'!$B$17</x:f>
        <x:v>0</x:v>
      </x:c>
      <x:c r="AR55" t="n">
        <x:f>'01_Run_Config'!$B$22</x:f>
        <x:v>0</x:v>
      </x:c>
      <x:c r="AS55" t="n">
        <x:f>'01_Run_Config'!$B$25</x:f>
        <x:v>0</x:v>
      </x:c>
    </x:row>
    <x:row r="56">
      <x:c r="A56" s="34" t="n">
        <x:v>54</x:v>
      </x:c>
      <x:c r="B56" s="129" t="n">
        <x:f>'01_Run_Config'!$B$4+A56</x:f>
        <x:v>46296</x:v>
      </x:c>
      <x:c r="C56" s="63" t="n">
        <x:f>INT(A56/7)+1</x:f>
        <x:v>8</x:v>
      </x:c>
      <x:c r="D56" s="63" t="str">
        <x:f>"M"&amp;MIN(3,INT(A56/30)+1)</x:f>
        <x:v>M2</x:v>
      </x:c>
      <x:c r="E56" s="63" t="str">
        <x:f>IF(A56&lt;4,"Keimung",IF(A56&lt;8,"Etablierung",IF(A56&lt;15,"Early Veg",IF(A56&lt;'01_Run_Config'!$B$33,IF(A56&lt;22,"Veg / LST","Preflower-Watch"),IF(A56-'01_Run_Config'!$B$33&lt;=6,"Transition / Stretch ("&amp;AM56&amp;")",IF(A56-'01_Run_Config'!$B$33&lt;=13,"Early Flower ("&amp;AM56&amp;")",IF(A56-'01_Run_Config'!$B$33&lt;=20,"Flower I ("&amp;AM56&amp;")",IF(A56-'01_Run_Config'!$B$33&lt;=34,"Peak Flower ("&amp;AM56&amp;")",IF(A56-'01_Run_Config'!$B$33&lt;=41,"Late Flower ("&amp;AM56&amp;")",IF(A56-'01_Run_Config'!$B$33&lt;=48,"Ripening ("&amp;AM56&amp;")","Harvest / Extension ("&amp;AM56&amp;")"))))))))))</x:f>
        <x:v>Peak Flower (B4)</x:v>
      </x:c>
      <x:c r="F56" s="63" t="str">
        <x:f>IF(A56&lt;4,"Keimung + Wurzelstart",IF(A56&lt;8,"Sämling etablieren; Wurzelraum erschließen",IF(A56&lt;15,"kompakter Aufbau; LST erst bei Vitalität",IF(A56&lt;'01_Run_Config'!$B$33,"Canopy aufbauen; Preflower beobachten",IF(A56-'01_Run_Config'!$B$33&lt;=6,"Stretch kontrollieren; Bloom-Trigger dokumentieren",IF(A56-'01_Run_Config'!$B$33&lt;=13,"Blütenansatz stabilisieren",IF(A56-'01_Run_Config'!$B$33&lt;=20,"Blütenaufbau ohne neue Stressoren",IF(A56-'01_Run_Config'!$B$33&lt;=34,"stabile Peak-Photosynthese; Klima priorisieren",IF(A56-'01_Run_Config'!$B$33&lt;=41,"Qualität/Schimmelprävention",IF(A56-'01_Run_Config'!$B$33&lt;=48,"Reife ohne Überfütterung","Erntefenster nach Pflanze; keine Kalenderernte"))))))))))</x:f>
        <x:v>stabile Peak-Photosynthese; Klima priorisieren</x:v>
      </x:c>
      <x:c r="G56" s="63" t="n">
        <x:v>18</x:v>
      </x:c>
      <x:c r="H56" s="63" t="n">
        <x:v>140</x:v>
      </x:c>
      <x:c r="I56" s="63" t="n">
        <x:v>625</x:v>
      </x:c>
      <x:c r="J56" s="63" t="n">
        <x:f>I56*G56*3600/1000000</x:f>
        <x:v>40.5</x:v>
      </x:c>
      <x:c r="K56" s="63" t="n">
        <x:v>34</x:v>
      </x:c>
      <x:c r="L56" s="63" t="n">
        <x:v>24.5</x:v>
      </x:c>
      <x:c r="M56" s="63" t="n">
        <x:v>21</x:v>
      </x:c>
      <x:c r="N56" s="63" t="n">
        <x:v>47</x:v>
      </x:c>
      <x:c r="O56" s="63" t="n">
        <x:f>ROUND(0.6108*EXP(17.27*(L56+'01_Run_Config'!$B$34)/(L56+'01_Run_Config'!$B$34+237.3))-(N56/100)*0.6108*EXP(17.27*L56/(L56+237.3)),2)</x:f>
        <x:v>1.45</x:v>
      </x:c>
      <x:c r="P56" s="63" t="n">
        <x:f>IF(A56&lt;'01_Run_Config'!$B$32,0.55,IF(A56&lt;'01_Run_Config'!$B$33,IF(A56-'01_Run_Config'!$B$32&lt;=3,0.8,IF(A56-'01_Run_Config'!$B$32&lt;=10,1,IF(A56-'01_Run_Config'!$B$32&lt;=17,1.2,1.4))),IF(A56-'01_Run_Config'!$B$33&lt;=6,1.5,IF(A56-'01_Run_Config'!$B$33&lt;=13,1.6,IF(A56-'01_Run_Config'!$B$33&lt;=20,1.7,IF(A56-'01_Run_Config'!$B$33&lt;=34,1.8,IF(A56-'01_Run_Config'!$B$33&lt;=41,1.6,IF(A56-'01_Run_Config'!$B$33&lt;=48,1.4,1.15))))))))</x:f>
        <x:v>1.8</x:v>
      </x:c>
      <x:c r="Q56" s="63" t="n">
        <x:v>5.9</x:v>
      </x:c>
      <x:c r="R56" s="63" t="n">
        <x:v>0.9</x:v>
      </x:c>
      <x:c r="S56" s="63" t="n">
        <x:v>1.5</x:v>
      </x:c>
      <x:c r="T56" s="63" t="str">
        <x:f>IF(A56&lt;=7,"Manuell",'01_Run_Config'!$B$40)</x:f>
        <x:v>Manuell / indoor-freigegebene Automation</x:v>
      </x:c>
      <x:c r="U56" s="63" t="str">
        <x:f>IF(A56&lt;'01_Run_Config'!$B$32,"Kein Basisdünger",IF(A56&lt;'01_Run_Config'!$B$33,"HESI TNT","HESI Coco"))</x:f>
        <x:v>HESI Coco</x:v>
      </x:c>
      <x:c r="V56" s="63" t="n">
        <x:f>IF(A56&lt;'01_Run_Config'!$B$32,0,IF(A56&lt;'01_Run_Config'!$B$33,IF(A56-'01_Run_Config'!$B$32&lt;=3,1.25,IF(A56-'01_Run_Config'!$B$32&lt;=10,2,2.5)),IF(A56-'01_Run_Config'!$B$33&lt;=6,2.5,IF(A56-'01_Run_Config'!$B$33&lt;=13,3.25,IF(A56-'01_Run_Config'!$B$33&lt;=20,3.75,IF(A56-'01_Run_Config'!$B$33&lt;=34,4,IF(A56-'01_Run_Config'!$B$33&lt;=41,3.5,IF(A56-'01_Run_Config'!$B$33&lt;=48,2.5,1.5))))))))</x:f>
        <x:v>4</x:v>
      </x:c>
      <x:c r="W56" s="63" t="n">
        <x:f>IF(OR(A56='01_Run_Config'!$B$32,A56='01_Run_Config'!$B$32+6,A56='01_Run_Config'!$B$32+12),2.5,0)</x:f>
        <x:v>0</x:v>
      </x:c>
      <x:c r="X56" s="63" t="n">
        <x:f>IF(AND(A56&gt;='01_Run_Config'!$B$32+3,A56&lt;='01_Run_Config'!$B$33+35,MOD(A56-('01_Run_Config'!$B$32+3),7)=0),2,0)</x:f>
        <x:v>0</x:v>
      </x:c>
      <x:c r="Y56" s="63" t="n">
        <x:f>IF(A56&gt;='01_Run_Config'!$B$32,0.015,0)</x:f>
        <x:v>0.015</x:v>
      </x:c>
      <x:c r="Z56" s="63" t="n">
        <x:f>IF(AND('01_Run_Config'!$B$26="Hesilicio statt Balance",A56&gt;='01_Run_Config'!$B$32+3,MOD(A56-('01_Run_Config'!$B$32+3),7)=0,A56&lt;='01_Run_Config'!$B$33+35),0.5,0)</x:f>
        <x:v>0</x:v>
      </x:c>
      <x:c r="AA56" s="63" t="n">
        <x:f>IF(AND(A56&gt;='01_Run_Config'!$B$33,A56&lt;='01_Run_Config'!$B$33+35,MOD(A56-'01_Run_Config'!$B$33,7)=0),2,0)</x:f>
        <x:v>0</x:v>
      </x:c>
      <x:c r="AB56" s="63" t="n">
        <x:f>IF(A56='01_Run_Config'!$B$33+21,0.25,IF(A56='01_Run_Config'!$B$33+28,0.35,IF(A56='01_Run_Config'!$B$33+35,0.5,0)))</x:f>
        <x:v>0</x:v>
      </x:c>
      <x:c r="AC56" s="63" t="n">
        <x:f>IF(OR(A56='01_Run_Config'!$B$32,A56='01_Run_Config'!$B$32+7,A56='01_Run_Config'!$B$33+1,A56='01_Run_Config'!$B$33+8),2,0)</x:f>
        <x:v>0</x:v>
      </x:c>
      <x:c r="AD56" s="63" t="str">
        <x:f>IF(A56&lt;'01_Run_Config'!$B$33,"AN-Reference=0 außer Voodoo-Frischgaben",IF(AL56&lt;=7,"A/B: Bud Ignitor oder Mikrobenmodul; nicht Reference",IF(AL56&lt;=35,"A/B: Big Bud STATT HESI-PK; nicht additiv stapeln",IF(AL56&lt;=49,"A/B: Overdrive STATT spätem HESI-PK","AN-Booster auslaufen"))))</x:f>
        <x:v>A/B: Big Bud STATT HESI-PK; nicht additiv stapeln</x:v>
      </x:c>
      <x:c r="AE56" s="63" t="str">
        <x:v>Nur Support / Luftkanäle</x:v>
      </x:c>
      <x:c r="AF56" s="63" t="str">
        <x:v>Morgens Klima/Pflanze/Bewässerung/Leck; Mitte Lichtphase Blattwinkel; vor Dunkel LF/Drain/stehendes Wasser.</x:v>
      </x:c>
      <x:c r="AG56" s="63" t="str">
        <x:v>EC nicht erhöhen bei steigender Diagnose-Drain-EC; PPFD nicht erhöhen bei Stress; Wasserband nie erzwingen; nie mehrere neue Booster gleichzeitig.</x:v>
      </x:c>
      <x:c r="AH56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5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6" s="201" t="str">
        <x:f>IF(A56&lt;'01_Run_Config'!$B$32,"—",IF(A56&lt;'01_Run_Config'!$B$33,"G"&amp;MIN(4,INT((A56-'01_Run_Config'!$B$32)/7)+1),AM56))</x:f>
        <x:v>B4</x:v>
      </x:c>
      <x:c r="AK56" s="35" t="str">
        <x:f>IF(A56&lt;'01_Run_Config'!$B$32,"Keine AN-Additive.",IF(A56&lt;'01_Run_Config'!$B$33,"Veg: Voodoo nur definierte Frischgaben; B-52/Piranha/Tarantula nur A/B; Sensizym nur statt PowerZyme; Rhino Skin AUS mit Athena Balance.",IF(AL56&lt;=7,"Frühblüte: Voodoo; Bud Ignitor/Piranha/Tarantula nur A/B; Rhino Skin AUS mit Balance.",IF(AL56&lt;=35,"Hauptblüte: Big Bud nur A/B STATT HESI-PK; Biostims einzeln testen.",IF(AL56&lt;=49,"Spätblüte: Overdrive nur A/B STATT spätem HESI-PK; keine neue zweite Variable.","Booster auslaufen / Reife priorisieren.")))))</x:f>
        <x:v>Hauptblüte: Big Bud nur A/B STATT HESI-PK; Biostims einzeln testen.</x:v>
      </x:c>
      <x:c r="AL56" s="60" t="n">
        <x:f>IF(A56&lt;'01_Run_Config'!$B$33,"",A56-'01_Run_Config'!$B$33+1)</x:f>
        <x:v>27</x:v>
      </x:c>
      <x:c r="AM56" s="60" t="str">
        <x:f>IF(AL56="","",IF(AL56&gt;49,CHAR(66)&amp;"7+",CHAR(66)&amp;TEXT(INT((AL56-1)/7)+1,"0")))</x:f>
        <x:v>B4</x:v>
      </x:c>
      <x:c r="AN56" s="60" t="n">
        <x:f>ROUND(0.6108*EXP(17.27*L56/(L56+237.3))*(1-N56/100),2)</x:f>
        <x:v>1.63</x:v>
      </x:c>
      <x:c r="AO56" s="60" t="n">
        <x:f>H56*G56/1000</x:f>
        <x:v>2.52</x:v>
      </x:c>
      <x:c r="AP56" s="60" t="n">
        <x:f>SUM($AO$2:AO56)</x:f>
        <x:v>95.75999999999995</x:v>
      </x:c>
      <x:c r="AQ56" t="n">
        <x:f>'01_Run_Config'!$B$17</x:f>
        <x:v>0</x:v>
      </x:c>
      <x:c r="AR56" t="n">
        <x:f>'01_Run_Config'!$B$22</x:f>
        <x:v>0</x:v>
      </x:c>
      <x:c r="AS56" t="n">
        <x:f>'01_Run_Config'!$B$25</x:f>
        <x:v>0</x:v>
      </x:c>
    </x:row>
    <x:row r="57">
      <x:c r="A57" s="34" t="n">
        <x:v>55</x:v>
      </x:c>
      <x:c r="B57" s="129" t="n">
        <x:f>'01_Run_Config'!$B$4+A57</x:f>
        <x:v>46297</x:v>
      </x:c>
      <x:c r="C57" s="63" t="n">
        <x:f>INT(A57/7)+1</x:f>
        <x:v>8</x:v>
      </x:c>
      <x:c r="D57" s="63" t="str">
        <x:f>"M"&amp;MIN(3,INT(A57/30)+1)</x:f>
        <x:v>M2</x:v>
      </x:c>
      <x:c r="E57" s="63" t="str">
        <x:f>IF(A57&lt;4,"Keimung",IF(A57&lt;8,"Etablierung",IF(A57&lt;15,"Early Veg",IF(A57&lt;'01_Run_Config'!$B$33,IF(A57&lt;22,"Veg / LST","Preflower-Watch"),IF(A57-'01_Run_Config'!$B$33&lt;=6,"Transition / Stretch ("&amp;AM57&amp;")",IF(A57-'01_Run_Config'!$B$33&lt;=13,"Early Flower ("&amp;AM57&amp;")",IF(A57-'01_Run_Config'!$B$33&lt;=20,"Flower I ("&amp;AM57&amp;")",IF(A57-'01_Run_Config'!$B$33&lt;=34,"Peak Flower ("&amp;AM57&amp;")",IF(A57-'01_Run_Config'!$B$33&lt;=41,"Late Flower ("&amp;AM57&amp;")",IF(A57-'01_Run_Config'!$B$33&lt;=48,"Ripening ("&amp;AM57&amp;")","Harvest / Extension ("&amp;AM57&amp;")"))))))))))</x:f>
        <x:v>Peak Flower (B4)</x:v>
      </x:c>
      <x:c r="F57" s="63" t="str">
        <x:f>IF(A57&lt;4,"Keimung + Wurzelstart",IF(A57&lt;8,"Sämling etablieren; Wurzelraum erschließen",IF(A57&lt;15,"kompakter Aufbau; LST erst bei Vitalität",IF(A57&lt;'01_Run_Config'!$B$33,"Canopy aufbauen; Preflower beobachten",IF(A57-'01_Run_Config'!$B$33&lt;=6,"Stretch kontrollieren; Bloom-Trigger dokumentieren",IF(A57-'01_Run_Config'!$B$33&lt;=13,"Blütenansatz stabilisieren",IF(A57-'01_Run_Config'!$B$33&lt;=20,"Blütenaufbau ohne neue Stressoren",IF(A57-'01_Run_Config'!$B$33&lt;=34,"stabile Peak-Photosynthese; Klima priorisieren",IF(A57-'01_Run_Config'!$B$33&lt;=41,"Qualität/Schimmelprävention",IF(A57-'01_Run_Config'!$B$33&lt;=48,"Reife ohne Überfütterung","Erntefenster nach Pflanze; keine Kalenderernte"))))))))))</x:f>
        <x:v>stabile Peak-Photosynthese; Klima priorisieren</x:v>
      </x:c>
      <x:c r="G57" s="63" t="n">
        <x:v>18</x:v>
      </x:c>
      <x:c r="H57" s="63" t="n">
        <x:v>140</x:v>
      </x:c>
      <x:c r="I57" s="63" t="n">
        <x:v>625</x:v>
      </x:c>
      <x:c r="J57" s="63" t="n">
        <x:f>I57*G57*3600/1000000</x:f>
        <x:v>40.5</x:v>
      </x:c>
      <x:c r="K57" s="63" t="n">
        <x:v>34</x:v>
      </x:c>
      <x:c r="L57" s="63" t="n">
        <x:v>24.5</x:v>
      </x:c>
      <x:c r="M57" s="63" t="n">
        <x:v>21</x:v>
      </x:c>
      <x:c r="N57" s="63" t="n">
        <x:v>47</x:v>
      </x:c>
      <x:c r="O57" s="63" t="n">
        <x:f>ROUND(0.6108*EXP(17.27*(L57+'01_Run_Config'!$B$34)/(L57+'01_Run_Config'!$B$34+237.3))-(N57/100)*0.6108*EXP(17.27*L57/(L57+237.3)),2)</x:f>
        <x:v>1.45</x:v>
      </x:c>
      <x:c r="P57" s="63" t="n">
        <x:f>IF(A57&lt;'01_Run_Config'!$B$32,0.55,IF(A57&lt;'01_Run_Config'!$B$33,IF(A57-'01_Run_Config'!$B$32&lt;=3,0.8,IF(A57-'01_Run_Config'!$B$32&lt;=10,1,IF(A57-'01_Run_Config'!$B$32&lt;=17,1.2,1.4))),IF(A57-'01_Run_Config'!$B$33&lt;=6,1.5,IF(A57-'01_Run_Config'!$B$33&lt;=13,1.6,IF(A57-'01_Run_Config'!$B$33&lt;=20,1.7,IF(A57-'01_Run_Config'!$B$33&lt;=34,1.8,IF(A57-'01_Run_Config'!$B$33&lt;=41,1.6,IF(A57-'01_Run_Config'!$B$33&lt;=48,1.4,1.15))))))))</x:f>
        <x:v>1.8</x:v>
      </x:c>
      <x:c r="Q57" s="63" t="n">
        <x:v>5.9</x:v>
      </x:c>
      <x:c r="R57" s="63" t="n">
        <x:v>0.9</x:v>
      </x:c>
      <x:c r="S57" s="63" t="n">
        <x:v>1.5</x:v>
      </x:c>
      <x:c r="T57" s="63" t="str">
        <x:f>IF(A57&lt;=7,"Manuell",'01_Run_Config'!$B$40)</x:f>
        <x:v>Manuell / indoor-freigegebene Automation</x:v>
      </x:c>
      <x:c r="U57" s="63" t="str">
        <x:f>IF(A57&lt;'01_Run_Config'!$B$32,"Kein Basisdünger",IF(A57&lt;'01_Run_Config'!$B$33,"HESI TNT","HESI Coco"))</x:f>
        <x:v>HESI Coco</x:v>
      </x:c>
      <x:c r="V57" s="63" t="n">
        <x:f>IF(A57&lt;'01_Run_Config'!$B$32,0,IF(A57&lt;'01_Run_Config'!$B$33,IF(A57-'01_Run_Config'!$B$32&lt;=3,1.25,IF(A57-'01_Run_Config'!$B$32&lt;=10,2,2.5)),IF(A57-'01_Run_Config'!$B$33&lt;=6,2.5,IF(A57-'01_Run_Config'!$B$33&lt;=13,3.25,IF(A57-'01_Run_Config'!$B$33&lt;=20,3.75,IF(A57-'01_Run_Config'!$B$33&lt;=34,4,IF(A57-'01_Run_Config'!$B$33&lt;=41,3.5,IF(A57-'01_Run_Config'!$B$33&lt;=48,2.5,1.5))))))))</x:f>
        <x:v>4</x:v>
      </x:c>
      <x:c r="W57" s="63" t="n">
        <x:f>IF(OR(A57='01_Run_Config'!$B$32,A57='01_Run_Config'!$B$32+6,A57='01_Run_Config'!$B$32+12),2.5,0)</x:f>
        <x:v>0</x:v>
      </x:c>
      <x:c r="X57" s="63" t="n">
        <x:f>IF(AND(A57&gt;='01_Run_Config'!$B$32+3,A57&lt;='01_Run_Config'!$B$33+35,MOD(A57-('01_Run_Config'!$B$32+3),7)=0),2,0)</x:f>
        <x:v>0</x:v>
      </x:c>
      <x:c r="Y57" s="63" t="n">
        <x:f>IF(A57&gt;='01_Run_Config'!$B$32,0.015,0)</x:f>
        <x:v>0.015</x:v>
      </x:c>
      <x:c r="Z57" s="63" t="n">
        <x:f>IF(AND('01_Run_Config'!$B$26="Hesilicio statt Balance",A57&gt;='01_Run_Config'!$B$32+3,MOD(A57-('01_Run_Config'!$B$32+3),7)=0,A57&lt;='01_Run_Config'!$B$33+35),0.5,0)</x:f>
        <x:v>0</x:v>
      </x:c>
      <x:c r="AA57" s="63" t="n">
        <x:f>IF(AND(A57&gt;='01_Run_Config'!$B$33,A57&lt;='01_Run_Config'!$B$33+35,MOD(A57-'01_Run_Config'!$B$33,7)=0),2,0)</x:f>
        <x:v>0</x:v>
      </x:c>
      <x:c r="AB57" s="63" t="n">
        <x:f>IF(A57='01_Run_Config'!$B$33+21,0.25,IF(A57='01_Run_Config'!$B$33+28,0.35,IF(A57='01_Run_Config'!$B$33+35,0.5,0)))</x:f>
        <x:v>0</x:v>
      </x:c>
      <x:c r="AC57" s="63" t="n">
        <x:f>IF(OR(A57='01_Run_Config'!$B$32,A57='01_Run_Config'!$B$32+7,A57='01_Run_Config'!$B$33+1,A57='01_Run_Config'!$B$33+8),2,0)</x:f>
        <x:v>0</x:v>
      </x:c>
      <x:c r="AD57" s="63" t="str">
        <x:f>IF(A57&lt;'01_Run_Config'!$B$33,"AN-Reference=0 außer Voodoo-Frischgaben",IF(AL57&lt;=7,"A/B: Bud Ignitor oder Mikrobenmodul; nicht Reference",IF(AL57&lt;=35,"A/B: Big Bud STATT HESI-PK; nicht additiv stapeln",IF(AL57&lt;=49,"A/B: Overdrive STATT spätem HESI-PK","AN-Booster auslaufen"))))</x:f>
        <x:v>A/B: Big Bud STATT HESI-PK; nicht additiv stapeln</x:v>
      </x:c>
      <x:c r="AE57" s="63" t="str">
        <x:v>Nur Support / Luftkanäle</x:v>
      </x:c>
      <x:c r="AF57" s="63" t="str">
        <x:v>Morgens Klima/Pflanze/Bewässerung/Leck; Mitte Lichtphase Blattwinkel; vor Dunkel LF/Drain/stehendes Wasser.</x:v>
      </x:c>
      <x:c r="AG57" s="63" t="str">
        <x:v>EC nicht erhöhen bei steigender Diagnose-Drain-EC; PPFD nicht erhöhen bei Stress; Wasserband nie erzwingen; nie mehrere neue Booster gleichzeitig.</x:v>
      </x:c>
      <x:c r="AH57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5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7" s="201" t="str">
        <x:f>IF(A57&lt;'01_Run_Config'!$B$32,"—",IF(A57&lt;'01_Run_Config'!$B$33,"G"&amp;MIN(4,INT((A57-'01_Run_Config'!$B$32)/7)+1),AM57))</x:f>
        <x:v>B4</x:v>
      </x:c>
      <x:c r="AK57" s="35" t="str">
        <x:f>IF(A57&lt;'01_Run_Config'!$B$32,"Keine AN-Additive.",IF(A57&lt;'01_Run_Config'!$B$33,"Veg: Voodoo nur definierte Frischgaben; B-52/Piranha/Tarantula nur A/B; Sensizym nur statt PowerZyme; Rhino Skin AUS mit Athena Balance.",IF(AL57&lt;=7,"Frühblüte: Voodoo; Bud Ignitor/Piranha/Tarantula nur A/B; Rhino Skin AUS mit Balance.",IF(AL57&lt;=35,"Hauptblüte: Big Bud nur A/B STATT HESI-PK; Biostims einzeln testen.",IF(AL57&lt;=49,"Spätblüte: Overdrive nur A/B STATT spätem HESI-PK; keine neue zweite Variable.","Booster auslaufen / Reife priorisieren.")))))</x:f>
        <x:v>Hauptblüte: Big Bud nur A/B STATT HESI-PK; Biostims einzeln testen.</x:v>
      </x:c>
      <x:c r="AL57" s="60" t="n">
        <x:f>IF(A57&lt;'01_Run_Config'!$B$33,"",A57-'01_Run_Config'!$B$33+1)</x:f>
        <x:v>28</x:v>
      </x:c>
      <x:c r="AM57" s="60" t="str">
        <x:f>IF(AL57="","",IF(AL57&gt;49,CHAR(66)&amp;"7+",CHAR(66)&amp;TEXT(INT((AL57-1)/7)+1,"0")))</x:f>
        <x:v>B4</x:v>
      </x:c>
      <x:c r="AN57" s="60" t="n">
        <x:f>ROUND(0.6108*EXP(17.27*L57/(L57+237.3))*(1-N57/100),2)</x:f>
        <x:v>1.63</x:v>
      </x:c>
      <x:c r="AO57" s="60" t="n">
        <x:f>H57*G57/1000</x:f>
        <x:v>2.52</x:v>
      </x:c>
      <x:c r="AP57" s="60" t="n">
        <x:f>SUM($AO$2:AO57)</x:f>
        <x:v>98.27999999999994</x:v>
      </x:c>
      <x:c r="AQ57" t="n">
        <x:f>'01_Run_Config'!$B$17</x:f>
        <x:v>0</x:v>
      </x:c>
      <x:c r="AR57" t="n">
        <x:f>'01_Run_Config'!$B$22</x:f>
        <x:v>0</x:v>
      </x:c>
      <x:c r="AS57" t="n">
        <x:f>'01_Run_Config'!$B$25</x:f>
        <x:v>0</x:v>
      </x:c>
    </x:row>
    <x:row r="58">
      <x:c r="A58" s="34" t="n">
        <x:v>56</x:v>
      </x:c>
      <x:c r="B58" s="129" t="n">
        <x:f>'01_Run_Config'!$B$4+A58</x:f>
        <x:v>46298</x:v>
      </x:c>
      <x:c r="C58" s="63" t="n">
        <x:f>INT(A58/7)+1</x:f>
        <x:v>9</x:v>
      </x:c>
      <x:c r="D58" s="63" t="str">
        <x:f>"M"&amp;MIN(3,INT(A58/30)+1)</x:f>
        <x:v>M2</x:v>
      </x:c>
      <x:c r="E58" s="63" t="str">
        <x:f>IF(A58&lt;4,"Keimung",IF(A58&lt;8,"Etablierung",IF(A58&lt;15,"Early Veg",IF(A58&lt;'01_Run_Config'!$B$33,IF(A58&lt;22,"Veg / LST","Preflower-Watch"),IF(A58-'01_Run_Config'!$B$33&lt;=6,"Transition / Stretch ("&amp;AM58&amp;")",IF(A58-'01_Run_Config'!$B$33&lt;=13,"Early Flower ("&amp;AM58&amp;")",IF(A58-'01_Run_Config'!$B$33&lt;=20,"Flower I ("&amp;AM58&amp;")",IF(A58-'01_Run_Config'!$B$33&lt;=34,"Peak Flower ("&amp;AM58&amp;")",IF(A58-'01_Run_Config'!$B$33&lt;=41,"Late Flower ("&amp;AM58&amp;")",IF(A58-'01_Run_Config'!$B$33&lt;=48,"Ripening ("&amp;AM58&amp;")","Harvest / Extension ("&amp;AM58&amp;")"))))))))))</x:f>
        <x:v>Peak Flower (B5)</x:v>
      </x:c>
      <x:c r="F58" s="63" t="str">
        <x:f>IF(A58&lt;4,"Keimung + Wurzelstart",IF(A58&lt;8,"Sämling etablieren; Wurzelraum erschließen",IF(A58&lt;15,"kompakter Aufbau; LST erst bei Vitalität",IF(A58&lt;'01_Run_Config'!$B$33,"Canopy aufbauen; Preflower beobachten",IF(A58-'01_Run_Config'!$B$33&lt;=6,"Stretch kontrollieren; Bloom-Trigger dokumentieren",IF(A58-'01_Run_Config'!$B$33&lt;=13,"Blütenansatz stabilisieren",IF(A58-'01_Run_Config'!$B$33&lt;=20,"Blütenaufbau ohne neue Stressoren",IF(A58-'01_Run_Config'!$B$33&lt;=34,"stabile Peak-Photosynthese; Klima priorisieren",IF(A58-'01_Run_Config'!$B$33&lt;=41,"Qualität/Schimmelprävention",IF(A58-'01_Run_Config'!$B$33&lt;=48,"Reife ohne Überfütterung","Erntefenster nach Pflanze; keine Kalenderernte"))))))))))</x:f>
        <x:v>stabile Peak-Photosynthese; Klima priorisieren</x:v>
      </x:c>
      <x:c r="G58" s="63" t="n">
        <x:v>18</x:v>
      </x:c>
      <x:c r="H58" s="63" t="n">
        <x:v>140</x:v>
      </x:c>
      <x:c r="I58" s="63" t="n">
        <x:v>625</x:v>
      </x:c>
      <x:c r="J58" s="63" t="n">
        <x:f>I58*G58*3600/1000000</x:f>
        <x:v>40.5</x:v>
      </x:c>
      <x:c r="K58" s="63" t="n">
        <x:v>34</x:v>
      </x:c>
      <x:c r="L58" s="63" t="n">
        <x:v>24.5</x:v>
      </x:c>
      <x:c r="M58" s="63" t="n">
        <x:v>21</x:v>
      </x:c>
      <x:c r="N58" s="63" t="n">
        <x:v>47</x:v>
      </x:c>
      <x:c r="O58" s="63" t="n">
        <x:f>ROUND(0.6108*EXP(17.27*(L58+'01_Run_Config'!$B$34)/(L58+'01_Run_Config'!$B$34+237.3))-(N58/100)*0.6108*EXP(17.27*L58/(L58+237.3)),2)</x:f>
        <x:v>1.45</x:v>
      </x:c>
      <x:c r="P58" s="63" t="n">
        <x:f>IF(A58&lt;'01_Run_Config'!$B$32,0.55,IF(A58&lt;'01_Run_Config'!$B$33,IF(A58-'01_Run_Config'!$B$32&lt;=3,0.8,IF(A58-'01_Run_Config'!$B$32&lt;=10,1,IF(A58-'01_Run_Config'!$B$32&lt;=17,1.2,1.4))),IF(A58-'01_Run_Config'!$B$33&lt;=6,1.5,IF(A58-'01_Run_Config'!$B$33&lt;=13,1.6,IF(A58-'01_Run_Config'!$B$33&lt;=20,1.7,IF(A58-'01_Run_Config'!$B$33&lt;=34,1.8,IF(A58-'01_Run_Config'!$B$33&lt;=41,1.6,IF(A58-'01_Run_Config'!$B$33&lt;=48,1.4,1.15))))))))</x:f>
        <x:v>1.8</x:v>
      </x:c>
      <x:c r="Q58" s="63" t="n">
        <x:v>5.9</x:v>
      </x:c>
      <x:c r="R58" s="63" t="n">
        <x:v>0.9</x:v>
      </x:c>
      <x:c r="S58" s="63" t="n">
        <x:v>1.5</x:v>
      </x:c>
      <x:c r="T58" s="63" t="str">
        <x:f>IF(A58&lt;=7,"Manuell",'01_Run_Config'!$B$40)</x:f>
        <x:v>Manuell / indoor-freigegebene Automation</x:v>
      </x:c>
      <x:c r="U58" s="63" t="str">
        <x:f>IF(A58&lt;'01_Run_Config'!$B$32,"Kein Basisdünger",IF(A58&lt;'01_Run_Config'!$B$33,"HESI TNT","HESI Coco"))</x:f>
        <x:v>HESI Coco</x:v>
      </x:c>
      <x:c r="V58" s="63" t="n">
        <x:f>IF(A58&lt;'01_Run_Config'!$B$32,0,IF(A58&lt;'01_Run_Config'!$B$33,IF(A58-'01_Run_Config'!$B$32&lt;=3,1.25,IF(A58-'01_Run_Config'!$B$32&lt;=10,2,2.5)),IF(A58-'01_Run_Config'!$B$33&lt;=6,2.5,IF(A58-'01_Run_Config'!$B$33&lt;=13,3.25,IF(A58-'01_Run_Config'!$B$33&lt;=20,3.75,IF(A58-'01_Run_Config'!$B$33&lt;=34,4,IF(A58-'01_Run_Config'!$B$33&lt;=41,3.5,IF(A58-'01_Run_Config'!$B$33&lt;=48,2.5,1.5))))))))</x:f>
        <x:v>4</x:v>
      </x:c>
      <x:c r="W58" s="63" t="n">
        <x:f>IF(OR(A58='01_Run_Config'!$B$32,A58='01_Run_Config'!$B$32+6,A58='01_Run_Config'!$B$32+12),2.5,0)</x:f>
        <x:v>0</x:v>
      </x:c>
      <x:c r="X58" s="63" t="n">
        <x:f>IF(AND(A58&gt;='01_Run_Config'!$B$32+3,A58&lt;='01_Run_Config'!$B$33+35,MOD(A58-('01_Run_Config'!$B$32+3),7)=0),2,0)</x:f>
        <x:v>2</x:v>
      </x:c>
      <x:c r="Y58" s="63" t="n">
        <x:f>IF(A58&gt;='01_Run_Config'!$B$32,0.015,0)</x:f>
        <x:v>0.015</x:v>
      </x:c>
      <x:c r="Z58" s="63" t="n">
        <x:f>IF(AND('01_Run_Config'!$B$26="Hesilicio statt Balance",A58&gt;='01_Run_Config'!$B$32+3,MOD(A58-('01_Run_Config'!$B$32+3),7)=0,A58&lt;='01_Run_Config'!$B$33+35),0.5,0)</x:f>
        <x:v>0</x:v>
      </x:c>
      <x:c r="AA58" s="63" t="n">
        <x:f>IF(AND(A58&gt;='01_Run_Config'!$B$33,A58&lt;='01_Run_Config'!$B$33+35,MOD(A58-'01_Run_Config'!$B$33,7)=0),2,0)</x:f>
        <x:v>2</x:v>
      </x:c>
      <x:c r="AB58" s="63" t="n">
        <x:f>IF(A58='01_Run_Config'!$B$33+21,0.25,IF(A58='01_Run_Config'!$B$33+28,0.35,IF(A58='01_Run_Config'!$B$33+35,0.5,0)))</x:f>
        <x:v>0.35</x:v>
      </x:c>
      <x:c r="AC58" s="63" t="n">
        <x:f>IF(OR(A58='01_Run_Config'!$B$32,A58='01_Run_Config'!$B$32+7,A58='01_Run_Config'!$B$33+1,A58='01_Run_Config'!$B$33+8),2,0)</x:f>
        <x:v>0</x:v>
      </x:c>
      <x:c r="AD58" s="63" t="str">
        <x:f>IF(A58&lt;'01_Run_Config'!$B$33,"AN-Reference=0 außer Voodoo-Frischgaben",IF(AL58&lt;=7,"A/B: Bud Ignitor oder Mikrobenmodul; nicht Reference",IF(AL58&lt;=35,"A/B: Big Bud STATT HESI-PK; nicht additiv stapeln",IF(AL58&lt;=49,"A/B: Overdrive STATT spätem HESI-PK","AN-Booster auslaufen"))))</x:f>
        <x:v>A/B: Big Bud STATT HESI-PK; nicht additiv stapeln</x:v>
      </x:c>
      <x:c r="AE58" s="63" t="str">
        <x:v>Nur Support / Luftkanäle</x:v>
      </x:c>
      <x:c r="AF58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8" s="63" t="str">
        <x:v>EC nicht erhöhen bei steigender Diagnose-Drain-EC; PPFD nicht erhöhen bei Stress; Wasserband nie erzwingen; nie mehrere neue Booster gleichzeitig.</x:v>
      </x:c>
      <x:c r="AH58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5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8" s="201" t="str">
        <x:f>IF(A58&lt;'01_Run_Config'!$B$32,"—",IF(A58&lt;'01_Run_Config'!$B$33,"G"&amp;MIN(4,INT((A58-'01_Run_Config'!$B$32)/7)+1),AM58))</x:f>
        <x:v>B5</x:v>
      </x:c>
      <x:c r="AK58" s="35" t="str">
        <x:f>IF(A58&lt;'01_Run_Config'!$B$32,"Keine AN-Additive.",IF(A58&lt;'01_Run_Config'!$B$33,"Veg: Voodoo nur definierte Frischgaben; B-52/Piranha/Tarantula nur A/B; Sensizym nur statt PowerZyme; Rhino Skin AUS mit Athena Balance.",IF(AL58&lt;=7,"Frühblüte: Voodoo; Bud Ignitor/Piranha/Tarantula nur A/B; Rhino Skin AUS mit Balance.",IF(AL58&lt;=35,"Hauptblüte: Big Bud nur A/B STATT HESI-PK; Biostims einzeln testen.",IF(AL58&lt;=49,"Spätblüte: Overdrive nur A/B STATT spätem HESI-PK; keine neue zweite Variable.","Booster auslaufen / Reife priorisieren.")))))</x:f>
        <x:v>Hauptblüte: Big Bud nur A/B STATT HESI-PK; Biostims einzeln testen.</x:v>
      </x:c>
      <x:c r="AL58" s="60" t="n">
        <x:f>IF(A58&lt;'01_Run_Config'!$B$33,"",A58-'01_Run_Config'!$B$33+1)</x:f>
        <x:v>29</x:v>
      </x:c>
      <x:c r="AM58" s="60" t="str">
        <x:f>IF(AL58="","",IF(AL58&gt;49,CHAR(66)&amp;"7+",CHAR(66)&amp;TEXT(INT((AL58-1)/7)+1,"0")))</x:f>
        <x:v>B5</x:v>
      </x:c>
      <x:c r="AN58" s="60" t="n">
        <x:f>ROUND(0.6108*EXP(17.27*L58/(L58+237.3))*(1-N58/100),2)</x:f>
        <x:v>1.63</x:v>
      </x:c>
      <x:c r="AO58" s="60" t="n">
        <x:f>H58*G58/1000</x:f>
        <x:v>2.52</x:v>
      </x:c>
      <x:c r="AP58" s="60" t="n">
        <x:f>SUM($AO$2:AO58)</x:f>
        <x:v>100.79999999999994</x:v>
      </x:c>
      <x:c r="AQ58" t="n">
        <x:f>'01_Run_Config'!$B$17</x:f>
        <x:v>0</x:v>
      </x:c>
      <x:c r="AR58" t="n">
        <x:f>'01_Run_Config'!$B$22</x:f>
        <x:v>0</x:v>
      </x:c>
      <x:c r="AS58" t="n">
        <x:f>'01_Run_Config'!$B$25</x:f>
        <x:v>0</x:v>
      </x:c>
    </x:row>
    <x:row r="59">
      <x:c r="A59" s="34" t="n">
        <x:v>57</x:v>
      </x:c>
      <x:c r="B59" s="129" t="n">
        <x:f>'01_Run_Config'!$B$4+A59</x:f>
        <x:v>46299</x:v>
      </x:c>
      <x:c r="C59" s="63" t="n">
        <x:f>INT(A59/7)+1</x:f>
        <x:v>9</x:v>
      </x:c>
      <x:c r="D59" s="63" t="str">
        <x:f>"M"&amp;MIN(3,INT(A59/30)+1)</x:f>
        <x:v>M2</x:v>
      </x:c>
      <x:c r="E59" s="63" t="str">
        <x:f>IF(A59&lt;4,"Keimung",IF(A59&lt;8,"Etablierung",IF(A59&lt;15,"Early Veg",IF(A59&lt;'01_Run_Config'!$B$33,IF(A59&lt;22,"Veg / LST","Preflower-Watch"),IF(A59-'01_Run_Config'!$B$33&lt;=6,"Transition / Stretch ("&amp;AM59&amp;")",IF(A59-'01_Run_Config'!$B$33&lt;=13,"Early Flower ("&amp;AM59&amp;")",IF(A59-'01_Run_Config'!$B$33&lt;=20,"Flower I ("&amp;AM59&amp;")",IF(A59-'01_Run_Config'!$B$33&lt;=34,"Peak Flower ("&amp;AM59&amp;")",IF(A59-'01_Run_Config'!$B$33&lt;=41,"Late Flower ("&amp;AM59&amp;")",IF(A59-'01_Run_Config'!$B$33&lt;=48,"Ripening ("&amp;AM59&amp;")","Harvest / Extension ("&amp;AM59&amp;")"))))))))))</x:f>
        <x:v>Peak Flower (B5)</x:v>
      </x:c>
      <x:c r="F59" s="63" t="str">
        <x:f>IF(A59&lt;4,"Keimung + Wurzelstart",IF(A59&lt;8,"Sämling etablieren; Wurzelraum erschließen",IF(A59&lt;15,"kompakter Aufbau; LST erst bei Vitalität",IF(A59&lt;'01_Run_Config'!$B$33,"Canopy aufbauen; Preflower beobachten",IF(A59-'01_Run_Config'!$B$33&lt;=6,"Stretch kontrollieren; Bloom-Trigger dokumentieren",IF(A59-'01_Run_Config'!$B$33&lt;=13,"Blütenansatz stabilisieren",IF(A59-'01_Run_Config'!$B$33&lt;=20,"Blütenaufbau ohne neue Stressoren",IF(A59-'01_Run_Config'!$B$33&lt;=34,"stabile Peak-Photosynthese; Klima priorisieren",IF(A59-'01_Run_Config'!$B$33&lt;=41,"Qualität/Schimmelprävention",IF(A59-'01_Run_Config'!$B$33&lt;=48,"Reife ohne Überfütterung","Erntefenster nach Pflanze; keine Kalenderernte"))))))))))</x:f>
        <x:v>stabile Peak-Photosynthese; Klima priorisieren</x:v>
      </x:c>
      <x:c r="G59" s="63" t="n">
        <x:v>18</x:v>
      </x:c>
      <x:c r="H59" s="63" t="n">
        <x:v>130</x:v>
      </x:c>
      <x:c r="I59" s="63" t="n">
        <x:v>600</x:v>
      </x:c>
      <x:c r="J59" s="63" t="n">
        <x:f>I59*G59*3600/1000000</x:f>
        <x:v>38.88</x:v>
      </x:c>
      <x:c r="K59" s="63" t="n">
        <x:v>35</x:v>
      </x:c>
      <x:c r="L59" s="63" t="n">
        <x:v>24</x:v>
      </x:c>
      <x:c r="M59" s="63" t="n">
        <x:v>20.5</x:v>
      </x:c>
      <x:c r="N59" s="63" t="n">
        <x:v>45</x:v>
      </x:c>
      <x:c r="O59" s="63" t="n">
        <x:f>ROUND(0.6108*EXP(17.27*(L59+'01_Run_Config'!$B$34)/(L59+'01_Run_Config'!$B$34+237.3))-(N59/100)*0.6108*EXP(17.27*L59/(L59+237.3)),2)</x:f>
        <x:v>1.47</x:v>
      </x:c>
      <x:c r="P59" s="63" t="n">
        <x:f>IF(A59&lt;'01_Run_Config'!$B$32,0.55,IF(A59&lt;'01_Run_Config'!$B$33,IF(A59-'01_Run_Config'!$B$32&lt;=3,0.8,IF(A59-'01_Run_Config'!$B$32&lt;=10,1,IF(A59-'01_Run_Config'!$B$32&lt;=17,1.2,1.4))),IF(A59-'01_Run_Config'!$B$33&lt;=6,1.5,IF(A59-'01_Run_Config'!$B$33&lt;=13,1.6,IF(A59-'01_Run_Config'!$B$33&lt;=20,1.7,IF(A59-'01_Run_Config'!$B$33&lt;=34,1.8,IF(A59-'01_Run_Config'!$B$33&lt;=41,1.6,IF(A59-'01_Run_Config'!$B$33&lt;=48,1.4,1.15))))))))</x:f>
        <x:v>1.8</x:v>
      </x:c>
      <x:c r="Q59" s="63" t="n">
        <x:v>5.9</x:v>
      </x:c>
      <x:c r="R59" s="63" t="n">
        <x:v>0.8</x:v>
      </x:c>
      <x:c r="S59" s="63" t="n">
        <x:v>1.3</x:v>
      </x:c>
      <x:c r="T59" s="63" t="str">
        <x:f>IF(A59&lt;=7,"Manuell",'01_Run_Config'!$B$40)</x:f>
        <x:v>Manuell / indoor-freigegebene Automation</x:v>
      </x:c>
      <x:c r="U59" s="63" t="str">
        <x:f>IF(A59&lt;'01_Run_Config'!$B$32,"Kein Basisdünger",IF(A59&lt;'01_Run_Config'!$B$33,"HESI TNT","HESI Coco"))</x:f>
        <x:v>HESI Coco</x:v>
      </x:c>
      <x:c r="V59" s="63" t="n">
        <x:f>IF(A59&lt;'01_Run_Config'!$B$32,0,IF(A59&lt;'01_Run_Config'!$B$33,IF(A59-'01_Run_Config'!$B$32&lt;=3,1.25,IF(A59-'01_Run_Config'!$B$32&lt;=10,2,2.5)),IF(A59-'01_Run_Config'!$B$33&lt;=6,2.5,IF(A59-'01_Run_Config'!$B$33&lt;=13,3.25,IF(A59-'01_Run_Config'!$B$33&lt;=20,3.75,IF(A59-'01_Run_Config'!$B$33&lt;=34,4,IF(A59-'01_Run_Config'!$B$33&lt;=41,3.5,IF(A59-'01_Run_Config'!$B$33&lt;=48,2.5,1.5))))))))</x:f>
        <x:v>4</x:v>
      </x:c>
      <x:c r="W59" s="63" t="n">
        <x:f>IF(OR(A59='01_Run_Config'!$B$32,A59='01_Run_Config'!$B$32+6,A59='01_Run_Config'!$B$32+12),2.5,0)</x:f>
        <x:v>0</x:v>
      </x:c>
      <x:c r="X59" s="63" t="n">
        <x:f>IF(AND(A59&gt;='01_Run_Config'!$B$32+3,A59&lt;='01_Run_Config'!$B$33+35,MOD(A59-('01_Run_Config'!$B$32+3),7)=0),2,0)</x:f>
        <x:v>0</x:v>
      </x:c>
      <x:c r="Y59" s="63" t="n">
        <x:f>IF(A59&gt;='01_Run_Config'!$B$32,0.015,0)</x:f>
        <x:v>0.015</x:v>
      </x:c>
      <x:c r="Z59" s="63" t="n">
        <x:f>IF(AND('01_Run_Config'!$B$26="Hesilicio statt Balance",A59&gt;='01_Run_Config'!$B$32+3,MOD(A59-('01_Run_Config'!$B$32+3),7)=0,A59&lt;='01_Run_Config'!$B$33+35),0.5,0)</x:f>
        <x:v>0</x:v>
      </x:c>
      <x:c r="AA59" s="63" t="n">
        <x:f>IF(AND(A59&gt;='01_Run_Config'!$B$33,A59&lt;='01_Run_Config'!$B$33+35,MOD(A59-'01_Run_Config'!$B$33,7)=0),2,0)</x:f>
        <x:v>0</x:v>
      </x:c>
      <x:c r="AB59" s="63" t="n">
        <x:f>IF(A59='01_Run_Config'!$B$33+21,0.25,IF(A59='01_Run_Config'!$B$33+28,0.35,IF(A59='01_Run_Config'!$B$33+35,0.5,0)))</x:f>
        <x:v>0</x:v>
      </x:c>
      <x:c r="AC59" s="63" t="n">
        <x:f>IF(OR(A59='01_Run_Config'!$B$32,A59='01_Run_Config'!$B$32+7,A59='01_Run_Config'!$B$33+1,A59='01_Run_Config'!$B$33+8),2,0)</x:f>
        <x:v>0</x:v>
      </x:c>
      <x:c r="AD59" s="63" t="str">
        <x:f>IF(A59&lt;'01_Run_Config'!$B$33,"AN-Reference=0 außer Voodoo-Frischgaben",IF(AL59&lt;=7,"A/B: Bud Ignitor oder Mikrobenmodul; nicht Reference",IF(AL59&lt;=35,"A/B: Big Bud STATT HESI-PK; nicht additiv stapeln",IF(AL59&lt;=49,"A/B: Overdrive STATT spätem HESI-PK","AN-Booster auslaufen"))))</x:f>
        <x:v>A/B: Big Bud STATT HESI-PK; nicht additiv stapeln</x:v>
      </x:c>
      <x:c r="AE59" s="63" t="str">
        <x:v>Keine Strukturarbeit</x:v>
      </x:c>
      <x:c r="AF59" s="63" t="str">
        <x:v>Morgens Klima/Pflanze/Bewässerung/Leck; Mitte Lichtphase Blattwinkel; vor Dunkel LF/Drain/stehendes Wasser.</x:v>
      </x:c>
      <x:c r="AG59" s="63" t="str">
        <x:v>EC nicht erhöhen bei steigender Diagnose-Drain-EC; PPFD nicht erhöhen bei Stress; Wasserband nie erzwingen; nie mehrere neue Booster gleichzeitig.</x:v>
      </x:c>
      <x:c r="AH59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5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9" s="201" t="str">
        <x:f>IF(A59&lt;'01_Run_Config'!$B$32,"—",IF(A59&lt;'01_Run_Config'!$B$33,"G"&amp;MIN(4,INT((A59-'01_Run_Config'!$B$32)/7)+1),AM59))</x:f>
        <x:v>B5</x:v>
      </x:c>
      <x:c r="AK59" s="35" t="str">
        <x:f>IF(A59&lt;'01_Run_Config'!$B$32,"Keine AN-Additive.",IF(A59&lt;'01_Run_Config'!$B$33,"Veg: Voodoo nur definierte Frischgaben; B-52/Piranha/Tarantula nur A/B; Sensizym nur statt PowerZyme; Rhino Skin AUS mit Athena Balance.",IF(AL59&lt;=7,"Frühblüte: Voodoo; Bud Ignitor/Piranha/Tarantula nur A/B; Rhino Skin AUS mit Balance.",IF(AL59&lt;=35,"Hauptblüte: Big Bud nur A/B STATT HESI-PK; Biostims einzeln testen.",IF(AL59&lt;=49,"Spätblüte: Overdrive nur A/B STATT spätem HESI-PK; keine neue zweite Variable.","Booster auslaufen / Reife priorisieren.")))))</x:f>
        <x:v>Hauptblüte: Big Bud nur A/B STATT HESI-PK; Biostims einzeln testen.</x:v>
      </x:c>
      <x:c r="AL59" s="60" t="n">
        <x:f>IF(A59&lt;'01_Run_Config'!$B$33,"",A59-'01_Run_Config'!$B$33+1)</x:f>
        <x:v>30</x:v>
      </x:c>
      <x:c r="AM59" s="60" t="str">
        <x:f>IF(AL59="","",IF(AL59&gt;49,CHAR(66)&amp;"7+",CHAR(66)&amp;TEXT(INT((AL59-1)/7)+1,"0")))</x:f>
        <x:v>B5</x:v>
      </x:c>
      <x:c r="AN59" s="60" t="n">
        <x:f>ROUND(0.6108*EXP(17.27*L59/(L59+237.3))*(1-N59/100),2)</x:f>
        <x:v>1.64</x:v>
      </x:c>
      <x:c r="AO59" s="60" t="n">
        <x:f>H59*G59/1000</x:f>
        <x:v>2.34</x:v>
      </x:c>
      <x:c r="AP59" s="60" t="n">
        <x:f>SUM($AO$2:AO59)</x:f>
        <x:v>103.13999999999994</x:v>
      </x:c>
      <x:c r="AQ59" t="n">
        <x:f>'01_Run_Config'!$B$17</x:f>
        <x:v>0</x:v>
      </x:c>
      <x:c r="AR59" t="n">
        <x:f>'01_Run_Config'!$B$22</x:f>
        <x:v>0</x:v>
      </x:c>
      <x:c r="AS59" t="n">
        <x:f>'01_Run_Config'!$B$25</x:f>
        <x:v>0</x:v>
      </x:c>
    </x:row>
    <x:row r="60">
      <x:c r="A60" s="34" t="n">
        <x:v>58</x:v>
      </x:c>
      <x:c r="B60" s="129" t="n">
        <x:f>'01_Run_Config'!$B$4+A60</x:f>
        <x:v>46300</x:v>
      </x:c>
      <x:c r="C60" s="63" t="n">
        <x:f>INT(A60/7)+1</x:f>
        <x:v>9</x:v>
      </x:c>
      <x:c r="D60" s="63" t="str">
        <x:f>"M"&amp;MIN(3,INT(A60/30)+1)</x:f>
        <x:v>M2</x:v>
      </x:c>
      <x:c r="E60" s="63" t="str">
        <x:f>IF(A60&lt;4,"Keimung",IF(A60&lt;8,"Etablierung",IF(A60&lt;15,"Early Veg",IF(A60&lt;'01_Run_Config'!$B$33,IF(A60&lt;22,"Veg / LST","Preflower-Watch"),IF(A60-'01_Run_Config'!$B$33&lt;=6,"Transition / Stretch ("&amp;AM60&amp;")",IF(A60-'01_Run_Config'!$B$33&lt;=13,"Early Flower ("&amp;AM60&amp;")",IF(A60-'01_Run_Config'!$B$33&lt;=20,"Flower I ("&amp;AM60&amp;")",IF(A60-'01_Run_Config'!$B$33&lt;=34,"Peak Flower ("&amp;AM60&amp;")",IF(A60-'01_Run_Config'!$B$33&lt;=41,"Late Flower ("&amp;AM60&amp;")",IF(A60-'01_Run_Config'!$B$33&lt;=48,"Ripening ("&amp;AM60&amp;")","Harvest / Extension ("&amp;AM60&amp;")"))))))))))</x:f>
        <x:v>Peak Flower (B5)</x:v>
      </x:c>
      <x:c r="F60" s="63" t="str">
        <x:f>IF(A60&lt;4,"Keimung + Wurzelstart",IF(A60&lt;8,"Sämling etablieren; Wurzelraum erschließen",IF(A60&lt;15,"kompakter Aufbau; LST erst bei Vitalität",IF(A60&lt;'01_Run_Config'!$B$33,"Canopy aufbauen; Preflower beobachten",IF(A60-'01_Run_Config'!$B$33&lt;=6,"Stretch kontrollieren; Bloom-Trigger dokumentieren",IF(A60-'01_Run_Config'!$B$33&lt;=13,"Blütenansatz stabilisieren",IF(A60-'01_Run_Config'!$B$33&lt;=20,"Blütenaufbau ohne neue Stressoren",IF(A60-'01_Run_Config'!$B$33&lt;=34,"stabile Peak-Photosynthese; Klima priorisieren",IF(A60-'01_Run_Config'!$B$33&lt;=41,"Qualität/Schimmelprävention",IF(A60-'01_Run_Config'!$B$33&lt;=48,"Reife ohne Überfütterung","Erntefenster nach Pflanze; keine Kalenderernte"))))))))))</x:f>
        <x:v>stabile Peak-Photosynthese; Klima priorisieren</x:v>
      </x:c>
      <x:c r="G60" s="63" t="n">
        <x:v>18</x:v>
      </x:c>
      <x:c r="H60" s="63" t="n">
        <x:v>130</x:v>
      </x:c>
      <x:c r="I60" s="63" t="n">
        <x:v>600</x:v>
      </x:c>
      <x:c r="J60" s="63" t="n">
        <x:f>I60*G60*3600/1000000</x:f>
        <x:v>38.88</x:v>
      </x:c>
      <x:c r="K60" s="63" t="n">
        <x:v>35</x:v>
      </x:c>
      <x:c r="L60" s="63" t="n">
        <x:v>24</x:v>
      </x:c>
      <x:c r="M60" s="63" t="n">
        <x:v>20.5</x:v>
      </x:c>
      <x:c r="N60" s="63" t="n">
        <x:v>45</x:v>
      </x:c>
      <x:c r="O60" s="63" t="n">
        <x:f>ROUND(0.6108*EXP(17.27*(L60+'01_Run_Config'!$B$34)/(L60+'01_Run_Config'!$B$34+237.3))-(N60/100)*0.6108*EXP(17.27*L60/(L60+237.3)),2)</x:f>
        <x:v>1.47</x:v>
      </x:c>
      <x:c r="P60" s="63" t="n">
        <x:f>IF(A60&lt;'01_Run_Config'!$B$32,0.55,IF(A60&lt;'01_Run_Config'!$B$33,IF(A60-'01_Run_Config'!$B$32&lt;=3,0.8,IF(A60-'01_Run_Config'!$B$32&lt;=10,1,IF(A60-'01_Run_Config'!$B$32&lt;=17,1.2,1.4))),IF(A60-'01_Run_Config'!$B$33&lt;=6,1.5,IF(A60-'01_Run_Config'!$B$33&lt;=13,1.6,IF(A60-'01_Run_Config'!$B$33&lt;=20,1.7,IF(A60-'01_Run_Config'!$B$33&lt;=34,1.8,IF(A60-'01_Run_Config'!$B$33&lt;=41,1.6,IF(A60-'01_Run_Config'!$B$33&lt;=48,1.4,1.15))))))))</x:f>
        <x:v>1.8</x:v>
      </x:c>
      <x:c r="Q60" s="63" t="n">
        <x:v>5.9</x:v>
      </x:c>
      <x:c r="R60" s="63" t="n">
        <x:v>0.8</x:v>
      </x:c>
      <x:c r="S60" s="63" t="n">
        <x:v>1.3</x:v>
      </x:c>
      <x:c r="T60" s="63" t="str">
        <x:f>IF(A60&lt;=7,"Manuell",'01_Run_Config'!$B$40)</x:f>
        <x:v>Manuell / indoor-freigegebene Automation</x:v>
      </x:c>
      <x:c r="U60" s="63" t="str">
        <x:f>IF(A60&lt;'01_Run_Config'!$B$32,"Kein Basisdünger",IF(A60&lt;'01_Run_Config'!$B$33,"HESI TNT","HESI Coco"))</x:f>
        <x:v>HESI Coco</x:v>
      </x:c>
      <x:c r="V60" s="63" t="n">
        <x:f>IF(A60&lt;'01_Run_Config'!$B$32,0,IF(A60&lt;'01_Run_Config'!$B$33,IF(A60-'01_Run_Config'!$B$32&lt;=3,1.25,IF(A60-'01_Run_Config'!$B$32&lt;=10,2,2.5)),IF(A60-'01_Run_Config'!$B$33&lt;=6,2.5,IF(A60-'01_Run_Config'!$B$33&lt;=13,3.25,IF(A60-'01_Run_Config'!$B$33&lt;=20,3.75,IF(A60-'01_Run_Config'!$B$33&lt;=34,4,IF(A60-'01_Run_Config'!$B$33&lt;=41,3.5,IF(A60-'01_Run_Config'!$B$33&lt;=48,2.5,1.5))))))))</x:f>
        <x:v>4</x:v>
      </x:c>
      <x:c r="W60" s="63" t="n">
        <x:f>IF(OR(A60='01_Run_Config'!$B$32,A60='01_Run_Config'!$B$32+6,A60='01_Run_Config'!$B$32+12),2.5,0)</x:f>
        <x:v>0</x:v>
      </x:c>
      <x:c r="X60" s="63" t="n">
        <x:f>IF(AND(A60&gt;='01_Run_Config'!$B$32+3,A60&lt;='01_Run_Config'!$B$33+35,MOD(A60-('01_Run_Config'!$B$32+3),7)=0),2,0)</x:f>
        <x:v>0</x:v>
      </x:c>
      <x:c r="Y60" s="63" t="n">
        <x:f>IF(A60&gt;='01_Run_Config'!$B$32,0.015,0)</x:f>
        <x:v>0.015</x:v>
      </x:c>
      <x:c r="Z60" s="63" t="n">
        <x:f>IF(AND('01_Run_Config'!$B$26="Hesilicio statt Balance",A60&gt;='01_Run_Config'!$B$32+3,MOD(A60-('01_Run_Config'!$B$32+3),7)=0,A60&lt;='01_Run_Config'!$B$33+35),0.5,0)</x:f>
        <x:v>0</x:v>
      </x:c>
      <x:c r="AA60" s="63" t="n">
        <x:f>IF(AND(A60&gt;='01_Run_Config'!$B$33,A60&lt;='01_Run_Config'!$B$33+35,MOD(A60-'01_Run_Config'!$B$33,7)=0),2,0)</x:f>
        <x:v>0</x:v>
      </x:c>
      <x:c r="AB60" s="63" t="n">
        <x:f>IF(A60='01_Run_Config'!$B$33+21,0.25,IF(A60='01_Run_Config'!$B$33+28,0.35,IF(A60='01_Run_Config'!$B$33+35,0.5,0)))</x:f>
        <x:v>0</x:v>
      </x:c>
      <x:c r="AC60" s="63" t="n">
        <x:f>IF(OR(A60='01_Run_Config'!$B$32,A60='01_Run_Config'!$B$32+7,A60='01_Run_Config'!$B$33+1,A60='01_Run_Config'!$B$33+8),2,0)</x:f>
        <x:v>0</x:v>
      </x:c>
      <x:c r="AD60" s="63" t="str">
        <x:f>IF(A60&lt;'01_Run_Config'!$B$33,"AN-Reference=0 außer Voodoo-Frischgaben",IF(AL60&lt;=7,"A/B: Bud Ignitor oder Mikrobenmodul; nicht Reference",IF(AL60&lt;=35,"A/B: Big Bud STATT HESI-PK; nicht additiv stapeln",IF(AL60&lt;=49,"A/B: Overdrive STATT spätem HESI-PK","AN-Booster auslaufen"))))</x:f>
        <x:v>A/B: Big Bud STATT HESI-PK; nicht additiv stapeln</x:v>
      </x:c>
      <x:c r="AE60" s="63" t="str">
        <x:v>Keine Strukturarbeit</x:v>
      </x:c>
      <x:c r="AF60" s="63" t="str">
        <x:v>Morgens Klima/Pflanze/Bewässerung/Leck; Mitte Lichtphase Blattwinkel; vor Dunkel LF/Drain/stehendes Wasser.</x:v>
      </x:c>
      <x:c r="AG60" s="63" t="str">
        <x:v>EC nicht erhöhen bei steigender Diagnose-Drain-EC; PPFD nicht erhöhen bei Stress; Wasserband nie erzwingen; nie mehrere neue Booster gleichzeitig.</x:v>
      </x:c>
      <x:c r="AH60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6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0" s="201" t="str">
        <x:f>IF(A60&lt;'01_Run_Config'!$B$32,"—",IF(A60&lt;'01_Run_Config'!$B$33,"G"&amp;MIN(4,INT((A60-'01_Run_Config'!$B$32)/7)+1),AM60))</x:f>
        <x:v>B5</x:v>
      </x:c>
      <x:c r="AK60" s="35" t="str">
        <x:f>IF(A60&lt;'01_Run_Config'!$B$32,"Keine AN-Additive.",IF(A60&lt;'01_Run_Config'!$B$33,"Veg: Voodoo nur definierte Frischgaben; B-52/Piranha/Tarantula nur A/B; Sensizym nur statt PowerZyme; Rhino Skin AUS mit Athena Balance.",IF(AL60&lt;=7,"Frühblüte: Voodoo; Bud Ignitor/Piranha/Tarantula nur A/B; Rhino Skin AUS mit Balance.",IF(AL60&lt;=35,"Hauptblüte: Big Bud nur A/B STATT HESI-PK; Biostims einzeln testen.",IF(AL60&lt;=49,"Spätblüte: Overdrive nur A/B STATT spätem HESI-PK; keine neue zweite Variable.","Booster auslaufen / Reife priorisieren.")))))</x:f>
        <x:v>Hauptblüte: Big Bud nur A/B STATT HESI-PK; Biostims einzeln testen.</x:v>
      </x:c>
      <x:c r="AL60" s="60" t="n">
        <x:f>IF(A60&lt;'01_Run_Config'!$B$33,"",A60-'01_Run_Config'!$B$33+1)</x:f>
        <x:v>31</x:v>
      </x:c>
      <x:c r="AM60" s="60" t="str">
        <x:f>IF(AL60="","",IF(AL60&gt;49,CHAR(66)&amp;"7+",CHAR(66)&amp;TEXT(INT((AL60-1)/7)+1,"0")))</x:f>
        <x:v>B5</x:v>
      </x:c>
      <x:c r="AN60" s="60" t="n">
        <x:f>ROUND(0.6108*EXP(17.27*L60/(L60+237.3))*(1-N60/100),2)</x:f>
        <x:v>1.64</x:v>
      </x:c>
      <x:c r="AO60" s="60" t="n">
        <x:f>H60*G60/1000</x:f>
        <x:v>2.34</x:v>
      </x:c>
      <x:c r="AP60" s="60" t="n">
        <x:f>SUM($AO$2:AO60)</x:f>
        <x:v>105.47999999999995</x:v>
      </x:c>
      <x:c r="AQ60" t="n">
        <x:f>'01_Run_Config'!$B$17</x:f>
        <x:v>0</x:v>
      </x:c>
      <x:c r="AR60" t="n">
        <x:f>'01_Run_Config'!$B$22</x:f>
        <x:v>0</x:v>
      </x:c>
      <x:c r="AS60" t="n">
        <x:f>'01_Run_Config'!$B$25</x:f>
        <x:v>0</x:v>
      </x:c>
    </x:row>
    <x:row r="61">
      <x:c r="A61" s="34" t="n">
        <x:v>59</x:v>
      </x:c>
      <x:c r="B61" s="129" t="n">
        <x:f>'01_Run_Config'!$B$4+A61</x:f>
        <x:v>46301</x:v>
      </x:c>
      <x:c r="C61" s="63" t="n">
        <x:f>INT(A61/7)+1</x:f>
        <x:v>9</x:v>
      </x:c>
      <x:c r="D61" s="63" t="str">
        <x:f>"M"&amp;MIN(3,INT(A61/30)+1)</x:f>
        <x:v>M2</x:v>
      </x:c>
      <x:c r="E61" s="63" t="str">
        <x:f>IF(A61&lt;4,"Keimung",IF(A61&lt;8,"Etablierung",IF(A61&lt;15,"Early Veg",IF(A61&lt;'01_Run_Config'!$B$33,IF(A61&lt;22,"Veg / LST","Preflower-Watch"),IF(A61-'01_Run_Config'!$B$33&lt;=6,"Transition / Stretch ("&amp;AM61&amp;")",IF(A61-'01_Run_Config'!$B$33&lt;=13,"Early Flower ("&amp;AM61&amp;")",IF(A61-'01_Run_Config'!$B$33&lt;=20,"Flower I ("&amp;AM61&amp;")",IF(A61-'01_Run_Config'!$B$33&lt;=34,"Peak Flower ("&amp;AM61&amp;")",IF(A61-'01_Run_Config'!$B$33&lt;=41,"Late Flower ("&amp;AM61&amp;")",IF(A61-'01_Run_Config'!$B$33&lt;=48,"Ripening ("&amp;AM61&amp;")","Harvest / Extension ("&amp;AM61&amp;")"))))))))))</x:f>
        <x:v>Peak Flower (B5)</x:v>
      </x:c>
      <x:c r="F61" s="63" t="str">
        <x:f>IF(A61&lt;4,"Keimung + Wurzelstart",IF(A61&lt;8,"Sämling etablieren; Wurzelraum erschließen",IF(A61&lt;15,"kompakter Aufbau; LST erst bei Vitalität",IF(A61&lt;'01_Run_Config'!$B$33,"Canopy aufbauen; Preflower beobachten",IF(A61-'01_Run_Config'!$B$33&lt;=6,"Stretch kontrollieren; Bloom-Trigger dokumentieren",IF(A61-'01_Run_Config'!$B$33&lt;=13,"Blütenansatz stabilisieren",IF(A61-'01_Run_Config'!$B$33&lt;=20,"Blütenaufbau ohne neue Stressoren",IF(A61-'01_Run_Config'!$B$33&lt;=34,"stabile Peak-Photosynthese; Klima priorisieren",IF(A61-'01_Run_Config'!$B$33&lt;=41,"Qualität/Schimmelprävention",IF(A61-'01_Run_Config'!$B$33&lt;=48,"Reife ohne Überfütterung","Erntefenster nach Pflanze; keine Kalenderernte"))))))))))</x:f>
        <x:v>stabile Peak-Photosynthese; Klima priorisieren</x:v>
      </x:c>
      <x:c r="G61" s="63" t="n">
        <x:v>18</x:v>
      </x:c>
      <x:c r="H61" s="63" t="n">
        <x:v>130</x:v>
      </x:c>
      <x:c r="I61" s="63" t="n">
        <x:v>600</x:v>
      </x:c>
      <x:c r="J61" s="63" t="n">
        <x:f>I61*G61*3600/1000000</x:f>
        <x:v>38.88</x:v>
      </x:c>
      <x:c r="K61" s="63" t="n">
        <x:v>35</x:v>
      </x:c>
      <x:c r="L61" s="63" t="n">
        <x:v>24</x:v>
      </x:c>
      <x:c r="M61" s="63" t="n">
        <x:v>20.5</x:v>
      </x:c>
      <x:c r="N61" s="63" t="n">
        <x:v>45</x:v>
      </x:c>
      <x:c r="O61" s="63" t="n">
        <x:f>ROUND(0.6108*EXP(17.27*(L61+'01_Run_Config'!$B$34)/(L61+'01_Run_Config'!$B$34+237.3))-(N61/100)*0.6108*EXP(17.27*L61/(L61+237.3)),2)</x:f>
        <x:v>1.47</x:v>
      </x:c>
      <x:c r="P61" s="63" t="n">
        <x:f>IF(A61&lt;'01_Run_Config'!$B$32,0.55,IF(A61&lt;'01_Run_Config'!$B$33,IF(A61-'01_Run_Config'!$B$32&lt;=3,0.8,IF(A61-'01_Run_Config'!$B$32&lt;=10,1,IF(A61-'01_Run_Config'!$B$32&lt;=17,1.2,1.4))),IF(A61-'01_Run_Config'!$B$33&lt;=6,1.5,IF(A61-'01_Run_Config'!$B$33&lt;=13,1.6,IF(A61-'01_Run_Config'!$B$33&lt;=20,1.7,IF(A61-'01_Run_Config'!$B$33&lt;=34,1.8,IF(A61-'01_Run_Config'!$B$33&lt;=41,1.6,IF(A61-'01_Run_Config'!$B$33&lt;=48,1.4,1.15))))))))</x:f>
        <x:v>1.8</x:v>
      </x:c>
      <x:c r="Q61" s="63" t="n">
        <x:v>5.9</x:v>
      </x:c>
      <x:c r="R61" s="63" t="n">
        <x:v>0.8</x:v>
      </x:c>
      <x:c r="S61" s="63" t="n">
        <x:v>1.3</x:v>
      </x:c>
      <x:c r="T61" s="63" t="str">
        <x:f>IF(A61&lt;=7,"Manuell",'01_Run_Config'!$B$40)</x:f>
        <x:v>Manuell / indoor-freigegebene Automation</x:v>
      </x:c>
      <x:c r="U61" s="63" t="str">
        <x:f>IF(A61&lt;'01_Run_Config'!$B$32,"Kein Basisdünger",IF(A61&lt;'01_Run_Config'!$B$33,"HESI TNT","HESI Coco"))</x:f>
        <x:v>HESI Coco</x:v>
      </x:c>
      <x:c r="V61" s="63" t="n">
        <x:f>IF(A61&lt;'01_Run_Config'!$B$32,0,IF(A61&lt;'01_Run_Config'!$B$33,IF(A61-'01_Run_Config'!$B$32&lt;=3,1.25,IF(A61-'01_Run_Config'!$B$32&lt;=10,2,2.5)),IF(A61-'01_Run_Config'!$B$33&lt;=6,2.5,IF(A61-'01_Run_Config'!$B$33&lt;=13,3.25,IF(A61-'01_Run_Config'!$B$33&lt;=20,3.75,IF(A61-'01_Run_Config'!$B$33&lt;=34,4,IF(A61-'01_Run_Config'!$B$33&lt;=41,3.5,IF(A61-'01_Run_Config'!$B$33&lt;=48,2.5,1.5))))))))</x:f>
        <x:v>4</x:v>
      </x:c>
      <x:c r="W61" s="63" t="n">
        <x:f>IF(OR(A61='01_Run_Config'!$B$32,A61='01_Run_Config'!$B$32+6,A61='01_Run_Config'!$B$32+12),2.5,0)</x:f>
        <x:v>0</x:v>
      </x:c>
      <x:c r="X61" s="63" t="n">
        <x:f>IF(AND(A61&gt;='01_Run_Config'!$B$32+3,A61&lt;='01_Run_Config'!$B$33+35,MOD(A61-('01_Run_Config'!$B$32+3),7)=0),2,0)</x:f>
        <x:v>0</x:v>
      </x:c>
      <x:c r="Y61" s="63" t="n">
        <x:f>IF(A61&gt;='01_Run_Config'!$B$32,0.015,0)</x:f>
        <x:v>0.015</x:v>
      </x:c>
      <x:c r="Z61" s="63" t="n">
        <x:f>IF(AND('01_Run_Config'!$B$26="Hesilicio statt Balance",A61&gt;='01_Run_Config'!$B$32+3,MOD(A61-('01_Run_Config'!$B$32+3),7)=0,A61&lt;='01_Run_Config'!$B$33+35),0.5,0)</x:f>
        <x:v>0</x:v>
      </x:c>
      <x:c r="AA61" s="63" t="n">
        <x:f>IF(AND(A61&gt;='01_Run_Config'!$B$33,A61&lt;='01_Run_Config'!$B$33+35,MOD(A61-'01_Run_Config'!$B$33,7)=0),2,0)</x:f>
        <x:v>0</x:v>
      </x:c>
      <x:c r="AB61" s="63" t="n">
        <x:f>IF(A61='01_Run_Config'!$B$33+21,0.25,IF(A61='01_Run_Config'!$B$33+28,0.35,IF(A61='01_Run_Config'!$B$33+35,0.5,0)))</x:f>
        <x:v>0</x:v>
      </x:c>
      <x:c r="AC61" s="63" t="n">
        <x:f>IF(OR(A61='01_Run_Config'!$B$32,A61='01_Run_Config'!$B$32+7,A61='01_Run_Config'!$B$33+1,A61='01_Run_Config'!$B$33+8),2,0)</x:f>
        <x:v>0</x:v>
      </x:c>
      <x:c r="AD61" s="63" t="str">
        <x:f>IF(A61&lt;'01_Run_Config'!$B$33,"AN-Reference=0 außer Voodoo-Frischgaben",IF(AL61&lt;=7,"A/B: Bud Ignitor oder Mikrobenmodul; nicht Reference",IF(AL61&lt;=35,"A/B: Big Bud STATT HESI-PK; nicht additiv stapeln",IF(AL61&lt;=49,"A/B: Overdrive STATT spätem HESI-PK","AN-Booster auslaufen"))))</x:f>
        <x:v>A/B: Big Bud STATT HESI-PK; nicht additiv stapeln</x:v>
      </x:c>
      <x:c r="AE61" s="63" t="str">
        <x:v>Keine Strukturarbeit</x:v>
      </x:c>
      <x:c r="AF61" s="63" t="str">
        <x:v>Morgens Klima/Pflanze/Bewässerung/Leck; Mitte Lichtphase Blattwinkel; vor Dunkel LF/Drain/stehendes Wasser.</x:v>
      </x:c>
      <x:c r="AG61" s="63" t="str">
        <x:v>EC nicht erhöhen bei steigender Diagnose-Drain-EC; PPFD nicht erhöhen bei Stress; Wasserband nie erzwingen; nie mehrere neue Booster gleichzeitig.</x:v>
      </x:c>
      <x:c r="AH61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6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1" s="201" t="str">
        <x:f>IF(A61&lt;'01_Run_Config'!$B$32,"—",IF(A61&lt;'01_Run_Config'!$B$33,"G"&amp;MIN(4,INT((A61-'01_Run_Config'!$B$32)/7)+1),AM61))</x:f>
        <x:v>B5</x:v>
      </x:c>
      <x:c r="AK61" s="35" t="str">
        <x:f>IF(A61&lt;'01_Run_Config'!$B$32,"Keine AN-Additive.",IF(A61&lt;'01_Run_Config'!$B$33,"Veg: Voodoo nur definierte Frischgaben; B-52/Piranha/Tarantula nur A/B; Sensizym nur statt PowerZyme; Rhino Skin AUS mit Athena Balance.",IF(AL61&lt;=7,"Frühblüte: Voodoo; Bud Ignitor/Piranha/Tarantula nur A/B; Rhino Skin AUS mit Balance.",IF(AL61&lt;=35,"Hauptblüte: Big Bud nur A/B STATT HESI-PK; Biostims einzeln testen.",IF(AL61&lt;=49,"Spätblüte: Overdrive nur A/B STATT spätem HESI-PK; keine neue zweite Variable.","Booster auslaufen / Reife priorisieren.")))))</x:f>
        <x:v>Hauptblüte: Big Bud nur A/B STATT HESI-PK; Biostims einzeln testen.</x:v>
      </x:c>
      <x:c r="AL61" s="60" t="n">
        <x:f>IF(A61&lt;'01_Run_Config'!$B$33,"",A61-'01_Run_Config'!$B$33+1)</x:f>
        <x:v>32</x:v>
      </x:c>
      <x:c r="AM61" s="60" t="str">
        <x:f>IF(AL61="","",IF(AL61&gt;49,CHAR(66)&amp;"7+",CHAR(66)&amp;TEXT(INT((AL61-1)/7)+1,"0")))</x:f>
        <x:v>B5</x:v>
      </x:c>
      <x:c r="AN61" s="60" t="n">
        <x:f>ROUND(0.6108*EXP(17.27*L61/(L61+237.3))*(1-N61/100),2)</x:f>
        <x:v>1.64</x:v>
      </x:c>
      <x:c r="AO61" s="60" t="n">
        <x:f>H61*G61/1000</x:f>
        <x:v>2.34</x:v>
      </x:c>
      <x:c r="AP61" s="60" t="n">
        <x:f>SUM($AO$2:AO61)</x:f>
        <x:v>107.81999999999995</x:v>
      </x:c>
      <x:c r="AQ61" t="n">
        <x:f>'01_Run_Config'!$B$17</x:f>
        <x:v>0</x:v>
      </x:c>
      <x:c r="AR61" t="n">
        <x:f>'01_Run_Config'!$B$22</x:f>
        <x:v>0</x:v>
      </x:c>
      <x:c r="AS61" t="n">
        <x:f>'01_Run_Config'!$B$25</x:f>
        <x:v>0</x:v>
      </x:c>
    </x:row>
    <x:row r="62">
      <x:c r="A62" s="34" t="n">
        <x:v>60</x:v>
      </x:c>
      <x:c r="B62" s="129" t="n">
        <x:f>'01_Run_Config'!$B$4+A62</x:f>
        <x:v>46302</x:v>
      </x:c>
      <x:c r="C62" s="63" t="n">
        <x:f>INT(A62/7)+1</x:f>
        <x:v>9</x:v>
      </x:c>
      <x:c r="D62" s="63" t="str">
        <x:f>"M"&amp;MIN(3,INT(A62/30)+1)</x:f>
        <x:v>M3</x:v>
      </x:c>
      <x:c r="E62" s="63" t="str">
        <x:f>IF(A62&lt;4,"Keimung",IF(A62&lt;8,"Etablierung",IF(A62&lt;15,"Early Veg",IF(A62&lt;'01_Run_Config'!$B$33,IF(A62&lt;22,"Veg / LST","Preflower-Watch"),IF(A62-'01_Run_Config'!$B$33&lt;=6,"Transition / Stretch ("&amp;AM62&amp;")",IF(A62-'01_Run_Config'!$B$33&lt;=13,"Early Flower ("&amp;AM62&amp;")",IF(A62-'01_Run_Config'!$B$33&lt;=20,"Flower I ("&amp;AM62&amp;")",IF(A62-'01_Run_Config'!$B$33&lt;=34,"Peak Flower ("&amp;AM62&amp;")",IF(A62-'01_Run_Config'!$B$33&lt;=41,"Late Flower ("&amp;AM62&amp;")",IF(A62-'01_Run_Config'!$B$33&lt;=48,"Ripening ("&amp;AM62&amp;")","Harvest / Extension ("&amp;AM62&amp;")"))))))))))</x:f>
        <x:v>Peak Flower (B5)</x:v>
      </x:c>
      <x:c r="F62" s="63" t="str">
        <x:f>IF(A62&lt;4,"Keimung + Wurzelstart",IF(A62&lt;8,"Sämling etablieren; Wurzelraum erschließen",IF(A62&lt;15,"kompakter Aufbau; LST erst bei Vitalität",IF(A62&lt;'01_Run_Config'!$B$33,"Canopy aufbauen; Preflower beobachten",IF(A62-'01_Run_Config'!$B$33&lt;=6,"Stretch kontrollieren; Bloom-Trigger dokumentieren",IF(A62-'01_Run_Config'!$B$33&lt;=13,"Blütenansatz stabilisieren",IF(A62-'01_Run_Config'!$B$33&lt;=20,"Blütenaufbau ohne neue Stressoren",IF(A62-'01_Run_Config'!$B$33&lt;=34,"stabile Peak-Photosynthese; Klima priorisieren",IF(A62-'01_Run_Config'!$B$33&lt;=41,"Qualität/Schimmelprävention",IF(A62-'01_Run_Config'!$B$33&lt;=48,"Reife ohne Überfütterung","Erntefenster nach Pflanze; keine Kalenderernte"))))))))))</x:f>
        <x:v>stabile Peak-Photosynthese; Klima priorisieren</x:v>
      </x:c>
      <x:c r="G62" s="63" t="n">
        <x:v>18</x:v>
      </x:c>
      <x:c r="H62" s="63" t="n">
        <x:v>130</x:v>
      </x:c>
      <x:c r="I62" s="63" t="n">
        <x:v>600</x:v>
      </x:c>
      <x:c r="J62" s="63" t="n">
        <x:f>I62*G62*3600/1000000</x:f>
        <x:v>38.88</x:v>
      </x:c>
      <x:c r="K62" s="63" t="n">
        <x:v>35</x:v>
      </x:c>
      <x:c r="L62" s="63" t="n">
        <x:v>24</x:v>
      </x:c>
      <x:c r="M62" s="63" t="n">
        <x:v>20.5</x:v>
      </x:c>
      <x:c r="N62" s="63" t="n">
        <x:v>45</x:v>
      </x:c>
      <x:c r="O62" s="63" t="n">
        <x:f>ROUND(0.6108*EXP(17.27*(L62+'01_Run_Config'!$B$34)/(L62+'01_Run_Config'!$B$34+237.3))-(N62/100)*0.6108*EXP(17.27*L62/(L62+237.3)),2)</x:f>
        <x:v>1.47</x:v>
      </x:c>
      <x:c r="P62" s="63" t="n">
        <x:f>IF(A62&lt;'01_Run_Config'!$B$32,0.55,IF(A62&lt;'01_Run_Config'!$B$33,IF(A62-'01_Run_Config'!$B$32&lt;=3,0.8,IF(A62-'01_Run_Config'!$B$32&lt;=10,1,IF(A62-'01_Run_Config'!$B$32&lt;=17,1.2,1.4))),IF(A62-'01_Run_Config'!$B$33&lt;=6,1.5,IF(A62-'01_Run_Config'!$B$33&lt;=13,1.6,IF(A62-'01_Run_Config'!$B$33&lt;=20,1.7,IF(A62-'01_Run_Config'!$B$33&lt;=34,1.8,IF(A62-'01_Run_Config'!$B$33&lt;=41,1.6,IF(A62-'01_Run_Config'!$B$33&lt;=48,1.4,1.15))))))))</x:f>
        <x:v>1.8</x:v>
      </x:c>
      <x:c r="Q62" s="63" t="n">
        <x:v>5.9</x:v>
      </x:c>
      <x:c r="R62" s="63" t="n">
        <x:v>0.8</x:v>
      </x:c>
      <x:c r="S62" s="63" t="n">
        <x:v>1.3</x:v>
      </x:c>
      <x:c r="T62" s="63" t="str">
        <x:f>IF(A62&lt;=7,"Manuell",'01_Run_Config'!$B$40)</x:f>
        <x:v>Manuell / indoor-freigegebene Automation</x:v>
      </x:c>
      <x:c r="U62" s="63" t="str">
        <x:f>IF(A62&lt;'01_Run_Config'!$B$32,"Kein Basisdünger",IF(A62&lt;'01_Run_Config'!$B$33,"HESI TNT","HESI Coco"))</x:f>
        <x:v>HESI Coco</x:v>
      </x:c>
      <x:c r="V62" s="63" t="n">
        <x:f>IF(A62&lt;'01_Run_Config'!$B$32,0,IF(A62&lt;'01_Run_Config'!$B$33,IF(A62-'01_Run_Config'!$B$32&lt;=3,1.25,IF(A62-'01_Run_Config'!$B$32&lt;=10,2,2.5)),IF(A62-'01_Run_Config'!$B$33&lt;=6,2.5,IF(A62-'01_Run_Config'!$B$33&lt;=13,3.25,IF(A62-'01_Run_Config'!$B$33&lt;=20,3.75,IF(A62-'01_Run_Config'!$B$33&lt;=34,4,IF(A62-'01_Run_Config'!$B$33&lt;=41,3.5,IF(A62-'01_Run_Config'!$B$33&lt;=48,2.5,1.5))))))))</x:f>
        <x:v>4</x:v>
      </x:c>
      <x:c r="W62" s="63" t="n">
        <x:f>IF(OR(A62='01_Run_Config'!$B$32,A62='01_Run_Config'!$B$32+6,A62='01_Run_Config'!$B$32+12),2.5,0)</x:f>
        <x:v>0</x:v>
      </x:c>
      <x:c r="X62" s="63" t="n">
        <x:f>IF(AND(A62&gt;='01_Run_Config'!$B$32+3,A62&lt;='01_Run_Config'!$B$33+35,MOD(A62-('01_Run_Config'!$B$32+3),7)=0),2,0)</x:f>
        <x:v>0</x:v>
      </x:c>
      <x:c r="Y62" s="63" t="n">
        <x:f>IF(A62&gt;='01_Run_Config'!$B$32,0.015,0)</x:f>
        <x:v>0.015</x:v>
      </x:c>
      <x:c r="Z62" s="63" t="n">
        <x:f>IF(AND('01_Run_Config'!$B$26="Hesilicio statt Balance",A62&gt;='01_Run_Config'!$B$32+3,MOD(A62-('01_Run_Config'!$B$32+3),7)=0,A62&lt;='01_Run_Config'!$B$33+35),0.5,0)</x:f>
        <x:v>0</x:v>
      </x:c>
      <x:c r="AA62" s="63" t="n">
        <x:f>IF(AND(A62&gt;='01_Run_Config'!$B$33,A62&lt;='01_Run_Config'!$B$33+35,MOD(A62-'01_Run_Config'!$B$33,7)=0),2,0)</x:f>
        <x:v>0</x:v>
      </x:c>
      <x:c r="AB62" s="63" t="n">
        <x:f>IF(A62='01_Run_Config'!$B$33+21,0.25,IF(A62='01_Run_Config'!$B$33+28,0.35,IF(A62='01_Run_Config'!$B$33+35,0.5,0)))</x:f>
        <x:v>0</x:v>
      </x:c>
      <x:c r="AC62" s="63" t="n">
        <x:f>IF(OR(A62='01_Run_Config'!$B$32,A62='01_Run_Config'!$B$32+7,A62='01_Run_Config'!$B$33+1,A62='01_Run_Config'!$B$33+8),2,0)</x:f>
        <x:v>0</x:v>
      </x:c>
      <x:c r="AD62" s="63" t="str">
        <x:f>IF(A62&lt;'01_Run_Config'!$B$33,"AN-Reference=0 außer Voodoo-Frischgaben",IF(AL62&lt;=7,"A/B: Bud Ignitor oder Mikrobenmodul; nicht Reference",IF(AL62&lt;=35,"A/B: Big Bud STATT HESI-PK; nicht additiv stapeln",IF(AL62&lt;=49,"A/B: Overdrive STATT spätem HESI-PK","AN-Booster auslaufen"))))</x:f>
        <x:v>A/B: Big Bud STATT HESI-PK; nicht additiv stapeln</x:v>
      </x:c>
      <x:c r="AE62" s="63" t="str">
        <x:v>Keine Strukturarbeit</x:v>
      </x:c>
      <x:c r="AF62" s="63" t="str">
        <x:v>Morgens Klima/Pflanze/Bewässerung/Leck; Mitte Lichtphase Blattwinkel; vor Dunkel LF/Drain/stehendes Wasser.</x:v>
      </x:c>
      <x:c r="AG62" s="63" t="str">
        <x:v>EC nicht erhöhen bei steigender Diagnose-Drain-EC; PPFD nicht erhöhen bei Stress; Wasserband nie erzwingen; nie mehrere neue Booster gleichzeitig.</x:v>
      </x:c>
      <x:c r="AH62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6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2" s="201" t="str">
        <x:f>IF(A62&lt;'01_Run_Config'!$B$32,"—",IF(A62&lt;'01_Run_Config'!$B$33,"G"&amp;MIN(4,INT((A62-'01_Run_Config'!$B$32)/7)+1),AM62))</x:f>
        <x:v>B5</x:v>
      </x:c>
      <x:c r="AK62" s="35" t="str">
        <x:f>IF(A62&lt;'01_Run_Config'!$B$32,"Keine AN-Additive.",IF(A62&lt;'01_Run_Config'!$B$33,"Veg: Voodoo nur definierte Frischgaben; B-52/Piranha/Tarantula nur A/B; Sensizym nur statt PowerZyme; Rhino Skin AUS mit Athena Balance.",IF(AL62&lt;=7,"Frühblüte: Voodoo; Bud Ignitor/Piranha/Tarantula nur A/B; Rhino Skin AUS mit Balance.",IF(AL62&lt;=35,"Hauptblüte: Big Bud nur A/B STATT HESI-PK; Biostims einzeln testen.",IF(AL62&lt;=49,"Spätblüte: Overdrive nur A/B STATT spätem HESI-PK; keine neue zweite Variable.","Booster auslaufen / Reife priorisieren.")))))</x:f>
        <x:v>Hauptblüte: Big Bud nur A/B STATT HESI-PK; Biostims einzeln testen.</x:v>
      </x:c>
      <x:c r="AL62" s="60" t="n">
        <x:f>IF(A62&lt;'01_Run_Config'!$B$33,"",A62-'01_Run_Config'!$B$33+1)</x:f>
        <x:v>33</x:v>
      </x:c>
      <x:c r="AM62" s="60" t="str">
        <x:f>IF(AL62="","",IF(AL62&gt;49,CHAR(66)&amp;"7+",CHAR(66)&amp;TEXT(INT((AL62-1)/7)+1,"0")))</x:f>
        <x:v>B5</x:v>
      </x:c>
      <x:c r="AN62" s="60" t="n">
        <x:f>ROUND(0.6108*EXP(17.27*L62/(L62+237.3))*(1-N62/100),2)</x:f>
        <x:v>1.64</x:v>
      </x:c>
      <x:c r="AO62" s="60" t="n">
        <x:f>H62*G62/1000</x:f>
        <x:v>2.34</x:v>
      </x:c>
      <x:c r="AP62" s="60" t="n">
        <x:f>SUM($AO$2:AO62)</x:f>
        <x:v>110.15999999999995</x:v>
      </x:c>
      <x:c r="AQ62" t="n">
        <x:f>'01_Run_Config'!$B$17</x:f>
        <x:v>0</x:v>
      </x:c>
      <x:c r="AR62" t="n">
        <x:f>'01_Run_Config'!$B$22</x:f>
        <x:v>0</x:v>
      </x:c>
      <x:c r="AS62" t="n">
        <x:f>'01_Run_Config'!$B$25</x:f>
        <x:v>0</x:v>
      </x:c>
    </x:row>
    <x:row r="63">
      <x:c r="A63" s="34" t="n">
        <x:v>61</x:v>
      </x:c>
      <x:c r="B63" s="129" t="n">
        <x:f>'01_Run_Config'!$B$4+A63</x:f>
        <x:v>46303</x:v>
      </x:c>
      <x:c r="C63" s="63" t="n">
        <x:f>INT(A63/7)+1</x:f>
        <x:v>9</x:v>
      </x:c>
      <x:c r="D63" s="63" t="str">
        <x:f>"M"&amp;MIN(3,INT(A63/30)+1)</x:f>
        <x:v>M3</x:v>
      </x:c>
      <x:c r="E63" s="63" t="str">
        <x:f>IF(A63&lt;4,"Keimung",IF(A63&lt;8,"Etablierung",IF(A63&lt;15,"Early Veg",IF(A63&lt;'01_Run_Config'!$B$33,IF(A63&lt;22,"Veg / LST","Preflower-Watch"),IF(A63-'01_Run_Config'!$B$33&lt;=6,"Transition / Stretch ("&amp;AM63&amp;")",IF(A63-'01_Run_Config'!$B$33&lt;=13,"Early Flower ("&amp;AM63&amp;")",IF(A63-'01_Run_Config'!$B$33&lt;=20,"Flower I ("&amp;AM63&amp;")",IF(A63-'01_Run_Config'!$B$33&lt;=34,"Peak Flower ("&amp;AM63&amp;")",IF(A63-'01_Run_Config'!$B$33&lt;=41,"Late Flower ("&amp;AM63&amp;")",IF(A63-'01_Run_Config'!$B$33&lt;=48,"Ripening ("&amp;AM63&amp;")","Harvest / Extension ("&amp;AM63&amp;")"))))))))))</x:f>
        <x:v>Peak Flower (B5)</x:v>
      </x:c>
      <x:c r="F63" s="63" t="str">
        <x:f>IF(A63&lt;4,"Keimung + Wurzelstart",IF(A63&lt;8,"Sämling etablieren; Wurzelraum erschließen",IF(A63&lt;15,"kompakter Aufbau; LST erst bei Vitalität",IF(A63&lt;'01_Run_Config'!$B$33,"Canopy aufbauen; Preflower beobachten",IF(A63-'01_Run_Config'!$B$33&lt;=6,"Stretch kontrollieren; Bloom-Trigger dokumentieren",IF(A63-'01_Run_Config'!$B$33&lt;=13,"Blütenansatz stabilisieren",IF(A63-'01_Run_Config'!$B$33&lt;=20,"Blütenaufbau ohne neue Stressoren",IF(A63-'01_Run_Config'!$B$33&lt;=34,"stabile Peak-Photosynthese; Klima priorisieren",IF(A63-'01_Run_Config'!$B$33&lt;=41,"Qualität/Schimmelprävention",IF(A63-'01_Run_Config'!$B$33&lt;=48,"Reife ohne Überfütterung","Erntefenster nach Pflanze; keine Kalenderernte"))))))))))</x:f>
        <x:v>stabile Peak-Photosynthese; Klima priorisieren</x:v>
      </x:c>
      <x:c r="G63" s="63" t="n">
        <x:v>18</x:v>
      </x:c>
      <x:c r="H63" s="63" t="n">
        <x:v>130</x:v>
      </x:c>
      <x:c r="I63" s="63" t="n">
        <x:v>600</x:v>
      </x:c>
      <x:c r="J63" s="63" t="n">
        <x:f>I63*G63*3600/1000000</x:f>
        <x:v>38.88</x:v>
      </x:c>
      <x:c r="K63" s="63" t="n">
        <x:v>35</x:v>
      </x:c>
      <x:c r="L63" s="63" t="n">
        <x:v>24</x:v>
      </x:c>
      <x:c r="M63" s="63" t="n">
        <x:v>20.5</x:v>
      </x:c>
      <x:c r="N63" s="63" t="n">
        <x:v>45</x:v>
      </x:c>
      <x:c r="O63" s="63" t="n">
        <x:f>ROUND(0.6108*EXP(17.27*(L63+'01_Run_Config'!$B$34)/(L63+'01_Run_Config'!$B$34+237.3))-(N63/100)*0.6108*EXP(17.27*L63/(L63+237.3)),2)</x:f>
        <x:v>1.47</x:v>
      </x:c>
      <x:c r="P63" s="63" t="n">
        <x:f>IF(A63&lt;'01_Run_Config'!$B$32,0.55,IF(A63&lt;'01_Run_Config'!$B$33,IF(A63-'01_Run_Config'!$B$32&lt;=3,0.8,IF(A63-'01_Run_Config'!$B$32&lt;=10,1,IF(A63-'01_Run_Config'!$B$32&lt;=17,1.2,1.4))),IF(A63-'01_Run_Config'!$B$33&lt;=6,1.5,IF(A63-'01_Run_Config'!$B$33&lt;=13,1.6,IF(A63-'01_Run_Config'!$B$33&lt;=20,1.7,IF(A63-'01_Run_Config'!$B$33&lt;=34,1.8,IF(A63-'01_Run_Config'!$B$33&lt;=41,1.6,IF(A63-'01_Run_Config'!$B$33&lt;=48,1.4,1.15))))))))</x:f>
        <x:v>1.8</x:v>
      </x:c>
      <x:c r="Q63" s="63" t="n">
        <x:v>5.9</x:v>
      </x:c>
      <x:c r="R63" s="63" t="n">
        <x:v>0.8</x:v>
      </x:c>
      <x:c r="S63" s="63" t="n">
        <x:v>1.3</x:v>
      </x:c>
      <x:c r="T63" s="63" t="str">
        <x:f>IF(A63&lt;=7,"Manuell",'01_Run_Config'!$B$40)</x:f>
        <x:v>Manuell / indoor-freigegebene Automation</x:v>
      </x:c>
      <x:c r="U63" s="63" t="str">
        <x:f>IF(A63&lt;'01_Run_Config'!$B$32,"Kein Basisdünger",IF(A63&lt;'01_Run_Config'!$B$33,"HESI TNT","HESI Coco"))</x:f>
        <x:v>HESI Coco</x:v>
      </x:c>
      <x:c r="V63" s="63" t="n">
        <x:f>IF(A63&lt;'01_Run_Config'!$B$32,0,IF(A63&lt;'01_Run_Config'!$B$33,IF(A63-'01_Run_Config'!$B$32&lt;=3,1.25,IF(A63-'01_Run_Config'!$B$32&lt;=10,2,2.5)),IF(A63-'01_Run_Config'!$B$33&lt;=6,2.5,IF(A63-'01_Run_Config'!$B$33&lt;=13,3.25,IF(A63-'01_Run_Config'!$B$33&lt;=20,3.75,IF(A63-'01_Run_Config'!$B$33&lt;=34,4,IF(A63-'01_Run_Config'!$B$33&lt;=41,3.5,IF(A63-'01_Run_Config'!$B$33&lt;=48,2.5,1.5))))))))</x:f>
        <x:v>4</x:v>
      </x:c>
      <x:c r="W63" s="63" t="n">
        <x:f>IF(OR(A63='01_Run_Config'!$B$32,A63='01_Run_Config'!$B$32+6,A63='01_Run_Config'!$B$32+12),2.5,0)</x:f>
        <x:v>0</x:v>
      </x:c>
      <x:c r="X63" s="63" t="n">
        <x:f>IF(AND(A63&gt;='01_Run_Config'!$B$32+3,A63&lt;='01_Run_Config'!$B$33+35,MOD(A63-('01_Run_Config'!$B$32+3),7)=0),2,0)</x:f>
        <x:v>0</x:v>
      </x:c>
      <x:c r="Y63" s="63" t="n">
        <x:f>IF(A63&gt;='01_Run_Config'!$B$32,0.015,0)</x:f>
        <x:v>0.015</x:v>
      </x:c>
      <x:c r="Z63" s="63" t="n">
        <x:f>IF(AND('01_Run_Config'!$B$26="Hesilicio statt Balance",A63&gt;='01_Run_Config'!$B$32+3,MOD(A63-('01_Run_Config'!$B$32+3),7)=0,A63&lt;='01_Run_Config'!$B$33+35),0.5,0)</x:f>
        <x:v>0</x:v>
      </x:c>
      <x:c r="AA63" s="63" t="n">
        <x:f>IF(AND(A63&gt;='01_Run_Config'!$B$33,A63&lt;='01_Run_Config'!$B$33+35,MOD(A63-'01_Run_Config'!$B$33,7)=0),2,0)</x:f>
        <x:v>0</x:v>
      </x:c>
      <x:c r="AB63" s="63" t="n">
        <x:f>IF(A63='01_Run_Config'!$B$33+21,0.25,IF(A63='01_Run_Config'!$B$33+28,0.35,IF(A63='01_Run_Config'!$B$33+35,0.5,0)))</x:f>
        <x:v>0</x:v>
      </x:c>
      <x:c r="AC63" s="63" t="n">
        <x:f>IF(OR(A63='01_Run_Config'!$B$32,A63='01_Run_Config'!$B$32+7,A63='01_Run_Config'!$B$33+1,A63='01_Run_Config'!$B$33+8),2,0)</x:f>
        <x:v>0</x:v>
      </x:c>
      <x:c r="AD63" s="63" t="str">
        <x:f>IF(A63&lt;'01_Run_Config'!$B$33,"AN-Reference=0 außer Voodoo-Frischgaben",IF(AL63&lt;=7,"A/B: Bud Ignitor oder Mikrobenmodul; nicht Reference",IF(AL63&lt;=35,"A/B: Big Bud STATT HESI-PK; nicht additiv stapeln",IF(AL63&lt;=49,"A/B: Overdrive STATT spätem HESI-PK","AN-Booster auslaufen"))))</x:f>
        <x:v>A/B: Big Bud STATT HESI-PK; nicht additiv stapeln</x:v>
      </x:c>
      <x:c r="AE63" s="63" t="str">
        <x:v>Keine Strukturarbeit</x:v>
      </x:c>
      <x:c r="AF63" s="63" t="str">
        <x:v>Morgens Klima/Pflanze/Bewässerung/Leck; Mitte Lichtphase Blattwinkel; vor Dunkel LF/Drain/stehendes Wasser.</x:v>
      </x:c>
      <x:c r="AG63" s="63" t="str">
        <x:v>EC nicht erhöhen bei steigender Diagnose-Drain-EC; PPFD nicht erhöhen bei Stress; Wasserband nie erzwingen; nie mehrere neue Booster gleichzeitig.</x:v>
      </x:c>
      <x:c r="AH63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6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3" s="201" t="str">
        <x:f>IF(A63&lt;'01_Run_Config'!$B$32,"—",IF(A63&lt;'01_Run_Config'!$B$33,"G"&amp;MIN(4,INT((A63-'01_Run_Config'!$B$32)/7)+1),AM63))</x:f>
        <x:v>B5</x:v>
      </x:c>
      <x:c r="AK63" s="35" t="str">
        <x:f>IF(A63&lt;'01_Run_Config'!$B$32,"Keine AN-Additive.",IF(A63&lt;'01_Run_Config'!$B$33,"Veg: Voodoo nur definierte Frischgaben; B-52/Piranha/Tarantula nur A/B; Sensizym nur statt PowerZyme; Rhino Skin AUS mit Athena Balance.",IF(AL63&lt;=7,"Frühblüte: Voodoo; Bud Ignitor/Piranha/Tarantula nur A/B; Rhino Skin AUS mit Balance.",IF(AL63&lt;=35,"Hauptblüte: Big Bud nur A/B STATT HESI-PK; Biostims einzeln testen.",IF(AL63&lt;=49,"Spätblüte: Overdrive nur A/B STATT spätem HESI-PK; keine neue zweite Variable.","Booster auslaufen / Reife priorisieren.")))))</x:f>
        <x:v>Hauptblüte: Big Bud nur A/B STATT HESI-PK; Biostims einzeln testen.</x:v>
      </x:c>
      <x:c r="AL63" s="60" t="n">
        <x:f>IF(A63&lt;'01_Run_Config'!$B$33,"",A63-'01_Run_Config'!$B$33+1)</x:f>
        <x:v>34</x:v>
      </x:c>
      <x:c r="AM63" s="60" t="str">
        <x:f>IF(AL63="","",IF(AL63&gt;49,CHAR(66)&amp;"7+",CHAR(66)&amp;TEXT(INT((AL63-1)/7)+1,"0")))</x:f>
        <x:v>B5</x:v>
      </x:c>
      <x:c r="AN63" s="60" t="n">
        <x:f>ROUND(0.6108*EXP(17.27*L63/(L63+237.3))*(1-N63/100),2)</x:f>
        <x:v>1.64</x:v>
      </x:c>
      <x:c r="AO63" s="60" t="n">
        <x:f>H63*G63/1000</x:f>
        <x:v>2.34</x:v>
      </x:c>
      <x:c r="AP63" s="60" t="n">
        <x:f>SUM($AO$2:AO63)</x:f>
        <x:v>112.49999999999996</x:v>
      </x:c>
      <x:c r="AQ63" t="n">
        <x:f>'01_Run_Config'!$B$17</x:f>
        <x:v>0</x:v>
      </x:c>
      <x:c r="AR63" t="n">
        <x:f>'01_Run_Config'!$B$22</x:f>
        <x:v>0</x:v>
      </x:c>
      <x:c r="AS63" t="n">
        <x:f>'01_Run_Config'!$B$25</x:f>
        <x:v>0</x:v>
      </x:c>
    </x:row>
    <x:row r="64">
      <x:c r="A64" s="34" t="n">
        <x:v>62</x:v>
      </x:c>
      <x:c r="B64" s="129" t="n">
        <x:f>'01_Run_Config'!$B$4+A64</x:f>
        <x:v>46304</x:v>
      </x:c>
      <x:c r="C64" s="63" t="n">
        <x:f>INT(A64/7)+1</x:f>
        <x:v>9</x:v>
      </x:c>
      <x:c r="D64" s="63" t="str">
        <x:f>"M"&amp;MIN(3,INT(A64/30)+1)</x:f>
        <x:v>M3</x:v>
      </x:c>
      <x:c r="E64" s="63" t="str">
        <x:f>IF(A64&lt;4,"Keimung",IF(A64&lt;8,"Etablierung",IF(A64&lt;15,"Early Veg",IF(A64&lt;'01_Run_Config'!$B$33,IF(A64&lt;22,"Veg / LST","Preflower-Watch"),IF(A64-'01_Run_Config'!$B$33&lt;=6,"Transition / Stretch ("&amp;AM64&amp;")",IF(A64-'01_Run_Config'!$B$33&lt;=13,"Early Flower ("&amp;AM64&amp;")",IF(A64-'01_Run_Config'!$B$33&lt;=20,"Flower I ("&amp;AM64&amp;")",IF(A64-'01_Run_Config'!$B$33&lt;=34,"Peak Flower ("&amp;AM64&amp;")",IF(A64-'01_Run_Config'!$B$33&lt;=41,"Late Flower ("&amp;AM64&amp;")",IF(A64-'01_Run_Config'!$B$33&lt;=48,"Ripening ("&amp;AM64&amp;")","Harvest / Extension ("&amp;AM64&amp;")"))))))))))</x:f>
        <x:v>Peak Flower (B5)</x:v>
      </x:c>
      <x:c r="F64" s="63" t="str">
        <x:f>IF(A64&lt;4,"Keimung + Wurzelstart",IF(A64&lt;8,"Sämling etablieren; Wurzelraum erschließen",IF(A64&lt;15,"kompakter Aufbau; LST erst bei Vitalität",IF(A64&lt;'01_Run_Config'!$B$33,"Canopy aufbauen; Preflower beobachten",IF(A64-'01_Run_Config'!$B$33&lt;=6,"Stretch kontrollieren; Bloom-Trigger dokumentieren",IF(A64-'01_Run_Config'!$B$33&lt;=13,"Blütenansatz stabilisieren",IF(A64-'01_Run_Config'!$B$33&lt;=20,"Blütenaufbau ohne neue Stressoren",IF(A64-'01_Run_Config'!$B$33&lt;=34,"stabile Peak-Photosynthese; Klima priorisieren",IF(A64-'01_Run_Config'!$B$33&lt;=41,"Qualität/Schimmelprävention",IF(A64-'01_Run_Config'!$B$33&lt;=48,"Reife ohne Überfütterung","Erntefenster nach Pflanze; keine Kalenderernte"))))))))))</x:f>
        <x:v>stabile Peak-Photosynthese; Klima priorisieren</x:v>
      </x:c>
      <x:c r="G64" s="63" t="n">
        <x:v>18</x:v>
      </x:c>
      <x:c r="H64" s="63" t="n">
        <x:v>130</x:v>
      </x:c>
      <x:c r="I64" s="63" t="n">
        <x:v>600</x:v>
      </x:c>
      <x:c r="J64" s="63" t="n">
        <x:f>I64*G64*3600/1000000</x:f>
        <x:v>38.88</x:v>
      </x:c>
      <x:c r="K64" s="63" t="n">
        <x:v>35</x:v>
      </x:c>
      <x:c r="L64" s="63" t="n">
        <x:v>24</x:v>
      </x:c>
      <x:c r="M64" s="63" t="n">
        <x:v>20.5</x:v>
      </x:c>
      <x:c r="N64" s="63" t="n">
        <x:v>45</x:v>
      </x:c>
      <x:c r="O64" s="63" t="n">
        <x:f>ROUND(0.6108*EXP(17.27*(L64+'01_Run_Config'!$B$34)/(L64+'01_Run_Config'!$B$34+237.3))-(N64/100)*0.6108*EXP(17.27*L64/(L64+237.3)),2)</x:f>
        <x:v>1.47</x:v>
      </x:c>
      <x:c r="P64" s="63" t="n">
        <x:f>IF(A64&lt;'01_Run_Config'!$B$32,0.55,IF(A64&lt;'01_Run_Config'!$B$33,IF(A64-'01_Run_Config'!$B$32&lt;=3,0.8,IF(A64-'01_Run_Config'!$B$32&lt;=10,1,IF(A64-'01_Run_Config'!$B$32&lt;=17,1.2,1.4))),IF(A64-'01_Run_Config'!$B$33&lt;=6,1.5,IF(A64-'01_Run_Config'!$B$33&lt;=13,1.6,IF(A64-'01_Run_Config'!$B$33&lt;=20,1.7,IF(A64-'01_Run_Config'!$B$33&lt;=34,1.8,IF(A64-'01_Run_Config'!$B$33&lt;=41,1.6,IF(A64-'01_Run_Config'!$B$33&lt;=48,1.4,1.15))))))))</x:f>
        <x:v>1.8</x:v>
      </x:c>
      <x:c r="Q64" s="63" t="n">
        <x:v>5.9</x:v>
      </x:c>
      <x:c r="R64" s="63" t="n">
        <x:v>0.8</x:v>
      </x:c>
      <x:c r="S64" s="63" t="n">
        <x:v>1.3</x:v>
      </x:c>
      <x:c r="T64" s="63" t="str">
        <x:f>IF(A64&lt;=7,"Manuell",'01_Run_Config'!$B$40)</x:f>
        <x:v>Manuell / indoor-freigegebene Automation</x:v>
      </x:c>
      <x:c r="U64" s="63" t="str">
        <x:f>IF(A64&lt;'01_Run_Config'!$B$32,"Kein Basisdünger",IF(A64&lt;'01_Run_Config'!$B$33,"HESI TNT","HESI Coco"))</x:f>
        <x:v>HESI Coco</x:v>
      </x:c>
      <x:c r="V64" s="63" t="n">
        <x:f>IF(A64&lt;'01_Run_Config'!$B$32,0,IF(A64&lt;'01_Run_Config'!$B$33,IF(A64-'01_Run_Config'!$B$32&lt;=3,1.25,IF(A64-'01_Run_Config'!$B$32&lt;=10,2,2.5)),IF(A64-'01_Run_Config'!$B$33&lt;=6,2.5,IF(A64-'01_Run_Config'!$B$33&lt;=13,3.25,IF(A64-'01_Run_Config'!$B$33&lt;=20,3.75,IF(A64-'01_Run_Config'!$B$33&lt;=34,4,IF(A64-'01_Run_Config'!$B$33&lt;=41,3.5,IF(A64-'01_Run_Config'!$B$33&lt;=48,2.5,1.5))))))))</x:f>
        <x:v>4</x:v>
      </x:c>
      <x:c r="W64" s="63" t="n">
        <x:f>IF(OR(A64='01_Run_Config'!$B$32,A64='01_Run_Config'!$B$32+6,A64='01_Run_Config'!$B$32+12),2.5,0)</x:f>
        <x:v>0</x:v>
      </x:c>
      <x:c r="X64" s="63" t="n">
        <x:f>IF(AND(A64&gt;='01_Run_Config'!$B$32+3,A64&lt;='01_Run_Config'!$B$33+35,MOD(A64-('01_Run_Config'!$B$32+3),7)=0),2,0)</x:f>
        <x:v>0</x:v>
      </x:c>
      <x:c r="Y64" s="63" t="n">
        <x:f>IF(A64&gt;='01_Run_Config'!$B$32,0.015,0)</x:f>
        <x:v>0.015</x:v>
      </x:c>
      <x:c r="Z64" s="63" t="n">
        <x:f>IF(AND('01_Run_Config'!$B$26="Hesilicio statt Balance",A64&gt;='01_Run_Config'!$B$32+3,MOD(A64-('01_Run_Config'!$B$32+3),7)=0,A64&lt;='01_Run_Config'!$B$33+35),0.5,0)</x:f>
        <x:v>0</x:v>
      </x:c>
      <x:c r="AA64" s="63" t="n">
        <x:f>IF(AND(A64&gt;='01_Run_Config'!$B$33,A64&lt;='01_Run_Config'!$B$33+35,MOD(A64-'01_Run_Config'!$B$33,7)=0),2,0)</x:f>
        <x:v>0</x:v>
      </x:c>
      <x:c r="AB64" s="63" t="n">
        <x:f>IF(A64='01_Run_Config'!$B$33+21,0.25,IF(A64='01_Run_Config'!$B$33+28,0.35,IF(A64='01_Run_Config'!$B$33+35,0.5,0)))</x:f>
        <x:v>0</x:v>
      </x:c>
      <x:c r="AC64" s="63" t="n">
        <x:f>IF(OR(A64='01_Run_Config'!$B$32,A64='01_Run_Config'!$B$32+7,A64='01_Run_Config'!$B$33+1,A64='01_Run_Config'!$B$33+8),2,0)</x:f>
        <x:v>0</x:v>
      </x:c>
      <x:c r="AD64" s="63" t="str">
        <x:f>IF(A64&lt;'01_Run_Config'!$B$33,"AN-Reference=0 außer Voodoo-Frischgaben",IF(AL64&lt;=7,"A/B: Bud Ignitor oder Mikrobenmodul; nicht Reference",IF(AL64&lt;=35,"A/B: Big Bud STATT HESI-PK; nicht additiv stapeln",IF(AL64&lt;=49,"A/B: Overdrive STATT spätem HESI-PK","AN-Booster auslaufen"))))</x:f>
        <x:v>A/B: Big Bud STATT HESI-PK; nicht additiv stapeln</x:v>
      </x:c>
      <x:c r="AE64" s="63" t="str">
        <x:v>Keine Strukturarbeit</x:v>
      </x:c>
      <x:c r="AF64" s="63" t="str">
        <x:v>Morgens Klima/Pflanze/Bewässerung/Leck; Mitte Lichtphase Blattwinkel; vor Dunkel LF/Drain/stehendes Wasser.</x:v>
      </x:c>
      <x:c r="AG64" s="63" t="str">
        <x:v>EC nicht erhöhen bei steigender Diagnose-Drain-EC; PPFD nicht erhöhen bei Stress; Wasserband nie erzwingen; nie mehrere neue Booster gleichzeitig.</x:v>
      </x:c>
      <x:c r="AH64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6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4" s="201" t="str">
        <x:f>IF(A64&lt;'01_Run_Config'!$B$32,"—",IF(A64&lt;'01_Run_Config'!$B$33,"G"&amp;MIN(4,INT((A64-'01_Run_Config'!$B$32)/7)+1),AM64))</x:f>
        <x:v>B5</x:v>
      </x:c>
      <x:c r="AK64" s="35" t="str">
        <x:f>IF(A64&lt;'01_Run_Config'!$B$32,"Keine AN-Additive.",IF(A64&lt;'01_Run_Config'!$B$33,"Veg: Voodoo nur definierte Frischgaben; B-52/Piranha/Tarantula nur A/B; Sensizym nur statt PowerZyme; Rhino Skin AUS mit Athena Balance.",IF(AL64&lt;=7,"Frühblüte: Voodoo; Bud Ignitor/Piranha/Tarantula nur A/B; Rhino Skin AUS mit Balance.",IF(AL64&lt;=35,"Hauptblüte: Big Bud nur A/B STATT HESI-PK; Biostims einzeln testen.",IF(AL64&lt;=49,"Spätblüte: Overdrive nur A/B STATT spätem HESI-PK; keine neue zweite Variable.","Booster auslaufen / Reife priorisieren.")))))</x:f>
        <x:v>Hauptblüte: Big Bud nur A/B STATT HESI-PK; Biostims einzeln testen.</x:v>
      </x:c>
      <x:c r="AL64" s="60" t="n">
        <x:f>IF(A64&lt;'01_Run_Config'!$B$33,"",A64-'01_Run_Config'!$B$33+1)</x:f>
        <x:v>35</x:v>
      </x:c>
      <x:c r="AM64" s="60" t="str">
        <x:f>IF(AL64="","",IF(AL64&gt;49,CHAR(66)&amp;"7+",CHAR(66)&amp;TEXT(INT((AL64-1)/7)+1,"0")))</x:f>
        <x:v>B5</x:v>
      </x:c>
      <x:c r="AN64" s="60" t="n">
        <x:f>ROUND(0.6108*EXP(17.27*L64/(L64+237.3))*(1-N64/100),2)</x:f>
        <x:v>1.64</x:v>
      </x:c>
      <x:c r="AO64" s="60" t="n">
        <x:f>H64*G64/1000</x:f>
        <x:v>2.34</x:v>
      </x:c>
      <x:c r="AP64" s="60" t="n">
        <x:f>SUM($AO$2:AO64)</x:f>
        <x:v>114.83999999999996</x:v>
      </x:c>
      <x:c r="AQ64" t="n">
        <x:f>'01_Run_Config'!$B$17</x:f>
        <x:v>0</x:v>
      </x:c>
      <x:c r="AR64" t="n">
        <x:f>'01_Run_Config'!$B$22</x:f>
        <x:v>0</x:v>
      </x:c>
      <x:c r="AS64" t="n">
        <x:f>'01_Run_Config'!$B$25</x:f>
        <x:v>0</x:v>
      </x:c>
    </x:row>
    <x:row r="65">
      <x:c r="A65" s="34" t="n">
        <x:v>63</x:v>
      </x:c>
      <x:c r="B65" s="129" t="n">
        <x:f>'01_Run_Config'!$B$4+A65</x:f>
        <x:v>46305</x:v>
      </x:c>
      <x:c r="C65" s="63" t="n">
        <x:f>INT(A65/7)+1</x:f>
        <x:v>10</x:v>
      </x:c>
      <x:c r="D65" s="63" t="str">
        <x:f>"M"&amp;MIN(3,INT(A65/30)+1)</x:f>
        <x:v>M3</x:v>
      </x:c>
      <x:c r="E65" s="63" t="str">
        <x:f>IF(A65&lt;4,"Keimung",IF(A65&lt;8,"Etablierung",IF(A65&lt;15,"Early Veg",IF(A65&lt;'01_Run_Config'!$B$33,IF(A65&lt;22,"Veg / LST","Preflower-Watch"),IF(A65-'01_Run_Config'!$B$33&lt;=6,"Transition / Stretch ("&amp;AM65&amp;")",IF(A65-'01_Run_Config'!$B$33&lt;=13,"Early Flower ("&amp;AM65&amp;")",IF(A65-'01_Run_Config'!$B$33&lt;=20,"Flower I ("&amp;AM65&amp;")",IF(A65-'01_Run_Config'!$B$33&lt;=34,"Peak Flower ("&amp;AM65&amp;")",IF(A65-'01_Run_Config'!$B$33&lt;=41,"Late Flower ("&amp;AM65&amp;")",IF(A65-'01_Run_Config'!$B$33&lt;=48,"Ripening ("&amp;AM65&amp;")","Harvest / Extension ("&amp;AM65&amp;")"))))))))))</x:f>
        <x:v>Late Flower (B6)</x:v>
      </x:c>
      <x:c r="F65" s="63" t="str">
        <x:f>IF(A65&lt;4,"Keimung + Wurzelstart",IF(A65&lt;8,"Sämling etablieren; Wurzelraum erschließen",IF(A65&lt;15,"kompakter Aufbau; LST erst bei Vitalität",IF(A65&lt;'01_Run_Config'!$B$33,"Canopy aufbauen; Preflower beobachten",IF(A65-'01_Run_Config'!$B$33&lt;=6,"Stretch kontrollieren; Bloom-Trigger dokumentieren",IF(A65-'01_Run_Config'!$B$33&lt;=13,"Blütenansatz stabilisieren",IF(A65-'01_Run_Config'!$B$33&lt;=20,"Blütenaufbau ohne neue Stressoren",IF(A65-'01_Run_Config'!$B$33&lt;=34,"stabile Peak-Photosynthese; Klima priorisieren",IF(A65-'01_Run_Config'!$B$33&lt;=41,"Qualität/Schimmelprävention",IF(A65-'01_Run_Config'!$B$33&lt;=48,"Reife ohne Überfütterung","Erntefenster nach Pflanze; keine Kalenderernte"))))))))))</x:f>
        <x:v>Qualität/Schimmelprävention</x:v>
      </x:c>
      <x:c r="G65" s="63" t="n">
        <x:v>18</x:v>
      </x:c>
      <x:c r="H65" s="63" t="n">
        <x:v>130</x:v>
      </x:c>
      <x:c r="I65" s="63" t="n">
        <x:v>600</x:v>
      </x:c>
      <x:c r="J65" s="63" t="n">
        <x:f>I65*G65*3600/1000000</x:f>
        <x:v>38.88</x:v>
      </x:c>
      <x:c r="K65" s="63" t="n">
        <x:v>35</x:v>
      </x:c>
      <x:c r="L65" s="63" t="n">
        <x:v>24</x:v>
      </x:c>
      <x:c r="M65" s="63" t="n">
        <x:v>20.5</x:v>
      </x:c>
      <x:c r="N65" s="63" t="n">
        <x:v>45</x:v>
      </x:c>
      <x:c r="O65" s="63" t="n">
        <x:f>ROUND(0.6108*EXP(17.27*(L65+'01_Run_Config'!$B$34)/(L65+'01_Run_Config'!$B$34+237.3))-(N65/100)*0.6108*EXP(17.27*L65/(L65+237.3)),2)</x:f>
        <x:v>1.47</x:v>
      </x:c>
      <x:c r="P65" s="63" t="n">
        <x:f>IF(A65&lt;'01_Run_Config'!$B$32,0.55,IF(A65&lt;'01_Run_Config'!$B$33,IF(A65-'01_Run_Config'!$B$32&lt;=3,0.8,IF(A65-'01_Run_Config'!$B$32&lt;=10,1,IF(A65-'01_Run_Config'!$B$32&lt;=17,1.2,1.4))),IF(A65-'01_Run_Config'!$B$33&lt;=6,1.5,IF(A65-'01_Run_Config'!$B$33&lt;=13,1.6,IF(A65-'01_Run_Config'!$B$33&lt;=20,1.7,IF(A65-'01_Run_Config'!$B$33&lt;=34,1.8,IF(A65-'01_Run_Config'!$B$33&lt;=41,1.6,IF(A65-'01_Run_Config'!$B$33&lt;=48,1.4,1.15))))))))</x:f>
        <x:v>1.6</x:v>
      </x:c>
      <x:c r="Q65" s="63" t="n">
        <x:v>5.9</x:v>
      </x:c>
      <x:c r="R65" s="63" t="n">
        <x:v>0.8</x:v>
      </x:c>
      <x:c r="S65" s="63" t="n">
        <x:v>1.3</x:v>
      </x:c>
      <x:c r="T65" s="63" t="str">
        <x:f>IF(A65&lt;=7,"Manuell",'01_Run_Config'!$B$40)</x:f>
        <x:v>Manuell / indoor-freigegebene Automation</x:v>
      </x:c>
      <x:c r="U65" s="63" t="str">
        <x:f>IF(A65&lt;'01_Run_Config'!$B$32,"Kein Basisdünger",IF(A65&lt;'01_Run_Config'!$B$33,"HESI TNT","HESI Coco"))</x:f>
        <x:v>HESI Coco</x:v>
      </x:c>
      <x:c r="V65" s="63" t="n">
        <x:f>IF(A65&lt;'01_Run_Config'!$B$32,0,IF(A65&lt;'01_Run_Config'!$B$33,IF(A65-'01_Run_Config'!$B$32&lt;=3,1.25,IF(A65-'01_Run_Config'!$B$32&lt;=10,2,2.5)),IF(A65-'01_Run_Config'!$B$33&lt;=6,2.5,IF(A65-'01_Run_Config'!$B$33&lt;=13,3.25,IF(A65-'01_Run_Config'!$B$33&lt;=20,3.75,IF(A65-'01_Run_Config'!$B$33&lt;=34,4,IF(A65-'01_Run_Config'!$B$33&lt;=41,3.5,IF(A65-'01_Run_Config'!$B$33&lt;=48,2.5,1.5))))))))</x:f>
        <x:v>3.5</x:v>
      </x:c>
      <x:c r="W65" s="63" t="n">
        <x:f>IF(OR(A65='01_Run_Config'!$B$32,A65='01_Run_Config'!$B$32+6,A65='01_Run_Config'!$B$32+12),2.5,0)</x:f>
        <x:v>0</x:v>
      </x:c>
      <x:c r="X65" s="63" t="n">
        <x:f>IF(AND(A65&gt;='01_Run_Config'!$B$32+3,A65&lt;='01_Run_Config'!$B$33+35,MOD(A65-('01_Run_Config'!$B$32+3),7)=0),2,0)</x:f>
        <x:v>2</x:v>
      </x:c>
      <x:c r="Y65" s="63" t="n">
        <x:f>IF(A65&gt;='01_Run_Config'!$B$32,0.015,0)</x:f>
        <x:v>0.015</x:v>
      </x:c>
      <x:c r="Z65" s="63" t="n">
        <x:f>IF(AND('01_Run_Config'!$B$26="Hesilicio statt Balance",A65&gt;='01_Run_Config'!$B$32+3,MOD(A65-('01_Run_Config'!$B$32+3),7)=0,A65&lt;='01_Run_Config'!$B$33+35),0.5,0)</x:f>
        <x:v>0</x:v>
      </x:c>
      <x:c r="AA65" s="63" t="n">
        <x:f>IF(AND(A65&gt;='01_Run_Config'!$B$33,A65&lt;='01_Run_Config'!$B$33+35,MOD(A65-'01_Run_Config'!$B$33,7)=0),2,0)</x:f>
        <x:v>2</x:v>
      </x:c>
      <x:c r="AB65" s="63" t="n">
        <x:f>IF(A65='01_Run_Config'!$B$33+21,0.25,IF(A65='01_Run_Config'!$B$33+28,0.35,IF(A65='01_Run_Config'!$B$33+35,0.5,0)))</x:f>
        <x:v>0.5</x:v>
      </x:c>
      <x:c r="AC65" s="63" t="n">
        <x:f>IF(OR(A65='01_Run_Config'!$B$32,A65='01_Run_Config'!$B$32+7,A65='01_Run_Config'!$B$33+1,A65='01_Run_Config'!$B$33+8),2,0)</x:f>
        <x:v>0</x:v>
      </x:c>
      <x:c r="AD65" s="63" t="str">
        <x:f>IF(A65&lt;'01_Run_Config'!$B$33,"AN-Reference=0 außer Voodoo-Frischgaben",IF(AL65&lt;=7,"A/B: Bud Ignitor oder Mikrobenmodul; nicht Reference",IF(AL65&lt;=35,"A/B: Big Bud STATT HESI-PK; nicht additiv stapeln",IF(AL65&lt;=49,"A/B: Overdrive STATT spätem HESI-PK","AN-Booster auslaufen"))))</x:f>
        <x:v>A/B: Overdrive STATT spätem HESI-PK</x:v>
      </x:c>
      <x:c r="AE65" s="63" t="str">
        <x:v>Keine Strukturarbeit</x:v>
      </x:c>
      <x:c r="AF65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65" s="63" t="str">
        <x:v>EC nicht erhöhen bei steigender Diagnose-Drain-EC; PPFD nicht erhöhen bei Stress; Wasserband nie erzwingen; nie mehrere neue Booster gleichzeitig.</x:v>
      </x:c>
      <x:c r="AH65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6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5" s="201" t="str">
        <x:f>IF(A65&lt;'01_Run_Config'!$B$32,"—",IF(A65&lt;'01_Run_Config'!$B$33,"G"&amp;MIN(4,INT((A65-'01_Run_Config'!$B$32)/7)+1),AM65))</x:f>
        <x:v>B6</x:v>
      </x:c>
      <x:c r="AK65" s="35" t="str">
        <x:f>IF(A65&lt;'01_Run_Config'!$B$32,"Keine AN-Additive.",IF(A65&lt;'01_Run_Config'!$B$33,"Veg: Voodoo nur definierte Frischgaben; B-52/Piranha/Tarantula nur A/B; Sensizym nur statt PowerZyme; Rhino Skin AUS mit Athena Balance.",IF(AL65&lt;=7,"Frühblüte: Voodoo; Bud Ignitor/Piranha/Tarantula nur A/B; Rhino Skin AUS mit Balance.",IF(AL65&lt;=35,"Hauptblüte: Big Bud nur A/B STATT HESI-PK; Biostims einzeln testen.",IF(AL65&lt;=49,"Spätblüte: Overdrive nur A/B STATT spätem HESI-PK; keine neue zweite Variable.","Booster auslaufen / Reife priorisieren.")))))</x:f>
        <x:v>Spätblüte: Overdrive nur A/B STATT spätem HESI-PK; keine neue zweite Variable.</x:v>
      </x:c>
      <x:c r="AL65" s="60" t="n">
        <x:f>IF(A65&lt;'01_Run_Config'!$B$33,"",A65-'01_Run_Config'!$B$33+1)</x:f>
        <x:v>36</x:v>
      </x:c>
      <x:c r="AM65" s="60" t="str">
        <x:f>IF(AL65="","",IF(AL65&gt;49,CHAR(66)&amp;"7+",CHAR(66)&amp;TEXT(INT((AL65-1)/7)+1,"0")))</x:f>
        <x:v>B6</x:v>
      </x:c>
      <x:c r="AN65" s="60" t="n">
        <x:f>ROUND(0.6108*EXP(17.27*L65/(L65+237.3))*(1-N65/100),2)</x:f>
        <x:v>1.64</x:v>
      </x:c>
      <x:c r="AO65" s="60" t="n">
        <x:f>H65*G65/1000</x:f>
        <x:v>2.34</x:v>
      </x:c>
      <x:c r="AP65" s="60" t="n">
        <x:f>SUM($AO$2:AO65)</x:f>
        <x:v>117.17999999999996</x:v>
      </x:c>
      <x:c r="AQ65" t="n">
        <x:f>'01_Run_Config'!$B$17</x:f>
        <x:v>0</x:v>
      </x:c>
      <x:c r="AR65" t="n">
        <x:f>'01_Run_Config'!$B$22</x:f>
        <x:v>0</x:v>
      </x:c>
      <x:c r="AS65" t="n">
        <x:f>'01_Run_Config'!$B$25</x:f>
        <x:v>0</x:v>
      </x:c>
    </x:row>
    <x:row r="66">
      <x:c r="A66" s="34" t="n">
        <x:v>64</x:v>
      </x:c>
      <x:c r="B66" s="129" t="n">
        <x:f>'01_Run_Config'!$B$4+A66</x:f>
        <x:v>46306</x:v>
      </x:c>
      <x:c r="C66" s="63" t="n">
        <x:f>INT(A66/7)+1</x:f>
        <x:v>10</x:v>
      </x:c>
      <x:c r="D66" s="63" t="str">
        <x:f>"M"&amp;MIN(3,INT(A66/30)+1)</x:f>
        <x:v>M3</x:v>
      </x:c>
      <x:c r="E66" s="63" t="str">
        <x:f>IF(A66&lt;4,"Keimung",IF(A66&lt;8,"Etablierung",IF(A66&lt;15,"Early Veg",IF(A66&lt;'01_Run_Config'!$B$33,IF(A66&lt;22,"Veg / LST","Preflower-Watch"),IF(A66-'01_Run_Config'!$B$33&lt;=6,"Transition / Stretch ("&amp;AM66&amp;")",IF(A66-'01_Run_Config'!$B$33&lt;=13,"Early Flower ("&amp;AM66&amp;")",IF(A66-'01_Run_Config'!$B$33&lt;=20,"Flower I ("&amp;AM66&amp;")",IF(A66-'01_Run_Config'!$B$33&lt;=34,"Peak Flower ("&amp;AM66&amp;")",IF(A66-'01_Run_Config'!$B$33&lt;=41,"Late Flower ("&amp;AM66&amp;")",IF(A66-'01_Run_Config'!$B$33&lt;=48,"Ripening ("&amp;AM66&amp;")","Harvest / Extension ("&amp;AM66&amp;")"))))))))))</x:f>
        <x:v>Late Flower (B6)</x:v>
      </x:c>
      <x:c r="F66" s="63" t="str">
        <x:f>IF(A66&lt;4,"Keimung + Wurzelstart",IF(A66&lt;8,"Sämling etablieren; Wurzelraum erschließen",IF(A66&lt;15,"kompakter Aufbau; LST erst bei Vitalität",IF(A66&lt;'01_Run_Config'!$B$33,"Canopy aufbauen; Preflower beobachten",IF(A66-'01_Run_Config'!$B$33&lt;=6,"Stretch kontrollieren; Bloom-Trigger dokumentieren",IF(A66-'01_Run_Config'!$B$33&lt;=13,"Blütenansatz stabilisieren",IF(A66-'01_Run_Config'!$B$33&lt;=20,"Blütenaufbau ohne neue Stressoren",IF(A66-'01_Run_Config'!$B$33&lt;=34,"stabile Peak-Photosynthese; Klima priorisieren",IF(A66-'01_Run_Config'!$B$33&lt;=41,"Qualität/Schimmelprävention",IF(A66-'01_Run_Config'!$B$33&lt;=48,"Reife ohne Überfütterung","Erntefenster nach Pflanze; keine Kalenderernte"))))))))))</x:f>
        <x:v>Qualität/Schimmelprävention</x:v>
      </x:c>
      <x:c r="G66" s="63" t="n">
        <x:v>18</x:v>
      </x:c>
      <x:c r="H66" s="63" t="n">
        <x:v>120</x:v>
      </x:c>
      <x:c r="I66" s="63" t="n">
        <x:v>550</x:v>
      </x:c>
      <x:c r="J66" s="63" t="n">
        <x:f>I66*G66*3600/1000000</x:f>
        <x:v>35.64</x:v>
      </x:c>
      <x:c r="K66" s="63" t="n">
        <x:v>37</x:v>
      </x:c>
      <x:c r="L66" s="63" t="n">
        <x:v>23.5</x:v>
      </x:c>
      <x:c r="M66" s="63" t="n">
        <x:v>20.5</x:v>
      </x:c>
      <x:c r="N66" s="63" t="n">
        <x:v>43</x:v>
      </x:c>
      <x:c r="O66" s="63" t="n">
        <x:f>ROUND(0.6108*EXP(17.27*(L66+'01_Run_Config'!$B$34)/(L66+'01_Run_Config'!$B$34+237.3))-(N66/100)*0.6108*EXP(17.27*L66/(L66+237.3)),2)</x:f>
        <x:v>1.48</x:v>
      </x:c>
      <x:c r="P66" s="63" t="n">
        <x:f>IF(A66&lt;'01_Run_Config'!$B$32,0.55,IF(A66&lt;'01_Run_Config'!$B$33,IF(A66-'01_Run_Config'!$B$32&lt;=3,0.8,IF(A66-'01_Run_Config'!$B$32&lt;=10,1,IF(A66-'01_Run_Config'!$B$32&lt;=17,1.2,1.4))),IF(A66-'01_Run_Config'!$B$33&lt;=6,1.5,IF(A66-'01_Run_Config'!$B$33&lt;=13,1.6,IF(A66-'01_Run_Config'!$B$33&lt;=20,1.7,IF(A66-'01_Run_Config'!$B$33&lt;=34,1.8,IF(A66-'01_Run_Config'!$B$33&lt;=41,1.6,IF(A66-'01_Run_Config'!$B$33&lt;=48,1.4,1.15))))))))</x:f>
        <x:v>1.6</x:v>
      </x:c>
      <x:c r="Q66" s="63" t="n">
        <x:v>5.9</x:v>
      </x:c>
      <x:c r="R66" s="63" t="n">
        <x:v>0.6</x:v>
      </x:c>
      <x:c r="S66" s="63" t="n">
        <x:v>1</x:v>
      </x:c>
      <x:c r="T66" s="63" t="str">
        <x:f>IF(A66&lt;=7,"Manuell",'01_Run_Config'!$B$40)</x:f>
        <x:v>Manuell / indoor-freigegebene Automation</x:v>
      </x:c>
      <x:c r="U66" s="63" t="str">
        <x:f>IF(A66&lt;'01_Run_Config'!$B$32,"Kein Basisdünger",IF(A66&lt;'01_Run_Config'!$B$33,"HESI TNT","HESI Coco"))</x:f>
        <x:v>HESI Coco</x:v>
      </x:c>
      <x:c r="V66" s="63" t="n">
        <x:f>IF(A66&lt;'01_Run_Config'!$B$32,0,IF(A66&lt;'01_Run_Config'!$B$33,IF(A66-'01_Run_Config'!$B$32&lt;=3,1.25,IF(A66-'01_Run_Config'!$B$32&lt;=10,2,2.5)),IF(A66-'01_Run_Config'!$B$33&lt;=6,2.5,IF(A66-'01_Run_Config'!$B$33&lt;=13,3.25,IF(A66-'01_Run_Config'!$B$33&lt;=20,3.75,IF(A66-'01_Run_Config'!$B$33&lt;=34,4,IF(A66-'01_Run_Config'!$B$33&lt;=41,3.5,IF(A66-'01_Run_Config'!$B$33&lt;=48,2.5,1.5))))))))</x:f>
        <x:v>3.5</x:v>
      </x:c>
      <x:c r="W66" s="63" t="n">
        <x:f>IF(OR(A66='01_Run_Config'!$B$32,A66='01_Run_Config'!$B$32+6,A66='01_Run_Config'!$B$32+12),2.5,0)</x:f>
        <x:v>0</x:v>
      </x:c>
      <x:c r="X66" s="63" t="n">
        <x:f>IF(AND(A66&gt;='01_Run_Config'!$B$32+3,A66&lt;='01_Run_Config'!$B$33+35,MOD(A66-('01_Run_Config'!$B$32+3),7)=0),2,0)</x:f>
        <x:v>0</x:v>
      </x:c>
      <x:c r="Y66" s="63" t="n">
        <x:f>IF(A66&gt;='01_Run_Config'!$B$32,0.015,0)</x:f>
        <x:v>0.015</x:v>
      </x:c>
      <x:c r="Z66" s="63" t="n">
        <x:f>IF(AND('01_Run_Config'!$B$26="Hesilicio statt Balance",A66&gt;='01_Run_Config'!$B$32+3,MOD(A66-('01_Run_Config'!$B$32+3),7)=0,A66&lt;='01_Run_Config'!$B$33+35),0.5,0)</x:f>
        <x:v>0</x:v>
      </x:c>
      <x:c r="AA66" s="63" t="n">
        <x:f>IF(AND(A66&gt;='01_Run_Config'!$B$33,A66&lt;='01_Run_Config'!$B$33+35,MOD(A66-'01_Run_Config'!$B$33,7)=0),2,0)</x:f>
        <x:v>0</x:v>
      </x:c>
      <x:c r="AB66" s="63" t="n">
        <x:f>IF(A66='01_Run_Config'!$B$33+21,0.25,IF(A66='01_Run_Config'!$B$33+28,0.35,IF(A66='01_Run_Config'!$B$33+35,0.5,0)))</x:f>
        <x:v>0</x:v>
      </x:c>
      <x:c r="AC66" s="63" t="n">
        <x:f>IF(OR(A66='01_Run_Config'!$B$32,A66='01_Run_Config'!$B$32+7,A66='01_Run_Config'!$B$33+1,A66='01_Run_Config'!$B$33+8),2,0)</x:f>
        <x:v>0</x:v>
      </x:c>
      <x:c r="AD66" s="63" t="str">
        <x:f>IF(A66&lt;'01_Run_Config'!$B$33,"AN-Reference=0 außer Voodoo-Frischgaben",IF(AL66&lt;=7,"A/B: Bud Ignitor oder Mikrobenmodul; nicht Reference",IF(AL66&lt;=35,"A/B: Big Bud STATT HESI-PK; nicht additiv stapeln",IF(AL66&lt;=49,"A/B: Overdrive STATT spätem HESI-PK","AN-Booster auslaufen"))))</x:f>
        <x:v>A/B: Overdrive STATT spätem HESI-PK</x:v>
      </x:c>
      <x:c r="AE66" s="63" t="str">
        <x:v>Nur Stützen</x:v>
      </x:c>
      <x:c r="AF66" s="63" t="str">
        <x:v>Morgens Klima/Pflanze/Bewässerung/Leck; Mitte Lichtphase Blattwinkel; vor Dunkel LF/Drain/stehendes Wasser.</x:v>
      </x:c>
      <x:c r="AG66" s="63" t="str">
        <x:v>EC nicht erhöhen bei steigender Diagnose-Drain-EC; PPFD nicht erhöhen bei Stress; Wasserband nie erzwingen; nie mehrere neue Booster gleichzeitig.</x:v>
      </x:c>
      <x:c r="AH66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6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6" s="201" t="str">
        <x:f>IF(A66&lt;'01_Run_Config'!$B$32,"—",IF(A66&lt;'01_Run_Config'!$B$33,"G"&amp;MIN(4,INT((A66-'01_Run_Config'!$B$32)/7)+1),AM66))</x:f>
        <x:v>B6</x:v>
      </x:c>
      <x:c r="AK66" s="35" t="str">
        <x:f>IF(A66&lt;'01_Run_Config'!$B$32,"Keine AN-Additive.",IF(A66&lt;'01_Run_Config'!$B$33,"Veg: Voodoo nur definierte Frischgaben; B-52/Piranha/Tarantula nur A/B; Sensizym nur statt PowerZyme; Rhino Skin AUS mit Athena Balance.",IF(AL66&lt;=7,"Frühblüte: Voodoo; Bud Ignitor/Piranha/Tarantula nur A/B; Rhino Skin AUS mit Balance.",IF(AL66&lt;=35,"Hauptblüte: Big Bud nur A/B STATT HESI-PK; Biostims einzeln testen.",IF(AL66&lt;=49,"Spätblüte: Overdrive nur A/B STATT spätem HESI-PK; keine neue zweite Variable.","Booster auslaufen / Reife priorisieren.")))))</x:f>
        <x:v>Spätblüte: Overdrive nur A/B STATT spätem HESI-PK; keine neue zweite Variable.</x:v>
      </x:c>
      <x:c r="AL66" s="60" t="n">
        <x:f>IF(A66&lt;'01_Run_Config'!$B$33,"",A66-'01_Run_Config'!$B$33+1)</x:f>
        <x:v>37</x:v>
      </x:c>
      <x:c r="AM66" s="60" t="str">
        <x:f>IF(AL66="","",IF(AL66&gt;49,CHAR(66)&amp;"7+",CHAR(66)&amp;TEXT(INT((AL66-1)/7)+1,"0")))</x:f>
        <x:v>B6</x:v>
      </x:c>
      <x:c r="AN66" s="60" t="n">
        <x:f>ROUND(0.6108*EXP(17.27*L66/(L66+237.3))*(1-N66/100),2)</x:f>
        <x:v>1.65</x:v>
      </x:c>
      <x:c r="AO66" s="60" t="n">
        <x:f>H66*G66/1000</x:f>
        <x:v>2.16</x:v>
      </x:c>
      <x:c r="AP66" s="60" t="n">
        <x:f>SUM($AO$2:AO66)</x:f>
        <x:v>119.33999999999996</x:v>
      </x:c>
      <x:c r="AQ66" t="n">
        <x:f>'01_Run_Config'!$B$17</x:f>
        <x:v>0</x:v>
      </x:c>
      <x:c r="AR66" t="n">
        <x:f>'01_Run_Config'!$B$22</x:f>
        <x:v>0</x:v>
      </x:c>
      <x:c r="AS66" t="n">
        <x:f>'01_Run_Config'!$B$25</x:f>
        <x:v>0</x:v>
      </x:c>
    </x:row>
    <x:row r="67">
      <x:c r="A67" s="34" t="n">
        <x:v>65</x:v>
      </x:c>
      <x:c r="B67" s="129" t="n">
        <x:f>'01_Run_Config'!$B$4+A67</x:f>
        <x:v>46307</x:v>
      </x:c>
      <x:c r="C67" s="63" t="n">
        <x:f>INT(A67/7)+1</x:f>
        <x:v>10</x:v>
      </x:c>
      <x:c r="D67" s="63" t="str">
        <x:f>"M"&amp;MIN(3,INT(A67/30)+1)</x:f>
        <x:v>M3</x:v>
      </x:c>
      <x:c r="E67" s="63" t="str">
        <x:f>IF(A67&lt;4,"Keimung",IF(A67&lt;8,"Etablierung",IF(A67&lt;15,"Early Veg",IF(A67&lt;'01_Run_Config'!$B$33,IF(A67&lt;22,"Veg / LST","Preflower-Watch"),IF(A67-'01_Run_Config'!$B$33&lt;=6,"Transition / Stretch ("&amp;AM67&amp;")",IF(A67-'01_Run_Config'!$B$33&lt;=13,"Early Flower ("&amp;AM67&amp;")",IF(A67-'01_Run_Config'!$B$33&lt;=20,"Flower I ("&amp;AM67&amp;")",IF(A67-'01_Run_Config'!$B$33&lt;=34,"Peak Flower ("&amp;AM67&amp;")",IF(A67-'01_Run_Config'!$B$33&lt;=41,"Late Flower ("&amp;AM67&amp;")",IF(A67-'01_Run_Config'!$B$33&lt;=48,"Ripening ("&amp;AM67&amp;")","Harvest / Extension ("&amp;AM67&amp;")"))))))))))</x:f>
        <x:v>Late Flower (B6)</x:v>
      </x:c>
      <x:c r="F67" s="63" t="str">
        <x:f>IF(A67&lt;4,"Keimung + Wurzelstart",IF(A67&lt;8,"Sämling etablieren; Wurzelraum erschließen",IF(A67&lt;15,"kompakter Aufbau; LST erst bei Vitalität",IF(A67&lt;'01_Run_Config'!$B$33,"Canopy aufbauen; Preflower beobachten",IF(A67-'01_Run_Config'!$B$33&lt;=6,"Stretch kontrollieren; Bloom-Trigger dokumentieren",IF(A67-'01_Run_Config'!$B$33&lt;=13,"Blütenansatz stabilisieren",IF(A67-'01_Run_Config'!$B$33&lt;=20,"Blütenaufbau ohne neue Stressoren",IF(A67-'01_Run_Config'!$B$33&lt;=34,"stabile Peak-Photosynthese; Klima priorisieren",IF(A67-'01_Run_Config'!$B$33&lt;=41,"Qualität/Schimmelprävention",IF(A67-'01_Run_Config'!$B$33&lt;=48,"Reife ohne Überfütterung","Erntefenster nach Pflanze; keine Kalenderernte"))))))))))</x:f>
        <x:v>Qualität/Schimmelprävention</x:v>
      </x:c>
      <x:c r="G67" s="63" t="n">
        <x:v>18</x:v>
      </x:c>
      <x:c r="H67" s="63" t="n">
        <x:v>120</x:v>
      </x:c>
      <x:c r="I67" s="63" t="n">
        <x:v>550</x:v>
      </x:c>
      <x:c r="J67" s="63" t="n">
        <x:f>I67*G67*3600/1000000</x:f>
        <x:v>35.64</x:v>
      </x:c>
      <x:c r="K67" s="63" t="n">
        <x:v>37</x:v>
      </x:c>
      <x:c r="L67" s="63" t="n">
        <x:v>23.5</x:v>
      </x:c>
      <x:c r="M67" s="63" t="n">
        <x:v>20.5</x:v>
      </x:c>
      <x:c r="N67" s="63" t="n">
        <x:v>43</x:v>
      </x:c>
      <x:c r="O67" s="63" t="n">
        <x:f>ROUND(0.6108*EXP(17.27*(L67+'01_Run_Config'!$B$34)/(L67+'01_Run_Config'!$B$34+237.3))-(N67/100)*0.6108*EXP(17.27*L67/(L67+237.3)),2)</x:f>
        <x:v>1.48</x:v>
      </x:c>
      <x:c r="P67" s="63" t="n">
        <x:f>IF(A67&lt;'01_Run_Config'!$B$32,0.55,IF(A67&lt;'01_Run_Config'!$B$33,IF(A67-'01_Run_Config'!$B$32&lt;=3,0.8,IF(A67-'01_Run_Config'!$B$32&lt;=10,1,IF(A67-'01_Run_Config'!$B$32&lt;=17,1.2,1.4))),IF(A67-'01_Run_Config'!$B$33&lt;=6,1.5,IF(A67-'01_Run_Config'!$B$33&lt;=13,1.6,IF(A67-'01_Run_Config'!$B$33&lt;=20,1.7,IF(A67-'01_Run_Config'!$B$33&lt;=34,1.8,IF(A67-'01_Run_Config'!$B$33&lt;=41,1.6,IF(A67-'01_Run_Config'!$B$33&lt;=48,1.4,1.15))))))))</x:f>
        <x:v>1.6</x:v>
      </x:c>
      <x:c r="Q67" s="63" t="n">
        <x:v>5.9</x:v>
      </x:c>
      <x:c r="R67" s="63" t="n">
        <x:v>0.6</x:v>
      </x:c>
      <x:c r="S67" s="63" t="n">
        <x:v>1</x:v>
      </x:c>
      <x:c r="T67" s="63" t="str">
        <x:f>IF(A67&lt;=7,"Manuell",'01_Run_Config'!$B$40)</x:f>
        <x:v>Manuell / indoor-freigegebene Automation</x:v>
      </x:c>
      <x:c r="U67" s="63" t="str">
        <x:f>IF(A67&lt;'01_Run_Config'!$B$32,"Kein Basisdünger",IF(A67&lt;'01_Run_Config'!$B$33,"HESI TNT","HESI Coco"))</x:f>
        <x:v>HESI Coco</x:v>
      </x:c>
      <x:c r="V67" s="63" t="n">
        <x:f>IF(A67&lt;'01_Run_Config'!$B$32,0,IF(A67&lt;'01_Run_Config'!$B$33,IF(A67-'01_Run_Config'!$B$32&lt;=3,1.25,IF(A67-'01_Run_Config'!$B$32&lt;=10,2,2.5)),IF(A67-'01_Run_Config'!$B$33&lt;=6,2.5,IF(A67-'01_Run_Config'!$B$33&lt;=13,3.25,IF(A67-'01_Run_Config'!$B$33&lt;=20,3.75,IF(A67-'01_Run_Config'!$B$33&lt;=34,4,IF(A67-'01_Run_Config'!$B$33&lt;=41,3.5,IF(A67-'01_Run_Config'!$B$33&lt;=48,2.5,1.5))))))))</x:f>
        <x:v>3.5</x:v>
      </x:c>
      <x:c r="W67" s="63" t="n">
        <x:f>IF(OR(A67='01_Run_Config'!$B$32,A67='01_Run_Config'!$B$32+6,A67='01_Run_Config'!$B$32+12),2.5,0)</x:f>
        <x:v>0</x:v>
      </x:c>
      <x:c r="X67" s="63" t="n">
        <x:f>IF(AND(A67&gt;='01_Run_Config'!$B$32+3,A67&lt;='01_Run_Config'!$B$33+35,MOD(A67-('01_Run_Config'!$B$32+3),7)=0),2,0)</x:f>
        <x:v>0</x:v>
      </x:c>
      <x:c r="Y67" s="63" t="n">
        <x:f>IF(A67&gt;='01_Run_Config'!$B$32,0.015,0)</x:f>
        <x:v>0.015</x:v>
      </x:c>
      <x:c r="Z67" s="63" t="n">
        <x:f>IF(AND('01_Run_Config'!$B$26="Hesilicio statt Balance",A67&gt;='01_Run_Config'!$B$32+3,MOD(A67-('01_Run_Config'!$B$32+3),7)=0,A67&lt;='01_Run_Config'!$B$33+35),0.5,0)</x:f>
        <x:v>0</x:v>
      </x:c>
      <x:c r="AA67" s="63" t="n">
        <x:f>IF(AND(A67&gt;='01_Run_Config'!$B$33,A67&lt;='01_Run_Config'!$B$33+35,MOD(A67-'01_Run_Config'!$B$33,7)=0),2,0)</x:f>
        <x:v>0</x:v>
      </x:c>
      <x:c r="AB67" s="63" t="n">
        <x:f>IF(A67='01_Run_Config'!$B$33+21,0.25,IF(A67='01_Run_Config'!$B$33+28,0.35,IF(A67='01_Run_Config'!$B$33+35,0.5,0)))</x:f>
        <x:v>0</x:v>
      </x:c>
      <x:c r="AC67" s="63" t="n">
        <x:f>IF(OR(A67='01_Run_Config'!$B$32,A67='01_Run_Config'!$B$32+7,A67='01_Run_Config'!$B$33+1,A67='01_Run_Config'!$B$33+8),2,0)</x:f>
        <x:v>0</x:v>
      </x:c>
      <x:c r="AD67" s="63" t="str">
        <x:f>IF(A67&lt;'01_Run_Config'!$B$33,"AN-Reference=0 außer Voodoo-Frischgaben",IF(AL67&lt;=7,"A/B: Bud Ignitor oder Mikrobenmodul; nicht Reference",IF(AL67&lt;=35,"A/B: Big Bud STATT HESI-PK; nicht additiv stapeln",IF(AL67&lt;=49,"A/B: Overdrive STATT spätem HESI-PK","AN-Booster auslaufen"))))</x:f>
        <x:v>A/B: Overdrive STATT spätem HESI-PK</x:v>
      </x:c>
      <x:c r="AE67" s="63" t="str">
        <x:v>Nur Stützen</x:v>
      </x:c>
      <x:c r="AF67" s="63" t="str">
        <x:v>Morgens Klima/Pflanze/Bewässerung/Leck; Mitte Lichtphase Blattwinkel; vor Dunkel LF/Drain/stehendes Wasser.</x:v>
      </x:c>
      <x:c r="AG67" s="63" t="str">
        <x:v>EC nicht erhöhen bei steigender Diagnose-Drain-EC; PPFD nicht erhöhen bei Stress; Wasserband nie erzwingen; nie mehrere neue Booster gleichzeitig.</x:v>
      </x:c>
      <x:c r="AH67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6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7" s="201" t="str">
        <x:f>IF(A67&lt;'01_Run_Config'!$B$32,"—",IF(A67&lt;'01_Run_Config'!$B$33,"G"&amp;MIN(4,INT((A67-'01_Run_Config'!$B$32)/7)+1),AM67))</x:f>
        <x:v>B6</x:v>
      </x:c>
      <x:c r="AK67" s="35" t="str">
        <x:f>IF(A67&lt;'01_Run_Config'!$B$32,"Keine AN-Additive.",IF(A67&lt;'01_Run_Config'!$B$33,"Veg: Voodoo nur definierte Frischgaben; B-52/Piranha/Tarantula nur A/B; Sensizym nur statt PowerZyme; Rhino Skin AUS mit Athena Balance.",IF(AL67&lt;=7,"Frühblüte: Voodoo; Bud Ignitor/Piranha/Tarantula nur A/B; Rhino Skin AUS mit Balance.",IF(AL67&lt;=35,"Hauptblüte: Big Bud nur A/B STATT HESI-PK; Biostims einzeln testen.",IF(AL67&lt;=49,"Spätblüte: Overdrive nur A/B STATT spätem HESI-PK; keine neue zweite Variable.","Booster auslaufen / Reife priorisieren.")))))</x:f>
        <x:v>Spätblüte: Overdrive nur A/B STATT spätem HESI-PK; keine neue zweite Variable.</x:v>
      </x:c>
      <x:c r="AL67" s="60" t="n">
        <x:f>IF(A67&lt;'01_Run_Config'!$B$33,"",A67-'01_Run_Config'!$B$33+1)</x:f>
        <x:v>38</x:v>
      </x:c>
      <x:c r="AM67" s="60" t="str">
        <x:f>IF(AL67="","",IF(AL67&gt;49,CHAR(66)&amp;"7+",CHAR(66)&amp;TEXT(INT((AL67-1)/7)+1,"0")))</x:f>
        <x:v>B6</x:v>
      </x:c>
      <x:c r="AN67" s="60" t="n">
        <x:f>ROUND(0.6108*EXP(17.27*L67/(L67+237.3))*(1-N67/100),2)</x:f>
        <x:v>1.65</x:v>
      </x:c>
      <x:c r="AO67" s="60" t="n">
        <x:f>H67*G67/1000</x:f>
        <x:v>2.16</x:v>
      </x:c>
      <x:c r="AP67" s="60" t="n">
        <x:f>SUM($AO$2:AO67)</x:f>
        <x:v>121.49999999999996</x:v>
      </x:c>
      <x:c r="AQ67" t="n">
        <x:f>'01_Run_Config'!$B$17</x:f>
        <x:v>0</x:v>
      </x:c>
      <x:c r="AR67" t="n">
        <x:f>'01_Run_Config'!$B$22</x:f>
        <x:v>0</x:v>
      </x:c>
      <x:c r="AS67" t="n">
        <x:f>'01_Run_Config'!$B$25</x:f>
        <x:v>0</x:v>
      </x:c>
    </x:row>
    <x:row r="68">
      <x:c r="A68" s="34" t="n">
        <x:v>66</x:v>
      </x:c>
      <x:c r="B68" s="129" t="n">
        <x:f>'01_Run_Config'!$B$4+A68</x:f>
        <x:v>46308</x:v>
      </x:c>
      <x:c r="C68" s="63" t="n">
        <x:f>INT(A68/7)+1</x:f>
        <x:v>10</x:v>
      </x:c>
      <x:c r="D68" s="63" t="str">
        <x:f>"M"&amp;MIN(3,INT(A68/30)+1)</x:f>
        <x:v>M3</x:v>
      </x:c>
      <x:c r="E68" s="63" t="str">
        <x:f>IF(A68&lt;4,"Keimung",IF(A68&lt;8,"Etablierung",IF(A68&lt;15,"Early Veg",IF(A68&lt;'01_Run_Config'!$B$33,IF(A68&lt;22,"Veg / LST","Preflower-Watch"),IF(A68-'01_Run_Config'!$B$33&lt;=6,"Transition / Stretch ("&amp;AM68&amp;")",IF(A68-'01_Run_Config'!$B$33&lt;=13,"Early Flower ("&amp;AM68&amp;")",IF(A68-'01_Run_Config'!$B$33&lt;=20,"Flower I ("&amp;AM68&amp;")",IF(A68-'01_Run_Config'!$B$33&lt;=34,"Peak Flower ("&amp;AM68&amp;")",IF(A68-'01_Run_Config'!$B$33&lt;=41,"Late Flower ("&amp;AM68&amp;")",IF(A68-'01_Run_Config'!$B$33&lt;=48,"Ripening ("&amp;AM68&amp;")","Harvest / Extension ("&amp;AM68&amp;")"))))))))))</x:f>
        <x:v>Late Flower (B6)</x:v>
      </x:c>
      <x:c r="F68" s="63" t="str">
        <x:f>IF(A68&lt;4,"Keimung + Wurzelstart",IF(A68&lt;8,"Sämling etablieren; Wurzelraum erschließen",IF(A68&lt;15,"kompakter Aufbau; LST erst bei Vitalität",IF(A68&lt;'01_Run_Config'!$B$33,"Canopy aufbauen; Preflower beobachten",IF(A68-'01_Run_Config'!$B$33&lt;=6,"Stretch kontrollieren; Bloom-Trigger dokumentieren",IF(A68-'01_Run_Config'!$B$33&lt;=13,"Blütenansatz stabilisieren",IF(A68-'01_Run_Config'!$B$33&lt;=20,"Blütenaufbau ohne neue Stressoren",IF(A68-'01_Run_Config'!$B$33&lt;=34,"stabile Peak-Photosynthese; Klima priorisieren",IF(A68-'01_Run_Config'!$B$33&lt;=41,"Qualität/Schimmelprävention",IF(A68-'01_Run_Config'!$B$33&lt;=48,"Reife ohne Überfütterung","Erntefenster nach Pflanze; keine Kalenderernte"))))))))))</x:f>
        <x:v>Qualität/Schimmelprävention</x:v>
      </x:c>
      <x:c r="G68" s="63" t="n">
        <x:v>18</x:v>
      </x:c>
      <x:c r="H68" s="63" t="n">
        <x:v>120</x:v>
      </x:c>
      <x:c r="I68" s="63" t="n">
        <x:v>550</x:v>
      </x:c>
      <x:c r="J68" s="63" t="n">
        <x:f>I68*G68*3600/1000000</x:f>
        <x:v>35.64</x:v>
      </x:c>
      <x:c r="K68" s="63" t="n">
        <x:v>37</x:v>
      </x:c>
      <x:c r="L68" s="63" t="n">
        <x:v>23.5</x:v>
      </x:c>
      <x:c r="M68" s="63" t="n">
        <x:v>20.5</x:v>
      </x:c>
      <x:c r="N68" s="63" t="n">
        <x:v>43</x:v>
      </x:c>
      <x:c r="O68" s="63" t="n">
        <x:f>ROUND(0.6108*EXP(17.27*(L68+'01_Run_Config'!$B$34)/(L68+'01_Run_Config'!$B$34+237.3))-(N68/100)*0.6108*EXP(17.27*L68/(L68+237.3)),2)</x:f>
        <x:v>1.48</x:v>
      </x:c>
      <x:c r="P68" s="63" t="n">
        <x:f>IF(A68&lt;'01_Run_Config'!$B$32,0.55,IF(A68&lt;'01_Run_Config'!$B$33,IF(A68-'01_Run_Config'!$B$32&lt;=3,0.8,IF(A68-'01_Run_Config'!$B$32&lt;=10,1,IF(A68-'01_Run_Config'!$B$32&lt;=17,1.2,1.4))),IF(A68-'01_Run_Config'!$B$33&lt;=6,1.5,IF(A68-'01_Run_Config'!$B$33&lt;=13,1.6,IF(A68-'01_Run_Config'!$B$33&lt;=20,1.7,IF(A68-'01_Run_Config'!$B$33&lt;=34,1.8,IF(A68-'01_Run_Config'!$B$33&lt;=41,1.6,IF(A68-'01_Run_Config'!$B$33&lt;=48,1.4,1.15))))))))</x:f>
        <x:v>1.6</x:v>
      </x:c>
      <x:c r="Q68" s="63" t="n">
        <x:v>5.9</x:v>
      </x:c>
      <x:c r="R68" s="63" t="n">
        <x:v>0.6</x:v>
      </x:c>
      <x:c r="S68" s="63" t="n">
        <x:v>1</x:v>
      </x:c>
      <x:c r="T68" s="63" t="str">
        <x:f>IF(A68&lt;=7,"Manuell",'01_Run_Config'!$B$40)</x:f>
        <x:v>Manuell / indoor-freigegebene Automation</x:v>
      </x:c>
      <x:c r="U68" s="63" t="str">
        <x:f>IF(A68&lt;'01_Run_Config'!$B$32,"Kein Basisdünger",IF(A68&lt;'01_Run_Config'!$B$33,"HESI TNT","HESI Coco"))</x:f>
        <x:v>HESI Coco</x:v>
      </x:c>
      <x:c r="V68" s="63" t="n">
        <x:f>IF(A68&lt;'01_Run_Config'!$B$32,0,IF(A68&lt;'01_Run_Config'!$B$33,IF(A68-'01_Run_Config'!$B$32&lt;=3,1.25,IF(A68-'01_Run_Config'!$B$32&lt;=10,2,2.5)),IF(A68-'01_Run_Config'!$B$33&lt;=6,2.5,IF(A68-'01_Run_Config'!$B$33&lt;=13,3.25,IF(A68-'01_Run_Config'!$B$33&lt;=20,3.75,IF(A68-'01_Run_Config'!$B$33&lt;=34,4,IF(A68-'01_Run_Config'!$B$33&lt;=41,3.5,IF(A68-'01_Run_Config'!$B$33&lt;=48,2.5,1.5))))))))</x:f>
        <x:v>3.5</x:v>
      </x:c>
      <x:c r="W68" s="63" t="n">
        <x:f>IF(OR(A68='01_Run_Config'!$B$32,A68='01_Run_Config'!$B$32+6,A68='01_Run_Config'!$B$32+12),2.5,0)</x:f>
        <x:v>0</x:v>
      </x:c>
      <x:c r="X68" s="63" t="n">
        <x:f>IF(AND(A68&gt;='01_Run_Config'!$B$32+3,A68&lt;='01_Run_Config'!$B$33+35,MOD(A68-('01_Run_Config'!$B$32+3),7)=0),2,0)</x:f>
        <x:v>0</x:v>
      </x:c>
      <x:c r="Y68" s="63" t="n">
        <x:f>IF(A68&gt;='01_Run_Config'!$B$32,0.015,0)</x:f>
        <x:v>0.015</x:v>
      </x:c>
      <x:c r="Z68" s="63" t="n">
        <x:f>IF(AND('01_Run_Config'!$B$26="Hesilicio statt Balance",A68&gt;='01_Run_Config'!$B$32+3,MOD(A68-('01_Run_Config'!$B$32+3),7)=0,A68&lt;='01_Run_Config'!$B$33+35),0.5,0)</x:f>
        <x:v>0</x:v>
      </x:c>
      <x:c r="AA68" s="63" t="n">
        <x:f>IF(AND(A68&gt;='01_Run_Config'!$B$33,A68&lt;='01_Run_Config'!$B$33+35,MOD(A68-'01_Run_Config'!$B$33,7)=0),2,0)</x:f>
        <x:v>0</x:v>
      </x:c>
      <x:c r="AB68" s="63" t="n">
        <x:f>IF(A68='01_Run_Config'!$B$33+21,0.25,IF(A68='01_Run_Config'!$B$33+28,0.35,IF(A68='01_Run_Config'!$B$33+35,0.5,0)))</x:f>
        <x:v>0</x:v>
      </x:c>
      <x:c r="AC68" s="63" t="n">
        <x:f>IF(OR(A68='01_Run_Config'!$B$32,A68='01_Run_Config'!$B$32+7,A68='01_Run_Config'!$B$33+1,A68='01_Run_Config'!$B$33+8),2,0)</x:f>
        <x:v>0</x:v>
      </x:c>
      <x:c r="AD68" s="63" t="str">
        <x:f>IF(A68&lt;'01_Run_Config'!$B$33,"AN-Reference=0 außer Voodoo-Frischgaben",IF(AL68&lt;=7,"A/B: Bud Ignitor oder Mikrobenmodul; nicht Reference",IF(AL68&lt;=35,"A/B: Big Bud STATT HESI-PK; nicht additiv stapeln",IF(AL68&lt;=49,"A/B: Overdrive STATT spätem HESI-PK","AN-Booster auslaufen"))))</x:f>
        <x:v>A/B: Overdrive STATT spätem HESI-PK</x:v>
      </x:c>
      <x:c r="AE68" s="63" t="str">
        <x:v>Nur Stützen</x:v>
      </x:c>
      <x:c r="AF68" s="63" t="str">
        <x:v>Morgens Klima/Pflanze/Bewässerung/Leck; Mitte Lichtphase Blattwinkel; vor Dunkel LF/Drain/stehendes Wasser.</x:v>
      </x:c>
      <x:c r="AG68" s="63" t="str">
        <x:v>EC nicht erhöhen bei steigender Diagnose-Drain-EC; PPFD nicht erhöhen bei Stress; Wasserband nie erzwingen; nie mehrere neue Booster gleichzeitig.</x:v>
      </x:c>
      <x:c r="AH68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6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8" s="201" t="str">
        <x:f>IF(A68&lt;'01_Run_Config'!$B$32,"—",IF(A68&lt;'01_Run_Config'!$B$33,"G"&amp;MIN(4,INT((A68-'01_Run_Config'!$B$32)/7)+1),AM68))</x:f>
        <x:v>B6</x:v>
      </x:c>
      <x:c r="AK68" s="35" t="str">
        <x:f>IF(A68&lt;'01_Run_Config'!$B$32,"Keine AN-Additive.",IF(A68&lt;'01_Run_Config'!$B$33,"Veg: Voodoo nur definierte Frischgaben; B-52/Piranha/Tarantula nur A/B; Sensizym nur statt PowerZyme; Rhino Skin AUS mit Athena Balance.",IF(AL68&lt;=7,"Frühblüte: Voodoo; Bud Ignitor/Piranha/Tarantula nur A/B; Rhino Skin AUS mit Balance.",IF(AL68&lt;=35,"Hauptblüte: Big Bud nur A/B STATT HESI-PK; Biostims einzeln testen.",IF(AL68&lt;=49,"Spätblüte: Overdrive nur A/B STATT spätem HESI-PK; keine neue zweite Variable.","Booster auslaufen / Reife priorisieren.")))))</x:f>
        <x:v>Spätblüte: Overdrive nur A/B STATT spätem HESI-PK; keine neue zweite Variable.</x:v>
      </x:c>
      <x:c r="AL68" s="60" t="n">
        <x:f>IF(A68&lt;'01_Run_Config'!$B$33,"",A68-'01_Run_Config'!$B$33+1)</x:f>
        <x:v>39</x:v>
      </x:c>
      <x:c r="AM68" s="60" t="str">
        <x:f>IF(AL68="","",IF(AL68&gt;49,CHAR(66)&amp;"7+",CHAR(66)&amp;TEXT(INT((AL68-1)/7)+1,"0")))</x:f>
        <x:v>B6</x:v>
      </x:c>
      <x:c r="AN68" s="60" t="n">
        <x:f>ROUND(0.6108*EXP(17.27*L68/(L68+237.3))*(1-N68/100),2)</x:f>
        <x:v>1.65</x:v>
      </x:c>
      <x:c r="AO68" s="60" t="n">
        <x:f>H68*G68/1000</x:f>
        <x:v>2.16</x:v>
      </x:c>
      <x:c r="AP68" s="60" t="n">
        <x:f>SUM($AO$2:AO68)</x:f>
        <x:v>123.65999999999995</x:v>
      </x:c>
      <x:c r="AQ68" t="n">
        <x:f>'01_Run_Config'!$B$17</x:f>
        <x:v>0</x:v>
      </x:c>
      <x:c r="AR68" t="n">
        <x:f>'01_Run_Config'!$B$22</x:f>
        <x:v>0</x:v>
      </x:c>
      <x:c r="AS68" t="n">
        <x:f>'01_Run_Config'!$B$25</x:f>
        <x:v>0</x:v>
      </x:c>
    </x:row>
    <x:row r="69">
      <x:c r="A69" s="34" t="n">
        <x:v>67</x:v>
      </x:c>
      <x:c r="B69" s="129" t="n">
        <x:f>'01_Run_Config'!$B$4+A69</x:f>
        <x:v>46309</x:v>
      </x:c>
      <x:c r="C69" s="63" t="n">
        <x:f>INT(A69/7)+1</x:f>
        <x:v>10</x:v>
      </x:c>
      <x:c r="D69" s="63" t="str">
        <x:f>"M"&amp;MIN(3,INT(A69/30)+1)</x:f>
        <x:v>M3</x:v>
      </x:c>
      <x:c r="E69" s="63" t="str">
        <x:f>IF(A69&lt;4,"Keimung",IF(A69&lt;8,"Etablierung",IF(A69&lt;15,"Early Veg",IF(A69&lt;'01_Run_Config'!$B$33,IF(A69&lt;22,"Veg / LST","Preflower-Watch"),IF(A69-'01_Run_Config'!$B$33&lt;=6,"Transition / Stretch ("&amp;AM69&amp;")",IF(A69-'01_Run_Config'!$B$33&lt;=13,"Early Flower ("&amp;AM69&amp;")",IF(A69-'01_Run_Config'!$B$33&lt;=20,"Flower I ("&amp;AM69&amp;")",IF(A69-'01_Run_Config'!$B$33&lt;=34,"Peak Flower ("&amp;AM69&amp;")",IF(A69-'01_Run_Config'!$B$33&lt;=41,"Late Flower ("&amp;AM69&amp;")",IF(A69-'01_Run_Config'!$B$33&lt;=48,"Ripening ("&amp;AM69&amp;")","Harvest / Extension ("&amp;AM69&amp;")"))))))))))</x:f>
        <x:v>Late Flower (B6)</x:v>
      </x:c>
      <x:c r="F69" s="63" t="str">
        <x:f>IF(A69&lt;4,"Keimung + Wurzelstart",IF(A69&lt;8,"Sämling etablieren; Wurzelraum erschließen",IF(A69&lt;15,"kompakter Aufbau; LST erst bei Vitalität",IF(A69&lt;'01_Run_Config'!$B$33,"Canopy aufbauen; Preflower beobachten",IF(A69-'01_Run_Config'!$B$33&lt;=6,"Stretch kontrollieren; Bloom-Trigger dokumentieren",IF(A69-'01_Run_Config'!$B$33&lt;=13,"Blütenansatz stabilisieren",IF(A69-'01_Run_Config'!$B$33&lt;=20,"Blütenaufbau ohne neue Stressoren",IF(A69-'01_Run_Config'!$B$33&lt;=34,"stabile Peak-Photosynthese; Klima priorisieren",IF(A69-'01_Run_Config'!$B$33&lt;=41,"Qualität/Schimmelprävention",IF(A69-'01_Run_Config'!$B$33&lt;=48,"Reife ohne Überfütterung","Erntefenster nach Pflanze; keine Kalenderernte"))))))))))</x:f>
        <x:v>Qualität/Schimmelprävention</x:v>
      </x:c>
      <x:c r="G69" s="63" t="n">
        <x:v>18</x:v>
      </x:c>
      <x:c r="H69" s="63" t="n">
        <x:v>120</x:v>
      </x:c>
      <x:c r="I69" s="63" t="n">
        <x:v>550</x:v>
      </x:c>
      <x:c r="J69" s="63" t="n">
        <x:f>I69*G69*3600/1000000</x:f>
        <x:v>35.64</x:v>
      </x:c>
      <x:c r="K69" s="63" t="n">
        <x:v>37</x:v>
      </x:c>
      <x:c r="L69" s="63" t="n">
        <x:v>23.5</x:v>
      </x:c>
      <x:c r="M69" s="63" t="n">
        <x:v>20.5</x:v>
      </x:c>
      <x:c r="N69" s="63" t="n">
        <x:v>43</x:v>
      </x:c>
      <x:c r="O69" s="63" t="n">
        <x:f>ROUND(0.6108*EXP(17.27*(L69+'01_Run_Config'!$B$34)/(L69+'01_Run_Config'!$B$34+237.3))-(N69/100)*0.6108*EXP(17.27*L69/(L69+237.3)),2)</x:f>
        <x:v>1.48</x:v>
      </x:c>
      <x:c r="P69" s="63" t="n">
        <x:f>IF(A69&lt;'01_Run_Config'!$B$32,0.55,IF(A69&lt;'01_Run_Config'!$B$33,IF(A69-'01_Run_Config'!$B$32&lt;=3,0.8,IF(A69-'01_Run_Config'!$B$32&lt;=10,1,IF(A69-'01_Run_Config'!$B$32&lt;=17,1.2,1.4))),IF(A69-'01_Run_Config'!$B$33&lt;=6,1.5,IF(A69-'01_Run_Config'!$B$33&lt;=13,1.6,IF(A69-'01_Run_Config'!$B$33&lt;=20,1.7,IF(A69-'01_Run_Config'!$B$33&lt;=34,1.8,IF(A69-'01_Run_Config'!$B$33&lt;=41,1.6,IF(A69-'01_Run_Config'!$B$33&lt;=48,1.4,1.15))))))))</x:f>
        <x:v>1.6</x:v>
      </x:c>
      <x:c r="Q69" s="63" t="n">
        <x:v>5.9</x:v>
      </x:c>
      <x:c r="R69" s="63" t="n">
        <x:v>0.6</x:v>
      </x:c>
      <x:c r="S69" s="63" t="n">
        <x:v>1</x:v>
      </x:c>
      <x:c r="T69" s="63" t="str">
        <x:f>IF(A69&lt;=7,"Manuell",'01_Run_Config'!$B$40)</x:f>
        <x:v>Manuell / indoor-freigegebene Automation</x:v>
      </x:c>
      <x:c r="U69" s="63" t="str">
        <x:f>IF(A69&lt;'01_Run_Config'!$B$32,"Kein Basisdünger",IF(A69&lt;'01_Run_Config'!$B$33,"HESI TNT","HESI Coco"))</x:f>
        <x:v>HESI Coco</x:v>
      </x:c>
      <x:c r="V69" s="63" t="n">
        <x:f>IF(A69&lt;'01_Run_Config'!$B$32,0,IF(A69&lt;'01_Run_Config'!$B$33,IF(A69-'01_Run_Config'!$B$32&lt;=3,1.25,IF(A69-'01_Run_Config'!$B$32&lt;=10,2,2.5)),IF(A69-'01_Run_Config'!$B$33&lt;=6,2.5,IF(A69-'01_Run_Config'!$B$33&lt;=13,3.25,IF(A69-'01_Run_Config'!$B$33&lt;=20,3.75,IF(A69-'01_Run_Config'!$B$33&lt;=34,4,IF(A69-'01_Run_Config'!$B$33&lt;=41,3.5,IF(A69-'01_Run_Config'!$B$33&lt;=48,2.5,1.5))))))))</x:f>
        <x:v>3.5</x:v>
      </x:c>
      <x:c r="W69" s="63" t="n">
        <x:f>IF(OR(A69='01_Run_Config'!$B$32,A69='01_Run_Config'!$B$32+6,A69='01_Run_Config'!$B$32+12),2.5,0)</x:f>
        <x:v>0</x:v>
      </x:c>
      <x:c r="X69" s="63" t="n">
        <x:f>IF(AND(A69&gt;='01_Run_Config'!$B$32+3,A69&lt;='01_Run_Config'!$B$33+35,MOD(A69-('01_Run_Config'!$B$32+3),7)=0),2,0)</x:f>
        <x:v>0</x:v>
      </x:c>
      <x:c r="Y69" s="63" t="n">
        <x:f>IF(A69&gt;='01_Run_Config'!$B$32,0.015,0)</x:f>
        <x:v>0.015</x:v>
      </x:c>
      <x:c r="Z69" s="63" t="n">
        <x:f>IF(AND('01_Run_Config'!$B$26="Hesilicio statt Balance",A69&gt;='01_Run_Config'!$B$32+3,MOD(A69-('01_Run_Config'!$B$32+3),7)=0,A69&lt;='01_Run_Config'!$B$33+35),0.5,0)</x:f>
        <x:v>0</x:v>
      </x:c>
      <x:c r="AA69" s="63" t="n">
        <x:f>IF(AND(A69&gt;='01_Run_Config'!$B$33,A69&lt;='01_Run_Config'!$B$33+35,MOD(A69-'01_Run_Config'!$B$33,7)=0),2,0)</x:f>
        <x:v>0</x:v>
      </x:c>
      <x:c r="AB69" s="63" t="n">
        <x:f>IF(A69='01_Run_Config'!$B$33+21,0.25,IF(A69='01_Run_Config'!$B$33+28,0.35,IF(A69='01_Run_Config'!$B$33+35,0.5,0)))</x:f>
        <x:v>0</x:v>
      </x:c>
      <x:c r="AC69" s="63" t="n">
        <x:f>IF(OR(A69='01_Run_Config'!$B$32,A69='01_Run_Config'!$B$32+7,A69='01_Run_Config'!$B$33+1,A69='01_Run_Config'!$B$33+8),2,0)</x:f>
        <x:v>0</x:v>
      </x:c>
      <x:c r="AD69" s="63" t="str">
        <x:f>IF(A69&lt;'01_Run_Config'!$B$33,"AN-Reference=0 außer Voodoo-Frischgaben",IF(AL69&lt;=7,"A/B: Bud Ignitor oder Mikrobenmodul; nicht Reference",IF(AL69&lt;=35,"A/B: Big Bud STATT HESI-PK; nicht additiv stapeln",IF(AL69&lt;=49,"A/B: Overdrive STATT spätem HESI-PK","AN-Booster auslaufen"))))</x:f>
        <x:v>A/B: Overdrive STATT spätem HESI-PK</x:v>
      </x:c>
      <x:c r="AE69" s="63" t="str">
        <x:v>Nur Stützen</x:v>
      </x:c>
      <x:c r="AF69" s="63" t="str">
        <x:v>Morgens Klima/Pflanze/Bewässerung/Leck; Mitte Lichtphase Blattwinkel; vor Dunkel LF/Drain/stehendes Wasser.</x:v>
      </x:c>
      <x:c r="AG69" s="63" t="str">
        <x:v>EC nicht erhöhen bei steigender Diagnose-Drain-EC; PPFD nicht erhöhen bei Stress; Wasserband nie erzwingen; nie mehrere neue Booster gleichzeitig.</x:v>
      </x:c>
      <x:c r="AH69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6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9" s="201" t="str">
        <x:f>IF(A69&lt;'01_Run_Config'!$B$32,"—",IF(A69&lt;'01_Run_Config'!$B$33,"G"&amp;MIN(4,INT((A69-'01_Run_Config'!$B$32)/7)+1),AM69))</x:f>
        <x:v>B6</x:v>
      </x:c>
      <x:c r="AK69" s="35" t="str">
        <x:f>IF(A69&lt;'01_Run_Config'!$B$32,"Keine AN-Additive.",IF(A69&lt;'01_Run_Config'!$B$33,"Veg: Voodoo nur definierte Frischgaben; B-52/Piranha/Tarantula nur A/B; Sensizym nur statt PowerZyme; Rhino Skin AUS mit Athena Balance.",IF(AL69&lt;=7,"Frühblüte: Voodoo; Bud Ignitor/Piranha/Tarantula nur A/B; Rhino Skin AUS mit Balance.",IF(AL69&lt;=35,"Hauptblüte: Big Bud nur A/B STATT HESI-PK; Biostims einzeln testen.",IF(AL69&lt;=49,"Spätblüte: Overdrive nur A/B STATT spätem HESI-PK; keine neue zweite Variable.","Booster auslaufen / Reife priorisieren.")))))</x:f>
        <x:v>Spätblüte: Overdrive nur A/B STATT spätem HESI-PK; keine neue zweite Variable.</x:v>
      </x:c>
      <x:c r="AL69" s="60" t="n">
        <x:f>IF(A69&lt;'01_Run_Config'!$B$33,"",A69-'01_Run_Config'!$B$33+1)</x:f>
        <x:v>40</x:v>
      </x:c>
      <x:c r="AM69" s="60" t="str">
        <x:f>IF(AL69="","",IF(AL69&gt;49,CHAR(66)&amp;"7+",CHAR(66)&amp;TEXT(INT((AL69-1)/7)+1,"0")))</x:f>
        <x:v>B6</x:v>
      </x:c>
      <x:c r="AN69" s="60" t="n">
        <x:f>ROUND(0.6108*EXP(17.27*L69/(L69+237.3))*(1-N69/100),2)</x:f>
        <x:v>1.65</x:v>
      </x:c>
      <x:c r="AO69" s="60" t="n">
        <x:f>H69*G69/1000</x:f>
        <x:v>2.16</x:v>
      </x:c>
      <x:c r="AP69" s="60" t="n">
        <x:f>SUM($AO$2:AO69)</x:f>
        <x:v>125.81999999999995</x:v>
      </x:c>
      <x:c r="AQ69" t="n">
        <x:f>'01_Run_Config'!$B$17</x:f>
        <x:v>0</x:v>
      </x:c>
      <x:c r="AR69" t="n">
        <x:f>'01_Run_Config'!$B$22</x:f>
        <x:v>0</x:v>
      </x:c>
      <x:c r="AS69" t="n">
        <x:f>'01_Run_Config'!$B$25</x:f>
        <x:v>0</x:v>
      </x:c>
    </x:row>
    <x:row r="70">
      <x:c r="A70" s="34" t="n">
        <x:v>68</x:v>
      </x:c>
      <x:c r="B70" s="129" t="n">
        <x:f>'01_Run_Config'!$B$4+A70</x:f>
        <x:v>46310</x:v>
      </x:c>
      <x:c r="C70" s="63" t="n">
        <x:f>INT(A70/7)+1</x:f>
        <x:v>10</x:v>
      </x:c>
      <x:c r="D70" s="63" t="str">
        <x:f>"M"&amp;MIN(3,INT(A70/30)+1)</x:f>
        <x:v>M3</x:v>
      </x:c>
      <x:c r="E70" s="63" t="str">
        <x:f>IF(A70&lt;4,"Keimung",IF(A70&lt;8,"Etablierung",IF(A70&lt;15,"Early Veg",IF(A70&lt;'01_Run_Config'!$B$33,IF(A70&lt;22,"Veg / LST","Preflower-Watch"),IF(A70-'01_Run_Config'!$B$33&lt;=6,"Transition / Stretch ("&amp;AM70&amp;")",IF(A70-'01_Run_Config'!$B$33&lt;=13,"Early Flower ("&amp;AM70&amp;")",IF(A70-'01_Run_Config'!$B$33&lt;=20,"Flower I ("&amp;AM70&amp;")",IF(A70-'01_Run_Config'!$B$33&lt;=34,"Peak Flower ("&amp;AM70&amp;")",IF(A70-'01_Run_Config'!$B$33&lt;=41,"Late Flower ("&amp;AM70&amp;")",IF(A70-'01_Run_Config'!$B$33&lt;=48,"Ripening ("&amp;AM70&amp;")","Harvest / Extension ("&amp;AM70&amp;")"))))))))))</x:f>
        <x:v>Late Flower (B6)</x:v>
      </x:c>
      <x:c r="F70" s="63" t="str">
        <x:f>IF(A70&lt;4,"Keimung + Wurzelstart",IF(A70&lt;8,"Sämling etablieren; Wurzelraum erschließen",IF(A70&lt;15,"kompakter Aufbau; LST erst bei Vitalität",IF(A70&lt;'01_Run_Config'!$B$33,"Canopy aufbauen; Preflower beobachten",IF(A70-'01_Run_Config'!$B$33&lt;=6,"Stretch kontrollieren; Bloom-Trigger dokumentieren",IF(A70-'01_Run_Config'!$B$33&lt;=13,"Blütenansatz stabilisieren",IF(A70-'01_Run_Config'!$B$33&lt;=20,"Blütenaufbau ohne neue Stressoren",IF(A70-'01_Run_Config'!$B$33&lt;=34,"stabile Peak-Photosynthese; Klima priorisieren",IF(A70-'01_Run_Config'!$B$33&lt;=41,"Qualität/Schimmelprävention",IF(A70-'01_Run_Config'!$B$33&lt;=48,"Reife ohne Überfütterung","Erntefenster nach Pflanze; keine Kalenderernte"))))))))))</x:f>
        <x:v>Qualität/Schimmelprävention</x:v>
      </x:c>
      <x:c r="G70" s="63" t="n">
        <x:v>18</x:v>
      </x:c>
      <x:c r="H70" s="63" t="n">
        <x:v>120</x:v>
      </x:c>
      <x:c r="I70" s="63" t="n">
        <x:v>550</x:v>
      </x:c>
      <x:c r="J70" s="63" t="n">
        <x:f>I70*G70*3600/1000000</x:f>
        <x:v>35.64</x:v>
      </x:c>
      <x:c r="K70" s="63" t="n">
        <x:v>37</x:v>
      </x:c>
      <x:c r="L70" s="63" t="n">
        <x:v>23.5</x:v>
      </x:c>
      <x:c r="M70" s="63" t="n">
        <x:v>20.5</x:v>
      </x:c>
      <x:c r="N70" s="63" t="n">
        <x:v>43</x:v>
      </x:c>
      <x:c r="O70" s="63" t="n">
        <x:f>ROUND(0.6108*EXP(17.27*(L70+'01_Run_Config'!$B$34)/(L70+'01_Run_Config'!$B$34+237.3))-(N70/100)*0.6108*EXP(17.27*L70/(L70+237.3)),2)</x:f>
        <x:v>1.48</x:v>
      </x:c>
      <x:c r="P70" s="63" t="n">
        <x:f>IF(A70&lt;'01_Run_Config'!$B$32,0.55,IF(A70&lt;'01_Run_Config'!$B$33,IF(A70-'01_Run_Config'!$B$32&lt;=3,0.8,IF(A70-'01_Run_Config'!$B$32&lt;=10,1,IF(A70-'01_Run_Config'!$B$32&lt;=17,1.2,1.4))),IF(A70-'01_Run_Config'!$B$33&lt;=6,1.5,IF(A70-'01_Run_Config'!$B$33&lt;=13,1.6,IF(A70-'01_Run_Config'!$B$33&lt;=20,1.7,IF(A70-'01_Run_Config'!$B$33&lt;=34,1.8,IF(A70-'01_Run_Config'!$B$33&lt;=41,1.6,IF(A70-'01_Run_Config'!$B$33&lt;=48,1.4,1.15))))))))</x:f>
        <x:v>1.6</x:v>
      </x:c>
      <x:c r="Q70" s="63" t="n">
        <x:v>5.9</x:v>
      </x:c>
      <x:c r="R70" s="63" t="n">
        <x:v>0.6</x:v>
      </x:c>
      <x:c r="S70" s="63" t="n">
        <x:v>1</x:v>
      </x:c>
      <x:c r="T70" s="63" t="str">
        <x:f>IF(A70&lt;=7,"Manuell",'01_Run_Config'!$B$40)</x:f>
        <x:v>Manuell / indoor-freigegebene Automation</x:v>
      </x:c>
      <x:c r="U70" s="63" t="str">
        <x:f>IF(A70&lt;'01_Run_Config'!$B$32,"Kein Basisdünger",IF(A70&lt;'01_Run_Config'!$B$33,"HESI TNT","HESI Coco"))</x:f>
        <x:v>HESI Coco</x:v>
      </x:c>
      <x:c r="V70" s="63" t="n">
        <x:f>IF(A70&lt;'01_Run_Config'!$B$32,0,IF(A70&lt;'01_Run_Config'!$B$33,IF(A70-'01_Run_Config'!$B$32&lt;=3,1.25,IF(A70-'01_Run_Config'!$B$32&lt;=10,2,2.5)),IF(A70-'01_Run_Config'!$B$33&lt;=6,2.5,IF(A70-'01_Run_Config'!$B$33&lt;=13,3.25,IF(A70-'01_Run_Config'!$B$33&lt;=20,3.75,IF(A70-'01_Run_Config'!$B$33&lt;=34,4,IF(A70-'01_Run_Config'!$B$33&lt;=41,3.5,IF(A70-'01_Run_Config'!$B$33&lt;=48,2.5,1.5))))))))</x:f>
        <x:v>3.5</x:v>
      </x:c>
      <x:c r="W70" s="63" t="n">
        <x:f>IF(OR(A70='01_Run_Config'!$B$32,A70='01_Run_Config'!$B$32+6,A70='01_Run_Config'!$B$32+12),2.5,0)</x:f>
        <x:v>0</x:v>
      </x:c>
      <x:c r="X70" s="63" t="n">
        <x:f>IF(AND(A70&gt;='01_Run_Config'!$B$32+3,A70&lt;='01_Run_Config'!$B$33+35,MOD(A70-('01_Run_Config'!$B$32+3),7)=0),2,0)</x:f>
        <x:v>0</x:v>
      </x:c>
      <x:c r="Y70" s="63" t="n">
        <x:f>IF(A70&gt;='01_Run_Config'!$B$32,0.015,0)</x:f>
        <x:v>0.015</x:v>
      </x:c>
      <x:c r="Z70" s="63" t="n">
        <x:f>IF(AND('01_Run_Config'!$B$26="Hesilicio statt Balance",A70&gt;='01_Run_Config'!$B$32+3,MOD(A70-('01_Run_Config'!$B$32+3),7)=0,A70&lt;='01_Run_Config'!$B$33+35),0.5,0)</x:f>
        <x:v>0</x:v>
      </x:c>
      <x:c r="AA70" s="63" t="n">
        <x:f>IF(AND(A70&gt;='01_Run_Config'!$B$33,A70&lt;='01_Run_Config'!$B$33+35,MOD(A70-'01_Run_Config'!$B$33,7)=0),2,0)</x:f>
        <x:v>0</x:v>
      </x:c>
      <x:c r="AB70" s="63" t="n">
        <x:f>IF(A70='01_Run_Config'!$B$33+21,0.25,IF(A70='01_Run_Config'!$B$33+28,0.35,IF(A70='01_Run_Config'!$B$33+35,0.5,0)))</x:f>
        <x:v>0</x:v>
      </x:c>
      <x:c r="AC70" s="63" t="n">
        <x:f>IF(OR(A70='01_Run_Config'!$B$32,A70='01_Run_Config'!$B$32+7,A70='01_Run_Config'!$B$33+1,A70='01_Run_Config'!$B$33+8),2,0)</x:f>
        <x:v>0</x:v>
      </x:c>
      <x:c r="AD70" s="63" t="str">
        <x:f>IF(A70&lt;'01_Run_Config'!$B$33,"AN-Reference=0 außer Voodoo-Frischgaben",IF(AL70&lt;=7,"A/B: Bud Ignitor oder Mikrobenmodul; nicht Reference",IF(AL70&lt;=35,"A/B: Big Bud STATT HESI-PK; nicht additiv stapeln",IF(AL70&lt;=49,"A/B: Overdrive STATT spätem HESI-PK","AN-Booster auslaufen"))))</x:f>
        <x:v>A/B: Overdrive STATT spätem HESI-PK</x:v>
      </x:c>
      <x:c r="AE70" s="63" t="str">
        <x:v>Nur Stützen</x:v>
      </x:c>
      <x:c r="AF70" s="63" t="str">
        <x:v>Morgens Klima/Pflanze/Bewässerung/Leck; Mitte Lichtphase Blattwinkel; vor Dunkel LF/Drain/stehendes Wasser.</x:v>
      </x:c>
      <x:c r="AG70" s="63" t="str">
        <x:v>EC nicht erhöhen bei steigender Diagnose-Drain-EC; PPFD nicht erhöhen bei Stress; Wasserband nie erzwingen; nie mehrere neue Booster gleichzeitig.</x:v>
      </x:c>
      <x:c r="AH70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7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0" s="201" t="str">
        <x:f>IF(A70&lt;'01_Run_Config'!$B$32,"—",IF(A70&lt;'01_Run_Config'!$B$33,"G"&amp;MIN(4,INT((A70-'01_Run_Config'!$B$32)/7)+1),AM70))</x:f>
        <x:v>B6</x:v>
      </x:c>
      <x:c r="AK70" s="35" t="str">
        <x:f>IF(A70&lt;'01_Run_Config'!$B$32,"Keine AN-Additive.",IF(A70&lt;'01_Run_Config'!$B$33,"Veg: Voodoo nur definierte Frischgaben; B-52/Piranha/Tarantula nur A/B; Sensizym nur statt PowerZyme; Rhino Skin AUS mit Athena Balance.",IF(AL70&lt;=7,"Frühblüte: Voodoo; Bud Ignitor/Piranha/Tarantula nur A/B; Rhino Skin AUS mit Balance.",IF(AL70&lt;=35,"Hauptblüte: Big Bud nur A/B STATT HESI-PK; Biostims einzeln testen.",IF(AL70&lt;=49,"Spätblüte: Overdrive nur A/B STATT spätem HESI-PK; keine neue zweite Variable.","Booster auslaufen / Reife priorisieren.")))))</x:f>
        <x:v>Spätblüte: Overdrive nur A/B STATT spätem HESI-PK; keine neue zweite Variable.</x:v>
      </x:c>
      <x:c r="AL70" s="60" t="n">
        <x:f>IF(A70&lt;'01_Run_Config'!$B$33,"",A70-'01_Run_Config'!$B$33+1)</x:f>
        <x:v>41</x:v>
      </x:c>
      <x:c r="AM70" s="60" t="str">
        <x:f>IF(AL70="","",IF(AL70&gt;49,CHAR(66)&amp;"7+",CHAR(66)&amp;TEXT(INT((AL70-1)/7)+1,"0")))</x:f>
        <x:v>B6</x:v>
      </x:c>
      <x:c r="AN70" s="60" t="n">
        <x:f>ROUND(0.6108*EXP(17.27*L70/(L70+237.3))*(1-N70/100),2)</x:f>
        <x:v>1.65</x:v>
      </x:c>
      <x:c r="AO70" s="60" t="n">
        <x:f>H70*G70/1000</x:f>
        <x:v>2.16</x:v>
      </x:c>
      <x:c r="AP70" s="60" t="n">
        <x:f>SUM($AO$2:AO70)</x:f>
        <x:v>127.97999999999995</x:v>
      </x:c>
      <x:c r="AQ70" t="n">
        <x:f>'01_Run_Config'!$B$17</x:f>
        <x:v>0</x:v>
      </x:c>
      <x:c r="AR70" t="n">
        <x:f>'01_Run_Config'!$B$22</x:f>
        <x:v>0</x:v>
      </x:c>
      <x:c r="AS70" t="n">
        <x:f>'01_Run_Config'!$B$25</x:f>
        <x:v>0</x:v>
      </x:c>
    </x:row>
    <x:row r="71">
      <x:c r="A71" s="34" t="n">
        <x:v>69</x:v>
      </x:c>
      <x:c r="B71" s="129" t="n">
        <x:f>'01_Run_Config'!$B$4+A71</x:f>
        <x:v>46311</x:v>
      </x:c>
      <x:c r="C71" s="63" t="n">
        <x:f>INT(A71/7)+1</x:f>
        <x:v>10</x:v>
      </x:c>
      <x:c r="D71" s="63" t="str">
        <x:f>"M"&amp;MIN(3,INT(A71/30)+1)</x:f>
        <x:v>M3</x:v>
      </x:c>
      <x:c r="E71" s="63" t="str">
        <x:f>IF(A71&lt;4,"Keimung",IF(A71&lt;8,"Etablierung",IF(A71&lt;15,"Early Veg",IF(A71&lt;'01_Run_Config'!$B$33,IF(A71&lt;22,"Veg / LST","Preflower-Watch"),IF(A71-'01_Run_Config'!$B$33&lt;=6,"Transition / Stretch ("&amp;AM71&amp;")",IF(A71-'01_Run_Config'!$B$33&lt;=13,"Early Flower ("&amp;AM71&amp;")",IF(A71-'01_Run_Config'!$B$33&lt;=20,"Flower I ("&amp;AM71&amp;")",IF(A71-'01_Run_Config'!$B$33&lt;=34,"Peak Flower ("&amp;AM71&amp;")",IF(A71-'01_Run_Config'!$B$33&lt;=41,"Late Flower ("&amp;AM71&amp;")",IF(A71-'01_Run_Config'!$B$33&lt;=48,"Ripening ("&amp;AM71&amp;")","Harvest / Extension ("&amp;AM71&amp;")"))))))))))</x:f>
        <x:v>Late Flower (B6)</x:v>
      </x:c>
      <x:c r="F71" s="63" t="str">
        <x:f>IF(A71&lt;4,"Keimung + Wurzelstart",IF(A71&lt;8,"Sämling etablieren; Wurzelraum erschließen",IF(A71&lt;15,"kompakter Aufbau; LST erst bei Vitalität",IF(A71&lt;'01_Run_Config'!$B$33,"Canopy aufbauen; Preflower beobachten",IF(A71-'01_Run_Config'!$B$33&lt;=6,"Stretch kontrollieren; Bloom-Trigger dokumentieren",IF(A71-'01_Run_Config'!$B$33&lt;=13,"Blütenansatz stabilisieren",IF(A71-'01_Run_Config'!$B$33&lt;=20,"Blütenaufbau ohne neue Stressoren",IF(A71-'01_Run_Config'!$B$33&lt;=34,"stabile Peak-Photosynthese; Klima priorisieren",IF(A71-'01_Run_Config'!$B$33&lt;=41,"Qualität/Schimmelprävention",IF(A71-'01_Run_Config'!$B$33&lt;=48,"Reife ohne Überfütterung","Erntefenster nach Pflanze; keine Kalenderernte"))))))))))</x:f>
        <x:v>Qualität/Schimmelprävention</x:v>
      </x:c>
      <x:c r="G71" s="63" t="n">
        <x:v>18</x:v>
      </x:c>
      <x:c r="H71" s="63" t="n">
        <x:v>120</x:v>
      </x:c>
      <x:c r="I71" s="63" t="n">
        <x:v>550</x:v>
      </x:c>
      <x:c r="J71" s="63" t="n">
        <x:f>I71*G71*3600/1000000</x:f>
        <x:v>35.64</x:v>
      </x:c>
      <x:c r="K71" s="63" t="n">
        <x:v>37</x:v>
      </x:c>
      <x:c r="L71" s="63" t="n">
        <x:v>23.5</x:v>
      </x:c>
      <x:c r="M71" s="63" t="n">
        <x:v>20.5</x:v>
      </x:c>
      <x:c r="N71" s="63" t="n">
        <x:v>43</x:v>
      </x:c>
      <x:c r="O71" s="63" t="n">
        <x:f>ROUND(0.6108*EXP(17.27*(L71+'01_Run_Config'!$B$34)/(L71+'01_Run_Config'!$B$34+237.3))-(N71/100)*0.6108*EXP(17.27*L71/(L71+237.3)),2)</x:f>
        <x:v>1.48</x:v>
      </x:c>
      <x:c r="P71" s="63" t="n">
        <x:f>IF(A71&lt;'01_Run_Config'!$B$32,0.55,IF(A71&lt;'01_Run_Config'!$B$33,IF(A71-'01_Run_Config'!$B$32&lt;=3,0.8,IF(A71-'01_Run_Config'!$B$32&lt;=10,1,IF(A71-'01_Run_Config'!$B$32&lt;=17,1.2,1.4))),IF(A71-'01_Run_Config'!$B$33&lt;=6,1.5,IF(A71-'01_Run_Config'!$B$33&lt;=13,1.6,IF(A71-'01_Run_Config'!$B$33&lt;=20,1.7,IF(A71-'01_Run_Config'!$B$33&lt;=34,1.8,IF(A71-'01_Run_Config'!$B$33&lt;=41,1.6,IF(A71-'01_Run_Config'!$B$33&lt;=48,1.4,1.15))))))))</x:f>
        <x:v>1.6</x:v>
      </x:c>
      <x:c r="Q71" s="63" t="n">
        <x:v>5.9</x:v>
      </x:c>
      <x:c r="R71" s="63" t="n">
        <x:v>0.6</x:v>
      </x:c>
      <x:c r="S71" s="63" t="n">
        <x:v>1</x:v>
      </x:c>
      <x:c r="T71" s="63" t="str">
        <x:f>IF(A71&lt;=7,"Manuell",'01_Run_Config'!$B$40)</x:f>
        <x:v>Manuell / indoor-freigegebene Automation</x:v>
      </x:c>
      <x:c r="U71" s="63" t="str">
        <x:f>IF(A71&lt;'01_Run_Config'!$B$32,"Kein Basisdünger",IF(A71&lt;'01_Run_Config'!$B$33,"HESI TNT","HESI Coco"))</x:f>
        <x:v>HESI Coco</x:v>
      </x:c>
      <x:c r="V71" s="63" t="n">
        <x:f>IF(A71&lt;'01_Run_Config'!$B$32,0,IF(A71&lt;'01_Run_Config'!$B$33,IF(A71-'01_Run_Config'!$B$32&lt;=3,1.25,IF(A71-'01_Run_Config'!$B$32&lt;=10,2,2.5)),IF(A71-'01_Run_Config'!$B$33&lt;=6,2.5,IF(A71-'01_Run_Config'!$B$33&lt;=13,3.25,IF(A71-'01_Run_Config'!$B$33&lt;=20,3.75,IF(A71-'01_Run_Config'!$B$33&lt;=34,4,IF(A71-'01_Run_Config'!$B$33&lt;=41,3.5,IF(A71-'01_Run_Config'!$B$33&lt;=48,2.5,1.5))))))))</x:f>
        <x:v>3.5</x:v>
      </x:c>
      <x:c r="W71" s="63" t="n">
        <x:f>IF(OR(A71='01_Run_Config'!$B$32,A71='01_Run_Config'!$B$32+6,A71='01_Run_Config'!$B$32+12),2.5,0)</x:f>
        <x:v>0</x:v>
      </x:c>
      <x:c r="X71" s="63" t="n">
        <x:f>IF(AND(A71&gt;='01_Run_Config'!$B$32+3,A71&lt;='01_Run_Config'!$B$33+35,MOD(A71-('01_Run_Config'!$B$32+3),7)=0),2,0)</x:f>
        <x:v>0</x:v>
      </x:c>
      <x:c r="Y71" s="63" t="n">
        <x:f>IF(A71&gt;='01_Run_Config'!$B$32,0.015,0)</x:f>
        <x:v>0.015</x:v>
      </x:c>
      <x:c r="Z71" s="63" t="n">
        <x:f>IF(AND('01_Run_Config'!$B$26="Hesilicio statt Balance",A71&gt;='01_Run_Config'!$B$32+3,MOD(A71-('01_Run_Config'!$B$32+3),7)=0,A71&lt;='01_Run_Config'!$B$33+35),0.5,0)</x:f>
        <x:v>0</x:v>
      </x:c>
      <x:c r="AA71" s="63" t="n">
        <x:f>IF(AND(A71&gt;='01_Run_Config'!$B$33,A71&lt;='01_Run_Config'!$B$33+35,MOD(A71-'01_Run_Config'!$B$33,7)=0),2,0)</x:f>
        <x:v>0</x:v>
      </x:c>
      <x:c r="AB71" s="63" t="n">
        <x:f>IF(A71='01_Run_Config'!$B$33+21,0.25,IF(A71='01_Run_Config'!$B$33+28,0.35,IF(A71='01_Run_Config'!$B$33+35,0.5,0)))</x:f>
        <x:v>0</x:v>
      </x:c>
      <x:c r="AC71" s="63" t="n">
        <x:f>IF(OR(A71='01_Run_Config'!$B$32,A71='01_Run_Config'!$B$32+7,A71='01_Run_Config'!$B$33+1,A71='01_Run_Config'!$B$33+8),2,0)</x:f>
        <x:v>0</x:v>
      </x:c>
      <x:c r="AD71" s="63" t="str">
        <x:f>IF(A71&lt;'01_Run_Config'!$B$33,"AN-Reference=0 außer Voodoo-Frischgaben",IF(AL71&lt;=7,"A/B: Bud Ignitor oder Mikrobenmodul; nicht Reference",IF(AL71&lt;=35,"A/B: Big Bud STATT HESI-PK; nicht additiv stapeln",IF(AL71&lt;=49,"A/B: Overdrive STATT spätem HESI-PK","AN-Booster auslaufen"))))</x:f>
        <x:v>A/B: Overdrive STATT spätem HESI-PK</x:v>
      </x:c>
      <x:c r="AE71" s="63" t="str">
        <x:v>Nur Stützen</x:v>
      </x:c>
      <x:c r="AF71" s="63" t="str">
        <x:v>Morgens Klima/Pflanze/Bewässerung/Leck; Mitte Lichtphase Blattwinkel; vor Dunkel LF/Drain/stehendes Wasser.</x:v>
      </x:c>
      <x:c r="AG71" s="63" t="str">
        <x:v>EC nicht erhöhen bei steigender Diagnose-Drain-EC; PPFD nicht erhöhen bei Stress; Wasserband nie erzwingen; nie mehrere neue Booster gleichzeitig.</x:v>
      </x:c>
      <x:c r="AH71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7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1" s="201" t="str">
        <x:f>IF(A71&lt;'01_Run_Config'!$B$32,"—",IF(A71&lt;'01_Run_Config'!$B$33,"G"&amp;MIN(4,INT((A71-'01_Run_Config'!$B$32)/7)+1),AM71))</x:f>
        <x:v>B6</x:v>
      </x:c>
      <x:c r="AK71" s="35" t="str">
        <x:f>IF(A71&lt;'01_Run_Config'!$B$32,"Keine AN-Additive.",IF(A71&lt;'01_Run_Config'!$B$33,"Veg: Voodoo nur definierte Frischgaben; B-52/Piranha/Tarantula nur A/B; Sensizym nur statt PowerZyme; Rhino Skin AUS mit Athena Balance.",IF(AL71&lt;=7,"Frühblüte: Voodoo; Bud Ignitor/Piranha/Tarantula nur A/B; Rhino Skin AUS mit Balance.",IF(AL71&lt;=35,"Hauptblüte: Big Bud nur A/B STATT HESI-PK; Biostims einzeln testen.",IF(AL71&lt;=49,"Spätblüte: Overdrive nur A/B STATT spätem HESI-PK; keine neue zweite Variable.","Booster auslaufen / Reife priorisieren.")))))</x:f>
        <x:v>Spätblüte: Overdrive nur A/B STATT spätem HESI-PK; keine neue zweite Variable.</x:v>
      </x:c>
      <x:c r="AL71" s="60" t="n">
        <x:f>IF(A71&lt;'01_Run_Config'!$B$33,"",A71-'01_Run_Config'!$B$33+1)</x:f>
        <x:v>42</x:v>
      </x:c>
      <x:c r="AM71" s="60" t="str">
        <x:f>IF(AL71="","",IF(AL71&gt;49,CHAR(66)&amp;"7+",CHAR(66)&amp;TEXT(INT((AL71-1)/7)+1,"0")))</x:f>
        <x:v>B6</x:v>
      </x:c>
      <x:c r="AN71" s="60" t="n">
        <x:f>ROUND(0.6108*EXP(17.27*L71/(L71+237.3))*(1-N71/100),2)</x:f>
        <x:v>1.65</x:v>
      </x:c>
      <x:c r="AO71" s="60" t="n">
        <x:f>H71*G71/1000</x:f>
        <x:v>2.16</x:v>
      </x:c>
      <x:c r="AP71" s="60" t="n">
        <x:f>SUM($AO$2:AO71)</x:f>
        <x:v>130.13999999999996</x:v>
      </x:c>
      <x:c r="AQ71" t="n">
        <x:f>'01_Run_Config'!$B$17</x:f>
        <x:v>0</x:v>
      </x:c>
      <x:c r="AR71" t="n">
        <x:f>'01_Run_Config'!$B$22</x:f>
        <x:v>0</x:v>
      </x:c>
      <x:c r="AS71" t="n">
        <x:f>'01_Run_Config'!$B$25</x:f>
        <x:v>0</x:v>
      </x:c>
    </x:row>
    <x:row r="72">
      <x:c r="A72" s="34" t="n">
        <x:v>70</x:v>
      </x:c>
      <x:c r="B72" s="129" t="n">
        <x:f>'01_Run_Config'!$B$4+A72</x:f>
        <x:v>46312</x:v>
      </x:c>
      <x:c r="C72" s="63" t="n">
        <x:f>INT(A72/7)+1</x:f>
        <x:v>11</x:v>
      </x:c>
      <x:c r="D72" s="63" t="str">
        <x:f>"M"&amp;MIN(3,INT(A72/30)+1)</x:f>
        <x:v>M3</x:v>
      </x:c>
      <x:c r="E72" s="63" t="str">
        <x:f>IF(A72&lt;4,"Keimung",IF(A72&lt;8,"Etablierung",IF(A72&lt;15,"Early Veg",IF(A72&lt;'01_Run_Config'!$B$33,IF(A72&lt;22,"Veg / LST","Preflower-Watch"),IF(A72-'01_Run_Config'!$B$33&lt;=6,"Transition / Stretch ("&amp;AM72&amp;")",IF(A72-'01_Run_Config'!$B$33&lt;=13,"Early Flower ("&amp;AM72&amp;")",IF(A72-'01_Run_Config'!$B$33&lt;=20,"Flower I ("&amp;AM72&amp;")",IF(A72-'01_Run_Config'!$B$33&lt;=34,"Peak Flower ("&amp;AM72&amp;")",IF(A72-'01_Run_Config'!$B$33&lt;=41,"Late Flower ("&amp;AM72&amp;")",IF(A72-'01_Run_Config'!$B$33&lt;=48,"Ripening ("&amp;AM72&amp;")","Harvest / Extension ("&amp;AM72&amp;")"))))))))))</x:f>
        <x:v>Ripening (B7)</x:v>
      </x:c>
      <x:c r="F72" s="63" t="str">
        <x:f>IF(A72&lt;4,"Keimung + Wurzelstart",IF(A72&lt;8,"Sämling etablieren; Wurzelraum erschließen",IF(A72&lt;15,"kompakter Aufbau; LST erst bei Vitalität",IF(A72&lt;'01_Run_Config'!$B$33,"Canopy aufbauen; Preflower beobachten",IF(A72-'01_Run_Config'!$B$33&lt;=6,"Stretch kontrollieren; Bloom-Trigger dokumentieren",IF(A72-'01_Run_Config'!$B$33&lt;=13,"Blütenansatz stabilisieren",IF(A72-'01_Run_Config'!$B$33&lt;=20,"Blütenaufbau ohne neue Stressoren",IF(A72-'01_Run_Config'!$B$33&lt;=34,"stabile Peak-Photosynthese; Klima priorisieren",IF(A72-'01_Run_Config'!$B$33&lt;=41,"Qualität/Schimmelprävention",IF(A72-'01_Run_Config'!$B$33&lt;=48,"Reife ohne Überfütterung","Erntefenster nach Pflanze; keine Kalenderernte"))))))))))</x:f>
        <x:v>Reife ohne Überfütterung</x:v>
      </x:c>
      <x:c r="G72" s="63" t="n">
        <x:v>18</x:v>
      </x:c>
      <x:c r="H72" s="63" t="n">
        <x:v>120</x:v>
      </x:c>
      <x:c r="I72" s="63" t="n">
        <x:v>550</x:v>
      </x:c>
      <x:c r="J72" s="63" t="n">
        <x:f>I72*G72*3600/1000000</x:f>
        <x:v>35.64</x:v>
      </x:c>
      <x:c r="K72" s="63" t="n">
        <x:v>37</x:v>
      </x:c>
      <x:c r="L72" s="63" t="n">
        <x:v>23.5</x:v>
      </x:c>
      <x:c r="M72" s="63" t="n">
        <x:v>20.5</x:v>
      </x:c>
      <x:c r="N72" s="63" t="n">
        <x:v>43</x:v>
      </x:c>
      <x:c r="O72" s="63" t="n">
        <x:f>ROUND(0.6108*EXP(17.27*(L72+'01_Run_Config'!$B$34)/(L72+'01_Run_Config'!$B$34+237.3))-(N72/100)*0.6108*EXP(17.27*L72/(L72+237.3)),2)</x:f>
        <x:v>1.48</x:v>
      </x:c>
      <x:c r="P72" s="63" t="n">
        <x:f>IF(A72&lt;'01_Run_Config'!$B$32,0.55,IF(A72&lt;'01_Run_Config'!$B$33,IF(A72-'01_Run_Config'!$B$32&lt;=3,0.8,IF(A72-'01_Run_Config'!$B$32&lt;=10,1,IF(A72-'01_Run_Config'!$B$32&lt;=17,1.2,1.4))),IF(A72-'01_Run_Config'!$B$33&lt;=6,1.5,IF(A72-'01_Run_Config'!$B$33&lt;=13,1.6,IF(A72-'01_Run_Config'!$B$33&lt;=20,1.7,IF(A72-'01_Run_Config'!$B$33&lt;=34,1.8,IF(A72-'01_Run_Config'!$B$33&lt;=41,1.6,IF(A72-'01_Run_Config'!$B$33&lt;=48,1.4,1.15))))))))</x:f>
        <x:v>1.4</x:v>
      </x:c>
      <x:c r="Q72" s="63" t="n">
        <x:v>5.9</x:v>
      </x:c>
      <x:c r="R72" s="63" t="n">
        <x:v>0.6</x:v>
      </x:c>
      <x:c r="S72" s="63" t="n">
        <x:v>1</x:v>
      </x:c>
      <x:c r="T72" s="63" t="str">
        <x:f>IF(A72&lt;=7,"Manuell",'01_Run_Config'!$B$40)</x:f>
        <x:v>Manuell / indoor-freigegebene Automation</x:v>
      </x:c>
      <x:c r="U72" s="63" t="str">
        <x:f>IF(A72&lt;'01_Run_Config'!$B$32,"Kein Basisdünger",IF(A72&lt;'01_Run_Config'!$B$33,"HESI TNT","HESI Coco"))</x:f>
        <x:v>HESI Coco</x:v>
      </x:c>
      <x:c r="V72" s="63" t="n">
        <x:f>IF(A72&lt;'01_Run_Config'!$B$32,0,IF(A72&lt;'01_Run_Config'!$B$33,IF(A72-'01_Run_Config'!$B$32&lt;=3,1.25,IF(A72-'01_Run_Config'!$B$32&lt;=10,2,2.5)),IF(A72-'01_Run_Config'!$B$33&lt;=6,2.5,IF(A72-'01_Run_Config'!$B$33&lt;=13,3.25,IF(A72-'01_Run_Config'!$B$33&lt;=20,3.75,IF(A72-'01_Run_Config'!$B$33&lt;=34,4,IF(A72-'01_Run_Config'!$B$33&lt;=41,3.5,IF(A72-'01_Run_Config'!$B$33&lt;=48,2.5,1.5))))))))</x:f>
        <x:v>2.5</x:v>
      </x:c>
      <x:c r="W72" s="63" t="n">
        <x:f>IF(OR(A72='01_Run_Config'!$B$32,A72='01_Run_Config'!$B$32+6,A72='01_Run_Config'!$B$32+12),2.5,0)</x:f>
        <x:v>0</x:v>
      </x:c>
      <x:c r="X72" s="63" t="n">
        <x:f>IF(AND(A72&gt;='01_Run_Config'!$B$32+3,A72&lt;='01_Run_Config'!$B$33+35,MOD(A72-('01_Run_Config'!$B$32+3),7)=0),2,0)</x:f>
        <x:v>0</x:v>
      </x:c>
      <x:c r="Y72" s="63" t="n">
        <x:f>IF(A72&gt;='01_Run_Config'!$B$32,0.015,0)</x:f>
        <x:v>0.015</x:v>
      </x:c>
      <x:c r="Z72" s="63" t="n">
        <x:f>IF(AND('01_Run_Config'!$B$26="Hesilicio statt Balance",A72&gt;='01_Run_Config'!$B$32+3,MOD(A72-('01_Run_Config'!$B$32+3),7)=0,A72&lt;='01_Run_Config'!$B$33+35),0.5,0)</x:f>
        <x:v>0</x:v>
      </x:c>
      <x:c r="AA72" s="63" t="n">
        <x:f>IF(AND(A72&gt;='01_Run_Config'!$B$33,A72&lt;='01_Run_Config'!$B$33+35,MOD(A72-'01_Run_Config'!$B$33,7)=0),2,0)</x:f>
        <x:v>0</x:v>
      </x:c>
      <x:c r="AB72" s="63" t="n">
        <x:f>IF(A72='01_Run_Config'!$B$33+21,0.25,IF(A72='01_Run_Config'!$B$33+28,0.35,IF(A72='01_Run_Config'!$B$33+35,0.5,0)))</x:f>
        <x:v>0</x:v>
      </x:c>
      <x:c r="AC72" s="63" t="n">
        <x:f>IF(OR(A72='01_Run_Config'!$B$32,A72='01_Run_Config'!$B$32+7,A72='01_Run_Config'!$B$33+1,A72='01_Run_Config'!$B$33+8),2,0)</x:f>
        <x:v>0</x:v>
      </x:c>
      <x:c r="AD72" s="63" t="str">
        <x:f>IF(A72&lt;'01_Run_Config'!$B$33,"AN-Reference=0 außer Voodoo-Frischgaben",IF(AL72&lt;=7,"A/B: Bud Ignitor oder Mikrobenmodul; nicht Reference",IF(AL72&lt;=35,"A/B: Big Bud STATT HESI-PK; nicht additiv stapeln",IF(AL72&lt;=49,"A/B: Overdrive STATT spätem HESI-PK","AN-Booster auslaufen"))))</x:f>
        <x:v>A/B: Overdrive STATT spätem HESI-PK</x:v>
      </x:c>
      <x:c r="AE72" s="63" t="str">
        <x:v>Nur Stützen</x:v>
      </x:c>
      <x:c r="AF72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2" s="63" t="str">
        <x:v>EC nicht erhöhen bei steigender Diagnose-Drain-EC; PPFD nicht erhöhen bei Stress; Wasserband nie erzwingen; nie mehrere neue Booster gleichzeitig.</x:v>
      </x:c>
      <x:c r="AH72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7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2" s="201" t="str">
        <x:f>IF(A72&lt;'01_Run_Config'!$B$32,"—",IF(A72&lt;'01_Run_Config'!$B$33,"G"&amp;MIN(4,INT((A72-'01_Run_Config'!$B$32)/7)+1),AM72))</x:f>
        <x:v>B7</x:v>
      </x:c>
      <x:c r="AK72" s="35" t="str">
        <x:f>IF(A72&lt;'01_Run_Config'!$B$32,"Keine AN-Additive.",IF(A72&lt;'01_Run_Config'!$B$33,"Veg: Voodoo nur definierte Frischgaben; B-52/Piranha/Tarantula nur A/B; Sensizym nur statt PowerZyme; Rhino Skin AUS mit Athena Balance.",IF(AL72&lt;=7,"Frühblüte: Voodoo; Bud Ignitor/Piranha/Tarantula nur A/B; Rhino Skin AUS mit Balance.",IF(AL72&lt;=35,"Hauptblüte: Big Bud nur A/B STATT HESI-PK; Biostims einzeln testen.",IF(AL72&lt;=49,"Spätblüte: Overdrive nur A/B STATT spätem HESI-PK; keine neue zweite Variable.","Booster auslaufen / Reife priorisieren.")))))</x:f>
        <x:v>Spätblüte: Overdrive nur A/B STATT spätem HESI-PK; keine neue zweite Variable.</x:v>
      </x:c>
      <x:c r="AL72" s="60" t="n">
        <x:f>IF(A72&lt;'01_Run_Config'!$B$33,"",A72-'01_Run_Config'!$B$33+1)</x:f>
        <x:v>43</x:v>
      </x:c>
      <x:c r="AM72" s="60" t="str">
        <x:f>IF(AL72="","",IF(AL72&gt;49,CHAR(66)&amp;"7+",CHAR(66)&amp;TEXT(INT((AL72-1)/7)+1,"0")))</x:f>
        <x:v>B7</x:v>
      </x:c>
      <x:c r="AN72" s="60" t="n">
        <x:f>ROUND(0.6108*EXP(17.27*L72/(L72+237.3))*(1-N72/100),2)</x:f>
        <x:v>1.65</x:v>
      </x:c>
      <x:c r="AO72" s="60" t="n">
        <x:f>H72*G72/1000</x:f>
        <x:v>2.16</x:v>
      </x:c>
      <x:c r="AP72" s="60" t="n">
        <x:f>SUM($AO$2:AO72)</x:f>
        <x:v>132.29999999999995</x:v>
      </x:c>
      <x:c r="AQ72" t="n">
        <x:f>'01_Run_Config'!$B$17</x:f>
        <x:v>0</x:v>
      </x:c>
      <x:c r="AR72" t="n">
        <x:f>'01_Run_Config'!$B$22</x:f>
        <x:v>0</x:v>
      </x:c>
      <x:c r="AS72" t="n">
        <x:f>'01_Run_Config'!$B$25</x:f>
        <x:v>0</x:v>
      </x:c>
    </x:row>
    <x:row r="73">
      <x:c r="A73" s="34" t="n">
        <x:v>71</x:v>
      </x:c>
      <x:c r="B73" s="129" t="n">
        <x:f>'01_Run_Config'!$B$4+A73</x:f>
        <x:v>46313</x:v>
      </x:c>
      <x:c r="C73" s="63" t="n">
        <x:f>INT(A73/7)+1</x:f>
        <x:v>11</x:v>
      </x:c>
      <x:c r="D73" s="63" t="str">
        <x:f>"M"&amp;MIN(3,INT(A73/30)+1)</x:f>
        <x:v>M3</x:v>
      </x:c>
      <x:c r="E73" s="63" t="str">
        <x:f>IF(A73&lt;4,"Keimung",IF(A73&lt;8,"Etablierung",IF(A73&lt;15,"Early Veg",IF(A73&lt;'01_Run_Config'!$B$33,IF(A73&lt;22,"Veg / LST","Preflower-Watch"),IF(A73-'01_Run_Config'!$B$33&lt;=6,"Transition / Stretch ("&amp;AM73&amp;")",IF(A73-'01_Run_Config'!$B$33&lt;=13,"Early Flower ("&amp;AM73&amp;")",IF(A73-'01_Run_Config'!$B$33&lt;=20,"Flower I ("&amp;AM73&amp;")",IF(A73-'01_Run_Config'!$B$33&lt;=34,"Peak Flower ("&amp;AM73&amp;")",IF(A73-'01_Run_Config'!$B$33&lt;=41,"Late Flower ("&amp;AM73&amp;")",IF(A73-'01_Run_Config'!$B$33&lt;=48,"Ripening ("&amp;AM73&amp;")","Harvest / Extension ("&amp;AM73&amp;")"))))))))))</x:f>
        <x:v>Ripening (B7)</x:v>
      </x:c>
      <x:c r="F73" s="63" t="str">
        <x:f>IF(A73&lt;4,"Keimung + Wurzelstart",IF(A73&lt;8,"Sämling etablieren; Wurzelraum erschließen",IF(A73&lt;15,"kompakter Aufbau; LST erst bei Vitalität",IF(A73&lt;'01_Run_Config'!$B$33,"Canopy aufbauen; Preflower beobachten",IF(A73-'01_Run_Config'!$B$33&lt;=6,"Stretch kontrollieren; Bloom-Trigger dokumentieren",IF(A73-'01_Run_Config'!$B$33&lt;=13,"Blütenansatz stabilisieren",IF(A73-'01_Run_Config'!$B$33&lt;=20,"Blütenaufbau ohne neue Stressoren",IF(A73-'01_Run_Config'!$B$33&lt;=34,"stabile Peak-Photosynthese; Klima priorisieren",IF(A73-'01_Run_Config'!$B$33&lt;=41,"Qualität/Schimmelprävention",IF(A73-'01_Run_Config'!$B$33&lt;=48,"Reife ohne Überfütterung","Erntefenster nach Pflanze; keine Kalenderernte"))))))))))</x:f>
        <x:v>Reife ohne Überfütterung</x:v>
      </x:c>
      <x:c r="G73" s="63" t="n">
        <x:v>18</x:v>
      </x:c>
      <x:c r="H73" s="63" t="n">
        <x:v>105</x:v>
      </x:c>
      <x:c r="I73" s="63" t="n">
        <x:v>500</x:v>
      </x:c>
      <x:c r="J73" s="63" t="n">
        <x:f>I73*G73*3600/1000000</x:f>
        <x:v>32.4</x:v>
      </x:c>
      <x:c r="K73" s="63" t="n">
        <x:v>40</x:v>
      </x:c>
      <x:c r="L73" s="63" t="n">
        <x:v>23</x:v>
      </x:c>
      <x:c r="M73" s="63" t="n">
        <x:v>20</x:v>
      </x:c>
      <x:c r="N73" s="63" t="n">
        <x:v>42</x:v>
      </x:c>
      <x:c r="O73" s="63" t="n">
        <x:f>ROUND(0.6108*EXP(17.27*(L73+'01_Run_Config'!$B$34)/(L73+'01_Run_Config'!$B$34+237.3))-(N73/100)*0.6108*EXP(17.27*L73/(L73+237.3)),2)</x:f>
        <x:v>1.46</x:v>
      </x:c>
      <x:c r="P73" s="63" t="n">
        <x:f>IF(A73&lt;'01_Run_Config'!$B$32,0.55,IF(A73&lt;'01_Run_Config'!$B$33,IF(A73-'01_Run_Config'!$B$32&lt;=3,0.8,IF(A73-'01_Run_Config'!$B$32&lt;=10,1,IF(A73-'01_Run_Config'!$B$32&lt;=17,1.2,1.4))),IF(A73-'01_Run_Config'!$B$33&lt;=6,1.5,IF(A73-'01_Run_Config'!$B$33&lt;=13,1.6,IF(A73-'01_Run_Config'!$B$33&lt;=20,1.7,IF(A73-'01_Run_Config'!$B$33&lt;=34,1.8,IF(A73-'01_Run_Config'!$B$33&lt;=41,1.6,IF(A73-'01_Run_Config'!$B$33&lt;=48,1.4,1.15))))))))</x:f>
        <x:v>1.4</x:v>
      </x:c>
      <x:c r="Q73" s="63" t="n">
        <x:v>5.9</x:v>
      </x:c>
      <x:c r="R73" s="63" t="n">
        <x:v>0.4</x:v>
      </x:c>
      <x:c r="S73" s="63" t="n">
        <x:v>0.8</x:v>
      </x:c>
      <x:c r="T73" s="63" t="str">
        <x:f>IF(A73&lt;=7,"Manuell",'01_Run_Config'!$B$40)</x:f>
        <x:v>Manuell / indoor-freigegebene Automation</x:v>
      </x:c>
      <x:c r="U73" s="63" t="str">
        <x:f>IF(A73&lt;'01_Run_Config'!$B$32,"Kein Basisdünger",IF(A73&lt;'01_Run_Config'!$B$33,"HESI TNT","HESI Coco"))</x:f>
        <x:v>HESI Coco</x:v>
      </x:c>
      <x:c r="V73" s="63" t="n">
        <x:f>IF(A73&lt;'01_Run_Config'!$B$32,0,IF(A73&lt;'01_Run_Config'!$B$33,IF(A73-'01_Run_Config'!$B$32&lt;=3,1.25,IF(A73-'01_Run_Config'!$B$32&lt;=10,2,2.5)),IF(A73-'01_Run_Config'!$B$33&lt;=6,2.5,IF(A73-'01_Run_Config'!$B$33&lt;=13,3.25,IF(A73-'01_Run_Config'!$B$33&lt;=20,3.75,IF(A73-'01_Run_Config'!$B$33&lt;=34,4,IF(A73-'01_Run_Config'!$B$33&lt;=41,3.5,IF(A73-'01_Run_Config'!$B$33&lt;=48,2.5,1.5))))))))</x:f>
        <x:v>2.5</x:v>
      </x:c>
      <x:c r="W73" s="63" t="n">
        <x:f>IF(OR(A73='01_Run_Config'!$B$32,A73='01_Run_Config'!$B$32+6,A73='01_Run_Config'!$B$32+12),2.5,0)</x:f>
        <x:v>0</x:v>
      </x:c>
      <x:c r="X73" s="63" t="n">
        <x:f>IF(AND(A73&gt;='01_Run_Config'!$B$32+3,A73&lt;='01_Run_Config'!$B$33+35,MOD(A73-('01_Run_Config'!$B$32+3),7)=0),2,0)</x:f>
        <x:v>0</x:v>
      </x:c>
      <x:c r="Y73" s="63" t="n">
        <x:f>IF(A73&gt;='01_Run_Config'!$B$32,0.015,0)</x:f>
        <x:v>0.015</x:v>
      </x:c>
      <x:c r="Z73" s="63" t="n">
        <x:f>IF(AND('01_Run_Config'!$B$26="Hesilicio statt Balance",A73&gt;='01_Run_Config'!$B$32+3,MOD(A73-('01_Run_Config'!$B$32+3),7)=0,A73&lt;='01_Run_Config'!$B$33+35),0.5,0)</x:f>
        <x:v>0</x:v>
      </x:c>
      <x:c r="AA73" s="63" t="n">
        <x:f>IF(AND(A73&gt;='01_Run_Config'!$B$33,A73&lt;='01_Run_Config'!$B$33+35,MOD(A73-'01_Run_Config'!$B$33,7)=0),2,0)</x:f>
        <x:v>0</x:v>
      </x:c>
      <x:c r="AB73" s="63" t="n">
        <x:f>IF(A73='01_Run_Config'!$B$33+21,0.25,IF(A73='01_Run_Config'!$B$33+28,0.35,IF(A73='01_Run_Config'!$B$33+35,0.5,0)))</x:f>
        <x:v>0</x:v>
      </x:c>
      <x:c r="AC73" s="63" t="n">
        <x:f>IF(OR(A73='01_Run_Config'!$B$32,A73='01_Run_Config'!$B$32+7,A73='01_Run_Config'!$B$33+1,A73='01_Run_Config'!$B$33+8),2,0)</x:f>
        <x:v>0</x:v>
      </x:c>
      <x:c r="AD73" s="63" t="str">
        <x:f>IF(A73&lt;'01_Run_Config'!$B$33,"AN-Reference=0 außer Voodoo-Frischgaben",IF(AL73&lt;=7,"A/B: Bud Ignitor oder Mikrobenmodul; nicht Reference",IF(AL73&lt;=35,"A/B: Big Bud STATT HESI-PK; nicht additiv stapeln",IF(AL73&lt;=49,"A/B: Overdrive STATT spätem HESI-PK","AN-Booster auslaufen"))))</x:f>
        <x:v>A/B: Overdrive STATT spätem HESI-PK</x:v>
      </x:c>
      <x:c r="AE73" s="63" t="str">
        <x:v>Keine Eingriffe</x:v>
      </x:c>
      <x:c r="AF73" s="63" t="str">
        <x:v>Morgens Klima/Pflanze/Bewässerung/Leck; Mitte Lichtphase Blattwinkel; vor Dunkel LF/Drain/stehendes Wasser.</x:v>
      </x:c>
      <x:c r="AG73" s="63" t="str">
        <x:v>EC nicht erhöhen bei steigender Diagnose-Drain-EC; PPFD nicht erhöhen bei Stress; Wasserband nie erzwingen; nie mehrere neue Booster gleichzeitig.</x:v>
      </x:c>
      <x:c r="AH73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7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3" s="201" t="str">
        <x:f>IF(A73&lt;'01_Run_Config'!$B$32,"—",IF(A73&lt;'01_Run_Config'!$B$33,"G"&amp;MIN(4,INT((A73-'01_Run_Config'!$B$32)/7)+1),AM73))</x:f>
        <x:v>B7</x:v>
      </x:c>
      <x:c r="AK73" s="35" t="str">
        <x:f>IF(A73&lt;'01_Run_Config'!$B$32,"Keine AN-Additive.",IF(A73&lt;'01_Run_Config'!$B$33,"Veg: Voodoo nur definierte Frischgaben; B-52/Piranha/Tarantula nur A/B; Sensizym nur statt PowerZyme; Rhino Skin AUS mit Athena Balance.",IF(AL73&lt;=7,"Frühblüte: Voodoo; Bud Ignitor/Piranha/Tarantula nur A/B; Rhino Skin AUS mit Balance.",IF(AL73&lt;=35,"Hauptblüte: Big Bud nur A/B STATT HESI-PK; Biostims einzeln testen.",IF(AL73&lt;=49,"Spätblüte: Overdrive nur A/B STATT spätem HESI-PK; keine neue zweite Variable.","Booster auslaufen / Reife priorisieren.")))))</x:f>
        <x:v>Spätblüte: Overdrive nur A/B STATT spätem HESI-PK; keine neue zweite Variable.</x:v>
      </x:c>
      <x:c r="AL73" s="60" t="n">
        <x:f>IF(A73&lt;'01_Run_Config'!$B$33,"",A73-'01_Run_Config'!$B$33+1)</x:f>
        <x:v>44</x:v>
      </x:c>
      <x:c r="AM73" s="60" t="str">
        <x:f>IF(AL73="","",IF(AL73&gt;49,CHAR(66)&amp;"7+",CHAR(66)&amp;TEXT(INT((AL73-1)/7)+1,"0")))</x:f>
        <x:v>B7</x:v>
      </x:c>
      <x:c r="AN73" s="60" t="n">
        <x:f>ROUND(0.6108*EXP(17.27*L73/(L73+237.3))*(1-N73/100),2)</x:f>
        <x:v>1.63</x:v>
      </x:c>
      <x:c r="AO73" s="60" t="n">
        <x:f>H73*G73/1000</x:f>
        <x:v>1.89</x:v>
      </x:c>
      <x:c r="AP73" s="60" t="n">
        <x:f>SUM($AO$2:AO73)</x:f>
        <x:v>134.18999999999994</x:v>
      </x:c>
      <x:c r="AQ73" t="n">
        <x:f>'01_Run_Config'!$B$17</x:f>
        <x:v>0</x:v>
      </x:c>
      <x:c r="AR73" t="n">
        <x:f>'01_Run_Config'!$B$22</x:f>
        <x:v>0</x:v>
      </x:c>
      <x:c r="AS73" t="n">
        <x:f>'01_Run_Config'!$B$25</x:f>
        <x:v>0</x:v>
      </x:c>
    </x:row>
    <x:row r="74">
      <x:c r="A74" s="34" t="n">
        <x:v>72</x:v>
      </x:c>
      <x:c r="B74" s="129" t="n">
        <x:f>'01_Run_Config'!$B$4+A74</x:f>
        <x:v>46314</x:v>
      </x:c>
      <x:c r="C74" s="63" t="n">
        <x:f>INT(A74/7)+1</x:f>
        <x:v>11</x:v>
      </x:c>
      <x:c r="D74" s="63" t="str">
        <x:f>"M"&amp;MIN(3,INT(A74/30)+1)</x:f>
        <x:v>M3</x:v>
      </x:c>
      <x:c r="E74" s="63" t="str">
        <x:f>IF(A74&lt;4,"Keimung",IF(A74&lt;8,"Etablierung",IF(A74&lt;15,"Early Veg",IF(A74&lt;'01_Run_Config'!$B$33,IF(A74&lt;22,"Veg / LST","Preflower-Watch"),IF(A74-'01_Run_Config'!$B$33&lt;=6,"Transition / Stretch ("&amp;AM74&amp;")",IF(A74-'01_Run_Config'!$B$33&lt;=13,"Early Flower ("&amp;AM74&amp;")",IF(A74-'01_Run_Config'!$B$33&lt;=20,"Flower I ("&amp;AM74&amp;")",IF(A74-'01_Run_Config'!$B$33&lt;=34,"Peak Flower ("&amp;AM74&amp;")",IF(A74-'01_Run_Config'!$B$33&lt;=41,"Late Flower ("&amp;AM74&amp;")",IF(A74-'01_Run_Config'!$B$33&lt;=48,"Ripening ("&amp;AM74&amp;")","Harvest / Extension ("&amp;AM74&amp;")"))))))))))</x:f>
        <x:v>Ripening (B7)</x:v>
      </x:c>
      <x:c r="F74" s="63" t="str">
        <x:f>IF(A74&lt;4,"Keimung + Wurzelstart",IF(A74&lt;8,"Sämling etablieren; Wurzelraum erschließen",IF(A74&lt;15,"kompakter Aufbau; LST erst bei Vitalität",IF(A74&lt;'01_Run_Config'!$B$33,"Canopy aufbauen; Preflower beobachten",IF(A74-'01_Run_Config'!$B$33&lt;=6,"Stretch kontrollieren; Bloom-Trigger dokumentieren",IF(A74-'01_Run_Config'!$B$33&lt;=13,"Blütenansatz stabilisieren",IF(A74-'01_Run_Config'!$B$33&lt;=20,"Blütenaufbau ohne neue Stressoren",IF(A74-'01_Run_Config'!$B$33&lt;=34,"stabile Peak-Photosynthese; Klima priorisieren",IF(A74-'01_Run_Config'!$B$33&lt;=41,"Qualität/Schimmelprävention",IF(A74-'01_Run_Config'!$B$33&lt;=48,"Reife ohne Überfütterung","Erntefenster nach Pflanze; keine Kalenderernte"))))))))))</x:f>
        <x:v>Reife ohne Überfütterung</x:v>
      </x:c>
      <x:c r="G74" s="63" t="n">
        <x:v>18</x:v>
      </x:c>
      <x:c r="H74" s="63" t="n">
        <x:v>105</x:v>
      </x:c>
      <x:c r="I74" s="63" t="n">
        <x:v>500</x:v>
      </x:c>
      <x:c r="J74" s="63" t="n">
        <x:f>I74*G74*3600/1000000</x:f>
        <x:v>32.4</x:v>
      </x:c>
      <x:c r="K74" s="63" t="n">
        <x:v>40</x:v>
      </x:c>
      <x:c r="L74" s="63" t="n">
        <x:v>23</x:v>
      </x:c>
      <x:c r="M74" s="63" t="n">
        <x:v>20</x:v>
      </x:c>
      <x:c r="N74" s="63" t="n">
        <x:v>42</x:v>
      </x:c>
      <x:c r="O74" s="63" t="n">
        <x:f>ROUND(0.6108*EXP(17.27*(L74+'01_Run_Config'!$B$34)/(L74+'01_Run_Config'!$B$34+237.3))-(N74/100)*0.6108*EXP(17.27*L74/(L74+237.3)),2)</x:f>
        <x:v>1.46</x:v>
      </x:c>
      <x:c r="P74" s="63" t="n">
        <x:f>IF(A74&lt;'01_Run_Config'!$B$32,0.55,IF(A74&lt;'01_Run_Config'!$B$33,IF(A74-'01_Run_Config'!$B$32&lt;=3,0.8,IF(A74-'01_Run_Config'!$B$32&lt;=10,1,IF(A74-'01_Run_Config'!$B$32&lt;=17,1.2,1.4))),IF(A74-'01_Run_Config'!$B$33&lt;=6,1.5,IF(A74-'01_Run_Config'!$B$33&lt;=13,1.6,IF(A74-'01_Run_Config'!$B$33&lt;=20,1.7,IF(A74-'01_Run_Config'!$B$33&lt;=34,1.8,IF(A74-'01_Run_Config'!$B$33&lt;=41,1.6,IF(A74-'01_Run_Config'!$B$33&lt;=48,1.4,1.15))))))))</x:f>
        <x:v>1.4</x:v>
      </x:c>
      <x:c r="Q74" s="63" t="n">
        <x:v>5.9</x:v>
      </x:c>
      <x:c r="R74" s="63" t="n">
        <x:v>0.4</x:v>
      </x:c>
      <x:c r="S74" s="63" t="n">
        <x:v>0.8</x:v>
      </x:c>
      <x:c r="T74" s="63" t="str">
        <x:f>IF(A74&lt;=7,"Manuell",'01_Run_Config'!$B$40)</x:f>
        <x:v>Manuell / indoor-freigegebene Automation</x:v>
      </x:c>
      <x:c r="U74" s="63" t="str">
        <x:f>IF(A74&lt;'01_Run_Config'!$B$32,"Kein Basisdünger",IF(A74&lt;'01_Run_Config'!$B$33,"HESI TNT","HESI Coco"))</x:f>
        <x:v>HESI Coco</x:v>
      </x:c>
      <x:c r="V74" s="63" t="n">
        <x:f>IF(A74&lt;'01_Run_Config'!$B$32,0,IF(A74&lt;'01_Run_Config'!$B$33,IF(A74-'01_Run_Config'!$B$32&lt;=3,1.25,IF(A74-'01_Run_Config'!$B$32&lt;=10,2,2.5)),IF(A74-'01_Run_Config'!$B$33&lt;=6,2.5,IF(A74-'01_Run_Config'!$B$33&lt;=13,3.25,IF(A74-'01_Run_Config'!$B$33&lt;=20,3.75,IF(A74-'01_Run_Config'!$B$33&lt;=34,4,IF(A74-'01_Run_Config'!$B$33&lt;=41,3.5,IF(A74-'01_Run_Config'!$B$33&lt;=48,2.5,1.5))))))))</x:f>
        <x:v>2.5</x:v>
      </x:c>
      <x:c r="W74" s="63" t="n">
        <x:f>IF(OR(A74='01_Run_Config'!$B$32,A74='01_Run_Config'!$B$32+6,A74='01_Run_Config'!$B$32+12),2.5,0)</x:f>
        <x:v>0</x:v>
      </x:c>
      <x:c r="X74" s="63" t="n">
        <x:f>IF(AND(A74&gt;='01_Run_Config'!$B$32+3,A74&lt;='01_Run_Config'!$B$33+35,MOD(A74-('01_Run_Config'!$B$32+3),7)=0),2,0)</x:f>
        <x:v>0</x:v>
      </x:c>
      <x:c r="Y74" s="63" t="n">
        <x:f>IF(A74&gt;='01_Run_Config'!$B$32,0.015,0)</x:f>
        <x:v>0.015</x:v>
      </x:c>
      <x:c r="Z74" s="63" t="n">
        <x:f>IF(AND('01_Run_Config'!$B$26="Hesilicio statt Balance",A74&gt;='01_Run_Config'!$B$32+3,MOD(A74-('01_Run_Config'!$B$32+3),7)=0,A74&lt;='01_Run_Config'!$B$33+35),0.5,0)</x:f>
        <x:v>0</x:v>
      </x:c>
      <x:c r="AA74" s="63" t="n">
        <x:f>IF(AND(A74&gt;='01_Run_Config'!$B$33,A74&lt;='01_Run_Config'!$B$33+35,MOD(A74-'01_Run_Config'!$B$33,7)=0),2,0)</x:f>
        <x:v>0</x:v>
      </x:c>
      <x:c r="AB74" s="63" t="n">
        <x:f>IF(A74='01_Run_Config'!$B$33+21,0.25,IF(A74='01_Run_Config'!$B$33+28,0.35,IF(A74='01_Run_Config'!$B$33+35,0.5,0)))</x:f>
        <x:v>0</x:v>
      </x:c>
      <x:c r="AC74" s="63" t="n">
        <x:f>IF(OR(A74='01_Run_Config'!$B$32,A74='01_Run_Config'!$B$32+7,A74='01_Run_Config'!$B$33+1,A74='01_Run_Config'!$B$33+8),2,0)</x:f>
        <x:v>0</x:v>
      </x:c>
      <x:c r="AD74" s="63" t="str">
        <x:f>IF(A74&lt;'01_Run_Config'!$B$33,"AN-Reference=0 außer Voodoo-Frischgaben",IF(AL74&lt;=7,"A/B: Bud Ignitor oder Mikrobenmodul; nicht Reference",IF(AL74&lt;=35,"A/B: Big Bud STATT HESI-PK; nicht additiv stapeln",IF(AL74&lt;=49,"A/B: Overdrive STATT spätem HESI-PK","AN-Booster auslaufen"))))</x:f>
        <x:v>A/B: Overdrive STATT spätem HESI-PK</x:v>
      </x:c>
      <x:c r="AE74" s="63" t="str">
        <x:v>Keine Eingriffe</x:v>
      </x:c>
      <x:c r="AF74" s="63" t="str">
        <x:v>Morgens Klima/Pflanze/Bewässerung/Leck; Mitte Lichtphase Blattwinkel; vor Dunkel LF/Drain/stehendes Wasser.</x:v>
      </x:c>
      <x:c r="AG74" s="63" t="str">
        <x:v>EC nicht erhöhen bei steigender Diagnose-Drain-EC; PPFD nicht erhöhen bei Stress; Wasserband nie erzwingen; nie mehrere neue Booster gleichzeitig.</x:v>
      </x:c>
      <x:c r="AH74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7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4" s="201" t="str">
        <x:f>IF(A74&lt;'01_Run_Config'!$B$32,"—",IF(A74&lt;'01_Run_Config'!$B$33,"G"&amp;MIN(4,INT((A74-'01_Run_Config'!$B$32)/7)+1),AM74))</x:f>
        <x:v>B7</x:v>
      </x:c>
      <x:c r="AK74" s="35" t="str">
        <x:f>IF(A74&lt;'01_Run_Config'!$B$32,"Keine AN-Additive.",IF(A74&lt;'01_Run_Config'!$B$33,"Veg: Voodoo nur definierte Frischgaben; B-52/Piranha/Tarantula nur A/B; Sensizym nur statt PowerZyme; Rhino Skin AUS mit Athena Balance.",IF(AL74&lt;=7,"Frühblüte: Voodoo; Bud Ignitor/Piranha/Tarantula nur A/B; Rhino Skin AUS mit Balance.",IF(AL74&lt;=35,"Hauptblüte: Big Bud nur A/B STATT HESI-PK; Biostims einzeln testen.",IF(AL74&lt;=49,"Spätblüte: Overdrive nur A/B STATT spätem HESI-PK; keine neue zweite Variable.","Booster auslaufen / Reife priorisieren.")))))</x:f>
        <x:v>Spätblüte: Overdrive nur A/B STATT spätem HESI-PK; keine neue zweite Variable.</x:v>
      </x:c>
      <x:c r="AL74" s="60" t="n">
        <x:f>IF(A74&lt;'01_Run_Config'!$B$33,"",A74-'01_Run_Config'!$B$33+1)</x:f>
        <x:v>45</x:v>
      </x:c>
      <x:c r="AM74" s="60" t="str">
        <x:f>IF(AL74="","",IF(AL74&gt;49,CHAR(66)&amp;"7+",CHAR(66)&amp;TEXT(INT((AL74-1)/7)+1,"0")))</x:f>
        <x:v>B7</x:v>
      </x:c>
      <x:c r="AN74" s="60" t="n">
        <x:f>ROUND(0.6108*EXP(17.27*L74/(L74+237.3))*(1-N74/100),2)</x:f>
        <x:v>1.63</x:v>
      </x:c>
      <x:c r="AO74" s="60" t="n">
        <x:f>H74*G74/1000</x:f>
        <x:v>1.89</x:v>
      </x:c>
      <x:c r="AP74" s="60" t="n">
        <x:f>SUM($AO$2:AO74)</x:f>
        <x:v>136.07999999999993</x:v>
      </x:c>
      <x:c r="AQ74" t="n">
        <x:f>'01_Run_Config'!$B$17</x:f>
        <x:v>0</x:v>
      </x:c>
      <x:c r="AR74" t="n">
        <x:f>'01_Run_Config'!$B$22</x:f>
        <x:v>0</x:v>
      </x:c>
      <x:c r="AS74" t="n">
        <x:f>'01_Run_Config'!$B$25</x:f>
        <x:v>0</x:v>
      </x:c>
    </x:row>
    <x:row r="75">
      <x:c r="A75" s="34" t="n">
        <x:v>73</x:v>
      </x:c>
      <x:c r="B75" s="129" t="n">
        <x:f>'01_Run_Config'!$B$4+A75</x:f>
        <x:v>46315</x:v>
      </x:c>
      <x:c r="C75" s="63" t="n">
        <x:f>INT(A75/7)+1</x:f>
        <x:v>11</x:v>
      </x:c>
      <x:c r="D75" s="63" t="str">
        <x:f>"M"&amp;MIN(3,INT(A75/30)+1)</x:f>
        <x:v>M3</x:v>
      </x:c>
      <x:c r="E75" s="63" t="str">
        <x:f>IF(A75&lt;4,"Keimung",IF(A75&lt;8,"Etablierung",IF(A75&lt;15,"Early Veg",IF(A75&lt;'01_Run_Config'!$B$33,IF(A75&lt;22,"Veg / LST","Preflower-Watch"),IF(A75-'01_Run_Config'!$B$33&lt;=6,"Transition / Stretch ("&amp;AM75&amp;")",IF(A75-'01_Run_Config'!$B$33&lt;=13,"Early Flower ("&amp;AM75&amp;")",IF(A75-'01_Run_Config'!$B$33&lt;=20,"Flower I ("&amp;AM75&amp;")",IF(A75-'01_Run_Config'!$B$33&lt;=34,"Peak Flower ("&amp;AM75&amp;")",IF(A75-'01_Run_Config'!$B$33&lt;=41,"Late Flower ("&amp;AM75&amp;")",IF(A75-'01_Run_Config'!$B$33&lt;=48,"Ripening ("&amp;AM75&amp;")","Harvest / Extension ("&amp;AM75&amp;")"))))))))))</x:f>
        <x:v>Ripening (B7)</x:v>
      </x:c>
      <x:c r="F75" s="63" t="str">
        <x:f>IF(A75&lt;4,"Keimung + Wurzelstart",IF(A75&lt;8,"Sämling etablieren; Wurzelraum erschließen",IF(A75&lt;15,"kompakter Aufbau; LST erst bei Vitalität",IF(A75&lt;'01_Run_Config'!$B$33,"Canopy aufbauen; Preflower beobachten",IF(A75-'01_Run_Config'!$B$33&lt;=6,"Stretch kontrollieren; Bloom-Trigger dokumentieren",IF(A75-'01_Run_Config'!$B$33&lt;=13,"Blütenansatz stabilisieren",IF(A75-'01_Run_Config'!$B$33&lt;=20,"Blütenaufbau ohne neue Stressoren",IF(A75-'01_Run_Config'!$B$33&lt;=34,"stabile Peak-Photosynthese; Klima priorisieren",IF(A75-'01_Run_Config'!$B$33&lt;=41,"Qualität/Schimmelprävention",IF(A75-'01_Run_Config'!$B$33&lt;=48,"Reife ohne Überfütterung","Erntefenster nach Pflanze; keine Kalenderernte"))))))))))</x:f>
        <x:v>Reife ohne Überfütterung</x:v>
      </x:c>
      <x:c r="G75" s="63" t="n">
        <x:v>18</x:v>
      </x:c>
      <x:c r="H75" s="63" t="n">
        <x:v>105</x:v>
      </x:c>
      <x:c r="I75" s="63" t="n">
        <x:v>500</x:v>
      </x:c>
      <x:c r="J75" s="63" t="n">
        <x:f>I75*G75*3600/1000000</x:f>
        <x:v>32.4</x:v>
      </x:c>
      <x:c r="K75" s="63" t="n">
        <x:v>40</x:v>
      </x:c>
      <x:c r="L75" s="63" t="n">
        <x:v>23</x:v>
      </x:c>
      <x:c r="M75" s="63" t="n">
        <x:v>20</x:v>
      </x:c>
      <x:c r="N75" s="63" t="n">
        <x:v>42</x:v>
      </x:c>
      <x:c r="O75" s="63" t="n">
        <x:f>ROUND(0.6108*EXP(17.27*(L75+'01_Run_Config'!$B$34)/(L75+'01_Run_Config'!$B$34+237.3))-(N75/100)*0.6108*EXP(17.27*L75/(L75+237.3)),2)</x:f>
        <x:v>1.46</x:v>
      </x:c>
      <x:c r="P75" s="63" t="n">
        <x:f>IF(A75&lt;'01_Run_Config'!$B$32,0.55,IF(A75&lt;'01_Run_Config'!$B$33,IF(A75-'01_Run_Config'!$B$32&lt;=3,0.8,IF(A75-'01_Run_Config'!$B$32&lt;=10,1,IF(A75-'01_Run_Config'!$B$32&lt;=17,1.2,1.4))),IF(A75-'01_Run_Config'!$B$33&lt;=6,1.5,IF(A75-'01_Run_Config'!$B$33&lt;=13,1.6,IF(A75-'01_Run_Config'!$B$33&lt;=20,1.7,IF(A75-'01_Run_Config'!$B$33&lt;=34,1.8,IF(A75-'01_Run_Config'!$B$33&lt;=41,1.6,IF(A75-'01_Run_Config'!$B$33&lt;=48,1.4,1.15))))))))</x:f>
        <x:v>1.4</x:v>
      </x:c>
      <x:c r="Q75" s="63" t="n">
        <x:v>5.9</x:v>
      </x:c>
      <x:c r="R75" s="63" t="n">
        <x:v>0.4</x:v>
      </x:c>
      <x:c r="S75" s="63" t="n">
        <x:v>0.8</x:v>
      </x:c>
      <x:c r="T75" s="63" t="str">
        <x:f>IF(A75&lt;=7,"Manuell",'01_Run_Config'!$B$40)</x:f>
        <x:v>Manuell / indoor-freigegebene Automation</x:v>
      </x:c>
      <x:c r="U75" s="63" t="str">
        <x:f>IF(A75&lt;'01_Run_Config'!$B$32,"Kein Basisdünger",IF(A75&lt;'01_Run_Config'!$B$33,"HESI TNT","HESI Coco"))</x:f>
        <x:v>HESI Coco</x:v>
      </x:c>
      <x:c r="V75" s="63" t="n">
        <x:f>IF(A75&lt;'01_Run_Config'!$B$32,0,IF(A75&lt;'01_Run_Config'!$B$33,IF(A75-'01_Run_Config'!$B$32&lt;=3,1.25,IF(A75-'01_Run_Config'!$B$32&lt;=10,2,2.5)),IF(A75-'01_Run_Config'!$B$33&lt;=6,2.5,IF(A75-'01_Run_Config'!$B$33&lt;=13,3.25,IF(A75-'01_Run_Config'!$B$33&lt;=20,3.75,IF(A75-'01_Run_Config'!$B$33&lt;=34,4,IF(A75-'01_Run_Config'!$B$33&lt;=41,3.5,IF(A75-'01_Run_Config'!$B$33&lt;=48,2.5,1.5))))))))</x:f>
        <x:v>2.5</x:v>
      </x:c>
      <x:c r="W75" s="63" t="n">
        <x:f>IF(OR(A75='01_Run_Config'!$B$32,A75='01_Run_Config'!$B$32+6,A75='01_Run_Config'!$B$32+12),2.5,0)</x:f>
        <x:v>0</x:v>
      </x:c>
      <x:c r="X75" s="63" t="n">
        <x:f>IF(AND(A75&gt;='01_Run_Config'!$B$32+3,A75&lt;='01_Run_Config'!$B$33+35,MOD(A75-('01_Run_Config'!$B$32+3),7)=0),2,0)</x:f>
        <x:v>0</x:v>
      </x:c>
      <x:c r="Y75" s="63" t="n">
        <x:f>IF(A75&gt;='01_Run_Config'!$B$32,0.015,0)</x:f>
        <x:v>0.015</x:v>
      </x:c>
      <x:c r="Z75" s="63" t="n">
        <x:f>IF(AND('01_Run_Config'!$B$26="Hesilicio statt Balance",A75&gt;='01_Run_Config'!$B$32+3,MOD(A75-('01_Run_Config'!$B$32+3),7)=0,A75&lt;='01_Run_Config'!$B$33+35),0.5,0)</x:f>
        <x:v>0</x:v>
      </x:c>
      <x:c r="AA75" s="63" t="n">
        <x:f>IF(AND(A75&gt;='01_Run_Config'!$B$33,A75&lt;='01_Run_Config'!$B$33+35,MOD(A75-'01_Run_Config'!$B$33,7)=0),2,0)</x:f>
        <x:v>0</x:v>
      </x:c>
      <x:c r="AB75" s="63" t="n">
        <x:f>IF(A75='01_Run_Config'!$B$33+21,0.25,IF(A75='01_Run_Config'!$B$33+28,0.35,IF(A75='01_Run_Config'!$B$33+35,0.5,0)))</x:f>
        <x:v>0</x:v>
      </x:c>
      <x:c r="AC75" s="63" t="n">
        <x:f>IF(OR(A75='01_Run_Config'!$B$32,A75='01_Run_Config'!$B$32+7,A75='01_Run_Config'!$B$33+1,A75='01_Run_Config'!$B$33+8),2,0)</x:f>
        <x:v>0</x:v>
      </x:c>
      <x:c r="AD75" s="63" t="str">
        <x:f>IF(A75&lt;'01_Run_Config'!$B$33,"AN-Reference=0 außer Voodoo-Frischgaben",IF(AL75&lt;=7,"A/B: Bud Ignitor oder Mikrobenmodul; nicht Reference",IF(AL75&lt;=35,"A/B: Big Bud STATT HESI-PK; nicht additiv stapeln",IF(AL75&lt;=49,"A/B: Overdrive STATT spätem HESI-PK","AN-Booster auslaufen"))))</x:f>
        <x:v>A/B: Overdrive STATT spätem HESI-PK</x:v>
      </x:c>
      <x:c r="AE75" s="63" t="str">
        <x:v>Keine Eingriffe</x:v>
      </x:c>
      <x:c r="AF75" s="63" t="str">
        <x:v>Morgens Klima/Pflanze/Bewässerung/Leck; Mitte Lichtphase Blattwinkel; vor Dunkel LF/Drain/stehendes Wasser.</x:v>
      </x:c>
      <x:c r="AG75" s="63" t="str">
        <x:v>EC nicht erhöhen bei steigender Diagnose-Drain-EC; PPFD nicht erhöhen bei Stress; Wasserband nie erzwingen; nie mehrere neue Booster gleichzeitig.</x:v>
      </x:c>
      <x:c r="AH75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7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5" s="201" t="str">
        <x:f>IF(A75&lt;'01_Run_Config'!$B$32,"—",IF(A75&lt;'01_Run_Config'!$B$33,"G"&amp;MIN(4,INT((A75-'01_Run_Config'!$B$32)/7)+1),AM75))</x:f>
        <x:v>B7</x:v>
      </x:c>
      <x:c r="AK75" s="35" t="str">
        <x:f>IF(A75&lt;'01_Run_Config'!$B$32,"Keine AN-Additive.",IF(A75&lt;'01_Run_Config'!$B$33,"Veg: Voodoo nur definierte Frischgaben; B-52/Piranha/Tarantula nur A/B; Sensizym nur statt PowerZyme; Rhino Skin AUS mit Athena Balance.",IF(AL75&lt;=7,"Frühblüte: Voodoo; Bud Ignitor/Piranha/Tarantula nur A/B; Rhino Skin AUS mit Balance.",IF(AL75&lt;=35,"Hauptblüte: Big Bud nur A/B STATT HESI-PK; Biostims einzeln testen.",IF(AL75&lt;=49,"Spätblüte: Overdrive nur A/B STATT spätem HESI-PK; keine neue zweite Variable.","Booster auslaufen / Reife priorisieren.")))))</x:f>
        <x:v>Spätblüte: Overdrive nur A/B STATT spätem HESI-PK; keine neue zweite Variable.</x:v>
      </x:c>
      <x:c r="AL75" s="60" t="n">
        <x:f>IF(A75&lt;'01_Run_Config'!$B$33,"",A75-'01_Run_Config'!$B$33+1)</x:f>
        <x:v>46</x:v>
      </x:c>
      <x:c r="AM75" s="60" t="str">
        <x:f>IF(AL75="","",IF(AL75&gt;49,CHAR(66)&amp;"7+",CHAR(66)&amp;TEXT(INT((AL75-1)/7)+1,"0")))</x:f>
        <x:v>B7</x:v>
      </x:c>
      <x:c r="AN75" s="60" t="n">
        <x:f>ROUND(0.6108*EXP(17.27*L75/(L75+237.3))*(1-N75/100),2)</x:f>
        <x:v>1.63</x:v>
      </x:c>
      <x:c r="AO75" s="60" t="n">
        <x:f>H75*G75/1000</x:f>
        <x:v>1.89</x:v>
      </x:c>
      <x:c r="AP75" s="60" t="n">
        <x:f>SUM($AO$2:AO75)</x:f>
        <x:v>137.9699999999999</x:v>
      </x:c>
      <x:c r="AQ75" t="n">
        <x:f>'01_Run_Config'!$B$17</x:f>
        <x:v>0</x:v>
      </x:c>
      <x:c r="AR75" t="n">
        <x:f>'01_Run_Config'!$B$22</x:f>
        <x:v>0</x:v>
      </x:c>
      <x:c r="AS75" t="n">
        <x:f>'01_Run_Config'!$B$25</x:f>
        <x:v>0</x:v>
      </x:c>
    </x:row>
    <x:row r="76">
      <x:c r="A76" s="34" t="n">
        <x:v>74</x:v>
      </x:c>
      <x:c r="B76" s="129" t="n">
        <x:f>'01_Run_Config'!$B$4+A76</x:f>
        <x:v>46316</x:v>
      </x:c>
      <x:c r="C76" s="63" t="n">
        <x:f>INT(A76/7)+1</x:f>
        <x:v>11</x:v>
      </x:c>
      <x:c r="D76" s="63" t="str">
        <x:f>"M"&amp;MIN(3,INT(A76/30)+1)</x:f>
        <x:v>M3</x:v>
      </x:c>
      <x:c r="E76" s="63" t="str">
        <x:f>IF(A76&lt;4,"Keimung",IF(A76&lt;8,"Etablierung",IF(A76&lt;15,"Early Veg",IF(A76&lt;'01_Run_Config'!$B$33,IF(A76&lt;22,"Veg / LST","Preflower-Watch"),IF(A76-'01_Run_Config'!$B$33&lt;=6,"Transition / Stretch ("&amp;AM76&amp;")",IF(A76-'01_Run_Config'!$B$33&lt;=13,"Early Flower ("&amp;AM76&amp;")",IF(A76-'01_Run_Config'!$B$33&lt;=20,"Flower I ("&amp;AM76&amp;")",IF(A76-'01_Run_Config'!$B$33&lt;=34,"Peak Flower ("&amp;AM76&amp;")",IF(A76-'01_Run_Config'!$B$33&lt;=41,"Late Flower ("&amp;AM76&amp;")",IF(A76-'01_Run_Config'!$B$33&lt;=48,"Ripening ("&amp;AM76&amp;")","Harvest / Extension ("&amp;AM76&amp;")"))))))))))</x:f>
        <x:v>Ripening (B7)</x:v>
      </x:c>
      <x:c r="F76" s="63" t="str">
        <x:f>IF(A76&lt;4,"Keimung + Wurzelstart",IF(A76&lt;8,"Sämling etablieren; Wurzelraum erschließen",IF(A76&lt;15,"kompakter Aufbau; LST erst bei Vitalität",IF(A76&lt;'01_Run_Config'!$B$33,"Canopy aufbauen; Preflower beobachten",IF(A76-'01_Run_Config'!$B$33&lt;=6,"Stretch kontrollieren; Bloom-Trigger dokumentieren",IF(A76-'01_Run_Config'!$B$33&lt;=13,"Blütenansatz stabilisieren",IF(A76-'01_Run_Config'!$B$33&lt;=20,"Blütenaufbau ohne neue Stressoren",IF(A76-'01_Run_Config'!$B$33&lt;=34,"stabile Peak-Photosynthese; Klima priorisieren",IF(A76-'01_Run_Config'!$B$33&lt;=41,"Qualität/Schimmelprävention",IF(A76-'01_Run_Config'!$B$33&lt;=48,"Reife ohne Überfütterung","Erntefenster nach Pflanze; keine Kalenderernte"))))))))))</x:f>
        <x:v>Reife ohne Überfütterung</x:v>
      </x:c>
      <x:c r="G76" s="63" t="n">
        <x:v>18</x:v>
      </x:c>
      <x:c r="H76" s="63" t="n">
        <x:v>105</x:v>
      </x:c>
      <x:c r="I76" s="63" t="n">
        <x:v>500</x:v>
      </x:c>
      <x:c r="J76" s="63" t="n">
        <x:f>I76*G76*3600/1000000</x:f>
        <x:v>32.4</x:v>
      </x:c>
      <x:c r="K76" s="63" t="n">
        <x:v>40</x:v>
      </x:c>
      <x:c r="L76" s="63" t="n">
        <x:v>23</x:v>
      </x:c>
      <x:c r="M76" s="63" t="n">
        <x:v>20</x:v>
      </x:c>
      <x:c r="N76" s="63" t="n">
        <x:v>42</x:v>
      </x:c>
      <x:c r="O76" s="63" t="n">
        <x:f>ROUND(0.6108*EXP(17.27*(L76+'01_Run_Config'!$B$34)/(L76+'01_Run_Config'!$B$34+237.3))-(N76/100)*0.6108*EXP(17.27*L76/(L76+237.3)),2)</x:f>
        <x:v>1.46</x:v>
      </x:c>
      <x:c r="P76" s="63" t="n">
        <x:f>IF(A76&lt;'01_Run_Config'!$B$32,0.55,IF(A76&lt;'01_Run_Config'!$B$33,IF(A76-'01_Run_Config'!$B$32&lt;=3,0.8,IF(A76-'01_Run_Config'!$B$32&lt;=10,1,IF(A76-'01_Run_Config'!$B$32&lt;=17,1.2,1.4))),IF(A76-'01_Run_Config'!$B$33&lt;=6,1.5,IF(A76-'01_Run_Config'!$B$33&lt;=13,1.6,IF(A76-'01_Run_Config'!$B$33&lt;=20,1.7,IF(A76-'01_Run_Config'!$B$33&lt;=34,1.8,IF(A76-'01_Run_Config'!$B$33&lt;=41,1.6,IF(A76-'01_Run_Config'!$B$33&lt;=48,1.4,1.15))))))))</x:f>
        <x:v>1.4</x:v>
      </x:c>
      <x:c r="Q76" s="63" t="n">
        <x:v>5.9</x:v>
      </x:c>
      <x:c r="R76" s="63" t="n">
        <x:v>0.4</x:v>
      </x:c>
      <x:c r="S76" s="63" t="n">
        <x:v>0.8</x:v>
      </x:c>
      <x:c r="T76" s="63" t="str">
        <x:f>IF(A76&lt;=7,"Manuell",'01_Run_Config'!$B$40)</x:f>
        <x:v>Manuell / indoor-freigegebene Automation</x:v>
      </x:c>
      <x:c r="U76" s="63" t="str">
        <x:f>IF(A76&lt;'01_Run_Config'!$B$32,"Kein Basisdünger",IF(A76&lt;'01_Run_Config'!$B$33,"HESI TNT","HESI Coco"))</x:f>
        <x:v>HESI Coco</x:v>
      </x:c>
      <x:c r="V76" s="63" t="n">
        <x:f>IF(A76&lt;'01_Run_Config'!$B$32,0,IF(A76&lt;'01_Run_Config'!$B$33,IF(A76-'01_Run_Config'!$B$32&lt;=3,1.25,IF(A76-'01_Run_Config'!$B$32&lt;=10,2,2.5)),IF(A76-'01_Run_Config'!$B$33&lt;=6,2.5,IF(A76-'01_Run_Config'!$B$33&lt;=13,3.25,IF(A76-'01_Run_Config'!$B$33&lt;=20,3.75,IF(A76-'01_Run_Config'!$B$33&lt;=34,4,IF(A76-'01_Run_Config'!$B$33&lt;=41,3.5,IF(A76-'01_Run_Config'!$B$33&lt;=48,2.5,1.5))))))))</x:f>
        <x:v>2.5</x:v>
      </x:c>
      <x:c r="W76" s="63" t="n">
        <x:f>IF(OR(A76='01_Run_Config'!$B$32,A76='01_Run_Config'!$B$32+6,A76='01_Run_Config'!$B$32+12),2.5,0)</x:f>
        <x:v>0</x:v>
      </x:c>
      <x:c r="X76" s="63" t="n">
        <x:f>IF(AND(A76&gt;='01_Run_Config'!$B$32+3,A76&lt;='01_Run_Config'!$B$33+35,MOD(A76-('01_Run_Config'!$B$32+3),7)=0),2,0)</x:f>
        <x:v>0</x:v>
      </x:c>
      <x:c r="Y76" s="63" t="n">
        <x:f>IF(A76&gt;='01_Run_Config'!$B$32,0.015,0)</x:f>
        <x:v>0.015</x:v>
      </x:c>
      <x:c r="Z76" s="63" t="n">
        <x:f>IF(AND('01_Run_Config'!$B$26="Hesilicio statt Balance",A76&gt;='01_Run_Config'!$B$32+3,MOD(A76-('01_Run_Config'!$B$32+3),7)=0,A76&lt;='01_Run_Config'!$B$33+35),0.5,0)</x:f>
        <x:v>0</x:v>
      </x:c>
      <x:c r="AA76" s="63" t="n">
        <x:f>IF(AND(A76&gt;='01_Run_Config'!$B$33,A76&lt;='01_Run_Config'!$B$33+35,MOD(A76-'01_Run_Config'!$B$33,7)=0),2,0)</x:f>
        <x:v>0</x:v>
      </x:c>
      <x:c r="AB76" s="63" t="n">
        <x:f>IF(A76='01_Run_Config'!$B$33+21,0.25,IF(A76='01_Run_Config'!$B$33+28,0.35,IF(A76='01_Run_Config'!$B$33+35,0.5,0)))</x:f>
        <x:v>0</x:v>
      </x:c>
      <x:c r="AC76" s="63" t="n">
        <x:f>IF(OR(A76='01_Run_Config'!$B$32,A76='01_Run_Config'!$B$32+7,A76='01_Run_Config'!$B$33+1,A76='01_Run_Config'!$B$33+8),2,0)</x:f>
        <x:v>0</x:v>
      </x:c>
      <x:c r="AD76" s="63" t="str">
        <x:f>IF(A76&lt;'01_Run_Config'!$B$33,"AN-Reference=0 außer Voodoo-Frischgaben",IF(AL76&lt;=7,"A/B: Bud Ignitor oder Mikrobenmodul; nicht Reference",IF(AL76&lt;=35,"A/B: Big Bud STATT HESI-PK; nicht additiv stapeln",IF(AL76&lt;=49,"A/B: Overdrive STATT spätem HESI-PK","AN-Booster auslaufen"))))</x:f>
        <x:v>A/B: Overdrive STATT spätem HESI-PK</x:v>
      </x:c>
      <x:c r="AE76" s="63" t="str">
        <x:v>Keine Eingriffe</x:v>
      </x:c>
      <x:c r="AF76" s="63" t="str">
        <x:v>Morgens Klima/Pflanze/Bewässerung/Leck; Mitte Lichtphase Blattwinkel; vor Dunkel LF/Drain/stehendes Wasser.</x:v>
      </x:c>
      <x:c r="AG76" s="63" t="str">
        <x:v>EC nicht erhöhen bei steigender Diagnose-Drain-EC; PPFD nicht erhöhen bei Stress; Wasserband nie erzwingen; nie mehrere neue Booster gleichzeitig.</x:v>
      </x:c>
      <x:c r="AH76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7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6" s="201" t="str">
        <x:f>IF(A76&lt;'01_Run_Config'!$B$32,"—",IF(A76&lt;'01_Run_Config'!$B$33,"G"&amp;MIN(4,INT((A76-'01_Run_Config'!$B$32)/7)+1),AM76))</x:f>
        <x:v>B7</x:v>
      </x:c>
      <x:c r="AK76" s="35" t="str">
        <x:f>IF(A76&lt;'01_Run_Config'!$B$32,"Keine AN-Additive.",IF(A76&lt;'01_Run_Config'!$B$33,"Veg: Voodoo nur definierte Frischgaben; B-52/Piranha/Tarantula nur A/B; Sensizym nur statt PowerZyme; Rhino Skin AUS mit Athena Balance.",IF(AL76&lt;=7,"Frühblüte: Voodoo; Bud Ignitor/Piranha/Tarantula nur A/B; Rhino Skin AUS mit Balance.",IF(AL76&lt;=35,"Hauptblüte: Big Bud nur A/B STATT HESI-PK; Biostims einzeln testen.",IF(AL76&lt;=49,"Spätblüte: Overdrive nur A/B STATT spätem HESI-PK; keine neue zweite Variable.","Booster auslaufen / Reife priorisieren.")))))</x:f>
        <x:v>Spätblüte: Overdrive nur A/B STATT spätem HESI-PK; keine neue zweite Variable.</x:v>
      </x:c>
      <x:c r="AL76" s="60" t="n">
        <x:f>IF(A76&lt;'01_Run_Config'!$B$33,"",A76-'01_Run_Config'!$B$33+1)</x:f>
        <x:v>47</x:v>
      </x:c>
      <x:c r="AM76" s="60" t="str">
        <x:f>IF(AL76="","",IF(AL76&gt;49,CHAR(66)&amp;"7+",CHAR(66)&amp;TEXT(INT((AL76-1)/7)+1,"0")))</x:f>
        <x:v>B7</x:v>
      </x:c>
      <x:c r="AN76" s="60" t="n">
        <x:f>ROUND(0.6108*EXP(17.27*L76/(L76+237.3))*(1-N76/100),2)</x:f>
        <x:v>1.63</x:v>
      </x:c>
      <x:c r="AO76" s="60" t="n">
        <x:f>H76*G76/1000</x:f>
        <x:v>1.89</x:v>
      </x:c>
      <x:c r="AP76" s="60" t="n">
        <x:f>SUM($AO$2:AO76)</x:f>
        <x:v>139.8599999999999</x:v>
      </x:c>
      <x:c r="AQ76" t="n">
        <x:f>'01_Run_Config'!$B$17</x:f>
        <x:v>0</x:v>
      </x:c>
      <x:c r="AR76" t="n">
        <x:f>'01_Run_Config'!$B$22</x:f>
        <x:v>0</x:v>
      </x:c>
      <x:c r="AS76" t="n">
        <x:f>'01_Run_Config'!$B$25</x:f>
        <x:v>0</x:v>
      </x:c>
    </x:row>
    <x:row r="77">
      <x:c r="A77" s="34" t="n">
        <x:v>75</x:v>
      </x:c>
      <x:c r="B77" s="129" t="n">
        <x:f>'01_Run_Config'!$B$4+A77</x:f>
        <x:v>46317</x:v>
      </x:c>
      <x:c r="C77" s="63" t="n">
        <x:f>INT(A77/7)+1</x:f>
        <x:v>11</x:v>
      </x:c>
      <x:c r="D77" s="63" t="str">
        <x:f>"M"&amp;MIN(3,INT(A77/30)+1)</x:f>
        <x:v>M3</x:v>
      </x:c>
      <x:c r="E77" s="63" t="str">
        <x:f>IF(A77&lt;4,"Keimung",IF(A77&lt;8,"Etablierung",IF(A77&lt;15,"Early Veg",IF(A77&lt;'01_Run_Config'!$B$33,IF(A77&lt;22,"Veg / LST","Preflower-Watch"),IF(A77-'01_Run_Config'!$B$33&lt;=6,"Transition / Stretch ("&amp;AM77&amp;")",IF(A77-'01_Run_Config'!$B$33&lt;=13,"Early Flower ("&amp;AM77&amp;")",IF(A77-'01_Run_Config'!$B$33&lt;=20,"Flower I ("&amp;AM77&amp;")",IF(A77-'01_Run_Config'!$B$33&lt;=34,"Peak Flower ("&amp;AM77&amp;")",IF(A77-'01_Run_Config'!$B$33&lt;=41,"Late Flower ("&amp;AM77&amp;")",IF(A77-'01_Run_Config'!$B$33&lt;=48,"Ripening ("&amp;AM77&amp;")","Harvest / Extension ("&amp;AM77&amp;")"))))))))))</x:f>
        <x:v>Ripening (B7)</x:v>
      </x:c>
      <x:c r="F77" s="63" t="str">
        <x:f>IF(A77&lt;4,"Keimung + Wurzelstart",IF(A77&lt;8,"Sämling etablieren; Wurzelraum erschließen",IF(A77&lt;15,"kompakter Aufbau; LST erst bei Vitalität",IF(A77&lt;'01_Run_Config'!$B$33,"Canopy aufbauen; Preflower beobachten",IF(A77-'01_Run_Config'!$B$33&lt;=6,"Stretch kontrollieren; Bloom-Trigger dokumentieren",IF(A77-'01_Run_Config'!$B$33&lt;=13,"Blütenansatz stabilisieren",IF(A77-'01_Run_Config'!$B$33&lt;=20,"Blütenaufbau ohne neue Stressoren",IF(A77-'01_Run_Config'!$B$33&lt;=34,"stabile Peak-Photosynthese; Klima priorisieren",IF(A77-'01_Run_Config'!$B$33&lt;=41,"Qualität/Schimmelprävention",IF(A77-'01_Run_Config'!$B$33&lt;=48,"Reife ohne Überfütterung","Erntefenster nach Pflanze; keine Kalenderernte"))))))))))</x:f>
        <x:v>Reife ohne Überfütterung</x:v>
      </x:c>
      <x:c r="G77" s="63" t="n">
        <x:v>18</x:v>
      </x:c>
      <x:c r="H77" s="63" t="n">
        <x:v>105</x:v>
      </x:c>
      <x:c r="I77" s="63" t="n">
        <x:v>500</x:v>
      </x:c>
      <x:c r="J77" s="63" t="n">
        <x:f>I77*G77*3600/1000000</x:f>
        <x:v>32.4</x:v>
      </x:c>
      <x:c r="K77" s="63" t="n">
        <x:v>40</x:v>
      </x:c>
      <x:c r="L77" s="63" t="n">
        <x:v>23</x:v>
      </x:c>
      <x:c r="M77" s="63" t="n">
        <x:v>20</x:v>
      </x:c>
      <x:c r="N77" s="63" t="n">
        <x:v>42</x:v>
      </x:c>
      <x:c r="O77" s="63" t="n">
        <x:f>ROUND(0.6108*EXP(17.27*(L77+'01_Run_Config'!$B$34)/(L77+'01_Run_Config'!$B$34+237.3))-(N77/100)*0.6108*EXP(17.27*L77/(L77+237.3)),2)</x:f>
        <x:v>1.46</x:v>
      </x:c>
      <x:c r="P77" s="63" t="n">
        <x:f>IF(A77&lt;'01_Run_Config'!$B$32,0.55,IF(A77&lt;'01_Run_Config'!$B$33,IF(A77-'01_Run_Config'!$B$32&lt;=3,0.8,IF(A77-'01_Run_Config'!$B$32&lt;=10,1,IF(A77-'01_Run_Config'!$B$32&lt;=17,1.2,1.4))),IF(A77-'01_Run_Config'!$B$33&lt;=6,1.5,IF(A77-'01_Run_Config'!$B$33&lt;=13,1.6,IF(A77-'01_Run_Config'!$B$33&lt;=20,1.7,IF(A77-'01_Run_Config'!$B$33&lt;=34,1.8,IF(A77-'01_Run_Config'!$B$33&lt;=41,1.6,IF(A77-'01_Run_Config'!$B$33&lt;=48,1.4,1.15))))))))</x:f>
        <x:v>1.4</x:v>
      </x:c>
      <x:c r="Q77" s="63" t="n">
        <x:v>5.9</x:v>
      </x:c>
      <x:c r="R77" s="63" t="n">
        <x:v>0.4</x:v>
      </x:c>
      <x:c r="S77" s="63" t="n">
        <x:v>0.8</x:v>
      </x:c>
      <x:c r="T77" s="63" t="str">
        <x:f>IF(A77&lt;=7,"Manuell",'01_Run_Config'!$B$40)</x:f>
        <x:v>Manuell / indoor-freigegebene Automation</x:v>
      </x:c>
      <x:c r="U77" s="63" t="str">
        <x:f>IF(A77&lt;'01_Run_Config'!$B$32,"Kein Basisdünger",IF(A77&lt;'01_Run_Config'!$B$33,"HESI TNT","HESI Coco"))</x:f>
        <x:v>HESI Coco</x:v>
      </x:c>
      <x:c r="V77" s="63" t="n">
        <x:f>IF(A77&lt;'01_Run_Config'!$B$32,0,IF(A77&lt;'01_Run_Config'!$B$33,IF(A77-'01_Run_Config'!$B$32&lt;=3,1.25,IF(A77-'01_Run_Config'!$B$32&lt;=10,2,2.5)),IF(A77-'01_Run_Config'!$B$33&lt;=6,2.5,IF(A77-'01_Run_Config'!$B$33&lt;=13,3.25,IF(A77-'01_Run_Config'!$B$33&lt;=20,3.75,IF(A77-'01_Run_Config'!$B$33&lt;=34,4,IF(A77-'01_Run_Config'!$B$33&lt;=41,3.5,IF(A77-'01_Run_Config'!$B$33&lt;=48,2.5,1.5))))))))</x:f>
        <x:v>2.5</x:v>
      </x:c>
      <x:c r="W77" s="63" t="n">
        <x:f>IF(OR(A77='01_Run_Config'!$B$32,A77='01_Run_Config'!$B$32+6,A77='01_Run_Config'!$B$32+12),2.5,0)</x:f>
        <x:v>0</x:v>
      </x:c>
      <x:c r="X77" s="63" t="n">
        <x:f>IF(AND(A77&gt;='01_Run_Config'!$B$32+3,A77&lt;='01_Run_Config'!$B$33+35,MOD(A77-('01_Run_Config'!$B$32+3),7)=0),2,0)</x:f>
        <x:v>0</x:v>
      </x:c>
      <x:c r="Y77" s="63" t="n">
        <x:f>IF(A77&gt;='01_Run_Config'!$B$32,0.015,0)</x:f>
        <x:v>0.015</x:v>
      </x:c>
      <x:c r="Z77" s="63" t="n">
        <x:f>IF(AND('01_Run_Config'!$B$26="Hesilicio statt Balance",A77&gt;='01_Run_Config'!$B$32+3,MOD(A77-('01_Run_Config'!$B$32+3),7)=0,A77&lt;='01_Run_Config'!$B$33+35),0.5,0)</x:f>
        <x:v>0</x:v>
      </x:c>
      <x:c r="AA77" s="63" t="n">
        <x:f>IF(AND(A77&gt;='01_Run_Config'!$B$33,A77&lt;='01_Run_Config'!$B$33+35,MOD(A77-'01_Run_Config'!$B$33,7)=0),2,0)</x:f>
        <x:v>0</x:v>
      </x:c>
      <x:c r="AB77" s="63" t="n">
        <x:f>IF(A77='01_Run_Config'!$B$33+21,0.25,IF(A77='01_Run_Config'!$B$33+28,0.35,IF(A77='01_Run_Config'!$B$33+35,0.5,0)))</x:f>
        <x:v>0</x:v>
      </x:c>
      <x:c r="AC77" s="63" t="n">
        <x:f>IF(OR(A77='01_Run_Config'!$B$32,A77='01_Run_Config'!$B$32+7,A77='01_Run_Config'!$B$33+1,A77='01_Run_Config'!$B$33+8),2,0)</x:f>
        <x:v>0</x:v>
      </x:c>
      <x:c r="AD77" s="63" t="str">
        <x:f>IF(A77&lt;'01_Run_Config'!$B$33,"AN-Reference=0 außer Voodoo-Frischgaben",IF(AL77&lt;=7,"A/B: Bud Ignitor oder Mikrobenmodul; nicht Reference",IF(AL77&lt;=35,"A/B: Big Bud STATT HESI-PK; nicht additiv stapeln",IF(AL77&lt;=49,"A/B: Overdrive STATT spätem HESI-PK","AN-Booster auslaufen"))))</x:f>
        <x:v>A/B: Overdrive STATT spätem HESI-PK</x:v>
      </x:c>
      <x:c r="AE77" s="63" t="str">
        <x:v>Keine Eingriffe</x:v>
      </x:c>
      <x:c r="AF77" s="63" t="str">
        <x:v>Morgens Klima/Pflanze/Bewässerung/Leck; Mitte Lichtphase Blattwinkel; vor Dunkel LF/Drain/stehendes Wasser.</x:v>
      </x:c>
      <x:c r="AG77" s="63" t="str">
        <x:v>EC nicht erhöhen bei steigender Diagnose-Drain-EC; PPFD nicht erhöhen bei Stress; Wasserband nie erzwingen; nie mehrere neue Booster gleichzeitig.</x:v>
      </x:c>
      <x:c r="AH77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7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7" s="201" t="str">
        <x:f>IF(A77&lt;'01_Run_Config'!$B$32,"—",IF(A77&lt;'01_Run_Config'!$B$33,"G"&amp;MIN(4,INT((A77-'01_Run_Config'!$B$32)/7)+1),AM77))</x:f>
        <x:v>B7</x:v>
      </x:c>
      <x:c r="AK77" s="35" t="str">
        <x:f>IF(A77&lt;'01_Run_Config'!$B$32,"Keine AN-Additive.",IF(A77&lt;'01_Run_Config'!$B$33,"Veg: Voodoo nur definierte Frischgaben; B-52/Piranha/Tarantula nur A/B; Sensizym nur statt PowerZyme; Rhino Skin AUS mit Athena Balance.",IF(AL77&lt;=7,"Frühblüte: Voodoo; Bud Ignitor/Piranha/Tarantula nur A/B; Rhino Skin AUS mit Balance.",IF(AL77&lt;=35,"Hauptblüte: Big Bud nur A/B STATT HESI-PK; Biostims einzeln testen.",IF(AL77&lt;=49,"Spätblüte: Overdrive nur A/B STATT spätem HESI-PK; keine neue zweite Variable.","Booster auslaufen / Reife priorisieren.")))))</x:f>
        <x:v>Spätblüte: Overdrive nur A/B STATT spätem HESI-PK; keine neue zweite Variable.</x:v>
      </x:c>
      <x:c r="AL77" s="60" t="n">
        <x:f>IF(A77&lt;'01_Run_Config'!$B$33,"",A77-'01_Run_Config'!$B$33+1)</x:f>
        <x:v>48</x:v>
      </x:c>
      <x:c r="AM77" s="60" t="str">
        <x:f>IF(AL77="","",IF(AL77&gt;49,CHAR(66)&amp;"7+",CHAR(66)&amp;TEXT(INT((AL77-1)/7)+1,"0")))</x:f>
        <x:v>B7</x:v>
      </x:c>
      <x:c r="AN77" s="60" t="n">
        <x:f>ROUND(0.6108*EXP(17.27*L77/(L77+237.3))*(1-N77/100),2)</x:f>
        <x:v>1.63</x:v>
      </x:c>
      <x:c r="AO77" s="60" t="n">
        <x:f>H77*G77/1000</x:f>
        <x:v>1.89</x:v>
      </x:c>
      <x:c r="AP77" s="60" t="n">
        <x:f>SUM($AO$2:AO77)</x:f>
        <x:v>141.7499999999999</x:v>
      </x:c>
      <x:c r="AQ77" t="n">
        <x:f>'01_Run_Config'!$B$17</x:f>
        <x:v>0</x:v>
      </x:c>
      <x:c r="AR77" t="n">
        <x:f>'01_Run_Config'!$B$22</x:f>
        <x:v>0</x:v>
      </x:c>
      <x:c r="AS77" t="n">
        <x:f>'01_Run_Config'!$B$25</x:f>
        <x:v>0</x:v>
      </x:c>
    </x:row>
    <x:row r="78">
      <x:c r="A78" s="34" t="n">
        <x:v>76</x:v>
      </x:c>
      <x:c r="B78" s="129" t="n">
        <x:f>'01_Run_Config'!$B$4+A78</x:f>
        <x:v>46318</x:v>
      </x:c>
      <x:c r="C78" s="63" t="n">
        <x:f>INT(A78/7)+1</x:f>
        <x:v>11</x:v>
      </x:c>
      <x:c r="D78" s="63" t="str">
        <x:f>"M"&amp;MIN(3,INT(A78/30)+1)</x:f>
        <x:v>M3</x:v>
      </x:c>
      <x:c r="E78" s="63" t="str">
        <x:f>IF(A78&lt;4,"Keimung",IF(A78&lt;8,"Etablierung",IF(A78&lt;15,"Early Veg",IF(A78&lt;'01_Run_Config'!$B$33,IF(A78&lt;22,"Veg / LST","Preflower-Watch"),IF(A78-'01_Run_Config'!$B$33&lt;=6,"Transition / Stretch ("&amp;AM78&amp;")",IF(A78-'01_Run_Config'!$B$33&lt;=13,"Early Flower ("&amp;AM78&amp;")",IF(A78-'01_Run_Config'!$B$33&lt;=20,"Flower I ("&amp;AM78&amp;")",IF(A78-'01_Run_Config'!$B$33&lt;=34,"Peak Flower ("&amp;AM78&amp;")",IF(A78-'01_Run_Config'!$B$33&lt;=41,"Late Flower ("&amp;AM78&amp;")",IF(A78-'01_Run_Config'!$B$33&lt;=48,"Ripening ("&amp;AM78&amp;")","Harvest / Extension ("&amp;AM78&amp;")"))))))))))</x:f>
        <x:v>Ripening (B7)</x:v>
      </x:c>
      <x:c r="F78" s="63" t="str">
        <x:f>IF(A78&lt;4,"Keimung + Wurzelstart",IF(A78&lt;8,"Sämling etablieren; Wurzelraum erschließen",IF(A78&lt;15,"kompakter Aufbau; LST erst bei Vitalität",IF(A78&lt;'01_Run_Config'!$B$33,"Canopy aufbauen; Preflower beobachten",IF(A78-'01_Run_Config'!$B$33&lt;=6,"Stretch kontrollieren; Bloom-Trigger dokumentieren",IF(A78-'01_Run_Config'!$B$33&lt;=13,"Blütenansatz stabilisieren",IF(A78-'01_Run_Config'!$B$33&lt;=20,"Blütenaufbau ohne neue Stressoren",IF(A78-'01_Run_Config'!$B$33&lt;=34,"stabile Peak-Photosynthese; Klima priorisieren",IF(A78-'01_Run_Config'!$B$33&lt;=41,"Qualität/Schimmelprävention",IF(A78-'01_Run_Config'!$B$33&lt;=48,"Reife ohne Überfütterung","Erntefenster nach Pflanze; keine Kalenderernte"))))))))))</x:f>
        <x:v>Reife ohne Überfütterung</x:v>
      </x:c>
      <x:c r="G78" s="63" t="n">
        <x:v>18</x:v>
      </x:c>
      <x:c r="H78" s="63" t="n">
        <x:v>105</x:v>
      </x:c>
      <x:c r="I78" s="63" t="n">
        <x:v>500</x:v>
      </x:c>
      <x:c r="J78" s="63" t="n">
        <x:f>I78*G78*3600/1000000</x:f>
        <x:v>32.4</x:v>
      </x:c>
      <x:c r="K78" s="63" t="n">
        <x:v>40</x:v>
      </x:c>
      <x:c r="L78" s="63" t="n">
        <x:v>23</x:v>
      </x:c>
      <x:c r="M78" s="63" t="n">
        <x:v>20</x:v>
      </x:c>
      <x:c r="N78" s="63" t="n">
        <x:v>42</x:v>
      </x:c>
      <x:c r="O78" s="63" t="n">
        <x:f>ROUND(0.6108*EXP(17.27*(L78+'01_Run_Config'!$B$34)/(L78+'01_Run_Config'!$B$34+237.3))-(N78/100)*0.6108*EXP(17.27*L78/(L78+237.3)),2)</x:f>
        <x:v>1.46</x:v>
      </x:c>
      <x:c r="P78" s="63" t="n">
        <x:f>IF(A78&lt;'01_Run_Config'!$B$32,0.55,IF(A78&lt;'01_Run_Config'!$B$33,IF(A78-'01_Run_Config'!$B$32&lt;=3,0.8,IF(A78-'01_Run_Config'!$B$32&lt;=10,1,IF(A78-'01_Run_Config'!$B$32&lt;=17,1.2,1.4))),IF(A78-'01_Run_Config'!$B$33&lt;=6,1.5,IF(A78-'01_Run_Config'!$B$33&lt;=13,1.6,IF(A78-'01_Run_Config'!$B$33&lt;=20,1.7,IF(A78-'01_Run_Config'!$B$33&lt;=34,1.8,IF(A78-'01_Run_Config'!$B$33&lt;=41,1.6,IF(A78-'01_Run_Config'!$B$33&lt;=48,1.4,1.15))))))))</x:f>
        <x:v>1.4</x:v>
      </x:c>
      <x:c r="Q78" s="63" t="n">
        <x:v>5.9</x:v>
      </x:c>
      <x:c r="R78" s="63" t="n">
        <x:v>0.4</x:v>
      </x:c>
      <x:c r="S78" s="63" t="n">
        <x:v>0.8</x:v>
      </x:c>
      <x:c r="T78" s="63" t="str">
        <x:f>IF(A78&lt;=7,"Manuell",'01_Run_Config'!$B$40)</x:f>
        <x:v>Manuell / indoor-freigegebene Automation</x:v>
      </x:c>
      <x:c r="U78" s="63" t="str">
        <x:f>IF(A78&lt;'01_Run_Config'!$B$32,"Kein Basisdünger",IF(A78&lt;'01_Run_Config'!$B$33,"HESI TNT","HESI Coco"))</x:f>
        <x:v>HESI Coco</x:v>
      </x:c>
      <x:c r="V78" s="63" t="n">
        <x:f>IF(A78&lt;'01_Run_Config'!$B$32,0,IF(A78&lt;'01_Run_Config'!$B$33,IF(A78-'01_Run_Config'!$B$32&lt;=3,1.25,IF(A78-'01_Run_Config'!$B$32&lt;=10,2,2.5)),IF(A78-'01_Run_Config'!$B$33&lt;=6,2.5,IF(A78-'01_Run_Config'!$B$33&lt;=13,3.25,IF(A78-'01_Run_Config'!$B$33&lt;=20,3.75,IF(A78-'01_Run_Config'!$B$33&lt;=34,4,IF(A78-'01_Run_Config'!$B$33&lt;=41,3.5,IF(A78-'01_Run_Config'!$B$33&lt;=48,2.5,1.5))))))))</x:f>
        <x:v>2.5</x:v>
      </x:c>
      <x:c r="W78" s="63" t="n">
        <x:f>IF(OR(A78='01_Run_Config'!$B$32,A78='01_Run_Config'!$B$32+6,A78='01_Run_Config'!$B$32+12),2.5,0)</x:f>
        <x:v>0</x:v>
      </x:c>
      <x:c r="X78" s="63" t="n">
        <x:f>IF(AND(A78&gt;='01_Run_Config'!$B$32+3,A78&lt;='01_Run_Config'!$B$33+35,MOD(A78-('01_Run_Config'!$B$32+3),7)=0),2,0)</x:f>
        <x:v>0</x:v>
      </x:c>
      <x:c r="Y78" s="63" t="n">
        <x:f>IF(A78&gt;='01_Run_Config'!$B$32,0.015,0)</x:f>
        <x:v>0.015</x:v>
      </x:c>
      <x:c r="Z78" s="63" t="n">
        <x:f>IF(AND('01_Run_Config'!$B$26="Hesilicio statt Balance",A78&gt;='01_Run_Config'!$B$32+3,MOD(A78-('01_Run_Config'!$B$32+3),7)=0,A78&lt;='01_Run_Config'!$B$33+35),0.5,0)</x:f>
        <x:v>0</x:v>
      </x:c>
      <x:c r="AA78" s="63" t="n">
        <x:f>IF(AND(A78&gt;='01_Run_Config'!$B$33,A78&lt;='01_Run_Config'!$B$33+35,MOD(A78-'01_Run_Config'!$B$33,7)=0),2,0)</x:f>
        <x:v>0</x:v>
      </x:c>
      <x:c r="AB78" s="63" t="n">
        <x:f>IF(A78='01_Run_Config'!$B$33+21,0.25,IF(A78='01_Run_Config'!$B$33+28,0.35,IF(A78='01_Run_Config'!$B$33+35,0.5,0)))</x:f>
        <x:v>0</x:v>
      </x:c>
      <x:c r="AC78" s="63" t="n">
        <x:f>IF(OR(A78='01_Run_Config'!$B$32,A78='01_Run_Config'!$B$32+7,A78='01_Run_Config'!$B$33+1,A78='01_Run_Config'!$B$33+8),2,0)</x:f>
        <x:v>0</x:v>
      </x:c>
      <x:c r="AD78" s="63" t="str">
        <x:f>IF(A78&lt;'01_Run_Config'!$B$33,"AN-Reference=0 außer Voodoo-Frischgaben",IF(AL78&lt;=7,"A/B: Bud Ignitor oder Mikrobenmodul; nicht Reference",IF(AL78&lt;=35,"A/B: Big Bud STATT HESI-PK; nicht additiv stapeln",IF(AL78&lt;=49,"A/B: Overdrive STATT spätem HESI-PK","AN-Booster auslaufen"))))</x:f>
        <x:v>A/B: Overdrive STATT spätem HESI-PK</x:v>
      </x:c>
      <x:c r="AE78" s="63" t="str">
        <x:v>Keine Eingriffe</x:v>
      </x:c>
      <x:c r="AF78" s="63" t="str">
        <x:v>Morgens Klima/Pflanze/Bewässerung/Leck; Mitte Lichtphase Blattwinkel; vor Dunkel LF/Drain/stehendes Wasser.</x:v>
      </x:c>
      <x:c r="AG78" s="63" t="str">
        <x:v>EC nicht erhöhen bei steigender Diagnose-Drain-EC; PPFD nicht erhöhen bei Stress; Wasserband nie erzwingen; nie mehrere neue Booster gleichzeitig.</x:v>
      </x:c>
      <x:c r="AH78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7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8" s="201" t="str">
        <x:f>IF(A78&lt;'01_Run_Config'!$B$32,"—",IF(A78&lt;'01_Run_Config'!$B$33,"G"&amp;MIN(4,INT((A78-'01_Run_Config'!$B$32)/7)+1),AM78))</x:f>
        <x:v>B7</x:v>
      </x:c>
      <x:c r="AK78" s="35" t="str">
        <x:f>IF(A78&lt;'01_Run_Config'!$B$32,"Keine AN-Additive.",IF(A78&lt;'01_Run_Config'!$B$33,"Veg: Voodoo nur definierte Frischgaben; B-52/Piranha/Tarantula nur A/B; Sensizym nur statt PowerZyme; Rhino Skin AUS mit Athena Balance.",IF(AL78&lt;=7,"Frühblüte: Voodoo; Bud Ignitor/Piranha/Tarantula nur A/B; Rhino Skin AUS mit Balance.",IF(AL78&lt;=35,"Hauptblüte: Big Bud nur A/B STATT HESI-PK; Biostims einzeln testen.",IF(AL78&lt;=49,"Spätblüte: Overdrive nur A/B STATT spätem HESI-PK; keine neue zweite Variable.","Booster auslaufen / Reife priorisieren.")))))</x:f>
        <x:v>Spätblüte: Overdrive nur A/B STATT spätem HESI-PK; keine neue zweite Variable.</x:v>
      </x:c>
      <x:c r="AL78" s="60" t="n">
        <x:f>IF(A78&lt;'01_Run_Config'!$B$33,"",A78-'01_Run_Config'!$B$33+1)</x:f>
        <x:v>49</x:v>
      </x:c>
      <x:c r="AM78" s="60" t="str">
        <x:f>IF(AL78="","",IF(AL78&gt;49,CHAR(66)&amp;"7+",CHAR(66)&amp;TEXT(INT((AL78-1)/7)+1,"0")))</x:f>
        <x:v>B7</x:v>
      </x:c>
      <x:c r="AN78" s="60" t="n">
        <x:f>ROUND(0.6108*EXP(17.27*L78/(L78+237.3))*(1-N78/100),2)</x:f>
        <x:v>1.63</x:v>
      </x:c>
      <x:c r="AO78" s="60" t="n">
        <x:f>H78*G78/1000</x:f>
        <x:v>1.89</x:v>
      </x:c>
      <x:c r="AP78" s="60" t="n">
        <x:f>SUM($AO$2:AO78)</x:f>
        <x:v>143.63999999999987</x:v>
      </x:c>
      <x:c r="AQ78" t="n">
        <x:f>'01_Run_Config'!$B$17</x:f>
        <x:v>0</x:v>
      </x:c>
      <x:c r="AR78" t="n">
        <x:f>'01_Run_Config'!$B$22</x:f>
        <x:v>0</x:v>
      </x:c>
      <x:c r="AS78" t="n">
        <x:f>'01_Run_Config'!$B$25</x:f>
        <x:v>0</x:v>
      </x:c>
    </x:row>
    <x:row r="79">
      <x:c r="A79" s="34" t="n">
        <x:v>77</x:v>
      </x:c>
      <x:c r="B79" s="129" t="n">
        <x:f>'01_Run_Config'!$B$4+A79</x:f>
        <x:v>46319</x:v>
      </x:c>
      <x:c r="C79" s="63" t="n">
        <x:f>INT(A79/7)+1</x:f>
        <x:v>12</x:v>
      </x:c>
      <x:c r="D79" s="63" t="str">
        <x:f>"M"&amp;MIN(3,INT(A79/30)+1)</x:f>
        <x:v>M3</x:v>
      </x:c>
      <x:c r="E79" s="63" t="str">
        <x:f>IF(A79&lt;4,"Keimung",IF(A79&lt;8,"Etablierung",IF(A79&lt;15,"Early Veg",IF(A79&lt;'01_Run_Config'!$B$33,IF(A79&lt;22,"Veg / LST","Preflower-Watch"),IF(A79-'01_Run_Config'!$B$33&lt;=6,"Transition / Stretch ("&amp;AM79&amp;")",IF(A79-'01_Run_Config'!$B$33&lt;=13,"Early Flower ("&amp;AM79&amp;")",IF(A79-'01_Run_Config'!$B$33&lt;=20,"Flower I ("&amp;AM79&amp;")",IF(A79-'01_Run_Config'!$B$33&lt;=34,"Peak Flower ("&amp;AM79&amp;")",IF(A79-'01_Run_Config'!$B$33&lt;=41,"Late Flower ("&amp;AM79&amp;")",IF(A79-'01_Run_Config'!$B$33&lt;=48,"Ripening ("&amp;AM79&amp;")","Harvest / Extension ("&amp;AM79&amp;")"))))))))))</x:f>
        <x:v>Harvest / Extension (B7+)</x:v>
      </x:c>
      <x:c r="F79" s="63" t="str">
        <x:f>IF(A79&lt;4,"Keimung + Wurzelstart",IF(A79&lt;8,"Sämling etablieren; Wurzelraum erschließen",IF(A79&lt;15,"kompakter Aufbau; LST erst bei Vitalität",IF(A79&lt;'01_Run_Config'!$B$33,"Canopy aufbauen; Preflower beobachten",IF(A79-'01_Run_Config'!$B$33&lt;=6,"Stretch kontrollieren; Bloom-Trigger dokumentieren",IF(A79-'01_Run_Config'!$B$33&lt;=13,"Blütenansatz stabilisieren",IF(A79-'01_Run_Config'!$B$33&lt;=20,"Blütenaufbau ohne neue Stressoren",IF(A79-'01_Run_Config'!$B$33&lt;=34,"stabile Peak-Photosynthese; Klima priorisieren",IF(A79-'01_Run_Config'!$B$33&lt;=41,"Qualität/Schimmelprävention",IF(A79-'01_Run_Config'!$B$33&lt;=48,"Reife ohne Überfütterung","Erntefenster nach Pflanze; keine Kalenderernte"))))))))))</x:f>
        <x:v>Erntefenster nach Pflanze; keine Kalenderernte</x:v>
      </x:c>
      <x:c r="G79" s="63" t="n">
        <x:v>18</x:v>
      </x:c>
      <x:c r="H79" s="63" t="n">
        <x:v>90</x:v>
      </x:c>
      <x:c r="I79" s="63" t="n">
        <x:v>450</x:v>
      </x:c>
      <x:c r="J79" s="63" t="n">
        <x:f>I79*G79*3600/1000000</x:f>
        <x:v>29.16</x:v>
      </x:c>
      <x:c r="K79" s="63" t="n">
        <x:v>42</x:v>
      </x:c>
      <x:c r="L79" s="63" t="n">
        <x:v>22.5</x:v>
      </x:c>
      <x:c r="M79" s="63" t="n">
        <x:v>20</x:v>
      </x:c>
      <x:c r="N79" s="63" t="n">
        <x:v>42</x:v>
      </x:c>
      <x:c r="O79" s="63" t="n">
        <x:f>ROUND(0.6108*EXP(17.27*(L79+'01_Run_Config'!$B$34)/(L79+'01_Run_Config'!$B$34+237.3))-(N79/100)*0.6108*EXP(17.27*L79/(L79+237.3)),2)</x:f>
        <x:v>1.42</x:v>
      </x:c>
      <x:c r="P79" s="63" t="n">
        <x:f>IF(A79&lt;'01_Run_Config'!$B$32,0.55,IF(A79&lt;'01_Run_Config'!$B$33,IF(A79-'01_Run_Config'!$B$32&lt;=3,0.8,IF(A79-'01_Run_Config'!$B$32&lt;=10,1,IF(A79-'01_Run_Config'!$B$32&lt;=17,1.2,1.4))),IF(A79-'01_Run_Config'!$B$33&lt;=6,1.5,IF(A79-'01_Run_Config'!$B$33&lt;=13,1.6,IF(A79-'01_Run_Config'!$B$33&lt;=20,1.7,IF(A79-'01_Run_Config'!$B$33&lt;=34,1.8,IF(A79-'01_Run_Config'!$B$33&lt;=41,1.6,IF(A79-'01_Run_Config'!$B$33&lt;=48,1.4,1.15))))))))</x:f>
        <x:v>1.15</x:v>
      </x:c>
      <x:c r="Q79" s="63" t="n">
        <x:v>5.9</x:v>
      </x:c>
      <x:c r="R79" s="63" t="n">
        <x:v>0.3</x:v>
      </x:c>
      <x:c r="S79" s="63" t="n">
        <x:v>0.7</x:v>
      </x:c>
      <x:c r="T79" s="63" t="str">
        <x:f>IF(A79&lt;=7,"Manuell",'01_Run_Config'!$B$40)</x:f>
        <x:v>Manuell / indoor-freigegebene Automation</x:v>
      </x:c>
      <x:c r="U79" s="63" t="str">
        <x:f>IF(A79&lt;'01_Run_Config'!$B$32,"Kein Basisdünger",IF(A79&lt;'01_Run_Config'!$B$33,"HESI TNT","HESI Coco"))</x:f>
        <x:v>HESI Coco</x:v>
      </x:c>
      <x:c r="V79" s="63" t="n">
        <x:f>IF(A79&lt;'01_Run_Config'!$B$32,0,IF(A79&lt;'01_Run_Config'!$B$33,IF(A79-'01_Run_Config'!$B$32&lt;=3,1.25,IF(A79-'01_Run_Config'!$B$32&lt;=10,2,2.5)),IF(A79-'01_Run_Config'!$B$33&lt;=6,2.5,IF(A79-'01_Run_Config'!$B$33&lt;=13,3.25,IF(A79-'01_Run_Config'!$B$33&lt;=20,3.75,IF(A79-'01_Run_Config'!$B$33&lt;=34,4,IF(A79-'01_Run_Config'!$B$33&lt;=41,3.5,IF(A79-'01_Run_Config'!$B$33&lt;=48,2.5,1.5))))))))</x:f>
        <x:v>1.5</x:v>
      </x:c>
      <x:c r="W79" s="63" t="n">
        <x:f>IF(OR(A79='01_Run_Config'!$B$32,A79='01_Run_Config'!$B$32+6,A79='01_Run_Config'!$B$32+12),2.5,0)</x:f>
        <x:v>0</x:v>
      </x:c>
      <x:c r="X79" s="63" t="n">
        <x:f>IF(AND(A79&gt;='01_Run_Config'!$B$32+3,A79&lt;='01_Run_Config'!$B$33+35,MOD(A79-('01_Run_Config'!$B$32+3),7)=0),2,0)</x:f>
        <x:v>0</x:v>
      </x:c>
      <x:c r="Y79" s="63" t="n">
        <x:f>IF(A79&gt;='01_Run_Config'!$B$32,0.015,0)</x:f>
        <x:v>0.015</x:v>
      </x:c>
      <x:c r="Z79" s="63" t="n">
        <x:f>IF(AND('01_Run_Config'!$B$26="Hesilicio statt Balance",A79&gt;='01_Run_Config'!$B$32+3,MOD(A79-('01_Run_Config'!$B$32+3),7)=0,A79&lt;='01_Run_Config'!$B$33+35),0.5,0)</x:f>
        <x:v>0</x:v>
      </x:c>
      <x:c r="AA79" s="63" t="n">
        <x:f>IF(AND(A79&gt;='01_Run_Config'!$B$33,A79&lt;='01_Run_Config'!$B$33+35,MOD(A79-'01_Run_Config'!$B$33,7)=0),2,0)</x:f>
        <x:v>0</x:v>
      </x:c>
      <x:c r="AB79" s="63" t="n">
        <x:f>IF(A79='01_Run_Config'!$B$33+21,0.25,IF(A79='01_Run_Config'!$B$33+28,0.35,IF(A79='01_Run_Config'!$B$33+35,0.5,0)))</x:f>
        <x:v>0</x:v>
      </x:c>
      <x:c r="AC79" s="63" t="n">
        <x:f>IF(OR(A79='01_Run_Config'!$B$32,A79='01_Run_Config'!$B$32+7,A79='01_Run_Config'!$B$33+1,A79='01_Run_Config'!$B$33+8),2,0)</x:f>
        <x:v>0</x:v>
      </x:c>
      <x:c r="AD79" s="63" t="str">
        <x:f>IF(A79&lt;'01_Run_Config'!$B$33,"AN-Reference=0 außer Voodoo-Frischgaben",IF(AL79&lt;=7,"A/B: Bud Ignitor oder Mikrobenmodul; nicht Reference",IF(AL79&lt;=35,"A/B: Big Bud STATT HESI-PK; nicht additiv stapeln",IF(AL79&lt;=49,"A/B: Overdrive STATT spätem HESI-PK","AN-Booster auslaufen"))))</x:f>
        <x:v>AN-Booster auslaufen</x:v>
      </x:c>
      <x:c r="AE79" s="63" t="str">
        <x:v>Keine Eingriffe</x:v>
      </x:c>
      <x:c r="AF7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9" s="63" t="str">
        <x:v>EC nicht erhöhen bei steigender Diagnose-Drain-EC; PPFD nicht erhöhen bei Stress; Wasserband nie erzwingen; nie mehrere neue Booster gleichzeitig.</x:v>
      </x:c>
      <x:c r="AH79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7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9" s="201" t="str">
        <x:f>IF(A79&lt;'01_Run_Config'!$B$32,"—",IF(A79&lt;'01_Run_Config'!$B$33,"G"&amp;MIN(4,INT((A79-'01_Run_Config'!$B$32)/7)+1),AM79))</x:f>
        <x:v>B7+</x:v>
      </x:c>
      <x:c r="AK79" s="35" t="str">
        <x:f>IF(A79&lt;'01_Run_Config'!$B$32,"Keine AN-Additive.",IF(A79&lt;'01_Run_Config'!$B$33,"Veg: Voodoo nur definierte Frischgaben; B-52/Piranha/Tarantula nur A/B; Sensizym nur statt PowerZyme; Rhino Skin AUS mit Athena Balance.",IF(AL79&lt;=7,"Frühblüte: Voodoo; Bud Ignitor/Piranha/Tarantula nur A/B; Rhino Skin AUS mit Balance.",IF(AL79&lt;=35,"Hauptblüte: Big Bud nur A/B STATT HESI-PK; Biostims einzeln testen.",IF(AL79&lt;=49,"Spätblüte: Overdrive nur A/B STATT spätem HESI-PK; keine neue zweite Variable.","Booster auslaufen / Reife priorisieren.")))))</x:f>
        <x:v>Booster auslaufen / Reife priorisieren.</x:v>
      </x:c>
      <x:c r="AL79" s="60" t="n">
        <x:f>IF(A79&lt;'01_Run_Config'!$B$33,"",A79-'01_Run_Config'!$B$33+1)</x:f>
        <x:v>50</x:v>
      </x:c>
      <x:c r="AM79" s="60" t="str">
        <x:f>IF(AL79="","",IF(AL79&gt;49,CHAR(66)&amp;"7+",CHAR(66)&amp;TEXT(INT((AL79-1)/7)+1,"0")))</x:f>
        <x:v>B7+</x:v>
      </x:c>
      <x:c r="AN79" s="60" t="n">
        <x:f>ROUND(0.6108*EXP(17.27*L79/(L79+237.3))*(1-N79/100),2)</x:f>
        <x:v>1.58</x:v>
      </x:c>
      <x:c r="AO79" s="60" t="n">
        <x:f>H79*G79/1000</x:f>
        <x:v>1.62</x:v>
      </x:c>
      <x:c r="AP79" s="60" t="n">
        <x:f>SUM($AO$2:AO79)</x:f>
        <x:v>145.25999999999988</x:v>
      </x:c>
      <x:c r="AQ79" t="n">
        <x:f>'01_Run_Config'!$B$17</x:f>
        <x:v>0</x:v>
      </x:c>
      <x:c r="AR79" t="n">
        <x:f>'01_Run_Config'!$B$22</x:f>
        <x:v>0</x:v>
      </x:c>
      <x:c r="AS79" t="n">
        <x:f>'01_Run_Config'!$B$25</x:f>
        <x:v>0</x:v>
      </x:c>
    </x:row>
    <x:row r="80">
      <x:c r="A80" s="34" t="n">
        <x:v>78</x:v>
      </x:c>
      <x:c r="B80" s="129" t="n">
        <x:f>'01_Run_Config'!$B$4+A80</x:f>
        <x:v>46320</x:v>
      </x:c>
      <x:c r="C80" s="63" t="n">
        <x:f>INT(A80/7)+1</x:f>
        <x:v>12</x:v>
      </x:c>
      <x:c r="D80" s="63" t="str">
        <x:f>"M"&amp;MIN(3,INT(A80/30)+1)</x:f>
        <x:v>M3</x:v>
      </x:c>
      <x:c r="E80" s="63" t="str">
        <x:f>IF(A80&lt;4,"Keimung",IF(A80&lt;8,"Etablierung",IF(A80&lt;15,"Early Veg",IF(A80&lt;'01_Run_Config'!$B$33,IF(A80&lt;22,"Veg / LST","Preflower-Watch"),IF(A80-'01_Run_Config'!$B$33&lt;=6,"Transition / Stretch ("&amp;AM80&amp;")",IF(A80-'01_Run_Config'!$B$33&lt;=13,"Early Flower ("&amp;AM80&amp;")",IF(A80-'01_Run_Config'!$B$33&lt;=20,"Flower I ("&amp;AM80&amp;")",IF(A80-'01_Run_Config'!$B$33&lt;=34,"Peak Flower ("&amp;AM80&amp;")",IF(A80-'01_Run_Config'!$B$33&lt;=41,"Late Flower ("&amp;AM80&amp;")",IF(A80-'01_Run_Config'!$B$33&lt;=48,"Ripening ("&amp;AM80&amp;")","Harvest / Extension ("&amp;AM80&amp;")"))))))))))</x:f>
        <x:v>Harvest / Extension (B7+)</x:v>
      </x:c>
      <x:c r="F80" s="63" t="str">
        <x:f>IF(A80&lt;4,"Keimung + Wurzelstart",IF(A80&lt;8,"Sämling etablieren; Wurzelraum erschließen",IF(A80&lt;15,"kompakter Aufbau; LST erst bei Vitalität",IF(A80&lt;'01_Run_Config'!$B$33,"Canopy aufbauen; Preflower beobachten",IF(A80-'01_Run_Config'!$B$33&lt;=6,"Stretch kontrollieren; Bloom-Trigger dokumentieren",IF(A80-'01_Run_Config'!$B$33&lt;=13,"Blütenansatz stabilisieren",IF(A80-'01_Run_Config'!$B$33&lt;=20,"Blütenaufbau ohne neue Stressoren",IF(A80-'01_Run_Config'!$B$33&lt;=34,"stabile Peak-Photosynthese; Klima priorisieren",IF(A80-'01_Run_Config'!$B$33&lt;=41,"Qualität/Schimmelprävention",IF(A80-'01_Run_Config'!$B$33&lt;=48,"Reife ohne Überfütterung","Erntefenster nach Pflanze; keine Kalenderernte"))))))))))</x:f>
        <x:v>Erntefenster nach Pflanze; keine Kalenderernte</x:v>
      </x:c>
      <x:c r="G80" s="63" t="n">
        <x:v>18</x:v>
      </x:c>
      <x:c r="H80" s="63" t="n">
        <x:v>90</x:v>
      </x:c>
      <x:c r="I80" s="63" t="n">
        <x:v>450</x:v>
      </x:c>
      <x:c r="J80" s="63" t="n">
        <x:f>I80*G80*3600/1000000</x:f>
        <x:v>29.16</x:v>
      </x:c>
      <x:c r="K80" s="63" t="n">
        <x:v>42</x:v>
      </x:c>
      <x:c r="L80" s="63" t="n">
        <x:v>22.5</x:v>
      </x:c>
      <x:c r="M80" s="63" t="n">
        <x:v>20</x:v>
      </x:c>
      <x:c r="N80" s="63" t="n">
        <x:v>42</x:v>
      </x:c>
      <x:c r="O80" s="63" t="n">
        <x:f>ROUND(0.6108*EXP(17.27*(L80+'01_Run_Config'!$B$34)/(L80+'01_Run_Config'!$B$34+237.3))-(N80/100)*0.6108*EXP(17.27*L80/(L80+237.3)),2)</x:f>
        <x:v>1.42</x:v>
      </x:c>
      <x:c r="P80" s="63" t="n">
        <x:f>IF(A80&lt;'01_Run_Config'!$B$32,0.55,IF(A80&lt;'01_Run_Config'!$B$33,IF(A80-'01_Run_Config'!$B$32&lt;=3,0.8,IF(A80-'01_Run_Config'!$B$32&lt;=10,1,IF(A80-'01_Run_Config'!$B$32&lt;=17,1.2,1.4))),IF(A80-'01_Run_Config'!$B$33&lt;=6,1.5,IF(A80-'01_Run_Config'!$B$33&lt;=13,1.6,IF(A80-'01_Run_Config'!$B$33&lt;=20,1.7,IF(A80-'01_Run_Config'!$B$33&lt;=34,1.8,IF(A80-'01_Run_Config'!$B$33&lt;=41,1.6,IF(A80-'01_Run_Config'!$B$33&lt;=48,1.4,1.15))))))))</x:f>
        <x:v>1.15</x:v>
      </x:c>
      <x:c r="Q80" s="63" t="n">
        <x:v>5.9</x:v>
      </x:c>
      <x:c r="R80" s="63" t="n">
        <x:v>0.3</x:v>
      </x:c>
      <x:c r="S80" s="63" t="n">
        <x:v>0.7</x:v>
      </x:c>
      <x:c r="T80" s="63" t="str">
        <x:f>IF(A80&lt;=7,"Manuell",'01_Run_Config'!$B$40)</x:f>
        <x:v>Manuell / indoor-freigegebene Automation</x:v>
      </x:c>
      <x:c r="U80" s="63" t="str">
        <x:f>IF(A80&lt;'01_Run_Config'!$B$32,"Kein Basisdünger",IF(A80&lt;'01_Run_Config'!$B$33,"HESI TNT","HESI Coco"))</x:f>
        <x:v>HESI Coco</x:v>
      </x:c>
      <x:c r="V80" s="63" t="n">
        <x:f>IF(A80&lt;'01_Run_Config'!$B$32,0,IF(A80&lt;'01_Run_Config'!$B$33,IF(A80-'01_Run_Config'!$B$32&lt;=3,1.25,IF(A80-'01_Run_Config'!$B$32&lt;=10,2,2.5)),IF(A80-'01_Run_Config'!$B$33&lt;=6,2.5,IF(A80-'01_Run_Config'!$B$33&lt;=13,3.25,IF(A80-'01_Run_Config'!$B$33&lt;=20,3.75,IF(A80-'01_Run_Config'!$B$33&lt;=34,4,IF(A80-'01_Run_Config'!$B$33&lt;=41,3.5,IF(A80-'01_Run_Config'!$B$33&lt;=48,2.5,1.5))))))))</x:f>
        <x:v>1.5</x:v>
      </x:c>
      <x:c r="W80" s="63" t="n">
        <x:f>IF(OR(A80='01_Run_Config'!$B$32,A80='01_Run_Config'!$B$32+6,A80='01_Run_Config'!$B$32+12),2.5,0)</x:f>
        <x:v>0</x:v>
      </x:c>
      <x:c r="X80" s="63" t="n">
        <x:f>IF(AND(A80&gt;='01_Run_Config'!$B$32+3,A80&lt;='01_Run_Config'!$B$33+35,MOD(A80-('01_Run_Config'!$B$32+3),7)=0),2,0)</x:f>
        <x:v>0</x:v>
      </x:c>
      <x:c r="Y80" s="63" t="n">
        <x:f>IF(A80&gt;='01_Run_Config'!$B$32,0.015,0)</x:f>
        <x:v>0.015</x:v>
      </x:c>
      <x:c r="Z80" s="63" t="n">
        <x:f>IF(AND('01_Run_Config'!$B$26="Hesilicio statt Balance",A80&gt;='01_Run_Config'!$B$32+3,MOD(A80-('01_Run_Config'!$B$32+3),7)=0,A80&lt;='01_Run_Config'!$B$33+35),0.5,0)</x:f>
        <x:v>0</x:v>
      </x:c>
      <x:c r="AA80" s="63" t="n">
        <x:f>IF(AND(A80&gt;='01_Run_Config'!$B$33,A80&lt;='01_Run_Config'!$B$33+35,MOD(A80-'01_Run_Config'!$B$33,7)=0),2,0)</x:f>
        <x:v>0</x:v>
      </x:c>
      <x:c r="AB80" s="63" t="n">
        <x:f>IF(A80='01_Run_Config'!$B$33+21,0.25,IF(A80='01_Run_Config'!$B$33+28,0.35,IF(A80='01_Run_Config'!$B$33+35,0.5,0)))</x:f>
        <x:v>0</x:v>
      </x:c>
      <x:c r="AC80" s="63" t="n">
        <x:f>IF(OR(A80='01_Run_Config'!$B$32,A80='01_Run_Config'!$B$32+7,A80='01_Run_Config'!$B$33+1,A80='01_Run_Config'!$B$33+8),2,0)</x:f>
        <x:v>0</x:v>
      </x:c>
      <x:c r="AD80" s="63" t="str">
        <x:f>IF(A80&lt;'01_Run_Config'!$B$33,"AN-Reference=0 außer Voodoo-Frischgaben",IF(AL80&lt;=7,"A/B: Bud Ignitor oder Mikrobenmodul; nicht Reference",IF(AL80&lt;=35,"A/B: Big Bud STATT HESI-PK; nicht additiv stapeln",IF(AL80&lt;=49,"A/B: Overdrive STATT spätem HESI-PK","AN-Booster auslaufen"))))</x:f>
        <x:v>AN-Booster auslaufen</x:v>
      </x:c>
      <x:c r="AE80" s="63" t="str">
        <x:v>Keine Eingriffe</x:v>
      </x:c>
      <x:c r="AF80" s="63" t="str">
        <x:v>Morgens Klima/Pflanze/Bewässerung/Leck; Mitte Lichtphase Blattwinkel; vor Dunkel LF/Drain/stehendes Wasser.</x:v>
      </x:c>
      <x:c r="AG80" s="63" t="str">
        <x:v>EC nicht erhöhen bei steigender Diagnose-Drain-EC; PPFD nicht erhöhen bei Stress; Wasserband nie erzwingen; nie mehrere neue Booster gleichzeitig.</x:v>
      </x:c>
      <x:c r="AH80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8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0" s="201" t="str">
        <x:f>IF(A80&lt;'01_Run_Config'!$B$32,"—",IF(A80&lt;'01_Run_Config'!$B$33,"G"&amp;MIN(4,INT((A80-'01_Run_Config'!$B$32)/7)+1),AM80))</x:f>
        <x:v>B7+</x:v>
      </x:c>
      <x:c r="AK80" s="35" t="str">
        <x:f>IF(A80&lt;'01_Run_Config'!$B$32,"Keine AN-Additive.",IF(A80&lt;'01_Run_Config'!$B$33,"Veg: Voodoo nur definierte Frischgaben; B-52/Piranha/Tarantula nur A/B; Sensizym nur statt PowerZyme; Rhino Skin AUS mit Athena Balance.",IF(AL80&lt;=7,"Frühblüte: Voodoo; Bud Ignitor/Piranha/Tarantula nur A/B; Rhino Skin AUS mit Balance.",IF(AL80&lt;=35,"Hauptblüte: Big Bud nur A/B STATT HESI-PK; Biostims einzeln testen.",IF(AL80&lt;=49,"Spätblüte: Overdrive nur A/B STATT spätem HESI-PK; keine neue zweite Variable.","Booster auslaufen / Reife priorisieren.")))))</x:f>
        <x:v>Booster auslaufen / Reife priorisieren.</x:v>
      </x:c>
      <x:c r="AL80" s="60" t="n">
        <x:f>IF(A80&lt;'01_Run_Config'!$B$33,"",A80-'01_Run_Config'!$B$33+1)</x:f>
        <x:v>51</x:v>
      </x:c>
      <x:c r="AM80" s="60" t="str">
        <x:f>IF(AL80="","",IF(AL80&gt;49,CHAR(66)&amp;"7+",CHAR(66)&amp;TEXT(INT((AL80-1)/7)+1,"0")))</x:f>
        <x:v>B7+</x:v>
      </x:c>
      <x:c r="AN80" s="60" t="n">
        <x:f>ROUND(0.6108*EXP(17.27*L80/(L80+237.3))*(1-N80/100),2)</x:f>
        <x:v>1.58</x:v>
      </x:c>
      <x:c r="AO80" s="60" t="n">
        <x:f>H80*G80/1000</x:f>
        <x:v>1.62</x:v>
      </x:c>
      <x:c r="AP80" s="60" t="n">
        <x:f>SUM($AO$2:AO80)</x:f>
        <x:v>146.87999999999988</x:v>
      </x:c>
      <x:c r="AQ80" t="n">
        <x:f>'01_Run_Config'!$B$17</x:f>
        <x:v>0</x:v>
      </x:c>
      <x:c r="AR80" t="n">
        <x:f>'01_Run_Config'!$B$22</x:f>
        <x:v>0</x:v>
      </x:c>
      <x:c r="AS80" t="n">
        <x:f>'01_Run_Config'!$B$25</x:f>
        <x:v>0</x:v>
      </x:c>
    </x:row>
    <x:row r="81">
      <x:c r="A81" s="34" t="n">
        <x:v>79</x:v>
      </x:c>
      <x:c r="B81" s="129" t="n">
        <x:f>'01_Run_Config'!$B$4+A81</x:f>
        <x:v>46321</x:v>
      </x:c>
      <x:c r="C81" s="63" t="n">
        <x:f>INT(A81/7)+1</x:f>
        <x:v>12</x:v>
      </x:c>
      <x:c r="D81" s="63" t="str">
        <x:f>"M"&amp;MIN(3,INT(A81/30)+1)</x:f>
        <x:v>M3</x:v>
      </x:c>
      <x:c r="E81" s="63" t="str">
        <x:f>IF(A81&lt;4,"Keimung",IF(A81&lt;8,"Etablierung",IF(A81&lt;15,"Early Veg",IF(A81&lt;'01_Run_Config'!$B$33,IF(A81&lt;22,"Veg / LST","Preflower-Watch"),IF(A81-'01_Run_Config'!$B$33&lt;=6,"Transition / Stretch ("&amp;AM81&amp;")",IF(A81-'01_Run_Config'!$B$33&lt;=13,"Early Flower ("&amp;AM81&amp;")",IF(A81-'01_Run_Config'!$B$33&lt;=20,"Flower I ("&amp;AM81&amp;")",IF(A81-'01_Run_Config'!$B$33&lt;=34,"Peak Flower ("&amp;AM81&amp;")",IF(A81-'01_Run_Config'!$B$33&lt;=41,"Late Flower ("&amp;AM81&amp;")",IF(A81-'01_Run_Config'!$B$33&lt;=48,"Ripening ("&amp;AM81&amp;")","Harvest / Extension ("&amp;AM81&amp;")"))))))))))</x:f>
        <x:v>Harvest / Extension (B7+)</x:v>
      </x:c>
      <x:c r="F81" s="63" t="str">
        <x:f>IF(A81&lt;4,"Keimung + Wurzelstart",IF(A81&lt;8,"Sämling etablieren; Wurzelraum erschließen",IF(A81&lt;15,"kompakter Aufbau; LST erst bei Vitalität",IF(A81&lt;'01_Run_Config'!$B$33,"Canopy aufbauen; Preflower beobachten",IF(A81-'01_Run_Config'!$B$33&lt;=6,"Stretch kontrollieren; Bloom-Trigger dokumentieren",IF(A81-'01_Run_Config'!$B$33&lt;=13,"Blütenansatz stabilisieren",IF(A81-'01_Run_Config'!$B$33&lt;=20,"Blütenaufbau ohne neue Stressoren",IF(A81-'01_Run_Config'!$B$33&lt;=34,"stabile Peak-Photosynthese; Klima priorisieren",IF(A81-'01_Run_Config'!$B$33&lt;=41,"Qualität/Schimmelprävention",IF(A81-'01_Run_Config'!$B$33&lt;=48,"Reife ohne Überfütterung","Erntefenster nach Pflanze; keine Kalenderernte"))))))))))</x:f>
        <x:v>Erntefenster nach Pflanze; keine Kalenderernte</x:v>
      </x:c>
      <x:c r="G81" s="63" t="n">
        <x:v>18</x:v>
      </x:c>
      <x:c r="H81" s="63" t="n">
        <x:v>90</x:v>
      </x:c>
      <x:c r="I81" s="63" t="n">
        <x:v>450</x:v>
      </x:c>
      <x:c r="J81" s="63" t="n">
        <x:f>I81*G81*3600/1000000</x:f>
        <x:v>29.16</x:v>
      </x:c>
      <x:c r="K81" s="63" t="n">
        <x:v>42</x:v>
      </x:c>
      <x:c r="L81" s="63" t="n">
        <x:v>22.5</x:v>
      </x:c>
      <x:c r="M81" s="63" t="n">
        <x:v>20</x:v>
      </x:c>
      <x:c r="N81" s="63" t="n">
        <x:v>42</x:v>
      </x:c>
      <x:c r="O81" s="63" t="n">
        <x:f>ROUND(0.6108*EXP(17.27*(L81+'01_Run_Config'!$B$34)/(L81+'01_Run_Config'!$B$34+237.3))-(N81/100)*0.6108*EXP(17.27*L81/(L81+237.3)),2)</x:f>
        <x:v>1.42</x:v>
      </x:c>
      <x:c r="P81" s="63" t="n">
        <x:f>IF(A81&lt;'01_Run_Config'!$B$32,0.55,IF(A81&lt;'01_Run_Config'!$B$33,IF(A81-'01_Run_Config'!$B$32&lt;=3,0.8,IF(A81-'01_Run_Config'!$B$32&lt;=10,1,IF(A81-'01_Run_Config'!$B$32&lt;=17,1.2,1.4))),IF(A81-'01_Run_Config'!$B$33&lt;=6,1.5,IF(A81-'01_Run_Config'!$B$33&lt;=13,1.6,IF(A81-'01_Run_Config'!$B$33&lt;=20,1.7,IF(A81-'01_Run_Config'!$B$33&lt;=34,1.8,IF(A81-'01_Run_Config'!$B$33&lt;=41,1.6,IF(A81-'01_Run_Config'!$B$33&lt;=48,1.4,1.15))))))))</x:f>
        <x:v>1.15</x:v>
      </x:c>
      <x:c r="Q81" s="63" t="n">
        <x:v>5.9</x:v>
      </x:c>
      <x:c r="R81" s="63" t="n">
        <x:v>0.3</x:v>
      </x:c>
      <x:c r="S81" s="63" t="n">
        <x:v>0.7</x:v>
      </x:c>
      <x:c r="T81" s="63" t="str">
        <x:f>IF(A81&lt;=7,"Manuell",'01_Run_Config'!$B$40)</x:f>
        <x:v>Manuell / indoor-freigegebene Automation</x:v>
      </x:c>
      <x:c r="U81" s="63" t="str">
        <x:f>IF(A81&lt;'01_Run_Config'!$B$32,"Kein Basisdünger",IF(A81&lt;'01_Run_Config'!$B$33,"HESI TNT","HESI Coco"))</x:f>
        <x:v>HESI Coco</x:v>
      </x:c>
      <x:c r="V81" s="63" t="n">
        <x:f>IF(A81&lt;'01_Run_Config'!$B$32,0,IF(A81&lt;'01_Run_Config'!$B$33,IF(A81-'01_Run_Config'!$B$32&lt;=3,1.25,IF(A81-'01_Run_Config'!$B$32&lt;=10,2,2.5)),IF(A81-'01_Run_Config'!$B$33&lt;=6,2.5,IF(A81-'01_Run_Config'!$B$33&lt;=13,3.25,IF(A81-'01_Run_Config'!$B$33&lt;=20,3.75,IF(A81-'01_Run_Config'!$B$33&lt;=34,4,IF(A81-'01_Run_Config'!$B$33&lt;=41,3.5,IF(A81-'01_Run_Config'!$B$33&lt;=48,2.5,1.5))))))))</x:f>
        <x:v>1.5</x:v>
      </x:c>
      <x:c r="W81" s="63" t="n">
        <x:f>IF(OR(A81='01_Run_Config'!$B$32,A81='01_Run_Config'!$B$32+6,A81='01_Run_Config'!$B$32+12),2.5,0)</x:f>
        <x:v>0</x:v>
      </x:c>
      <x:c r="X81" s="63" t="n">
        <x:f>IF(AND(A81&gt;='01_Run_Config'!$B$32+3,A81&lt;='01_Run_Config'!$B$33+35,MOD(A81-('01_Run_Config'!$B$32+3),7)=0),2,0)</x:f>
        <x:v>0</x:v>
      </x:c>
      <x:c r="Y81" s="63" t="n">
        <x:f>IF(A81&gt;='01_Run_Config'!$B$32,0.015,0)</x:f>
        <x:v>0.015</x:v>
      </x:c>
      <x:c r="Z81" s="63" t="n">
        <x:f>IF(AND('01_Run_Config'!$B$26="Hesilicio statt Balance",A81&gt;='01_Run_Config'!$B$32+3,MOD(A81-('01_Run_Config'!$B$32+3),7)=0,A81&lt;='01_Run_Config'!$B$33+35),0.5,0)</x:f>
        <x:v>0</x:v>
      </x:c>
      <x:c r="AA81" s="63" t="n">
        <x:f>IF(AND(A81&gt;='01_Run_Config'!$B$33,A81&lt;='01_Run_Config'!$B$33+35,MOD(A81-'01_Run_Config'!$B$33,7)=0),2,0)</x:f>
        <x:v>0</x:v>
      </x:c>
      <x:c r="AB81" s="63" t="n">
        <x:f>IF(A81='01_Run_Config'!$B$33+21,0.25,IF(A81='01_Run_Config'!$B$33+28,0.35,IF(A81='01_Run_Config'!$B$33+35,0.5,0)))</x:f>
        <x:v>0</x:v>
      </x:c>
      <x:c r="AC81" s="63" t="n">
        <x:f>IF(OR(A81='01_Run_Config'!$B$32,A81='01_Run_Config'!$B$32+7,A81='01_Run_Config'!$B$33+1,A81='01_Run_Config'!$B$33+8),2,0)</x:f>
        <x:v>0</x:v>
      </x:c>
      <x:c r="AD81" s="63" t="str">
        <x:f>IF(A81&lt;'01_Run_Config'!$B$33,"AN-Reference=0 außer Voodoo-Frischgaben",IF(AL81&lt;=7,"A/B: Bud Ignitor oder Mikrobenmodul; nicht Reference",IF(AL81&lt;=35,"A/B: Big Bud STATT HESI-PK; nicht additiv stapeln",IF(AL81&lt;=49,"A/B: Overdrive STATT spätem HESI-PK","AN-Booster auslaufen"))))</x:f>
        <x:v>AN-Booster auslaufen</x:v>
      </x:c>
      <x:c r="AE81" s="63" t="str">
        <x:v>Keine Eingriffe</x:v>
      </x:c>
      <x:c r="AF81" s="63" t="str">
        <x:v>Morgens Klima/Pflanze/Bewässerung/Leck; Mitte Lichtphase Blattwinkel; vor Dunkel LF/Drain/stehendes Wasser.</x:v>
      </x:c>
      <x:c r="AG81" s="63" t="str">
        <x:v>EC nicht erhöhen bei steigender Diagnose-Drain-EC; PPFD nicht erhöhen bei Stress; Wasserband nie erzwingen; nie mehrere neue Booster gleichzeitig.</x:v>
      </x:c>
      <x:c r="AH81" s="35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8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1" s="201" t="str">
        <x:f>IF(A81&lt;'01_Run_Config'!$B$32,"—",IF(A81&lt;'01_Run_Config'!$B$33,"G"&amp;MIN(4,INT((A81-'01_Run_Config'!$B$32)/7)+1),AM81))</x:f>
        <x:v>B7+</x:v>
      </x:c>
      <x:c r="AK81" s="35" t="str">
        <x:f>IF(A81&lt;'01_Run_Config'!$B$32,"Keine AN-Additive.",IF(A81&lt;'01_Run_Config'!$B$33,"Veg: Voodoo nur definierte Frischgaben; B-52/Piranha/Tarantula nur A/B; Sensizym nur statt PowerZyme; Rhino Skin AUS mit Athena Balance.",IF(AL81&lt;=7,"Frühblüte: Voodoo; Bud Ignitor/Piranha/Tarantula nur A/B; Rhino Skin AUS mit Balance.",IF(AL81&lt;=35,"Hauptblüte: Big Bud nur A/B STATT HESI-PK; Biostims einzeln testen.",IF(AL81&lt;=49,"Spätblüte: Overdrive nur A/B STATT spätem HESI-PK; keine neue zweite Variable.","Booster auslaufen / Reife priorisieren.")))))</x:f>
        <x:v>Booster auslaufen / Reife priorisieren.</x:v>
      </x:c>
      <x:c r="AL81" s="60" t="n">
        <x:f>IF(A81&lt;'01_Run_Config'!$B$33,"",A81-'01_Run_Config'!$B$33+1)</x:f>
        <x:v>52</x:v>
      </x:c>
      <x:c r="AM81" s="60" t="str">
        <x:f>IF(AL81="","",IF(AL81&gt;49,CHAR(66)&amp;"7+",CHAR(66)&amp;TEXT(INT((AL81-1)/7)+1,"0")))</x:f>
        <x:v>B7+</x:v>
      </x:c>
      <x:c r="AN81" s="60" t="n">
        <x:f>ROUND(0.6108*EXP(17.27*L81/(L81+237.3))*(1-N81/100),2)</x:f>
        <x:v>1.58</x:v>
      </x:c>
      <x:c r="AO81" s="60" t="n">
        <x:f>H81*G81/1000</x:f>
        <x:v>1.62</x:v>
      </x:c>
      <x:c r="AP81" s="60" t="n">
        <x:f>SUM($AO$2:AO81)</x:f>
        <x:v>148.4999999999999</x:v>
      </x:c>
      <x:c r="AQ81" t="n">
        <x:f>'01_Run_Config'!$B$17</x:f>
        <x:v>0</x:v>
      </x:c>
      <x:c r="AR81" t="n">
        <x:f>'01_Run_Config'!$B$22</x:f>
        <x:v>0</x:v>
      </x:c>
      <x:c r="AS81" t="n">
        <x:f>'01_Run_Config'!$B$25</x:f>
        <x:v>0</x:v>
      </x:c>
    </x:row>
    <x:row r="82">
      <x:c r="A82" s="36" t="n">
        <x:v>80</x:v>
      </x:c>
      <x:c r="B82" s="130" t="n">
        <x:f>'01_Run_Config'!$B$4+A82</x:f>
        <x:v>46322</x:v>
      </x:c>
      <x:c r="C82" s="64" t="n">
        <x:f>INT(A82/7)+1</x:f>
        <x:v>12</x:v>
      </x:c>
      <x:c r="D82" s="64" t="str">
        <x:f>"M"&amp;MIN(3,INT(A82/30)+1)</x:f>
        <x:v>M3</x:v>
      </x:c>
      <x:c r="E82" s="64" t="str">
        <x:f>IF(A82&lt;4,"Keimung",IF(A82&lt;8,"Etablierung",IF(A82&lt;15,"Early Veg",IF(A82&lt;'01_Run_Config'!$B$33,IF(A82&lt;22,"Veg / LST","Preflower-Watch"),IF(A82-'01_Run_Config'!$B$33&lt;=6,"Transition / Stretch ("&amp;AM82&amp;")",IF(A82-'01_Run_Config'!$B$33&lt;=13,"Early Flower ("&amp;AM82&amp;")",IF(A82-'01_Run_Config'!$B$33&lt;=20,"Flower I ("&amp;AM82&amp;")",IF(A82-'01_Run_Config'!$B$33&lt;=34,"Peak Flower ("&amp;AM82&amp;")",IF(A82-'01_Run_Config'!$B$33&lt;=41,"Late Flower ("&amp;AM82&amp;")",IF(A82-'01_Run_Config'!$B$33&lt;=48,"Ripening ("&amp;AM82&amp;")","Harvest / Extension ("&amp;AM82&amp;")"))))))))))</x:f>
        <x:v>Harvest / Extension (B7+)</x:v>
      </x:c>
      <x:c r="F82" s="64" t="str">
        <x:f>IF(A82&lt;4,"Keimung + Wurzelstart",IF(A82&lt;8,"Sämling etablieren; Wurzelraum erschließen",IF(A82&lt;15,"kompakter Aufbau; LST erst bei Vitalität",IF(A82&lt;'01_Run_Config'!$B$33,"Canopy aufbauen; Preflower beobachten",IF(A82-'01_Run_Config'!$B$33&lt;=6,"Stretch kontrollieren; Bloom-Trigger dokumentieren",IF(A82-'01_Run_Config'!$B$33&lt;=13,"Blütenansatz stabilisieren",IF(A82-'01_Run_Config'!$B$33&lt;=20,"Blütenaufbau ohne neue Stressoren",IF(A82-'01_Run_Config'!$B$33&lt;=34,"stabile Peak-Photosynthese; Klima priorisieren",IF(A82-'01_Run_Config'!$B$33&lt;=41,"Qualität/Schimmelprävention",IF(A82-'01_Run_Config'!$B$33&lt;=48,"Reife ohne Überfütterung","Erntefenster nach Pflanze; keine Kalenderernte"))))))))))</x:f>
        <x:v>Erntefenster nach Pflanze; keine Kalenderernte</x:v>
      </x:c>
      <x:c r="G82" s="64" t="n">
        <x:v>18</x:v>
      </x:c>
      <x:c r="H82" s="64" t="n">
        <x:v>90</x:v>
      </x:c>
      <x:c r="I82" s="64" t="n">
        <x:v>450</x:v>
      </x:c>
      <x:c r="J82" s="64" t="n">
        <x:f>I82*G82*3600/1000000</x:f>
        <x:v>29.16</x:v>
      </x:c>
      <x:c r="K82" s="64" t="n">
        <x:v>42</x:v>
      </x:c>
      <x:c r="L82" s="64" t="n">
        <x:v>22.5</x:v>
      </x:c>
      <x:c r="M82" s="64" t="n">
        <x:v>20</x:v>
      </x:c>
      <x:c r="N82" s="64" t="n">
        <x:v>42</x:v>
      </x:c>
      <x:c r="O82" s="64" t="n">
        <x:f>ROUND(0.6108*EXP(17.27*(L82+'01_Run_Config'!$B$34)/(L82+'01_Run_Config'!$B$34+237.3))-(N82/100)*0.6108*EXP(17.27*L82/(L82+237.3)),2)</x:f>
        <x:v>1.42</x:v>
      </x:c>
      <x:c r="P82" s="64" t="n">
        <x:f>IF(A82&lt;'01_Run_Config'!$B$32,0.55,IF(A82&lt;'01_Run_Config'!$B$33,IF(A82-'01_Run_Config'!$B$32&lt;=3,0.8,IF(A82-'01_Run_Config'!$B$32&lt;=10,1,IF(A82-'01_Run_Config'!$B$32&lt;=17,1.2,1.4))),IF(A82-'01_Run_Config'!$B$33&lt;=6,1.5,IF(A82-'01_Run_Config'!$B$33&lt;=13,1.6,IF(A82-'01_Run_Config'!$B$33&lt;=20,1.7,IF(A82-'01_Run_Config'!$B$33&lt;=34,1.8,IF(A82-'01_Run_Config'!$B$33&lt;=41,1.6,IF(A82-'01_Run_Config'!$B$33&lt;=48,1.4,1.15))))))))</x:f>
        <x:v>1.15</x:v>
      </x:c>
      <x:c r="Q82" s="64" t="n">
        <x:v>5.9</x:v>
      </x:c>
      <x:c r="R82" s="64" t="n">
        <x:v>0.3</x:v>
      </x:c>
      <x:c r="S82" s="64" t="n">
        <x:v>0.7</x:v>
      </x:c>
      <x:c r="T82" s="64" t="str">
        <x:f>IF(A82&lt;=7,"Manuell",'01_Run_Config'!$B$40)</x:f>
        <x:v>Manuell / indoor-freigegebene Automation</x:v>
      </x:c>
      <x:c r="U82" s="64" t="str">
        <x:f>IF(A82&lt;'01_Run_Config'!$B$32,"Kein Basisdünger",IF(A82&lt;'01_Run_Config'!$B$33,"HESI TNT","HESI Coco"))</x:f>
        <x:v>HESI Coco</x:v>
      </x:c>
      <x:c r="V82" s="64" t="n">
        <x:f>IF(A82&lt;'01_Run_Config'!$B$32,0,IF(A82&lt;'01_Run_Config'!$B$33,IF(A82-'01_Run_Config'!$B$32&lt;=3,1.25,IF(A82-'01_Run_Config'!$B$32&lt;=10,2,2.5)),IF(A82-'01_Run_Config'!$B$33&lt;=6,2.5,IF(A82-'01_Run_Config'!$B$33&lt;=13,3.25,IF(A82-'01_Run_Config'!$B$33&lt;=20,3.75,IF(A82-'01_Run_Config'!$B$33&lt;=34,4,IF(A82-'01_Run_Config'!$B$33&lt;=41,3.5,IF(A82-'01_Run_Config'!$B$33&lt;=48,2.5,1.5))))))))</x:f>
        <x:v>1.5</x:v>
      </x:c>
      <x:c r="W82" s="64" t="n">
        <x:f>IF(OR(A82='01_Run_Config'!$B$32,A82='01_Run_Config'!$B$32+6,A82='01_Run_Config'!$B$32+12),2.5,0)</x:f>
        <x:v>0</x:v>
      </x:c>
      <x:c r="X82" s="64" t="n">
        <x:f>IF(AND(A82&gt;='01_Run_Config'!$B$32+3,A82&lt;='01_Run_Config'!$B$33+35,MOD(A82-('01_Run_Config'!$B$32+3),7)=0),2,0)</x:f>
        <x:v>0</x:v>
      </x:c>
      <x:c r="Y82" s="64" t="n">
        <x:f>IF(A82&gt;='01_Run_Config'!$B$32,0.015,0)</x:f>
        <x:v>0.015</x:v>
      </x:c>
      <x:c r="Z82" s="64" t="n">
        <x:f>IF(AND('01_Run_Config'!$B$26="Hesilicio statt Balance",A82&gt;='01_Run_Config'!$B$32+3,MOD(A82-('01_Run_Config'!$B$32+3),7)=0,A82&lt;='01_Run_Config'!$B$33+35),0.5,0)</x:f>
        <x:v>0</x:v>
      </x:c>
      <x:c r="AA82" s="64" t="n">
        <x:f>IF(AND(A82&gt;='01_Run_Config'!$B$33,A82&lt;='01_Run_Config'!$B$33+35,MOD(A82-'01_Run_Config'!$B$33,7)=0),2,0)</x:f>
        <x:v>0</x:v>
      </x:c>
      <x:c r="AB82" s="64" t="n">
        <x:f>IF(A82='01_Run_Config'!$B$33+21,0.25,IF(A82='01_Run_Config'!$B$33+28,0.35,IF(A82='01_Run_Config'!$B$33+35,0.5,0)))</x:f>
        <x:v>0</x:v>
      </x:c>
      <x:c r="AC82" s="64" t="n">
        <x:f>IF(OR(A82='01_Run_Config'!$B$32,A82='01_Run_Config'!$B$32+7,A82='01_Run_Config'!$B$33+1,A82='01_Run_Config'!$B$33+8),2,0)</x:f>
        <x:v>0</x:v>
      </x:c>
      <x:c r="AD82" s="64" t="str">
        <x:f>IF(A82&lt;'01_Run_Config'!$B$33,"AN-Reference=0 außer Voodoo-Frischgaben",IF(AL82&lt;=7,"A/B: Bud Ignitor oder Mikrobenmodul; nicht Reference",IF(AL82&lt;=35,"A/B: Big Bud STATT HESI-PK; nicht additiv stapeln",IF(AL82&lt;=49,"A/B: Overdrive STATT spätem HESI-PK","AN-Booster auslaufen"))))</x:f>
        <x:v>AN-Booster auslaufen</x:v>
      </x:c>
      <x:c r="AE82" s="64" t="str">
        <x:v>Keine Eingriffe</x:v>
      </x:c>
      <x:c r="AF82" s="64" t="str">
        <x:v>Morgens Klima/Pflanze/Bewässerung/Leck; Mitte Lichtphase Blattwinkel; vor Dunkel LF/Drain/stehendes Wasser.</x:v>
      </x:c>
      <x:c r="AG82" s="64" t="str">
        <x:v>EC nicht erhöhen bei steigender Diagnose-Drain-EC; PPFD nicht erhöhen bei Stress; Wasserband nie erzwingen; nie mehrere neue Booster gleichzeitig.</x:v>
      </x:c>
      <x:c r="AH82" s="37" t="str">
        <x:f>"UKD-Arbeitswerte, keine universellen Sollwerte. DLI/EC/Pflanzenreaktion/Wasserchemie vor Watt/ml-L; Wasser-Liter sind Start-/Beobachtungsbänder. Feed/Bloommodule triggerbasiert; Licht/Klima = konservative Plantrajektorie."</x:f>
        <x:v>UKD-Arbeitswerte, keine universellen Sollwerte. DLI/EC/Pflanzenreaktion/Wasserchemie vor Watt/ml-L; Wasser-Liter sind Start-/Beobachtungsbänder. Feed/Bloommodule triggerbasiert; Licht/Klima = konservative Plantrajektorie.</x:v>
      </x:c>
      <x:c r="AI82" s="36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2" s="64" t="str">
        <x:f>IF(A82&lt;'01_Run_Config'!$B$32,"—",IF(A82&lt;'01_Run_Config'!$B$33,"G"&amp;MIN(4,INT((A82-'01_Run_Config'!$B$32)/7)+1),AM82))</x:f>
        <x:v>B7+</x:v>
      </x:c>
      <x:c r="AK82" s="37" t="str">
        <x:f>IF(A82&lt;'01_Run_Config'!$B$32,"Keine AN-Additive.",IF(A82&lt;'01_Run_Config'!$B$33,"Veg: Voodoo nur definierte Frischgaben; B-52/Piranha/Tarantula nur A/B; Sensizym nur statt PowerZyme; Rhino Skin AUS mit Athena Balance.",IF(AL82&lt;=7,"Frühblüte: Voodoo; Bud Ignitor/Piranha/Tarantula nur A/B; Rhino Skin AUS mit Balance.",IF(AL82&lt;=35,"Hauptblüte: Big Bud nur A/B STATT HESI-PK; Biostims einzeln testen.",IF(AL82&lt;=49,"Spätblüte: Overdrive nur A/B STATT spätem HESI-PK; keine neue zweite Variable.","Booster auslaufen / Reife priorisieren.")))))</x:f>
        <x:v>Booster auslaufen / Reife priorisieren.</x:v>
      </x:c>
      <x:c r="AL82" s="60" t="n">
        <x:f>IF(A82&lt;'01_Run_Config'!$B$33,"",A82-'01_Run_Config'!$B$33+1)</x:f>
        <x:v>53</x:v>
      </x:c>
      <x:c r="AM82" s="60" t="str">
        <x:f>IF(AL82="","",IF(AL82&gt;49,CHAR(66)&amp;"7+",CHAR(66)&amp;TEXT(INT((AL82-1)/7)+1,"0")))</x:f>
        <x:v>B7+</x:v>
      </x:c>
      <x:c r="AN82" s="60" t="n">
        <x:f>ROUND(0.6108*EXP(17.27*L82/(L82+237.3))*(1-N82/100),2)</x:f>
        <x:v>1.58</x:v>
      </x:c>
      <x:c r="AO82" s="60" t="n">
        <x:f>H82*G82/1000</x:f>
        <x:v>1.62</x:v>
      </x:c>
      <x:c r="AP82" s="60" t="n">
        <x:f>SUM($AO$2:AO82)</x:f>
        <x:v>150.1199999999999</x:v>
      </x:c>
      <x:c r="AQ82" t="n">
        <x:f>'01_Run_Config'!$B$17</x:f>
        <x:v>0</x:v>
      </x:c>
      <x:c r="AR82" t="n">
        <x:f>'01_Run_Config'!$B$22</x:f>
        <x:v>0</x:v>
      </x:c>
      <x:c r="AS82" t="n">
        <x:f>'01_Run_Config'!$B$25</x:f>
        <x:v>0</x:v>
      </x:c>
    </x:row>
  </x:sheetData>
  <x:conditionalFormatting sqref="I2:I8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{8C69CB05-CAF6-1204-8B6A-307D7229AFBC}</x14:id>
        </x:ext>
      </x:extLst>
    </x:cfRule>
  </x:conditionalFormatting>
  <x:conditionalFormatting sqref="P2:P82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N2:N82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V2:V82">
    <x:cfRule type="expression" dxfId="41" priority="4">
      <x:formula>V2&gt;0</x:formula>
    </x:cfRule>
  </x:conditionalFormatting>
  <x:conditionalFormatting sqref="W2:W82">
    <x:cfRule type="expression" dxfId="42" priority="5">
      <x:formula>W2&gt;0</x:formula>
    </x:cfRule>
  </x:conditionalFormatting>
  <x:conditionalFormatting sqref="X2:X82">
    <x:cfRule type="expression" dxfId="43" priority="6">
      <x:formula>X2&gt;0</x:formula>
    </x:cfRule>
  </x:conditionalFormatting>
  <x:conditionalFormatting sqref="Y2:Y82">
    <x:cfRule type="expression" dxfId="44" priority="7">
      <x:formula>Y2&gt;0</x:formula>
    </x:cfRule>
  </x:conditionalFormatting>
  <x:conditionalFormatting sqref="Z2:Z82">
    <x:cfRule type="expression" dxfId="45" priority="8">
      <x:formula>Z2&gt;0</x:formula>
    </x:cfRule>
  </x:conditionalFormatting>
  <x:conditionalFormatting sqref="AA2:AA82">
    <x:cfRule type="expression" dxfId="46" priority="9">
      <x:formula>AA2&gt;0</x:formula>
    </x:cfRule>
  </x:conditionalFormatting>
  <x:conditionalFormatting sqref="AB2:AB82">
    <x:cfRule type="expression" dxfId="47" priority="10">
      <x:formula>AB2&gt;0</x:formula>
    </x:cfRule>
  </x:conditionalFormatting>
  <x:conditionalFormatting sqref="AC2:AC82">
    <x:cfRule type="expression" dxfId="48" priority="11">
      <x:formula>AC2&gt;0</x:formula>
    </x:cfRule>
  </x:conditionalFormatting>
  <x:conditionalFormatting sqref="A2:AK82">
    <x:cfRule type="expression" dxfId="49" priority="12">
      <x:formula>$A2='01_Run_Config'!$B$5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5b7e346b5841b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69CB05-CAF6-1204-8B6A-307D7229AFBC}">
            <x14:dataBar gradient="1">
              <x14:cfvo type="min"/>
              <x14:cfvo type="max"/>
              <x14:fillColor rgb="FFA02B93"/>
            </x14:dataBar>
          </x14:cfRule>
          <xm:sqref>I2:I82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1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  <x:col min="13" max="13" width="18" hidden="0" customWidth="1"/>
    <x:col min="14" max="14" width="24" hidden="0" customWidth="1"/>
    <x:col min="15" max="15" width="30" hidden="0" customWidth="1"/>
    <x:col min="16" max="16" width="30" hidden="0" customWidth="1"/>
    <x:col min="17" max="17" width="28" hidden="0" customWidth="1"/>
    <x:col min="18" max="18" width="30" hidden="0" customWidth="1"/>
    <x:col min="19" max="19" width="42" hidden="0" customWidth="1"/>
    <x:col min="20" max="20" width="42" hidden="0" customWidth="1"/>
  </x:cols>
  <x:sheetData>
    <x:row r="1" ht="38" customHeight="1">
      <x:c r="A1" s="790" t="str">
        <x:v>Woche</x:v>
      </x:c>
      <x:c r="B1" s="790" t="str">
        <x:v>Tage</x:v>
      </x:c>
      <x:c r="C1" s="790" t="str">
        <x:v>Leitphase</x:v>
      </x:c>
      <x:c r="D1" s="1211" t="str">
        <x:v>PPFD</x:v>
      </x:c>
      <x:c r="E1" s="1211" t="str">
        <x:v>Watt</x:v>
      </x:c>
      <x:c r="F1" s="1211" t="str">
        <x:v>DLI</x:v>
      </x:c>
      <x:c r="G1" s="1211" t="str">
        <x:v>Temp an</x:v>
      </x:c>
      <x:c r="H1" s="1211" t="str">
        <x:v>Temp aus</x:v>
      </x:c>
      <x:c r="I1" s="1211" t="str">
        <x:v>LF</x:v>
      </x:c>
      <x:c r="J1" s="1211" t="str">
        <x:v>VPD</x:v>
      </x:c>
      <x:c r="K1" s="1211" t="str">
        <x:v>EC</x:v>
      </x:c>
      <x:c r="L1" s="1211" t="str">
        <x:v>pH Setpoint</x:v>
      </x:c>
      <x:c r="M1" s="1209" t="str">
        <x:v>Wasser Start-/Beobachtungsband L/Tag</x:v>
      </x:c>
      <x:c r="N1" s="708" t="str">
        <x:v>HESI Basis</x:v>
      </x:c>
      <x:c r="O1" s="708" t="str">
        <x:v>Root/Enzyme</x:v>
      </x:c>
      <x:c r="P1" s="708" t="str">
        <x:v>Bloom/PK</x:v>
      </x:c>
      <x:c r="Q1" s="708" t="str">
        <x:v>AN Reference</x:v>
      </x:c>
      <x:c r="R1" s="1213" t="str">
        <x:v>Training</x:v>
      </x:c>
      <x:c r="S1" s="1213" t="str">
        <x:v>Wochen-QA</x:v>
      </x:c>
      <x:c r="T1" s="1213" t="str">
        <x:v>Gate / Entscheidung</x:v>
      </x:c>
    </x:row>
    <x:row r="2">
      <x:c r="A2" s="32" t="n">
        <x:v>1</x:v>
      </x:c>
      <x:c r="B2" s="62" t="str">
        <x:v>0–6</x:v>
      </x:c>
      <x:c r="C2" s="62" t="str">
        <x:v>Keimung/Etablierung</x:v>
      </x:c>
      <x:c r="D2" s="62" t="n">
        <x:v>180</x:v>
      </x:c>
      <x:c r="E2" s="62" t="n">
        <x:v>35</x:v>
      </x:c>
      <x:c r="F2" s="62" t="n">
        <x:v>11.7</x:v>
      </x:c>
      <x:c r="G2" s="62" t="n">
        <x:v>25</x:v>
      </x:c>
      <x:c r="H2" s="62" t="n">
        <x:v>22</x:v>
      </x:c>
      <x:c r="I2" s="62" t="n">
        <x:v>72</x:v>
      </x:c>
      <x:c r="J2" s="62" t="n">
        <x:v>0.7</x:v>
      </x:c>
      <x:c r="K2" s="62" t="n">
        <x:v>0.7</x:v>
      </x:c>
      <x:c r="L2" s="62" t="n">
        <x:v>5.9</x:v>
      </x:c>
      <x:c r="M2" s="62" t="str">
        <x:v>0.03–0.15</x:v>
      </x:c>
      <x:c r="N2" s="62" t="str">
        <x:v>TNT ab Sämlingsaufnahme, mild</x:v>
      </x:c>
      <x:c r="O2" s="62" t="str">
        <x:v>Root Complex + Voodoo Frischgabe</x:v>
      </x:c>
      <x:c r="P2" s="62" t="str">
        <x:v>—</x:v>
      </x:c>
      <x:c r="Q2" s="62" t="str">
        <x:v>Voodoo 2 ml/L definiert</x:v>
      </x:c>
      <x:c r="R2" s="62" t="str">
        <x:v>kein LST</x:v>
      </x:c>
      <x:c r="S2" s="62" t="str">
        <x:v>Leckschutz, Sensorik, Startfoto</x:v>
      </x:c>
      <x:c r="T2" s="33" t="str">
        <x:v>Keimling vital? Sonst nicht Licht/EC pushen</x:v>
      </x:c>
      <x:c r="V2" s="194" t="str">
        <x:v>Woche</x:v>
      </x:c>
      <x:c r="W2" s="194" t="str">
        <x:v>PPFD</x:v>
      </x:c>
      <x:c r="X2" s="194" t="str">
        <x:v>Watt</x:v>
      </x:c>
      <x:c r="Z2" s="194" t="str">
        <x:v>Woche</x:v>
      </x:c>
      <x:c r="AA2" s="194" t="str">
        <x:v>Temp</x:v>
      </x:c>
      <x:c r="AB2" s="194" t="str">
        <x:v>LF</x:v>
      </x:c>
      <x:c r="AD2" s="194" t="str">
        <x:v>Woche</x:v>
      </x:c>
      <x:c r="AE2" s="194" t="str">
        <x:v>EC</x:v>
      </x:c>
    </x:row>
    <x:row r="3">
      <x:c r="A3" s="34" t="n">
        <x:v>2</x:v>
      </x:c>
      <x:c r="B3" s="63" t="str">
        <x:v>7–13</x:v>
      </x:c>
      <x:c r="C3" s="63" t="str">
        <x:v>Early Veg</x:v>
      </x:c>
      <x:c r="D3" s="63" t="n">
        <x:v>250</x:v>
      </x:c>
      <x:c r="E3" s="63" t="n">
        <x:v>50</x:v>
      </x:c>
      <x:c r="F3" s="63" t="n">
        <x:v>16.2</x:v>
      </x:c>
      <x:c r="G3" s="63" t="n">
        <x:v>25.5</x:v>
      </x:c>
      <x:c r="H3" s="63" t="n">
        <x:v>22</x:v>
      </x:c>
      <x:c r="I3" s="63" t="n">
        <x:v>67</x:v>
      </x:c>
      <x:c r="J3" s="63" t="n">
        <x:v>0.85</x:v>
      </x:c>
      <x:c r="K3" s="63" t="n">
        <x:v>0.9</x:v>
      </x:c>
      <x:c r="L3" s="63" t="n">
        <x:v>5.9</x:v>
      </x:c>
      <x:c r="M3" s="63" t="str">
        <x:v>0.10–0.30</x:v>
      </x:c>
      <x:c r="N3" s="63" t="str">
        <x:v>TNT ~1.5–2 ml/L</x:v>
      </x:c>
      <x:c r="O3" s="63" t="str">
        <x:v>PowerZyme; ggf. Root</x:v>
      </x:c>
      <x:c r="P3" s="63" t="str">
        <x:v>—</x:v>
      </x:c>
      <x:c r="Q3" s="63" t="str">
        <x:v>Voodoo zweite Veg-Gabe</x:v>
      </x:c>
      <x:c r="R3" s="63" t="str">
        <x:v>LST nur 4–5 Nodes</x:v>
      </x:c>
      <x:c r="S3" s="63" t="str">
        <x:v>Bewässerungsroutine/Automation validieren; pH/EC kalibrieren</x:v>
      </x:c>
      <x:c r="T3" s="35" t="str">
        <x:v>48 h stabile Feuchte-/Leckfreiheit? Bei Automation Hersteller-SOP beachten.</x:v>
      </x:c>
      <x:c r="V3" t="n">
        <x:v>1</x:v>
      </x:c>
      <x:c r="W3" t="n">
        <x:v>180</x:v>
      </x:c>
      <x:c r="X3" t="n">
        <x:v>35</x:v>
      </x:c>
      <x:c r="Z3" t="n">
        <x:v>1</x:v>
      </x:c>
      <x:c r="AA3" t="n">
        <x:v>25</x:v>
      </x:c>
      <x:c r="AB3" t="n">
        <x:v>72</x:v>
      </x:c>
      <x:c r="AD3" t="n">
        <x:v>1</x:v>
      </x:c>
      <x:c r="AE3" t="n">
        <x:v>0.7</x:v>
      </x:c>
    </x:row>
    <x:row r="4">
      <x:c r="A4" s="34" t="n">
        <x:v>3</x:v>
      </x:c>
      <x:c r="B4" s="63" t="str">
        <x:v>14–20</x:v>
      </x:c>
      <x:c r="C4" s="63" t="str">
        <x:v>Veg/LST</x:v>
      </x:c>
      <x:c r="D4" s="63" t="n">
        <x:v>350</x:v>
      </x:c>
      <x:c r="E4" s="63" t="n">
        <x:v>75</x:v>
      </x:c>
      <x:c r="F4" s="63" t="n">
        <x:v>22.7</x:v>
      </x:c>
      <x:c r="G4" s="63" t="n">
        <x:v>25.5</x:v>
      </x:c>
      <x:c r="H4" s="63" t="n">
        <x:v>22</x:v>
      </x:c>
      <x:c r="I4" s="63" t="n">
        <x:v>62</x:v>
      </x:c>
      <x:c r="J4" s="63" t="n">
        <x:v>1.05</x:v>
      </x:c>
      <x:c r="K4" s="63" t="n">
        <x:v>1.2</x:v>
      </x:c>
      <x:c r="L4" s="63" t="n">
        <x:v>5.9</x:v>
      </x:c>
      <x:c r="M4" s="63" t="str">
        <x:v>0.25–0.50</x:v>
      </x:c>
      <x:c r="N4" s="63" t="str">
        <x:v>TNT ~2.5 ml/L</x:v>
      </x:c>
      <x:c r="O4" s="63" t="str">
        <x:v>PowerZyme; Hesilicio optional</x:v>
      </x:c>
      <x:c r="P4" s="63" t="str">
        <x:v>—</x:v>
      </x:c>
      <x:c r="Q4" s="63" t="str">
        <x:v>AN sonst 0</x:v>
      </x:c>
      <x:c r="R4" s="63" t="str">
        <x:v>radiales LST</x:v>
      </x:c>
      <x:c r="S4" s="63" t="str">
        <x:v>PPFD 9-Punkt Basis-Mapping</x:v>
      </x:c>
      <x:c r="T4" s="35" t="str">
        <x:v>Canopy &lt;8 cm Höhenstreuung?</x:v>
      </x:c>
      <x:c r="V4" t="n">
        <x:v>2</x:v>
      </x:c>
      <x:c r="W4" t="n">
        <x:v>250</x:v>
      </x:c>
      <x:c r="X4" t="n">
        <x:v>50</x:v>
      </x:c>
      <x:c r="Z4" t="n">
        <x:v>2</x:v>
      </x:c>
      <x:c r="AA4" t="n">
        <x:v>25.5</x:v>
      </x:c>
      <x:c r="AB4" t="n">
        <x:v>67</x:v>
      </x:c>
      <x:c r="AD4" t="n">
        <x:v>2</x:v>
      </x:c>
      <x:c r="AE4" t="n">
        <x:v>0.9</x:v>
      </x:c>
    </x:row>
    <x:row r="5">
      <x:c r="A5" s="34" t="n">
        <x:v>4</x:v>
      </x:c>
      <x:c r="B5" s="63" t="str">
        <x:v>21–27</x:v>
      </x:c>
      <x:c r="C5" s="63" t="str">
        <x:v>Transition</x:v>
      </x:c>
      <x:c r="D5" s="63" t="n">
        <x:v>450</x:v>
      </x:c>
      <x:c r="E5" s="63" t="n">
        <x:v>95</x:v>
      </x:c>
      <x:c r="F5" s="63" t="n">
        <x:v>29.2</x:v>
      </x:c>
      <x:c r="G5" s="63" t="n">
        <x:v>25.5</x:v>
      </x:c>
      <x:c r="H5" s="63" t="n">
        <x:v>22</x:v>
      </x:c>
      <x:c r="I5" s="63" t="n">
        <x:v>58</x:v>
      </x:c>
      <x:c r="J5" s="63" t="n">
        <x:v>1.15</x:v>
      </x:c>
      <x:c r="K5" s="63" t="n">
        <x:v>1.4</x:v>
      </x:c>
      <x:c r="L5" s="63" t="n">
        <x:v>5.9</x:v>
      </x:c>
      <x:c r="M5" s="63" t="str">
        <x:v>0.40–0.70</x:v>
      </x:c>
      <x:c r="N5" s="63" t="str">
        <x:v>bei Preflower → HESI Coco</x:v>
      </x:c>
      <x:c r="O5" s="63" t="str">
        <x:v>PowerZyme</x:v>
      </x:c>
      <x:c r="P5" s="63" t="str">
        <x:v>Boost optional ab Trigger</x:v>
      </x:c>
      <x:c r="Q5" s="63" t="str">
        <x:v>AN A/B noch aus</x:v>
      </x:c>
      <x:c r="R5" s="63" t="str">
        <x:v>letzte Strukturkorrektur</x:v>
      </x:c>
      <x:c r="S5" s="63" t="str">
        <x:v>Drain-Diagnose; Foto; Canopy</x:v>
      </x:c>
      <x:c r="T5" s="35" t="str">
        <x:v>Basiswechsel nur bei echter Preflower</x:v>
      </x:c>
      <x:c r="V5" t="n">
        <x:v>3</x:v>
      </x:c>
      <x:c r="W5" t="n">
        <x:v>350</x:v>
      </x:c>
      <x:c r="X5" t="n">
        <x:v>75</x:v>
      </x:c>
      <x:c r="Z5" t="n">
        <x:v>3</x:v>
      </x:c>
      <x:c r="AA5" t="n">
        <x:v>25.5</x:v>
      </x:c>
      <x:c r="AB5" t="n">
        <x:v>62</x:v>
      </x:c>
      <x:c r="AD5" t="n">
        <x:v>3</x:v>
      </x:c>
      <x:c r="AE5" t="n">
        <x:v>1.2</x:v>
      </x:c>
    </x:row>
    <x:row r="6">
      <x:c r="A6" s="34" t="n">
        <x:v>5</x:v>
      </x:c>
      <x:c r="B6" s="63" t="str">
        <x:v>28–34</x:v>
      </x:c>
      <x:c r="C6" s="63" t="str">
        <x:v>Stretch</x:v>
      </x:c>
      <x:c r="D6" s="63" t="n">
        <x:v>550</x:v>
      </x:c>
      <x:c r="E6" s="63" t="n">
        <x:v>120</x:v>
      </x:c>
      <x:c r="F6" s="63" t="n">
        <x:v>35.6</x:v>
      </x:c>
      <x:c r="G6" s="63" t="n">
        <x:v>25</x:v>
      </x:c>
      <x:c r="H6" s="63" t="n">
        <x:v>21.5</x:v>
      </x:c>
      <x:c r="I6" s="63" t="n">
        <x:v>53</x:v>
      </x:c>
      <x:c r="J6" s="63" t="n">
        <x:v>1.25</x:v>
      </x:c>
      <x:c r="K6" s="63" t="n">
        <x:v>1.6</x:v>
      </x:c>
      <x:c r="L6" s="63" t="n">
        <x:v>5.9</x:v>
      </x:c>
      <x:c r="M6" s="63" t="str">
        <x:v>0.60–1.00</x:v>
      </x:c>
      <x:c r="N6" s="63" t="str">
        <x:v>HESI Coco ~3.25 ml/L</x:v>
      </x:c>
      <x:c r="O6" s="63" t="str">
        <x:v>Voodoo Frühblüte frisch</x:v>
      </x:c>
      <x:c r="P6" s="63" t="str">
        <x:v>Boost 2 ml/L Wochenfeed</x:v>
      </x:c>
      <x:c r="Q6" s="63" t="str">
        <x:v>Piranha/Tarantula nur A/B</x:v>
      </x:c>
      <x:c r="R6" s="63" t="str">
        <x:v>strukturelles LST beenden</x:v>
      </x:c>
      <x:c r="S6" s="63" t="str">
        <x:v>Luftzonen prüfen; Lampenmapping</x:v>
      </x:c>
      <x:c r="T6" s="35" t="str">
        <x:v>Kein Training bei Stress</x:v>
      </x:c>
      <x:c r="V6" t="n">
        <x:v>4</x:v>
      </x:c>
      <x:c r="W6" t="n">
        <x:v>450</x:v>
      </x:c>
      <x:c r="X6" t="n">
        <x:v>95</x:v>
      </x:c>
      <x:c r="Z6" t="n">
        <x:v>4</x:v>
      </x:c>
      <x:c r="AA6" t="n">
        <x:v>25.5</x:v>
      </x:c>
      <x:c r="AB6" t="n">
        <x:v>58</x:v>
      </x:c>
      <x:c r="AD6" t="n">
        <x:v>4</x:v>
      </x:c>
      <x:c r="AE6" t="n">
        <x:v>1.4</x:v>
      </x:c>
    </x:row>
    <x:row r="7">
      <x:c r="A7" s="34" t="n">
        <x:v>6</x:v>
      </x:c>
      <x:c r="B7" s="63" t="str">
        <x:v>35–41</x:v>
      </x:c>
      <x:c r="C7" s="63" t="str">
        <x:v>Flower I</x:v>
      </x:c>
      <x:c r="D7" s="63" t="n">
        <x:v>600</x:v>
      </x:c>
      <x:c r="E7" s="63" t="n">
        <x:v>135</x:v>
      </x:c>
      <x:c r="F7" s="63" t="n">
        <x:v>38.9</x:v>
      </x:c>
      <x:c r="G7" s="63" t="n">
        <x:v>25</x:v>
      </x:c>
      <x:c r="H7" s="63" t="n">
        <x:v>21.5</x:v>
      </x:c>
      <x:c r="I7" s="63" t="n">
        <x:v>50</x:v>
      </x:c>
      <x:c r="J7" s="63" t="n">
        <x:v>1.35</x:v>
      </x:c>
      <x:c r="K7" s="63" t="n">
        <x:v>1.7</x:v>
      </x:c>
      <x:c r="L7" s="63" t="n">
        <x:v>5.9</x:v>
      </x:c>
      <x:c r="M7" s="63" t="str">
        <x:v>0.80–1.20</x:v>
      </x:c>
      <x:c r="N7" s="63" t="str">
        <x:v>HESI Coco ~3.75 ml/L</x:v>
      </x:c>
      <x:c r="O7" s="63" t="str">
        <x:v>PowerZyme; letzte Voodoo-Gabe</x:v>
      </x:c>
      <x:c r="P7" s="63" t="str">
        <x:v>Boost Wochenfeed</x:v>
      </x:c>
      <x:c r="Q7" s="63" t="str">
        <x:v>Big Bud A/B ab Bloom W2</x:v>
      </x:c>
      <x:c r="R7" s="63" t="str">
        <x:v>nur tuck/support</x:v>
      </x:c>
      <x:c r="S7" s="63" t="str">
        <x:v>Cola-RH/Untercanopy prüfen</x:v>
      </x:c>
      <x:c r="T7" s="35" t="str">
        <x:v>Kein PK, wenn Spitzenbrand/Drain-EC hoch</x:v>
      </x:c>
      <x:c r="V7" t="n">
        <x:v>5</x:v>
      </x:c>
      <x:c r="W7" t="n">
        <x:v>550</x:v>
      </x:c>
      <x:c r="X7" t="n">
        <x:v>120</x:v>
      </x:c>
      <x:c r="Z7" t="n">
        <x:v>5</x:v>
      </x:c>
      <x:c r="AA7" t="n">
        <x:v>25</x:v>
      </x:c>
      <x:c r="AB7" t="n">
        <x:v>53</x:v>
      </x:c>
      <x:c r="AD7" t="n">
        <x:v>5</x:v>
      </x:c>
      <x:c r="AE7" t="n">
        <x:v>1.6</x:v>
      </x:c>
    </x:row>
    <x:row r="8">
      <x:c r="A8" s="34" t="n">
        <x:v>7</x:v>
      </x:c>
      <x:c r="B8" s="63" t="str">
        <x:v>42–48</x:v>
      </x:c>
      <x:c r="C8" s="63" t="str">
        <x:v>Peak I</x:v>
      </x:c>
      <x:c r="D8" s="63" t="n">
        <x:v>625</x:v>
      </x:c>
      <x:c r="E8" s="63" t="n">
        <x:v>140</x:v>
      </x:c>
      <x:c r="F8" s="63" t="n">
        <x:v>40.5</x:v>
      </x:c>
      <x:c r="G8" s="63" t="n">
        <x:v>24.5</x:v>
      </x:c>
      <x:c r="H8" s="63" t="n">
        <x:v>21</x:v>
      </x:c>
      <x:c r="I8" s="63" t="n">
        <x:v>47</x:v>
      </x:c>
      <x:c r="J8" s="63" t="n">
        <x:v>1.4</x:v>
      </x:c>
      <x:c r="K8" s="63" t="n">
        <x:v>1.8</x:v>
      </x:c>
      <x:c r="L8" s="63" t="n">
        <x:v>5.9</x:v>
      </x:c>
      <x:c r="M8" s="63" t="str">
        <x:v>0.90–1.50</x:v>
      </x:c>
      <x:c r="N8" s="63" t="str">
        <x:v>HESI Coco ~4 ml/L</x:v>
      </x:c>
      <x:c r="O8" s="63" t="str">
        <x:v>PowerZyme/Hesilicio Wochenfeed</x:v>
      </x:c>
      <x:c r="P8" s="63" t="str">
        <x:v>Boost; PK noch 0</x:v>
      </x:c>
      <x:c r="Q8" s="63" t="str">
        <x:v>Big Bud A/B</x:v>
      </x:c>
      <x:c r="R8" s="63" t="str">
        <x:v>nur Support</x:v>
      </x:c>
      <x:c r="S8" s="63" t="str">
        <x:v>PPFD/Temp/RH Maxima auswerten</x:v>
      </x:c>
      <x:c r="T8" s="35" t="str">
        <x:v>140 W nur bei stabilem Blattzustand</x:v>
      </x:c>
      <x:c r="V8" t="n">
        <x:v>6</x:v>
      </x:c>
      <x:c r="W8" t="n">
        <x:v>600</x:v>
      </x:c>
      <x:c r="X8" t="n">
        <x:v>135</x:v>
      </x:c>
      <x:c r="Z8" t="n">
        <x:v>6</x:v>
      </x:c>
      <x:c r="AA8" t="n">
        <x:v>25</x:v>
      </x:c>
      <x:c r="AB8" t="n">
        <x:v>50</x:v>
      </x:c>
      <x:c r="AD8" t="n">
        <x:v>6</x:v>
      </x:c>
      <x:c r="AE8" t="n">
        <x:v>1.7</x:v>
      </x:c>
    </x:row>
    <x:row r="9">
      <x:c r="A9" s="34" t="n">
        <x:v>8</x:v>
      </x:c>
      <x:c r="B9" s="63" t="str">
        <x:v>49–55</x:v>
      </x:c>
      <x:c r="C9" s="63" t="str">
        <x:v>Peak II</x:v>
      </x:c>
      <x:c r="D9" s="63" t="n">
        <x:v>625</x:v>
      </x:c>
      <x:c r="E9" s="63" t="n">
        <x:v>140</x:v>
      </x:c>
      <x:c r="F9" s="63" t="n">
        <x:v>40.5</x:v>
      </x:c>
      <x:c r="G9" s="63" t="n">
        <x:v>24.5</x:v>
      </x:c>
      <x:c r="H9" s="63" t="n">
        <x:v>21</x:v>
      </x:c>
      <x:c r="I9" s="63" t="n">
        <x:v>47</x:v>
      </x:c>
      <x:c r="J9" s="63" t="n">
        <x:v>1.4</x:v>
      </x:c>
      <x:c r="K9" s="63" t="n">
        <x:v>1.8</x:v>
      </x:c>
      <x:c r="L9" s="63" t="n">
        <x:v>5.9</x:v>
      </x:c>
      <x:c r="M9" s="63" t="str">
        <x:v>0.90–1.50</x:v>
      </x:c>
      <x:c r="N9" s="63" t="str">
        <x:v>HESI Coco ~4 ml/L</x:v>
      </x:c>
      <x:c r="O9" s="63" t="str">
        <x:v>PowerZyme</x:v>
      </x:c>
      <x:c r="P9" s="63" t="str">
        <x:v>Boost + PK 0.25–0.35</x:v>
      </x:c>
      <x:c r="Q9" s="63" t="str">
        <x:v>Big Bud A/B STATT HESI-PK</x:v>
      </x:c>
      <x:c r="R9" s="63" t="str">
        <x:v>nur Support</x:v>
      </x:c>
      <x:c r="S9" s="63" t="str">
        <x:v>Drain EC; Schimmelcheck</x:v>
      </x:c>
      <x:c r="T9" s="35" t="str">
        <x:v>PK nur wenn EC/Canopy stabil</x:v>
      </x:c>
      <x:c r="V9" t="n">
        <x:v>7</x:v>
      </x:c>
      <x:c r="W9" t="n">
        <x:v>625</x:v>
      </x:c>
      <x:c r="X9" t="n">
        <x:v>140</x:v>
      </x:c>
      <x:c r="Z9" t="n">
        <x:v>7</x:v>
      </x:c>
      <x:c r="AA9" t="n">
        <x:v>24.5</x:v>
      </x:c>
      <x:c r="AB9" t="n">
        <x:v>47</x:v>
      </x:c>
      <x:c r="AD9" t="n">
        <x:v>7</x:v>
      </x:c>
      <x:c r="AE9" t="n">
        <x:v>1.8</x:v>
      </x:c>
    </x:row>
    <x:row r="10">
      <x:c r="A10" s="34" t="n">
        <x:v>9</x:v>
      </x:c>
      <x:c r="B10" s="63" t="str">
        <x:v>56–62</x:v>
      </x:c>
      <x:c r="C10" s="63" t="str">
        <x:v>Late Flower</x:v>
      </x:c>
      <x:c r="D10" s="63" t="n">
        <x:v>600</x:v>
      </x:c>
      <x:c r="E10" s="63" t="n">
        <x:v>130</x:v>
      </x:c>
      <x:c r="F10" s="63" t="n">
        <x:v>38.9</x:v>
      </x:c>
      <x:c r="G10" s="63" t="n">
        <x:v>24</x:v>
      </x:c>
      <x:c r="H10" s="63" t="n">
        <x:v>20.5</x:v>
      </x:c>
      <x:c r="I10" s="63" t="n">
        <x:v>45</x:v>
      </x:c>
      <x:c r="J10" s="63" t="n">
        <x:v>1.4</x:v>
      </x:c>
      <x:c r="K10" s="63" t="n">
        <x:v>1.6</x:v>
      </x:c>
      <x:c r="L10" s="63" t="n">
        <x:v>5.9</x:v>
      </x:c>
      <x:c r="M10" s="63" t="str">
        <x:v>0.80–1.30</x:v>
      </x:c>
      <x:c r="N10" s="63" t="str">
        <x:v>HESI Coco ~3.5 ml/L</x:v>
      </x:c>
      <x:c r="O10" s="63" t="str">
        <x:v>PowerZyme</x:v>
      </x:c>
      <x:c r="P10" s="63" t="str">
        <x:v>Boost letzter Feed; PK 0.35–0.5</x:v>
      </x:c>
      <x:c r="Q10" s="63" t="str">
        <x:v>Overdrive A/B STATT PK</x:v>
      </x:c>
      <x:c r="R10" s="63" t="str">
        <x:v>keine Strukturarbeit</x:v>
      </x:c>
      <x:c r="S10" s="63" t="str">
        <x:v>RH &lt;50%; dichte Colas prüfen</x:v>
      </x:c>
      <x:c r="T10" s="35" t="str">
        <x:v>Bei RH&gt;55% Klima vor Defoliation</x:v>
      </x:c>
      <x:c r="V10" t="n">
        <x:v>8</x:v>
      </x:c>
      <x:c r="W10" t="n">
        <x:v>625</x:v>
      </x:c>
      <x:c r="X10" t="n">
        <x:v>140</x:v>
      </x:c>
      <x:c r="Z10" t="n">
        <x:v>8</x:v>
      </x:c>
      <x:c r="AA10" t="n">
        <x:v>24.5</x:v>
      </x:c>
      <x:c r="AB10" t="n">
        <x:v>47</x:v>
      </x:c>
      <x:c r="AD10" t="n">
        <x:v>8</x:v>
      </x:c>
      <x:c r="AE10" t="n">
        <x:v>1.8</x:v>
      </x:c>
    </x:row>
    <x:row r="11">
      <x:c r="A11" s="34" t="n">
        <x:v>10</x:v>
      </x:c>
      <x:c r="B11" s="63" t="str">
        <x:v>63–69</x:v>
      </x:c>
      <x:c r="C11" s="63" t="str">
        <x:v>Ripening</x:v>
      </x:c>
      <x:c r="D11" s="63" t="n">
        <x:v>550</x:v>
      </x:c>
      <x:c r="E11" s="63" t="n">
        <x:v>120</x:v>
      </x:c>
      <x:c r="F11" s="63" t="n">
        <x:v>35.6</x:v>
      </x:c>
      <x:c r="G11" s="63" t="n">
        <x:v>23.5</x:v>
      </x:c>
      <x:c r="H11" s="63" t="n">
        <x:v>20.5</x:v>
      </x:c>
      <x:c r="I11" s="63" t="n">
        <x:v>43</x:v>
      </x:c>
      <x:c r="J11" s="63" t="n">
        <x:v>1.35</x:v>
      </x:c>
      <x:c r="K11" s="63" t="n">
        <x:v>1.4</x:v>
      </x:c>
      <x:c r="L11" s="63" t="n">
        <x:v>5.9</x:v>
      </x:c>
      <x:c r="M11" s="63" t="str">
        <x:v>0.60–1.00</x:v>
      </x:c>
      <x:c r="N11" s="63" t="str">
        <x:v>HESI Coco ~2.5 ml/L</x:v>
      </x:c>
      <x:c r="O11" s="63" t="str">
        <x:v>Enzyme optional</x:v>
      </x:c>
      <x:c r="P11" s="63" t="str">
        <x:v>PK stoppen</x:v>
      </x:c>
      <x:c r="Q11" s="63" t="str">
        <x:v>AN Booster stoppen</x:v>
      </x:c>
      <x:c r="R11" s="63" t="str">
        <x:v>Stützen</x:v>
      </x:c>
      <x:c r="S11" s="63" t="str">
        <x:v>Trichom/Calyx-Log; Wasserverbrauch</x:v>
      </x:c>
      <x:c r="T11" s="35" t="str">
        <x:v>Reife &gt; Kalender</x:v>
      </x:c>
      <x:c r="V11" t="n">
        <x:v>9</x:v>
      </x:c>
      <x:c r="W11" t="n">
        <x:v>600</x:v>
      </x:c>
      <x:c r="X11" t="n">
        <x:v>130</x:v>
      </x:c>
      <x:c r="Z11" t="n">
        <x:v>9</x:v>
      </x:c>
      <x:c r="AA11" t="n">
        <x:v>24</x:v>
      </x:c>
      <x:c r="AB11" t="n">
        <x:v>45</x:v>
      </x:c>
      <x:c r="AD11" t="n">
        <x:v>9</x:v>
      </x:c>
      <x:c r="AE11" t="n">
        <x:v>1.6</x:v>
      </x:c>
    </x:row>
    <x:row r="12">
      <x:c r="A12" s="34" t="n">
        <x:v>11</x:v>
      </x:c>
      <x:c r="B12" s="63" t="str">
        <x:v>70–76</x:v>
      </x:c>
      <x:c r="C12" s="63" t="str">
        <x:v>Harvest Window I</x:v>
      </x:c>
      <x:c r="D12" s="63" t="n">
        <x:v>500</x:v>
      </x:c>
      <x:c r="E12" s="63" t="n">
        <x:v>105</x:v>
      </x:c>
      <x:c r="F12" s="63" t="n">
        <x:v>32.4</x:v>
      </x:c>
      <x:c r="G12" s="63" t="n">
        <x:v>23</x:v>
      </x:c>
      <x:c r="H12" s="63" t="n">
        <x:v>20</x:v>
      </x:c>
      <x:c r="I12" s="63" t="n">
        <x:v>42</x:v>
      </x:c>
      <x:c r="J12" s="63" t="n">
        <x:v>1.3</x:v>
      </x:c>
      <x:c r="K12" s="63" t="n">
        <x:v>1.2</x:v>
      </x:c>
      <x:c r="L12" s="63" t="n">
        <x:v>5.9</x:v>
      </x:c>
      <x:c r="M12" s="63" t="str">
        <x:v>0.40–0.80</x:v>
      </x:c>
      <x:c r="N12" s="63" t="str">
        <x:v>HESI Coco 0–1.5 ml/L</x:v>
      </x:c>
      <x:c r="O12" s="63" t="str">
        <x:v>—</x:v>
      </x:c>
      <x:c r="P12" s="63" t="str">
        <x:v>—</x:v>
      </x:c>
      <x:c r="Q12" s="63" t="str">
        <x:v>—</x:v>
      </x:c>
      <x:c r="R12" s="63" t="str">
        <x:v>keine</x:v>
      </x:c>
      <x:c r="S12" s="63" t="str">
        <x:v>Ernteentscheidung; Trocknungsraum vorbereiten</x:v>
      </x:c>
      <x:c r="T12" s="35" t="str">
        <x:v>Nur Wasser bei tatsächlich fertiger Pflanze/hohem Salzlevel</x:v>
      </x:c>
      <x:c r="V12" t="n">
        <x:v>10</x:v>
      </x:c>
      <x:c r="W12" t="n">
        <x:v>550</x:v>
      </x:c>
      <x:c r="X12" t="n">
        <x:v>120</x:v>
      </x:c>
      <x:c r="Z12" t="n">
        <x:v>10</x:v>
      </x:c>
      <x:c r="AA12" t="n">
        <x:v>23.5</x:v>
      </x:c>
      <x:c r="AB12" t="n">
        <x:v>43</x:v>
      </x:c>
      <x:c r="AD12" t="n">
        <x:v>10</x:v>
      </x:c>
      <x:c r="AE12" t="n">
        <x:v>1.4</x:v>
      </x:c>
    </x:row>
    <x:row r="13">
      <x:c r="A13" s="36" t="n">
        <x:v>12</x:v>
      </x:c>
      <x:c r="B13" s="64" t="str">
        <x:v>77–80</x:v>
      </x:c>
      <x:c r="C13" s="64" t="str">
        <x:v>Harvest Window II</x:v>
      </x:c>
      <x:c r="D13" s="64" t="n">
        <x:v>450</x:v>
      </x:c>
      <x:c r="E13" s="64" t="n">
        <x:v>90</x:v>
      </x:c>
      <x:c r="F13" s="64" t="n">
        <x:v>29.2</x:v>
      </x:c>
      <x:c r="G13" s="64" t="n">
        <x:v>22.5</x:v>
      </x:c>
      <x:c r="H13" s="64" t="n">
        <x:v>20</x:v>
      </x:c>
      <x:c r="I13" s="64" t="n">
        <x:v>42</x:v>
      </x:c>
      <x:c r="J13" s="64" t="n">
        <x:v>1.25</x:v>
      </x:c>
      <x:c r="K13" s="64" t="n">
        <x:v>1</x:v>
      </x:c>
      <x:c r="L13" s="64" t="n">
        <x:v>5.9</x:v>
      </x:c>
      <x:c r="M13" s="64" t="str">
        <x:v>0.30–0.70</x:v>
      </x:c>
      <x:c r="N13" s="64" t="str">
        <x:v>0 bei Erntebereitschaft</x:v>
      </x:c>
      <x:c r="O13" s="64" t="str">
        <x:v>—</x:v>
      </x:c>
      <x:c r="P13" s="64" t="str">
        <x:v>—</x:v>
      </x:c>
      <x:c r="Q13" s="64" t="str">
        <x:v>—</x:v>
      </x:c>
      <x:c r="R13" s="64" t="str">
        <x:v>keine</x:v>
      </x:c>
      <x:c r="S13" s="64" t="str">
        <x:v>Ernte, Nassgewicht, Dry-Log starten</x:v>
      </x:c>
      <x:c r="T13" s="37" t="str">
        <x:v>Besitzgrenzen/Schutzmaßnahmen dokumentieren</x:v>
      </x:c>
      <x:c r="V13" t="n">
        <x:v>11</x:v>
      </x:c>
      <x:c r="W13" t="n">
        <x:v>500</x:v>
      </x:c>
      <x:c r="X13" t="n">
        <x:v>105</x:v>
      </x:c>
      <x:c r="Z13" t="n">
        <x:v>11</x:v>
      </x:c>
      <x:c r="AA13" t="n">
        <x:v>23</x:v>
      </x:c>
      <x:c r="AB13" t="n">
        <x:v>42</x:v>
      </x:c>
      <x:c r="AD13" t="n">
        <x:v>11</x:v>
      </x:c>
      <x:c r="AE13" t="n">
        <x:v>1.2</x:v>
      </x:c>
    </x:row>
    <x:row r="14">
      <x:c r="V14" t="n">
        <x:v>12</x:v>
      </x:c>
      <x:c r="W14" t="n">
        <x:v>450</x:v>
      </x:c>
      <x:c r="X14" t="n">
        <x:v>90</x:v>
      </x:c>
      <x:c r="Z14" t="n">
        <x:v>12</x:v>
      </x:c>
      <x:c r="AA14" t="n">
        <x:v>22.5</x:v>
      </x:c>
      <x:c r="AB14" t="n">
        <x:v>42</x:v>
      </x:c>
      <x:c r="AD14" t="n">
        <x:v>12</x:v>
      </x:c>
      <x:c r="AE14" t="n">
        <x:v>1</x:v>
      </x:c>
    </x:row>
    <x:row r="15">
      <x:c r="A15" s="1406" t="str">
        <x:v>AUDIT-HINWEIS: Wochenwerte sind verdichtete Richtwerte. 02_Daily_Master ist für den einzelnen Tag maßgeblich; Fütterungs-/AN-Fenster folgen dem Blüte-Trigger in 01_Run_Config.</x:v>
      </x:c>
      <x:c r="B15" s="1407"/>
      <x:c r="C15" s="1407"/>
      <x:c r="D15" s="1407"/>
      <x:c r="E15" s="1407"/>
      <x:c r="F15" s="1407"/>
      <x:c r="G15" s="1407"/>
      <x:c r="H15" s="1407"/>
      <x:c r="I15" s="1407"/>
      <x:c r="J15" s="1407"/>
      <x:c r="K15" s="1407"/>
      <x:c r="L15" s="1407"/>
      <x:c r="M15" s="1407"/>
      <x:c r="N15" s="1407"/>
      <x:c r="O15" s="1407"/>
      <x:c r="P15" s="1407"/>
      <x:c r="Q15" s="1407"/>
      <x:c r="R15" s="1407"/>
      <x:c r="S15" s="1407"/>
      <x:c r="T15" s="1408"/>
    </x:row>
  </x:sheetData>
  <x:mergeCells>
    <x:mergeCell ref="A15:T15"/>
  </x:mergeCells>
  <x:conditionalFormatting sqref="A2:T13">
    <x:cfRule type="expression" dxfId="50" priority="1">
      <x:formula>$A2=VLOOKUP('01_Run_Config'!$B$5,'02_Daily_Master'!$A$2:$AK$82,3,FALSE)</x:formula>
    </x:cfRule>
  </x:conditionalFormatting>
  <x:pageMargins left="0.7" right="0.7" top="0.75" bottom="0.75" header="0.3" footer="0.3"/>
  <x:drawing xmlns:r="http://schemas.openxmlformats.org/officeDocument/2006/relationships" r:id="R48c9d4434a77403d"/>
  <x:tableParts count="1">
    <x:tablePart xmlns:r="http://schemas.openxmlformats.org/officeDocument/2006/relationships" r:id="R9a39fb18374f4c5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7" hidden="0" customWidth="1"/>
    <x:col min="7" max="7" width="37" hidden="0" customWidth="1"/>
    <x:col min="8" max="8" width="37" hidden="0" customWidth="1"/>
    <x:col min="9" max="9" width="37" hidden="0" customWidth="1"/>
    <x:col min="10" max="10" width="37" hidden="0" customWidth="1"/>
  </x:cols>
  <x:sheetData>
    <x:row r="1">
      <x:c r="A1" s="14" t="str">
        <x:v>Monat</x:v>
      </x:c>
      <x:c r="B1" s="14" t="str">
        <x:v>Tage</x:v>
      </x:c>
      <x:c r="C1" s="14" t="str">
        <x:v>Systemziel</x:v>
      </x:c>
      <x:c r="D1" s="14" t="str">
        <x:v>Pflanzenziel</x:v>
      </x:c>
      <x:c r="E1" s="14" t="str">
        <x:v>Licht</x:v>
      </x:c>
      <x:c r="F1" s="14" t="str">
        <x:v>Klima</x:v>
      </x:c>
      <x:c r="G1" s="14" t="str">
        <x:v>Wurzel/Feed</x:v>
      </x:c>
      <x:c r="H1" s="14" t="str">
        <x:v>Training</x:v>
      </x:c>
      <x:c r="I1" s="14" t="str">
        <x:v>QA-Schwerpunkt</x:v>
      </x:c>
      <x:c r="J1" s="14" t="str">
        <x:v>Go/No-Go</x:v>
      </x:c>
    </x:row>
    <x:row r="2">
      <x:c r="A2" s="32" t="str">
        <x:v>M1</x:v>
      </x:c>
      <x:c r="B2" s="62" t="str">
        <x:v>0–29</x:v>
      </x:c>
      <x:c r="C2" s="62" t="str">
        <x:v>Etablierung + Messsystem</x:v>
      </x:c>
      <x:c r="D2" s="62" t="str">
        <x:v>kompakte vitale Auto; Wurzeln im Endtopf</x:v>
      </x:c>
      <x:c r="E2" s="62" t="str">
        <x:v>160→550 PPFD</x:v>
      </x:c>
      <x:c r="F2" s="62" t="str">
        <x:v>25–25.5°C; 73→55% LF</x:v>
      </x:c>
      <x:c r="G2" s="62" t="str">
        <x:v>TNT→Coco Trigger; Root/Voodoo eng begrenzt</x:v>
      </x:c>
      <x:c r="H2" s="62" t="str">
        <x:v>LST ab 4–5 Nodes; Ende Strukturarbeit</x:v>
      </x:c>
      <x:c r="I2" s="62" t="str">
        <x:v>Bewässerung/Leckschutz, pH/EC, Baseline-PPFD, Wasserverbrauch</x:v>
      </x:c>
      <x:c r="J2" s="33" t="str">
        <x:v>keine Peak-Leistung vor stabilem System</x:v>
      </x:c>
    </x:row>
    <x:row r="3">
      <x:c r="A3" s="34" t="str">
        <x:v>M2</x:v>
      </x:c>
      <x:c r="B3" s="63" t="str">
        <x:v>30–59</x:v>
      </x:c>
      <x:c r="C3" s="63" t="str">
        <x:v>Produktion + Stabilität</x:v>
      </x:c>
      <x:c r="D3" s="63" t="str">
        <x:v>gleichmäßige offene Blütenkrone</x:v>
      </x:c>
      <x:c r="E3" s="63" t="str">
        <x:v>550→625 PPFD</x:v>
      </x:c>
      <x:c r="F3" s="63" t="str">
        <x:v>25→24°C; 53→45% LF</x:v>
      </x:c>
      <x:c r="G3" s="63" t="str">
        <x:v>HESI Coco; PowerZyme; Boost; konservatives PK spät</x:v>
      </x:c>
      <x:c r="H3" s="63" t="str">
        <x:v>nur Tuck/Support, Luftkanäle</x:v>
      </x:c>
      <x:c r="I3" s="63" t="str">
        <x:v>Drain-EC, RH-Nachtspitzen, Cola-Mould-Checks, Lampenmapping</x:v>
      </x:c>
      <x:c r="J3" s="35" t="str">
        <x:v>kein Boosterwechsel ohne Messgrund</x:v>
      </x:c>
    </x:row>
    <x:row r="4">
      <x:c r="A4" s="36" t="str">
        <x:v>M3</x:v>
      </x:c>
      <x:c r="B4" s="64" t="str">
        <x:v>60–80</x:v>
      </x:c>
      <x:c r="C4" s="64" t="str">
        <x:v>Qualität + Reife + Nachernte</x:v>
      </x:c>
      <x:c r="D4" s="64" t="str">
        <x:v>Reife ohne Überfütterung</x:v>
      </x:c>
      <x:c r="E4" s="64" t="str">
        <x:v>600→450 PPFD</x:v>
      </x:c>
      <x:c r="F4" s="64" t="str">
        <x:v>24→22.5°C; 45→42% LF</x:v>
      </x:c>
      <x:c r="G4" s="64" t="str">
        <x:v>Coco taper; Booster/PK aus</x:v>
      </x:c>
      <x:c r="H4" s="64" t="str">
        <x:v>keine HST</x:v>
      </x:c>
      <x:c r="I4" s="64" t="str">
        <x:v>Trichome/Calyx, Dry-room, Bestands-/Sicherheitslog</x:v>
      </x:c>
      <x:c r="J4" s="37" t="str">
        <x:v>Ernte nach Pflanze, nicht Breeder-Kalender</x:v>
      </x:c>
    </x:row>
    <x:row r="5">
      <x:c r="A5" s="1411" t="str">
        <x:v>KORRIGIERT: Monatsblöcke stimmen jetzt mit der Formel in 02_Daily_Master überein (0–29 / 30–59 / 60+).</x:v>
      </x:c>
      <x:c r="B5" s="1412"/>
      <x:c r="C5" s="1412"/>
      <x:c r="D5" s="1412"/>
      <x:c r="E5" s="1412"/>
      <x:c r="F5" s="1412"/>
      <x:c r="G5" s="1412"/>
      <x:c r="H5" s="1412"/>
      <x:c r="I5" s="1412"/>
      <x:c r="J5" s="1413"/>
    </x:row>
    <x:row r="7">
      <x:c r="A7" s="14" t="str">
        <x:v>Wartungsintervall</x:v>
      </x:c>
      <x:c r="B7" s="14" t="str">
        <x:v>Täglich</x:v>
      </x:c>
      <x:c r="C7" s="14" t="str">
        <x:v>Wöchentlich</x:v>
      </x:c>
      <x:c r="D7" s="14" t="str">
        <x:v>Monatlich/Run</x:v>
      </x:c>
      <x:c r="E7" s="14" t="str">
        <x:v>Kriterium</x:v>
      </x:c>
    </x:row>
    <x:row r="8">
      <x:c r="A8" s="32" t="str">
        <x:v>pH/EC-Messgeräte</x:v>
      </x:c>
      <x:c r="B8" s="62" t="str">
        <x:v>Abweichungen erkennen</x:v>
      </x:c>
      <x:c r="C8" s="62" t="str">
        <x:v>kalibrieren</x:v>
      </x:c>
      <x:c r="D8" s="62" t="str">
        <x:v>Elektrodenzustand prüfen</x:v>
      </x:c>
      <x:c r="E8" s="33" t="str">
        <x:v>keine Messung = keine Düngerkorrektur</x:v>
      </x:c>
    </x:row>
    <x:row r="9">
      <x:c r="A9" s="34" t="str">
        <x:v>Reservoir</x:v>
      </x:c>
      <x:c r="B9" s="63" t="str">
        <x:v>Temp/Füllstand/Geruch</x:v>
      </x:c>
      <x:c r="C9" s="63" t="str">
        <x:v>komplett reinigen</x:v>
      </x:c>
      <x:c r="D9" s="63" t="str">
        <x:v>Schläuche inspizieren</x:v>
      </x:c>
      <x:c r="E9" s="35" t="str">
        <x:v>keine organisch stagnierende Brühe</x:v>
      </x:c>
    </x:row>
    <x:row r="10">
      <x:c r="A10" s="34" t="str">
        <x:v>Bewässerung/Automation</x:v>
      </x:c>
      <x:c r="B10" s="63" t="str">
        <x:v>Feuchte/Leck täglich</x:v>
      </x:c>
      <x:c r="C10" s="63" t="str">
        <x:v>System-/Leitungsprüfung</x:v>
      </x:c>
      <x:c r="D10" s="63" t="str">
        <x:v>nach Hersteller-SOP warten</x:v>
      </x:c>
      <x:c r="E10" s="35" t="str">
        <x:v>nur indoor-freigegebene Automation als Reference</x:v>
      </x:c>
    </x:row>
    <x:row r="11">
      <x:c r="A11" s="34" t="str">
        <x:v>AKF/Abluft</x:v>
      </x:c>
      <x:c r="B11" s="63" t="str">
        <x:v>Unterdruck/Geruch</x:v>
      </x:c>
      <x:c r="C11" s="63" t="str">
        <x:v>Luftweg/Staub</x:v>
      </x:c>
      <x:c r="D11" s="63" t="str">
        <x:v>Filterzustand</x:v>
      </x:c>
      <x:c r="E11" s="35" t="str">
        <x:v>Geruch außerhalb = Alarm</x:v>
      </x:c>
    </x:row>
    <x:row r="12">
      <x:c r="A12" s="34" t="str">
        <x:v>Umluft</x:v>
      </x:c>
      <x:c r="B12" s="63" t="str">
        <x:v>tote Zonen</x:v>
      </x:c>
      <x:c r="C12" s="63" t="str">
        <x:v>Gitter reinigen</x:v>
      </x:c>
      <x:c r="D12" s="63" t="str">
        <x:v>Lager/Kabel prüfen</x:v>
      </x:c>
      <x:c r="E12" s="35" t="str">
        <x:v>keine direkte Dauerbeströmung einer Spitze</x:v>
      </x:c>
    </x:row>
    <x:row r="13">
      <x:c r="A13" s="34" t="str">
        <x:v>Canopy</x:v>
      </x:c>
      <x:c r="B13" s="63" t="str">
        <x:v>Blattstellung</x:v>
      </x:c>
      <x:c r="C13" s="63" t="str">
        <x:v>Maße + Standardfoto</x:v>
      </x:c>
      <x:c r="D13" s="63" t="str">
        <x:v>Runvergleich</x:v>
      </x:c>
      <x:c r="E13" s="35" t="str">
        <x:v>&lt;8 cm Höhenstreuung Ziel</x:v>
      </x:c>
    </x:row>
    <x:row r="14">
      <x:c r="A14" s="34" t="str">
        <x:v>Hygiene</x:v>
      </x:c>
      <x:c r="B14" s="63" t="str">
        <x:v>stehendes Wasser entfernen</x:v>
      </x:c>
      <x:c r="C14" s="63" t="str">
        <x:v>Tray/Werkzeuge reinigen</x:v>
      </x:c>
      <x:c r="D14" s="63" t="str">
        <x:v>Zelt komplett reinigen</x:v>
      </x:c>
      <x:c r="E14" s="35" t="str">
        <x:v>kein fremdes Pflanzenmaterial</x:v>
      </x:c>
    </x:row>
    <x:row r="15">
      <x:c r="A15" s="36" t="str">
        <x:v>Daten</x:v>
      </x:c>
      <x:c r="B15" s="64" t="str">
        <x:v>Tageseintrag</x:v>
      </x:c>
      <x:c r="C15" s="64" t="str">
        <x:v>Wochenreview</x:v>
      </x:c>
      <x:c r="D15" s="64" t="str">
        <x:v>Runreport</x:v>
      </x:c>
      <x:c r="E15" s="37" t="str">
        <x:v>eine Variable pro A/B-Test</x:v>
      </x:c>
    </x:row>
  </x:sheetData>
  <x:mergeCells>
    <x:mergeCell ref="A5:J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4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18" hidden="0" customWidth="1"/>
    <x:col min="3" max="3" width="24" hidden="0" customWidth="1"/>
  </x:cols>
  <x:sheetData>
    <x:row r="1">
      <x:c r="A1" s="1214" t="str">
        <x:v>MIX CALCULATOR v3 — fail-closed HESI + optional Athena/AN modules</x:v>
      </x:c>
      <x:c r="B1" s="1214" t="str">
        <x:v>MIX CALCULATOR v3 — fail-closed HESI + optional Athena/AN modules</x:v>
      </x:c>
      <x:c r="C1" s="1214" t="str">
        <x:v>MIX CALCULATOR v3 — fail-closed HESI + optional Athena/AN modules</x:v>
      </x:c>
      <x:c r="D1" s="1214" t="str">
        <x:v>MIX CALCULATOR v3 — fail-closed HESI + optional Athena/AN modules</x:v>
      </x:c>
      <x:c r="E1" s="1214" t="str">
        <x:v>MIX CALCULATOR v3 — fail-closed HESI + optional Athena/AN modules</x:v>
      </x:c>
      <x:c r="F1" s="1214" t="str">
        <x:v>MIX CALCULATOR v3 — fail-closed HESI + optional Athena/AN modules</x:v>
      </x:c>
      <x:c r="G1" s="1214" t="str">
        <x:v>MIX CALCULATOR v3 — fail-closed HESI + optional Athena/AN modules</x:v>
      </x:c>
      <x:c r="H1" s="1214" t="str">
        <x:v>MIX CALCULATOR v3 — fail-closed HESI + optional Athena/AN modules</x:v>
      </x:c>
    </x:row>
    <x:row r="3" ht="24" customHeight="1">
      <x:c r="A3" s="1416" t="str">
        <x:v>Eingabe</x:v>
      </x:c>
      <x:c r="B3" s="1417" t="str">
        <x:v>Wert</x:v>
      </x:c>
      <x:c r="D3" s="708" t="str">
        <x:v>Produkt</x:v>
      </x:c>
      <x:c r="E3" s="708" t="str">
        <x:v>ml/L</x:v>
      </x:c>
      <x:c r="F3" s="708" t="str">
        <x:v>Batch ml</x:v>
      </x:c>
      <x:c r="G3" s="708" t="str">
        <x:v>Reservoir/Manual</x:v>
      </x:c>
      <x:c r="H3" s="708" t="str">
        <x:v>Regel</x:v>
      </x:c>
    </x:row>
    <x:row r="4" ht="24" customHeight="1">
      <x:c r="A4" s="1156" t="str">
        <x:v>Run-Tag</x:v>
      </x:c>
      <x:c r="B4" s="1426" t="n">
        <x:f>'01_Run_Config'!$B$5</x:f>
        <x:v>0</x:v>
      </x:c>
      <x:c r="D4" s="1240" t="str">
        <x:v>Athena Balance</x:v>
      </x:c>
      <x:c r="E4" s="1241" t="n">
        <x:f>IF('01_Run_Config'!$E$35="BLOCK",0,$B$6)</x:f>
        <x:v>0</x:v>
      </x:c>
      <x:c r="F4" s="1241" t="n">
        <x:f>IF(ISNUMBER(E4),E4*$B$5,"")</x:f>
        <x:v>0</x:v>
      </x:c>
      <x:c r="G4" s="1242" t="str">
        <x:v>WASSER ZUERST</x:v>
      </x:c>
      <x:c r="H4" s="1243" t="str">
        <x:f>IF('01_Run_Config'!$E$35="BLOCK","BLOCKED: Wasserchemie unbekannt; Athena-Dosis wird auf 0 gesetzt.","pH+ / K-Silikat. Nur gemessene Titration/Testbatch; kein Kalenderwert.")</x:f>
        <x:v>pH+ / K-Silikat. Nur gemessene Titration/Testbatch; kein Kalenderwert.</x:v>
      </x:c>
    </x:row>
    <x:row r="5" ht="24" customHeight="1">
      <x:c r="A5" s="1156" t="str">
        <x:v>Batchvolumen L</x:v>
      </x:c>
      <x:c r="B5" s="1423" t="n">
        <x:v>5</x:v>
      </x:c>
      <x:c r="D5" s="1244" t="str">
        <x:v>HESI Basis</x:v>
      </x:c>
      <x:c r="E5" s="1245" t="n">
        <x:f>VLOOKUP($B$4,'02_Daily_Master'!$A$2:$AH$82,22,FALSE)</x:f>
        <x:v>0</x:v>
      </x:c>
      <x:c r="F5" s="1245" t="n">
        <x:f>IF(ISNUMBER(E5),E5*$B$5,"")</x:f>
        <x:v>0</x:v>
      </x:c>
      <x:c r="G5" s="1246" t="str">
        <x:v>Tank</x:v>
      </x:c>
      <x:c r="H5" s="1247" t="str">
        <x:v>EC-Ziel und Pflanzenreaktion kontrollieren die finale Basisstärke.</x:v>
      </x:c>
    </x:row>
    <x:row r="6" ht="24" customHeight="1">
      <x:c r="A6" s="1156" t="str">
        <x:v>Athena Balance ml/L (titr.)</x:v>
      </x:c>
      <x:c r="B6" s="1714" t="n">
        <x:f>'01_Run_Config'!$B$22</x:f>
        <x:v>0</x:v>
      </x:c>
      <x:c r="D6" s="1244" t="str">
        <x:v>HESI CalMag</x:v>
      </x:c>
      <x:c r="E6" s="1245" t="n">
        <x:f>$B$7</x:f>
        <x:v>0</x:v>
      </x:c>
      <x:c r="F6" s="1245" t="n">
        <x:f>IF(ISNUMBER(E6),E6*$B$5,"")</x:f>
        <x:v>0</x:v>
      </x:c>
      <x:c r="G6" s="1246" t="str">
        <x:v>Tank</x:v>
      </x:c>
      <x:c r="H6" s="1247" t="str">
        <x:v>nur bei Wasseranalyse/Bedarf.</x:v>
      </x:c>
    </x:row>
    <x:row r="7" ht="24" customHeight="1">
      <x:c r="A7" s="1156" t="str">
        <x:v>CalMag ml/L</x:v>
      </x:c>
      <x:c r="B7" s="1431" t="n">
        <x:f>'01_Run_Config'!$B$17</x:f>
        <x:v>0</x:v>
      </x:c>
      <x:c r="D7" s="1244" t="str">
        <x:v>Wurzel Complex</x:v>
      </x:c>
      <x:c r="E7" s="1245" t="n">
        <x:f>VLOOKUP($B$4,'02_Daily_Master'!$A$2:$AH$82,23,FALSE)</x:f>
        <x:v>0</x:v>
      </x:c>
      <x:c r="F7" s="1245" t="n">
        <x:f>IF(ISNUMBER(E7),E7*$B$5,"")</x:f>
        <x:v>0</x:v>
      </x:c>
      <x:c r="G7" s="1246" t="str">
        <x:v>Manual</x:v>
      </x:c>
      <x:c r="H7" s="1247" t="str">
        <x:v>definierte Frühgaben.</x:v>
      </x:c>
    </x:row>
    <x:row r="8" ht="24" customHeight="1">
      <x:c r="A8" s="1156" t="str">
        <x:v>GM Pilot-Faktor vs Label (Info)</x:v>
      </x:c>
      <x:c r="B8" s="1430" t="n">
        <x:f>'01_Run_Config'!$B$28</x:f>
        <x:v>0.5</x:v>
      </x:c>
      <x:c r="D8" s="1244" t="str">
        <x:v>PowerZyme</x:v>
      </x:c>
      <x:c r="E8" s="1245" t="n">
        <x:f>VLOOKUP($B$4,'02_Daily_Master'!$A$2:$AH$82,24,FALSE)</x:f>
        <x:v>0</x:v>
      </x:c>
      <x:c r="F8" s="1245" t="n">
        <x:f>IF(ISNUMBER(E8),E8*$B$5,"")</x:f>
        <x:v>0</x:v>
      </x:c>
      <x:c r="G8" s="1246" t="str">
        <x:v>Manual/Wochenfeed</x:v>
      </x:c>
      <x:c r="H8" s="1247" t="str">
        <x:v>nicht + Sensizym im Reference.</x:v>
      </x:c>
    </x:row>
    <x:row r="9" ht="24" customHeight="1">
      <x:c r="A9" s="1158" t="str">
        <x:v>pH Down ml/L (tatsächlich)</x:v>
      </x:c>
      <x:c r="B9" s="1432" t="n">
        <x:f>'01_Run_Config'!$B$25</x:f>
        <x:v>0</x:v>
      </x:c>
      <x:c r="D9" s="1244" t="str">
        <x:v>SuperVit</x:v>
      </x:c>
      <x:c r="E9" s="1245" t="n">
        <x:f>VLOOKUP($B$4,'02_Daily_Master'!$A$2:$AH$82,25,FALSE)</x:f>
        <x:v>0</x:v>
      </x:c>
      <x:c r="F9" s="1245" t="n">
        <x:f>IF(ISNUMBER(E9),E9*$B$5,"")</x:f>
        <x:v>0</x:v>
      </x:c>
      <x:c r="G9" s="1246" t="str">
        <x:v>Batch</x:v>
      </x:c>
      <x:c r="H9" s="1247" t="str">
        <x:v>Mikrodosis.</x:v>
      </x:c>
    </x:row>
    <x:row r="10" ht="8" customHeight="1">
      <x:c r="A10" s="1375"/>
      <x:c r="B10" s="1376"/>
      <x:c r="D10" s="1244" t="str">
        <x:v>HESI Boost</x:v>
      </x:c>
      <x:c r="E10" s="1245" t="n">
        <x:f>VLOOKUP($B$4,'02_Daily_Master'!$A$2:$AH$82,27,FALSE)</x:f>
        <x:v>0</x:v>
      </x:c>
      <x:c r="F10" s="1245" t="n">
        <x:f>IF(ISNUMBER(E10),E10*$B$5,"")</x:f>
        <x:v>0</x:v>
      </x:c>
      <x:c r="G10" s="1246" t="str">
        <x:v>Manual/Wochenfeed</x:v>
      </x:c>
      <x:c r="H10" s="1247" t="str">
        <x:v>bei GM-Biostim-A/B konstant halten oder auslassen.</x:v>
      </x:c>
    </x:row>
    <x:row r="11">
      <x:c r="A11" s="1217" t="str">
        <x:v>Mischreihenfolge v2</x:v>
      </x:c>
      <x:c r="B11" s="1218" t="str">
        <x:v>UKD HESI Conservative + Athena Balance</x:v>
      </x:c>
      <x:c r="D11" s="1244" t="str">
        <x:v>PK13/14</x:v>
      </x:c>
      <x:c r="E11" s="1245" t="n">
        <x:f>VLOOKUP($B$4,'02_Daily_Master'!$A$2:$AH$82,28,FALSE)</x:f>
        <x:v>0</x:v>
      </x:c>
      <x:c r="F11" s="1245" t="n">
        <x:f>IF(ISNUMBER(E11),E11*$B$5,"")</x:f>
        <x:v>0</x:v>
      </x:c>
      <x:c r="G11" s="1246" t="str">
        <x:v>Manual/Wochenfeed</x:v>
      </x:c>
      <x:c r="H11" s="1247" t="str">
        <x:v>nicht + Big Bud/Overdrive im gleichen UKD-Test.</x:v>
      </x:c>
    </x:row>
    <x:row r="12">
      <x:c r="A12" s="1160" t="str">
        <x:v>1</x:v>
      </x:c>
      <x:c r="B12" s="1207" t="str">
        <x:v>Frisches Wasser; Ausgangs-pH, EC und Temperatur messen.</x:v>
      </x:c>
      <x:c r="D12" s="1248" t="str">
        <x:v>Voodoo Juice</x:v>
      </x:c>
      <x:c r="E12" s="1249" t="n">
        <x:f>VLOOKUP($B$4,'02_Daily_Master'!$A$2:$AH$82,29,FALSE)</x:f>
        <x:v>0</x:v>
      </x:c>
      <x:c r="F12" s="1249" t="n">
        <x:f>IF(ISNUMBER(E12),E12*$B$5,"")</x:f>
        <x:v>0</x:v>
      </x:c>
      <x:c r="G12" s="1250" t="str">
        <x:v>Frisch/Manual</x:v>
      </x:c>
      <x:c r="H12" s="1251" t="str">
        <x:v>definierte Frühfenster; kein stagnierender Dauertank.</x:v>
      </x:c>
    </x:row>
    <x:row r="13">
      <x:c r="A13" s="1162" t="str">
        <x:v>2</x:v>
      </x:c>
      <x:c r="B13" s="1200" t="str">
        <x:v>Athena Balance NUR nach Safety-Gate und Baseline-Testbatch: zuerst in Wasser einmischen. Es erhöht pH und liefert Kaliumsilikat; keine feste ml/L-Kalenderdosis.</x:v>
      </x:c>
      <x:c r="D13" s="1252" t="str">
        <x:v>pH Down</x:v>
      </x:c>
      <x:c r="E13" s="1253" t="n">
        <x:f>$B$9</x:f>
        <x:v>0</x:v>
      </x:c>
      <x:c r="F13" s="1253" t="n">
        <x:f>IF(ISNUMBER(E13),E13*$B$5,"")</x:f>
        <x:v>0</x:v>
      </x:c>
      <x:c r="G13" s="1254" t="str">
        <x:v>GANZ ZUM SCHLUSS</x:v>
      </x:c>
      <x:c r="H13" s="1255" t="str">
        <x:v>nur falls finaler Endmix über Ziel-pH liegt; Konzentration produktabhängig.</x:v>
      </x:c>
    </x:row>
    <x:row r="14">
      <x:c r="A14" s="1162" t="str">
        <x:v>3</x:v>
      </x:c>
      <x:c r="B14" s="1200" t="str">
        <x:v>Falls wasserchemisch nötig: CalMag einmischen.</x:v>
      </x:c>
      <x:c r="D14" s="1256" t="str">
        <x:v>GM A/B Modul</x:v>
      </x:c>
      <x:c r="E14" s="1257" t="str">
        <x:v>siehe GM-Blatt</x:v>
      </x:c>
      <x:c r="F14" s="1257"/>
      <x:c r="G14" s="1257" t="str">
        <x:v>Frisch/Manual</x:v>
      </x:c>
      <x:c r="H14" s="1258" t="str">
        <x:v>Siehe 25_AN_GrandMaster: Herstellerlabel + qualitative A/B-Empfehlung; keine automatisch validierte Hybrid-Dosis.</x:v>
      </x:c>
    </x:row>
    <x:row r="15">
      <x:c r="A15" s="1162" t="str">
        <x:v>4</x:v>
      </x:c>
      <x:c r="B15" s="1200" t="str">
        <x:v>HESI Basis vollständig einmischen.</x:v>
      </x:c>
      <x:c r="D15" s="1259" t="str">
        <x:v>Silizium Zusatz</x:v>
      </x:c>
      <x:c r="E15" s="1260" t="n">
        <x:v>0</x:v>
      </x:c>
      <x:c r="F15" s="1260" t="n">
        <x:v>0</x:v>
      </x:c>
      <x:c r="G15" s="1260" t="str">
        <x:v>AUS</x:v>
      </x:c>
      <x:c r="H15" s="1261" t="str">
        <x:v>Hesilicio/Rhino Skin standardmäßig AUS, wenn Athena Balance verwendet wird.</x:v>
      </x:c>
    </x:row>
    <x:row r="16">
      <x:c r="A16" s="1162" t="str">
        <x:v>5</x:v>
      </x:c>
      <x:c r="B16" s="1200" t="str">
        <x:v>Saubere mineralische Komponenten / HESI Support einzeln einmischen.</x:v>
      </x:c>
      <x:c r="D16" s="1262" t="str">
        <x:v>pH Perfect</x:v>
      </x:c>
      <x:c r="E16" s="1263" t="n">
        <x:v>0</x:v>
      </x:c>
      <x:c r="F16" s="1263" t="n">
        <x:v>0</x:v>
      </x:c>
      <x:c r="G16" s="1263" t="str">
        <x:v>ALT-SYSTEM</x:v>
      </x:c>
      <x:c r="H16" s="1264" t="str">
        <x:v>kein Additiv; nur Eigenschaft separater AN-Basislinien.</x:v>
      </x:c>
    </x:row>
    <x:row r="17">
      <x:c r="A17" s="1236" t="str">
        <x:v>6</x:v>
      </x:c>
      <x:c r="B17" s="1239" t="str">
        <x:v>GM-Modul nur gemäß 25_AN_GrandMaster; Mikroben/Carbos bevorzugt frisch/manuell. Herstellerlabel ist nicht automatisch HESI-Hybrid-validiert.</x:v>
      </x:c>
    </x:row>
    <x:row r="18">
      <x:c r="A18" s="1162" t="str">
        <x:v>7</x:v>
      </x:c>
      <x:c r="B18" s="1200" t="str">
        <x:v>EC messen und auf Zielbereich einstellen.</x:v>
      </x:c>
    </x:row>
    <x:row r="19" ht="26" customHeight="1">
      <x:c r="A19" s="1267" t="str">
        <x:v>8</x:v>
      </x:c>
      <x:c r="B19" s="1268" t="str">
        <x:v>5–10 min homogenisieren; finalen pH messen. 5.9 ist Arbeitssetpoint, HESI-Coco-Band 5.8–6.2.</x:v>
      </x:c>
      <x:c r="C19" s="14"/>
      <x:c r="D19" s="14"/>
    </x:row>
    <x:row r="20" ht="44" customHeight="1">
      <x:c r="A20" s="1196" t="str">
        <x:v>9</x:v>
      </x:c>
      <x:c r="B20" s="1198" t="str">
        <x:v>Nur wenn final zu hoch: pH Down vorsichtig dosieren. Nicht Athena Balance und Säure gegenseitig hoch/runter titrieren.</x:v>
      </x:c>
      <x:c r="C20" s="62"/>
      <x:c r="D20" s="33"/>
    </x:row>
    <x:row r="21" ht="44" customHeight="1">
      <x:c r="A21" s="1162" t="str">
        <x:v>10</x:v>
      </x:c>
      <x:c r="B21" s="1200" t="str">
        <x:v>Nie konzentriertes Athena Balance direkt mit pH Down, PK-Booster oder anderen Konzentraten zusammengeben.</x:v>
      </x:c>
      <x:c r="C21" s="63"/>
      <x:c r="D21" s="35"/>
    </x:row>
    <x:row r="22" ht="44" customHeight="1">
      <x:c r="A22" s="1164" t="str">
        <x:v>11</x:v>
      </x:c>
      <x:c r="B22" s="1203" t="str">
        <x:v>Reservoir/Automation falls genutzt: klare Lösung, Leck-/Durchflusskontrolle; biologische Zusätze nicht stagnieren lassen.</x:v>
      </x:c>
      <x:c r="C22" s="64"/>
      <x:c r="D22" s="37"/>
    </x:row>
    <x:row r="24">
      <x:c r="A24" s="707" t="str">
        <x:v>pH-ENTSCHEIDUNG · erst Endmix beurteilen</x:v>
      </x:c>
      <x:c r="B24" s="707"/>
      <x:c r="C24" s="707"/>
      <x:c r="D24" s="707"/>
      <x:c r="E24" s="707"/>
      <x:c r="F24" s="707"/>
      <x:c r="G24" s="707"/>
      <x:c r="H24" s="707"/>
    </x:row>
    <x:row r="25" ht="15" hidden="0" customHeight="1">
      <x:c r="A25" s="790" t="str">
        <x:v>Fall</x:v>
      </x:c>
      <x:c r="B25" s="790" t="str">
        <x:v>Endmix / Wasser</x:v>
      </x:c>
      <x:c r="C25" s="790" t="str">
        <x:v>Athena Balance</x:v>
      </x:c>
      <x:c r="D25" s="790" t="str">
        <x:v>pH Down</x:v>
      </x:c>
      <x:c r="E25" s="790" t="str">
        <x:v>Silizium</x:v>
      </x:c>
      <x:c r="F25" s="790" t="str">
        <x:v>Aktion</x:v>
      </x:c>
      <x:c r="G25" s="790" t="str">
        <x:v>Warum</x:v>
      </x:c>
      <x:c r="H25" s="790" t="str">
        <x:v>Status</x:v>
      </x:c>
    </x:row>
    <x:row r="26" ht="30" hidden="0" customHeight="1">
      <x:c r="A26" s="1160" t="str">
        <x:v>A</x:v>
      </x:c>
      <x:c r="B26" s="1206" t="str">
        <x:v>Endmix 5.8–6.2</x:v>
      </x:c>
      <x:c r="C26" s="1206" t="str">
        <x:v>0</x:v>
      </x:c>
      <x:c r="D26" s="1206" t="str">
        <x:v>0</x:v>
      </x:c>
      <x:c r="E26" s="1206" t="str">
        <x:v>kein Zusatz nötig</x:v>
      </x:c>
      <x:c r="F26" s="1206" t="str">
        <x:v>nichts ändern</x:v>
      </x:c>
      <x:c r="G26" s="1206" t="str">
        <x:v>HESI-Coco-Band bereits erreicht</x:v>
      </x:c>
      <x:c r="H26" s="1207" t="str">
        <x:v>OPTIMAL</x:v>
      </x:c>
    </x:row>
    <x:row r="27" ht="42" hidden="0" customHeight="1">
      <x:c r="A27" s="1162" t="str">
        <x:v>B</x:v>
      </x:c>
      <x:c r="B27" s="1201" t="str">
        <x:v>Baseline-Endmix &lt;5.8 + RO/weich + Source-pH/Ca/Mg/HCO3 gemessen</x:v>
      </x:c>
      <x:c r="C27" s="1201" t="str">
        <x:v>nächsten Batch vorsichtig titrieren</x:v>
      </x:c>
      <x:c r="D27" s="1201" t="str">
        <x:v>0</x:v>
      </x:c>
      <x:c r="E27" s="1201" t="str">
        <x:v>Balance deckt Si</x:v>
      </x:c>
      <x:c r="F27" s="1201" t="str">
        <x:v>kleinschrittiger Testbatch</x:v>
      </x:c>
      <x:c r="G27" s="1201" t="str">
        <x:v>Athena nennt keine universelle ml/L-Application-Rate</x:v>
      </x:c>
      <x:c r="H27" s="1200" t="str">
        <x:v>TEST</x:v>
      </x:c>
    </x:row>
    <x:row r="28" ht="36" hidden="0" customHeight="1">
      <x:c r="A28" s="1164" t="str">
        <x:v>C</x:v>
      </x:c>
      <x:c r="B28" s="1202" t="str">
        <x:v>final &gt;6.2</x:v>
      </x:c>
      <x:c r="C28" s="1202" t="str">
        <x:v>0</x:v>
      </x:c>
      <x:c r="D28" s="1202" t="str">
        <x:v>vorsichtig NACH Endmix</x:v>
      </x:c>
      <x:c r="E28" s="1202" t="str">
        <x:v>optional separate Si-Quelle</x:v>
      </x:c>
      <x:c r="F28" s="1202" t="str">
        <x:v>nur eine Richtung korrigieren</x:v>
      </x:c>
      <x:c r="G28" s="1202" t="str">
        <x:v>Balance würde pH weiter erhöhen; kein pH-Ping-Pong</x:v>
      </x:c>
      <x:c r="H28" s="1203" t="str">
        <x:v>KORRIGIEREN</x:v>
      </x:c>
    </x:row>
    <x:row r="29" ht="54" hidden="0" customHeight="1">
      <x:c r="A29" s="1733" t="str">
        <x:v>D</x:v>
      </x:c>
      <x:c r="B29" s="1731" t="str">
        <x:v>Endmix &lt;5.8, Wasserchemie unbekannt</x:v>
      </x:c>
      <x:c r="C29" s="1731" t="str">
        <x:v>BLOCK</x:v>
      </x:c>
      <x:c r="D29" s="1731" t="str">
        <x:v>0</x:v>
      </x:c>
      <x:c r="E29" s="1731" t="str">
        <x:v>0</x:v>
      </x:c>
      <x:c r="F29" s="1731" t="str">
        <x:v>erst Source-pH, Ca, Mg, HCO3/Alkalinität + Baseline-Endmix erfassen</x:v>
      </x:c>
      <x:c r="G29" s="1731" t="str">
        <x:v>unterbestimmte Titration darf keine operative Dosis erzeugen</x:v>
      </x:c>
      <x:c r="H29" s="1729" t="str">
        <x:v>BLOCK</x:v>
      </x:c>
    </x:row>
  </x:sheetData>
  <x:mergeCells>
    <x:mergeCell ref="A1:H1"/>
    <x:mergeCell ref="A24:H24"/>
  </x:mergeCells>
  <x:conditionalFormatting sqref="E4:F16">
    <x:cfRule type="expression" dxfId="51" priority="1">
      <x:formula>AND(ISNUMBER(E4),E4&gt;0)</x:formula>
    </x:cfRule>
  </x:conditionalFormatting>
  <x:conditionalFormatting sqref="H26:H28">
    <x:cfRule type="expression" dxfId="59" priority="2">
      <x:formula>H26="OPTIMAL"</x:formula>
    </x:cfRule>
    <x:cfRule type="expression" dxfId="60" priority="3">
      <x:formula>H26="TEST"</x:formula>
    </x:cfRule>
    <x:cfRule type="expression" dxfId="61" priority="4">
      <x:formula>H26="KORRIGIEREN"</x:formula>
    </x:cfRule>
  </x:conditionalFormatting>
  <x:dataValidations count="1">
    <x:dataValidation type="list" sqref="B7">
      <x:formula1>"Ja,Nein"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8" hidden="0" customWidth="1"/>
    <x:col min="5" max="5" width="25" hidden="0" customWidth="1"/>
    <x:col min="6" max="6" width="15" hidden="0" customWidth="1"/>
    <x:col min="7" max="7" width="42" hidden="0" customWidth="1"/>
    <x:col min="8" max="8" width="42" hidden="0" customWidth="1"/>
    <x:col min="9" max="9" width="45" hidden="0" customWidth="1"/>
    <x:col min="10" max="10" width="10" hidden="0" customWidth="1"/>
    <x:col min="11" max="11" width="40" hidden="0" customWidth="1"/>
    <x:col min="12" max="12" width="18" hidden="0" customWidth="1"/>
  </x:cols>
  <x:sheetData>
    <x:row r="1">
      <x:c r="A1" s="1614" t="str">
        <x:v>Produkt</x:v>
      </x:c>
      <x:c r="B1" s="1615" t="str">
        <x:v>Funktion</x:v>
      </x:c>
      <x:c r="C1" s="1615" t="str">
        <x:v>Herstellerdosis</x:v>
      </x:c>
      <x:c r="D1" s="1615" t="str">
        <x:v>UKD Custom Plan (NICHT Herstellerchart)</x:v>
      </x:c>
      <x:c r="E1" s="1615" t="str">
        <x:v>Phase/Fenster</x:v>
      </x:c>
      <x:c r="F1" s="1615" t="str">
        <x:v>Reservoir</x:v>
      </x:c>
      <x:c r="G1" s="1615" t="str">
        <x:v>Redundanz</x:v>
      </x:c>
      <x:c r="H1" s="1615" t="str">
        <x:v>Stop-Regel</x:v>
      </x:c>
      <x:c r="I1" s="1615" t="str">
        <x:v>Quelle</x:v>
      </x:c>
      <x:c r="J1" s="1615" t="str">
        <x:v>Evidenz</x:v>
      </x:c>
      <x:c r="K1" s="1615" t="str">
        <x:v>Kommentar</x:v>
      </x:c>
      <x:c r="L1" s="1616" t="str">
        <x:v>UKD Status</x:v>
      </x:c>
    </x:row>
    <x:row r="2">
      <x:c r="A2" s="1191" t="str">
        <x:v>TNT Complex</x:v>
      </x:c>
      <x:c r="B2" s="62" t="str">
        <x:v>Veg-Vollbasis</x:v>
      </x:c>
      <x:c r="C2" s="62" t="str">
        <x:v>5 ml/L; halb jung/kontinuierlich</x:v>
      </x:c>
      <x:c r="D2" s="62" t="str">
        <x:v>1.25→2.5 ml/L Planstart; bewusst unter 5 ml/L Label</x:v>
      </x:c>
      <x:c r="E2" s="62" t="str">
        <x:v>ab Nährstoffaufnahme bis klare Preflower</x:v>
      </x:c>
      <x:c r="F2" s="62" t="str">
        <x:v>ja</x:v>
      </x:c>
      <x:c r="G2" s="62" t="str">
        <x:v>nicht parallel zu Voll-HESI-Coco</x:v>
      </x:c>
      <x:c r="H2" s="62" t="str">
        <x:v>bei Spitzenbrand/Drain-EC hoch zuerst Stärke senken</x:v>
      </x:c>
      <x:c r="I2" s="62" t="str">
        <x:v>https://hesi.nl/de/TNT-COMPLEX</x:v>
      </x:c>
      <x:c r="J2" s="62" t="str">
        <x:v>A</x:v>
      </x:c>
      <x:c r="K2" s="62" t="str">
        <x:v>Label 5 ml/L; halb bei jungen/langfristig versorgten Pflanzen. UKD-Kurve ist konservative, nicht validierte Anpassung.</x:v>
      </x:c>
      <x:c r="L2" s="1192" t="str">
        <x:v>CORE</x:v>
      </x:c>
    </x:row>
    <x:row r="3">
      <x:c r="A3" s="1156" t="str">
        <x:v>HESI Coco</x:v>
      </x:c>
      <x:c r="B3" s="201" t="str">
        <x:v>Coco-Blütebasis</x:v>
      </x:c>
      <x:c r="C3" s="201" t="str">
        <x:v>5 ml/L bei jedem Gießen</x:v>
      </x:c>
      <x:c r="D3" s="201" t="str">
        <x:v>2.5→4.0→Taper; bewusst unter 5 ml/L Label</x:v>
      </x:c>
      <x:c r="E3" s="201" t="str">
        <x:v>Preflower bis Reife</x:v>
      </x:c>
      <x:c r="F3" s="201" t="str">
        <x:v>ja</x:v>
      </x:c>
      <x:c r="G3" s="201" t="str">
        <x:v>keine zweite Vollbasis</x:v>
      </x:c>
      <x:c r="H3" s="201" t="str">
        <x:v>pH nach Zugabe prüfen; EC/Blattzustand überschreiben Plan</x:v>
      </x:c>
      <x:c r="I3" s="201" t="str">
        <x:v>https://hesi.nl/de/COCO</x:v>
      </x:c>
      <x:c r="J3" s="201" t="str">
        <x:v>A</x:v>
      </x:c>
      <x:c r="K3" s="201" t="str">
        <x:v>Hersteller: 5 ml/L bei jedem Gießen. UKD-Kurve ist ein konservativer Auto-/140-W-Pilot, kein offizielles HESI-Schema.</x:v>
      </x:c>
      <x:c r="L3" s="1193" t="str">
        <x:v>CORE</x:v>
      </x:c>
    </x:row>
    <x:row r="4">
      <x:c r="A4" s="1156" t="str">
        <x:v>Wurzel Complex</x:v>
      </x:c>
      <x:c r="B4" s="201" t="str">
        <x:v>Root/Stress</x:v>
      </x:c>
      <x:c r="C4" s="201" t="str">
        <x:v>5 ml/L; halb bei häufiger/langer Nutzung</x:v>
      </x:c>
      <x:c r="D4" s="201" t="str">
        <x:v>2.5 ml/L definierte Frühgaben</x:v>
      </x:c>
      <x:c r="E4" s="201" t="str">
        <x:v>Etablierung/Veg; Stress</x:v>
      </x:c>
      <x:c r="F4" s="201" t="str">
        <x:v>manual/fresh</x:v>
      </x:c>
      <x:c r="G4" s="201" t="str">
        <x:v>Voodoo ergänzt andere Funktion, aber A/B überwachen</x:v>
      </x:c>
      <x:c r="H4" s="201" t="str">
        <x:v>nicht dauerhaft als Problem-Löser</x:v>
      </x:c>
      <x:c r="I4" s="201" t="str">
        <x:v>https://hesi.nl/de/Wurzel-Complex</x:v>
      </x:c>
      <x:c r="J4" s="201" t="str">
        <x:v>A</x:v>
      </x:c>
      <x:c r="K4" s="201" t="str">
        <x:v>Mikronährstoffe/Vitamine/Aminosäuren</x:v>
      </x:c>
      <x:c r="L4" s="1193" t="str">
        <x:v>CORE</x:v>
      </x:c>
    </x:row>
    <x:row r="5">
      <x:c r="A5" s="1156" t="str">
        <x:v>PowerZyme</x:v>
      </x:c>
      <x:c r="B5" s="201" t="str">
        <x:v>Enzym</x:v>
      </x:c>
      <x:c r="C5" s="201" t="str">
        <x:v>2 ml/L durchgehend</x:v>
      </x:c>
      <x:c r="D5" s="201" t="str">
        <x:v>2 ml/L als UKD-Wochenfeed</x:v>
      </x:c>
      <x:c r="E5" s="201" t="str">
        <x:v>gesamter Zyklus bis spät</x:v>
      </x:c>
      <x:c r="F5" s="201" t="str">
        <x:v>manual/kurz</x:v>
      </x:c>
      <x:c r="G5" s="201" t="str">
        <x:v>Sensizym redundant</x:v>
      </x:c>
      <x:c r="H5" s="201" t="str">
        <x:v>nicht + Sensizym im Reference</x:v>
      </x:c>
      <x:c r="I5" s="201" t="str">
        <x:v>https://hesi.nl/de/PowerZyme</x:v>
      </x:c>
      <x:c r="J5" s="201" t="str">
        <x:v>A</x:v>
      </x:c>
      <x:c r="K5" s="201" t="str">
        <x:v>Hersteller: 2 ml/L durchgängig während des gesamten Lebenszyklus. Wochenfeed = UKD-Reduktion ohne kontrollierten Wirksamkeitsnachweis.</x:v>
      </x:c>
      <x:c r="L5" s="1193" t="str">
        <x:v>CORE</x:v>
      </x:c>
    </x:row>
    <x:row r="6">
      <x:c r="A6" s="1156" t="str">
        <x:v>SuperVit</x:v>
      </x:c>
      <x:c r="B6" s="201" t="str">
        <x:v>Biostim</x:v>
      </x:c>
      <x:c r="C6" s="201" t="str">
        <x:v>1 ml/65 L</x:v>
      </x:c>
      <x:c r="D6" s="201" t="str">
        <x:v>0.015 ml/L pro frischem Batch</x:v>
      </x:c>
      <x:c r="E6" s="201" t="str">
        <x:v>gesamter Zyklus</x:v>
      </x:c>
      <x:c r="F6" s="201" t="str">
        <x:v>ja</x:v>
      </x:c>
      <x:c r="G6" s="201" t="str">
        <x:v>B-52 teilweise funktionell redundant</x:v>
      </x:c>
      <x:c r="H6" s="201" t="str">
        <x:v>Mikrodosis nicht 'nach Gefühl' erhöhen</x:v>
      </x:c>
      <x:c r="I6" s="201" t="str">
        <x:v>https://hesi.nl/de/SUPERVIT</x:v>
      </x:c>
      <x:c r="J6" s="201" t="str">
        <x:v>A/D</x:v>
      </x:c>
      <x:c r="K6" s="201" t="str">
        <x:v>sehr geringe Dosis</x:v>
      </x:c>
      <x:c r="L6" s="1193" t="str">
        <x:v>CORE</x:v>
      </x:c>
    </x:row>
    <x:row r="7">
      <x:c r="A7" s="1156" t="str">
        <x:v>Hesilicio</x:v>
      </x:c>
      <x:c r="B7" s="201" t="str">
        <x:v>Silizium</x:v>
      </x:c>
      <x:c r="C7" s="201" t="str">
        <x:v>max 0.5 ml/L, ~1×/Woche</x:v>
      </x:c>
      <x:c r="D7" s="201" t="str">
        <x:v>AUS wenn Athena Balance genutzt wird</x:v>
      </x:c>
      <x:c r="E7" s="201" t="str">
        <x:v>Veg bis Late Flower</x:v>
      </x:c>
      <x:c r="F7" s="201" t="str">
        <x:v>nur Alternative</x:v>
      </x:c>
      <x:c r="G7" s="201" t="str">
        <x:v>Athena Balance/Rhino Skin redundant</x:v>
      </x:c>
      <x:c r="H7" s="201" t="str">
        <x:v>nur eine Siliziumquelle; Balance liefert bereits K-Silikat</x:v>
      </x:c>
      <x:c r="I7" s="201" t="str">
        <x:v>https://hesi.nl/de/Hesilicio</x:v>
      </x:c>
      <x:c r="J7" s="201" t="str">
        <x:v>A</x:v>
      </x:c>
      <x:c r="K7" s="201" t="str">
        <x:v>3% Orthokieselsäure</x:v>
      </x:c>
      <x:c r="L7" s="1193" t="str">
        <x:v>ALTERNATIVE</x:v>
      </x:c>
    </x:row>
    <x:row r="8">
      <x:c r="A8" s="1156" t="str">
        <x:v>Boost</x:v>
      </x:c>
      <x:c r="B8" s="201" t="str">
        <x:v>Blütestimulator</x:v>
      </x:c>
      <x:c r="C8" s="201" t="str">
        <x:v>2 ml/L regelmäßig</x:v>
      </x:c>
      <x:c r="D8" s="201" t="str">
        <x:v>2 ml/L als UKD-Wochenfeed</x:v>
      </x:c>
      <x:c r="E8" s="201" t="str">
        <x:v>Transition–Late Flower</x:v>
      </x:c>
      <x:c r="F8" s="201" t="str">
        <x:v>manual</x:v>
      </x:c>
      <x:c r="G8" s="201" t="str">
        <x:v>Bud Candy/CarboLoad/B-52 teilw. überlappend</x:v>
      </x:c>
      <x:c r="H8" s="201" t="str">
        <x:v>bei A/B-Bloomtest konstant halten oder weglassen</x:v>
      </x:c>
      <x:c r="I8" s="201" t="str">
        <x:v>https://hesi.nl/de/Boost</x:v>
      </x:c>
      <x:c r="J8" s="201" t="str">
        <x:v>A/D</x:v>
      </x:c>
      <x:c r="K8" s="201" t="str">
        <x:v>Hersteller: 2 ml/L regelmäßig/fortlaufend in der Blüte. Wochenfeed = UKD-Reduktion, nicht Herstellerchart.</x:v>
      </x:c>
      <x:c r="L8" s="1193" t="str">
        <x:v>OPTION/REF</x:v>
      </x:c>
    </x:row>
    <x:row r="9">
      <x:c r="A9" s="1156" t="str">
        <x:v>PK 13/14</x:v>
      </x:c>
      <x:c r="B9" s="201" t="str">
        <x:v>PK</x:v>
      </x:c>
      <x:c r="C9" s="201" t="str">
        <x:v>0.25–1.5 ml/L zweite Hälfte steigern</x:v>
      </x:c>
      <x:c r="D9" s="201" t="str">
        <x:v>0.25–0.5 ml/L gezielte Wochenfeeds</x:v>
      </x:c>
      <x:c r="E9" s="201" t="str">
        <x:v>Peak/Late Flower</x:v>
      </x:c>
      <x:c r="F9" s="201" t="str">
        <x:v>manual</x:v>
      </x:c>
      <x:c r="G9" s="201" t="str">
        <x:v>Big Bud/BB Coco/Overdrive PK-Redundanz</x:v>
      </x:c>
      <x:c r="H9" s="201" t="str">
        <x:v>kein PK-Push bei hohen EC/Spitzenbrand</x:v>
      </x:c>
      <x:c r="I9" s="201" t="str">
        <x:v>https://hesi.nl/de/PK-13-14</x:v>
      </x:c>
      <x:c r="J9" s="201" t="str">
        <x:v>A</x:v>
      </x:c>
      <x:c r="K9" s="201" t="str">
        <x:v>Hersteller warnt K-Überschuss→Ca/Mg-Mangel</x:v>
      </x:c>
      <x:c r="L9" s="1193" t="str">
        <x:v>OPTION</x:v>
      </x:c>
    </x:row>
    <x:row r="10">
      <x:c r="A10" s="1158" t="str">
        <x:v>CalMag</x:v>
      </x:c>
      <x:c r="B10" s="1194" t="str">
        <x:v>Ca/Mg/Fe</x:v>
      </x:c>
      <x:c r="C10" s="1194" t="str">
        <x:v>bis Wasser-EC 0.4–0.5; RO typ. 3–4 ml/5L</x:v>
      </x:c>
      <x:c r="D10" s="1194" t="str">
        <x:v>nur Wasseranalyse-/Bedarf</x:v>
      </x:c>
      <x:c r="E10" s="1194" t="str">
        <x:v>alle Phasen bei Bedarf</x:v>
      </x:c>
      <x:c r="F10" s="1194" t="str">
        <x:v>ja</x:v>
      </x:c>
      <x:c r="G10" s="1194" t="str">
        <x:v>Sensi CalMag Xtra redundant</x:v>
      </x:c>
      <x:c r="H10" s="1194" t="str">
        <x:v>nicht pauschal zusätzlich zu Ca/Mg-haltiger Basis</x:v>
      </x:c>
      <x:c r="I10" s="1194" t="str">
        <x:v>https://hesi.nl/de/CalMag</x:v>
      </x:c>
      <x:c r="J10" s="1194" t="str">
        <x:v>A</x:v>
      </x:c>
      <x:c r="K10" s="1194" t="str">
        <x:v>NPK 5-0-0; MgO/CaO</x:v>
      </x:c>
      <x:c r="L10" s="1195" t="str">
        <x:v>CONDITIONAL</x:v>
      </x:c>
    </x:row>
    <x:row r="12">
      <x:c r="A12" s="1625" t="str">
        <x:v>AUDIT: 'UKD HESI Conservative' ist ein projektspezifischer, reduzierter Plan. Herstellerlabel und UKD-Dosis/Cadence sind getrennte Datenebenen. Für TNT/Coco/PowerZyme/Boost ist die UKD-Kurve NICHT als Hersteller- oder wissenschaftlich bewiesenes Optimum zu lesen.</x:v>
      </x:c>
      <x:c r="B12" s="1626"/>
      <x:c r="C12" s="1626"/>
      <x:c r="D12" s="1626"/>
      <x:c r="E12" s="1626"/>
      <x:c r="F12" s="1626"/>
      <x:c r="G12" s="1626"/>
      <x:c r="H12" s="1626"/>
      <x:c r="I12" s="1626"/>
      <x:c r="J12" s="1626"/>
      <x:c r="K12" s="1626"/>
      <x:c r="L12" s="1627"/>
    </x:row>
    <x:row r="13">
      <x:c r="A13" s="1718" t="str">
        <x:v>FINISH / FLUSH SOURCE CONFLICT</x:v>
      </x:c>
      <x:c r="B13" s="1719"/>
      <x:c r="C13" s="1719"/>
      <x:c r="D13" s="1719"/>
      <x:c r="E13" s="1719"/>
      <x:c r="F13" s="1719"/>
      <x:c r="G13" s="1719"/>
      <x:c r="H13" s="1719"/>
      <x:c r="I13" s="1719"/>
      <x:c r="J13" s="1719"/>
      <x:c r="K13" s="1719"/>
      <x:c r="L13" s="1720"/>
    </x:row>
    <x:row r="14">
      <x:c r="A14" s="60" t="str">
        <x:v>HESI PK 13/14 manufacturer label</x:v>
      </x:c>
      <x:c r="B14" s="60" t="str">
        <x:v>Herstellerseite: letzte Woche vor Ernte nur reines Wasser.</x:v>
      </x:c>
      <x:c r="C14" s="60" t="str">
        <x:v>UKD v6 führt dies NICHT als universelles Qualitätsoptimum, sondern als Herstellerlabel/optionale ressourcensparende Finish-Variante.</x:v>
      </x:c>
      <x:c r="D14" s="60" t="str">
        <x:v>Die unabhängige Cannabis-Literatur zeigt nur geringe bzw. cultivarabhängige Qualitätswirkungen des Flushens.</x:v>
      </x:c>
      <x:c r="E14" s="60" t="str">
        <x:v>Wenn 'HESI-label-compliant finish' gewählt wird: letzte Woche Basis/PK aus und Wasserchemie/EC dokumentieren.</x:v>
      </x:c>
      <x:c r="F14" s="60"/>
      <x:c r="G14" s="60"/>
      <x:c r="H14" s="60"/>
      <x:c r="I14" s="60" t="str">
        <x:v>https://hesi.nl/de/PK-13-14</x:v>
      </x:c>
      <x:c r="J14" s="60" t="str">
        <x:v>A Hersteller + A Primärliteratur</x:v>
      </x:c>
      <x:c r="K14" s="60" t="str">
        <x:v>Explizite Abweichung statt stiller Vermischung.</x:v>
      </x:c>
      <x:c r="L14" s="60" t="str">
        <x:v>CONDITIONAL</x:v>
      </x:c>
    </x:row>
  </x:sheetData>
  <x:mergeCells>
    <x:mergeCell ref="A12:L13"/>
  </x:mergeCells>
  <x:conditionalFormatting sqref="L2:L10">
    <x:cfRule type="expression" dxfId="5" priority="1">
      <x:formula>ISNUMBER(SEARCH("CORE",L2))</x:formula>
    </x:cfRule>
    <x:cfRule type="expression" dxfId="6" priority="2">
      <x:formula>ISNUMBER(SEARCH("OPTION",L2))</x:formula>
    </x:cfRule>
    <x:cfRule type="expression" dxfId="7" priority="3">
      <x:formula>ISNUMBER(SEARCH("CONDITIONAL",L2))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350459b5a3446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241" t="str">
        <x:v>ALT-SYSTEM ONLY — pH Perfect ist eine AN-BASISTECHNOLOGIE, NICHT das im UKD gewünschte pH-Produkt</x:v>
      </x:c>
      <x:c r="B1" s="241"/>
      <x:c r="C1" s="241"/>
      <x:c r="D1" s="241"/>
      <x:c r="E1" s="241"/>
      <x:c r="F1" s="241"/>
      <x:c r="G1" s="241"/>
      <x:c r="H1" s="241"/>
      <x:c r="I1" s="241"/>
      <x:c r="J1" s="241"/>
      <x:c r="K1" s="241"/>
      <x:c r="L1" s="241"/>
      <x:c r="M1" s="241"/>
    </x:row>
    <x:row r="2">
      <x:c r="A2" s="3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33"/>
    </x:row>
    <x:row r="3">
      <x:c r="A3" s="251" t="str">
        <x:v>Produkt</x:v>
      </x:c>
      <x:c r="B3" s="206" t="str">
        <x:v>Klasse</x:v>
      </x:c>
      <x:c r="C3" s="206" t="str">
        <x:v>Grow W1</x:v>
      </x:c>
      <x:c r="D3" s="206" t="str">
        <x:v>G2</x:v>
      </x:c>
      <x:c r="E3" s="206" t="str">
        <x:v>G3</x:v>
      </x:c>
      <x:c r="F3" s="206" t="str">
        <x:v>G4</x:v>
      </x:c>
      <x:c r="G3" s="206" t="str">
        <x:v>Bloom W1</x:v>
      </x:c>
      <x:c r="H3" s="206" t="str">
        <x:v>B2</x:v>
      </x:c>
      <x:c r="I3" s="206" t="str">
        <x:v>B3</x:v>
      </x:c>
      <x:c r="J3" s="206" t="str">
        <x:v>B4</x:v>
      </x:c>
      <x:c r="K3" s="206" t="str">
        <x:v>B5</x:v>
      </x:c>
      <x:c r="L3" s="206" t="str">
        <x:v>B6</x:v>
      </x:c>
      <x:c r="M3" s="252" t="str">
        <x:v>B7</x:v>
      </x:c>
    </x:row>
    <x:row r="4">
      <x:c r="A4" s="32" t="str">
        <x:v>Sensi Coco Grow A</x:v>
      </x:c>
      <x:c r="B4" s="62" t="str">
        <x:v>Basis</x:v>
      </x:c>
      <x:c r="C4" s="62" t="n">
        <x:v>1</x:v>
      </x:c>
      <x:c r="D4" s="62" t="n">
        <x:v>2</x:v>
      </x:c>
      <x:c r="E4" s="62" t="n">
        <x:v>3</x:v>
      </x:c>
      <x:c r="F4" s="62" t="n">
        <x:v>4</x:v>
      </x:c>
      <x:c r="G4" s="62" t="n">
        <x:v>0</x:v>
      </x:c>
      <x:c r="H4" s="62" t="n">
        <x:v>0</x:v>
      </x:c>
      <x:c r="I4" s="62" t="n">
        <x:v>0</x:v>
      </x:c>
      <x:c r="J4" s="62" t="n">
        <x:v>0</x:v>
      </x:c>
      <x:c r="K4" s="62" t="n">
        <x:v>0</x:v>
      </x:c>
      <x:c r="L4" s="62" t="n">
        <x:v>0</x:v>
      </x:c>
      <x:c r="M4" s="33" t="n">
        <x:v>0</x:v>
      </x:c>
    </x:row>
    <x:row r="5">
      <x:c r="A5" s="34" t="str">
        <x:v>Sensi Coco Grow B</x:v>
      </x:c>
      <x:c r="B5" s="201" t="str">
        <x:v>Basis</x:v>
      </x:c>
      <x:c r="C5" s="201" t="n">
        <x:v>1</x:v>
      </x:c>
      <x:c r="D5" s="201" t="n">
        <x:v>2</x:v>
      </x:c>
      <x:c r="E5" s="201" t="n">
        <x:v>3</x:v>
      </x:c>
      <x:c r="F5" s="201" t="n">
        <x:v>4</x:v>
      </x:c>
      <x:c r="G5" s="201" t="n">
        <x:v>0</x:v>
      </x:c>
      <x:c r="H5" s="201" t="n">
        <x:v>0</x:v>
      </x:c>
      <x:c r="I5" s="201" t="n">
        <x:v>0</x:v>
      </x:c>
      <x:c r="J5" s="201" t="n">
        <x:v>0</x:v>
      </x:c>
      <x:c r="K5" s="201" t="n">
        <x:v>0</x:v>
      </x:c>
      <x:c r="L5" s="201" t="n">
        <x:v>0</x:v>
      </x:c>
      <x:c r="M5" s="35" t="n">
        <x:v>0</x:v>
      </x:c>
    </x:row>
    <x:row r="6">
      <x:c r="A6" s="34" t="str">
        <x:v>Sensi Coco Bloom A</x:v>
      </x:c>
      <x:c r="B6" s="201" t="str">
        <x:v>Basis</x:v>
      </x:c>
      <x:c r="C6" s="201" t="n">
        <x:v>0</x:v>
      </x:c>
      <x:c r="D6" s="201" t="n">
        <x:v>0</x:v>
      </x:c>
      <x:c r="E6" s="201" t="n">
        <x:v>0</x:v>
      </x:c>
      <x:c r="F6" s="201" t="n">
        <x:v>0</x:v>
      </x:c>
      <x:c r="G6" s="201" t="n">
        <x:v>4</x:v>
      </x:c>
      <x:c r="H6" s="201" t="n">
        <x:v>4</x:v>
      </x:c>
      <x:c r="I6" s="201" t="n">
        <x:v>4</x:v>
      </x:c>
      <x:c r="J6" s="201" t="n">
        <x:v>4</x:v>
      </x:c>
      <x:c r="K6" s="201" t="n">
        <x:v>4</x:v>
      </x:c>
      <x:c r="L6" s="201" t="n">
        <x:v>4</x:v>
      </x:c>
      <x:c r="M6" s="35" t="n">
        <x:v>4</x:v>
      </x:c>
    </x:row>
    <x:row r="7">
      <x:c r="A7" s="36" t="str">
        <x:v>Sensi Coco Bloom B</x:v>
      </x:c>
      <x:c r="B7" s="64" t="str">
        <x:v>Basis</x:v>
      </x:c>
      <x:c r="C7" s="64" t="n">
        <x:v>0</x:v>
      </x:c>
      <x:c r="D7" s="64" t="n">
        <x:v>0</x:v>
      </x:c>
      <x:c r="E7" s="64" t="n">
        <x:v>0</x:v>
      </x:c>
      <x:c r="F7" s="64" t="n">
        <x:v>0</x:v>
      </x:c>
      <x:c r="G7" s="64" t="n">
        <x:v>4</x:v>
      </x:c>
      <x:c r="H7" s="64" t="n">
        <x:v>4</x:v>
      </x:c>
      <x:c r="I7" s="64" t="n">
        <x:v>4</x:v>
      </x:c>
      <x:c r="J7" s="64" t="n">
        <x:v>4</x:v>
      </x:c>
      <x:c r="K7" s="64" t="n">
        <x:v>4</x:v>
      </x:c>
      <x:c r="L7" s="64" t="n">
        <x:v>4</x:v>
      </x:c>
      <x:c r="M7" s="37" t="n">
        <x:v>4</x:v>
      </x:c>
    </x:row>
    <x:row r="8">
      <x:c r="A8" s="34"/>
      <x:c r="B8" s="63"/>
      <x:c r="C8" s="63"/>
      <x:c r="D8" s="63"/>
      <x:c r="E8" s="63"/>
      <x:c r="F8" s="63"/>
      <x:c r="G8" s="63"/>
      <x:c r="H8" s="63"/>
      <x:c r="I8" s="63"/>
      <x:c r="J8" s="63"/>
      <x:c r="K8" s="63"/>
      <x:c r="L8" s="63"/>
      <x:c r="M8" s="35"/>
    </x:row>
    <x:row r="9">
      <x:c r="A9" s="34"/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3"/>
      <x:c r="M9" s="35"/>
    </x:row>
    <x:row r="10">
      <x:c r="A10" s="251" t="str">
        <x:v>Kernaussage</x:v>
      </x:c>
      <x:c r="B10" s="206" t="str">
        <x:v>Bedeutung</x:v>
      </x:c>
      <x:c r="C10" s="206" t="str">
        <x:v>UKD</x:v>
      </x:c>
      <x:c r="D10" s="206" t="str">
        <x:v>Quelle</x:v>
      </x:c>
      <x:c r="E10" s="63"/>
      <x:c r="F10" s="63"/>
      <x:c r="G10" s="63"/>
      <x:c r="H10" s="63"/>
      <x:c r="I10" s="63"/>
      <x:c r="J10" s="63"/>
      <x:c r="K10" s="63"/>
      <x:c r="L10" s="63"/>
      <x:c r="M10" s="35"/>
    </x:row>
    <x:row r="11">
      <x:c r="A11" s="253" t="str">
        <x:v>pH Perfect</x:v>
      </x:c>
      <x:c r="B11" s="254" t="str">
        <x:v>Eigenschaft der AN-Basis, kein Additiv</x:v>
      </x:c>
      <x:c r="C11" s="254" t="str">
        <x:v>nicht mit Athena Balance verwechseln</x:v>
      </x:c>
      <x:c r="D11" s="255" t="str">
        <x:v>https://www.advancednutrients.com/de/products/</x:v>
      </x:c>
      <x:c r="E11" s="64"/>
      <x:c r="F11" s="64"/>
      <x:c r="G11" s="64"/>
      <x:c r="H11" s="64"/>
      <x:c r="I11" s="64"/>
      <x:c r="J11" s="64"/>
      <x:c r="K11" s="64"/>
      <x:c r="L11" s="64"/>
      <x:c r="M11" s="37"/>
    </x:row>
    <x:row r="12">
      <x:c r="A12" s="34" t="str">
        <x:v>Cross-brand</x:v>
      </x:c>
      <x:c r="B12" s="201" t="str">
        <x:v>AN garantiert pH-Stabilisierung bei Fremdprodukten nicht</x:v>
      </x:c>
      <x:c r="C12" s="201" t="str">
        <x:v>HESI-Hybrid aktiv pH messen</x:v>
      </x:c>
      <x:c r="D12" s="35" t="str">
        <x:v>https://www.advancednutrients.com/de/products/b-52/</x:v>
      </x:c>
    </x:row>
    <x:row r="13">
      <x:c r="A13" s="259" t="str">
        <x:v>Reference</x:v>
      </x:c>
      <x:c r="B13" s="260" t="str">
        <x:v>UKD nutzt HESI + bedarfsabhängig Athena Balance</x:v>
      </x:c>
      <x:c r="C13" s="260" t="str">
        <x:v>dieses Blatt ist nur Alternative</x:v>
      </x:c>
      <x:c r="D13" s="261" t="str">
        <x:v>—</x:v>
      </x:c>
      <x:c r="E13" s="14"/>
      <x:c r="F13" s="14"/>
    </x:row>
    <x:row r="14">
      <x:c r="A14" s="32"/>
      <x:c r="B14" s="62"/>
      <x:c r="C14" s="62"/>
      <x:c r="D14" s="62"/>
      <x:c r="E14" s="62"/>
      <x:c r="F14" s="33"/>
    </x:row>
    <x:row r="15">
      <x:c r="A15" s="34"/>
      <x:c r="B15" s="63"/>
      <x:c r="C15" s="63"/>
      <x:c r="D15" s="63"/>
      <x:c r="E15" s="63"/>
      <x:c r="F15" s="35"/>
    </x:row>
    <x:row r="16">
      <x:c r="A16" s="34"/>
      <x:c r="B16" s="63"/>
      <x:c r="C16" s="63"/>
      <x:c r="D16" s="63"/>
      <x:c r="E16" s="63"/>
      <x:c r="F16" s="35"/>
    </x:row>
    <x:row r="17">
      <x:c r="A17" s="34"/>
      <x:c r="B17" s="63"/>
      <x:c r="C17" s="63"/>
      <x:c r="D17" s="63"/>
      <x:c r="E17" s="63"/>
      <x:c r="F17" s="35"/>
    </x:row>
    <x:row r="18">
      <x:c r="A18" s="34"/>
      <x:c r="B18" s="63"/>
      <x:c r="C18" s="63"/>
      <x:c r="D18" s="63"/>
      <x:c r="E18" s="63"/>
      <x:c r="F18" s="35"/>
    </x:row>
    <x:row r="19">
      <x:c r="A19" s="34"/>
      <x:c r="B19" s="63"/>
      <x:c r="C19" s="63"/>
      <x:c r="D19" s="63"/>
      <x:c r="E19" s="63"/>
      <x:c r="F19" s="35"/>
    </x:row>
    <x:row r="20">
      <x:c r="A20" s="36"/>
      <x:c r="B20" s="64"/>
      <x:c r="C20" s="64"/>
      <x:c r="D20" s="64"/>
      <x:c r="E20" s="64"/>
      <x:c r="F20" s="37"/>
    </x:row>
  </x:sheetData>
  <x:mergeCells>
    <x:mergeCell ref="A1:M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45" hidden="0" customWidth="1"/>
    <x:col min="8" max="8" width="45" hidden="0" customWidth="1"/>
    <x:col min="9" max="9" width="45" hidden="0" customWidth="1"/>
    <x:col min="10" max="10" width="10" hidden="0" customWidth="1"/>
  </x:cols>
  <x:sheetData>
    <x:row r="1">
      <x:c r="A1" s="14" t="str">
        <x:v>Run</x:v>
      </x:c>
      <x:c r="B1" s="14" t="str">
        <x:v>Konstante Basis</x:v>
      </x:c>
      <x:c r="C1" s="14" t="str">
        <x:v>Variable</x:v>
      </x:c>
      <x:c r="D1" s="14" t="str">
        <x:v>Testprodukt</x:v>
      </x:c>
      <x:c r="E1" s="14" t="str">
        <x:v>Vergleich</x:v>
      </x:c>
      <x:c r="F1" s="14" t="str">
        <x:v>Nicht gleichzeitig</x:v>
      </x:c>
      <x:c r="G1" s="14" t="str">
        <x:v>Messgrößen</x:v>
      </x:c>
      <x:c r="H1" s="14" t="str">
        <x:v>Mindestbedingung</x:v>
      </x:c>
      <x:c r="I1" s="14" t="str">
        <x:v>Interpretation</x:v>
      </x:c>
      <x:c r="J1" s="14" t="str">
        <x:v>Priorität</x:v>
      </x:c>
    </x:row>
    <x:row r="2">
      <x:c r="A2" s="1154" t="str">
        <x:v>R0 Baseline</x:v>
      </x:c>
      <x:c r="B2" s="1204" t="str">
        <x:v>UKD HESI Conservative</x:v>
      </x:c>
      <x:c r="C2" s="1204" t="str">
        <x:v>keine</x:v>
      </x:c>
      <x:c r="D2" s="1204" t="str">
        <x:v>—</x:v>
      </x:c>
      <x:c r="E2" s="1204" t="str">
        <x:v>—</x:v>
      </x:c>
      <x:c r="F2" s="1204" t="str">
        <x:v>keine Zusatztests</x:v>
      </x:c>
      <x:c r="G2" s="1204" t="str">
        <x:v>Ertrag trocken, Licht-kWh, g/kWh, Sensorik, Wasser, EC-Delta, Zyklus</x:v>
      </x:c>
      <x:c r="H2" s="1204" t="str">
        <x:v>vollständig dokumentierter Baseline-Run</x:v>
      </x:c>
      <x:c r="I2" s="1204" t="str">
        <x:v>Baseline; keine kausale Aussage über einzelne Produkte</x:v>
      </x:c>
      <x:c r="J2" s="1205" t="str">
        <x:v>1</x:v>
      </x:c>
    </x:row>
    <x:row r="3">
      <x:c r="A3" s="1156" t="str">
        <x:v>R1 PK</x:v>
      </x:c>
      <x:c r="B3" s="201" t="str">
        <x:v>UKD HESI Conservative ohne HESI PK</x:v>
      </x:c>
      <x:c r="C3" s="201" t="str">
        <x:v>PK-Bulker</x:v>
      </x:c>
      <x:c r="D3" s="201" t="str">
        <x:v>Big Bud</x:v>
      </x:c>
      <x:c r="E3" s="201" t="str">
        <x:v>HESI PK 13/14</x:v>
      </x:c>
      <x:c r="F3" s="201" t="str">
        <x:v>Big Bud Coco/Overdrive/HESI PK</x:v>
      </x:c>
      <x:c r="G3" s="201" t="str">
        <x:v>wie Baseline + Drain EC</x:v>
      </x:c>
      <x:c r="H3" s="201" t="str">
        <x:v>gleiche Sorte + möglichst gleicher Seedlot + gleiches Protokoll</x:v>
      </x:c>
      <x:c r="I3" s="201" t="str">
        <x:v>liefert einen vergleichenden Hinweis; Samenpflanzen sind nicht derselbe Genotyp</x:v>
      </x:c>
      <x:c r="J3" s="1193" t="str">
        <x:v>2</x:v>
      </x:c>
    </x:row>
    <x:row r="4">
      <x:c r="A4" s="1156" t="str">
        <x:v>R2 Enzym</x:v>
      </x:c>
      <x:c r="B4" s="201" t="str">
        <x:v>UKD HESI Conservative ohne PowerZyme</x:v>
      </x:c>
      <x:c r="C4" s="201" t="str">
        <x:v>Enzym</x:v>
      </x:c>
      <x:c r="D4" s="201" t="str">
        <x:v>Sensizym</x:v>
      </x:c>
      <x:c r="E4" s="201" t="str">
        <x:v>PowerZyme</x:v>
      </x:c>
      <x:c r="F4" s="201" t="str">
        <x:v>PowerZyme</x:v>
      </x:c>
      <x:c r="G4" s="201" t="str">
        <x:v>Wurzel-/Substratzustand, Wasserverbrauch, g/kWh</x:v>
      </x:c>
      <x:c r="H4" s="201" t="str">
        <x:v>gleiche Sorte/Seedlot; Umwelt eng dokumentiert</x:v>
      </x:c>
      <x:c r="I4" s="201" t="str">
        <x:v>explorativer N-of-1-Vergleich, keine kausale Isolierung</x:v>
      </x:c>
      <x:c r="J4" s="1193" t="str">
        <x:v>3</x:v>
      </x:c>
    </x:row>
    <x:row r="5">
      <x:c r="A5" s="1156" t="str">
        <x:v>R3 Silizium</x:v>
      </x:c>
      <x:c r="B5" s="201" t="str">
        <x:v>UKD HESI Conservative ohne Standard-Si</x:v>
      </x:c>
      <x:c r="C5" s="201" t="str">
        <x:v>Silizium</x:v>
      </x:c>
      <x:c r="D5" s="201" t="str">
        <x:v>Rhino Skin oder Hesilicio</x:v>
      </x:c>
      <x:c r="E5" s="201" t="str">
        <x:v>Athena Balance als Wasserconditioner getrennt betrachten</x:v>
      </x:c>
      <x:c r="F5" s="201" t="str">
        <x:v>weitere Siliziumquellen</x:v>
      </x:c>
      <x:c r="G5" s="201" t="str">
        <x:v>Stammsteifigkeit, Schäden, EC/K-Last, g/kWh</x:v>
      </x:c>
      <x:c r="H5" s="201" t="str">
        <x:v>Wasserchemie dokumentiert</x:v>
      </x:c>
      <x:c r="I5" s="201" t="str">
        <x:v>nur interpretierbar, wenn pH-/K-Unterschiede mitgedacht werden</x:v>
      </x:c>
      <x:c r="J5" s="1193" t="str">
        <x:v>4</x:v>
      </x:c>
    </x:row>
    <x:row r="6">
      <x:c r="A6" s="1156" t="str">
        <x:v>R4 Mikroben</x:v>
      </x:c>
      <x:c r="B6" s="201" t="str">
        <x:v>Rhiza + Wurzel Complex</x:v>
      </x:c>
      <x:c r="C6" s="201" t="str">
        <x:v>Mikrobenmodul</x:v>
      </x:c>
      <x:c r="D6" s="201" t="str">
        <x:v>Voodoo + Tarantula</x:v>
      </x:c>
      <x:c r="E6" s="201" t="str">
        <x:v>Voodoo allein</x:v>
      </x:c>
      <x:c r="F6" s="201" t="str">
        <x:v>Piranha/Plus</x:v>
      </x:c>
      <x:c r="G6" s="201" t="str">
        <x:v>Wurzelbild, Wasser, EC, Biofilm</x:v>
      </x:c>
      <x:c r="H6" s="201" t="str">
        <x:v>identische Hygiene-/Reservoirlogik</x:v>
      </x:c>
      <x:c r="I6" s="201" t="str">
        <x:v>explorativer Hinweis; mikrobielles Ausgangsmilieu ist nicht vollständig kontrolliert</x:v>
      </x:c>
      <x:c r="J6" s="1193" t="str">
        <x:v>5</x:v>
      </x:c>
    </x:row>
    <x:row r="7">
      <x:c r="A7" s="1158" t="str">
        <x:v>R5 Vollbasis</x:v>
      </x:c>
      <x:c r="B7" s="1194" t="str">
        <x:v>UGro Coco + gleiche Hardware</x:v>
      </x:c>
      <x:c r="C7" s="1194" t="str">
        <x:v>Vollbasissystem</x:v>
      </x:c>
      <x:c r="D7" s="1194" t="str">
        <x:v>AN Sensi Coco pH Perfect</x:v>
      </x:c>
      <x:c r="E7" s="1194" t="str">
        <x:v>HESI TNT→Coco</x:v>
      </x:c>
      <x:c r="F7" s="1194" t="str">
        <x:v>keine HESI-Basis</x:v>
      </x:c>
      <x:c r="G7" s="1194" t="str">
        <x:v>pH-Drift, EC, Licht-kWh, g/kWh, Qualität</x:v>
      </x:c>
      <x:c r="H7" s="1194" t="str">
        <x:v>mehrere wiederholte Runs erforderlich</x:v>
      </x:c>
      <x:c r="I7" s="1194" t="str">
        <x:v>großer Systemvergleich; zeitliche/Genotyp-Effekte bleiben bei Einzelruns Confounder</x:v>
      </x:c>
      <x:c r="J7" s="1195" t="str">
        <x:v>6</x:v>
      </x:c>
    </x:row>
    <x:row r="9">
      <x:c r="A9" s="1448" t="str">
        <x:v>METHODIK: Bei seed-grown Autoflowers sind zwei Runs derselben Sorte nicht genetisch identisch. Ein einzelner Wechsel zwischen Produkten ist daher ein N-of-1-/Quasi-Experiment. Stärkere Schlussfolgerungen erfordern Replikation über mehrere Pflanzen/Runs und möglichst denselben Seedlot.</x:v>
      </x:c>
      <x:c r="B9" s="1449"/>
      <x:c r="C9" s="1449"/>
      <x:c r="D9" s="1449"/>
      <x:c r="E9" s="1449"/>
      <x:c r="F9" s="1449"/>
      <x:c r="G9" s="1449"/>
      <x:c r="H9" s="1449"/>
      <x:c r="I9" s="1449"/>
      <x:c r="J9" s="1450"/>
    </x:row>
    <x:row r="10">
      <x:c r="A10" s="1451"/>
      <x:c r="B10" s="1452"/>
      <x:c r="C10" s="1452"/>
      <x:c r="D10" s="1452"/>
      <x:c r="E10" s="1452"/>
      <x:c r="F10" s="1452"/>
      <x:c r="G10" s="1452"/>
      <x:c r="H10" s="1452"/>
      <x:c r="I10" s="1452"/>
      <x:c r="J10" s="1453"/>
    </x:row>
  </x:sheetData>
  <x:mergeCells>
    <x:mergeCell ref="A9:J1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1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4" t="str">
        <x:v>Phase</x:v>
      </x:c>
      <x:c r="B1" s="14" t="str">
        <x:v>Tag</x:v>
      </x:c>
      <x:c r="C1" s="14" t="str">
        <x:v>REFERENCE-MODUS</x:v>
      </x:c>
      <x:c r="D1" s="14" t="str">
        <x:v>START-/BEOBACHTUNGSBAND L/Tag (nicht erzwingen)</x:v>
      </x:c>
      <x:c r="E1" s="14" t="str">
        <x:v>Drain-Ziel</x:v>
      </x:c>
      <x:c r="F1" s="14" t="str">
        <x:v>Kontrolle</x:v>
      </x:c>
      <x:c r="G1" s="14" t="str">
        <x:v>Eingriffsschwelle</x:v>
      </x:c>
      <x:c r="H1" s="14" t="str">
        <x:v>Aktion</x:v>
      </x:c>
    </x:row>
    <x:row r="2">
      <x:c r="A2" s="1154" t="str">
        <x:v>Vorbereitung</x:v>
      </x:c>
      <x:c r="B2" s="1204" t="str">
        <x:v>D-1</x:v>
      </x:c>
      <x:c r="C2" s="1204" t="str">
        <x:v>Manuell / indoor-freigegebene Automation</x:v>
      </x:c>
      <x:c r="D2" s="1204" t="str">
        <x:v>bis gleichmäßig feucht</x:v>
      </x:c>
      <x:c r="E2" s="1204" t="str">
        <x:v>kein Dauerdrain</x:v>
      </x:c>
      <x:c r="F2" s="1204" t="str">
        <x:v>Topfgewicht Baseline</x:v>
      </x:c>
      <x:c r="G2" s="1204" t="str">
        <x:v>trockenes Nest / Kanalbildung</x:v>
      </x:c>
      <x:c r="H2" s="1205" t="str">
        <x:v>Medium gleichmäßig sättigen</x:v>
      </x:c>
    </x:row>
    <x:row r="3">
      <x:c r="A3" s="1156" t="str">
        <x:v>Keimung</x:v>
      </x:c>
      <x:c r="B3" s="201" t="str">
        <x:v>0–3</x:v>
      </x:c>
      <x:c r="C3" s="201" t="str">
        <x:v>manueller Mikro-Ring</x:v>
      </x:c>
      <x:c r="D3" s="201" t="str">
        <x:v>0.03–0.08</x:v>
      </x:c>
      <x:c r="E3" s="201" t="str">
        <x:v>0</x:v>
      </x:c>
      <x:c r="F3" s="201" t="str">
        <x:v>Oberfläche + Topfgewicht</x:v>
      </x:c>
      <x:c r="G3" s="201" t="str">
        <x:v>stehende Nässe / Keimling kippt</x:v>
      </x:c>
      <x:c r="H3" s="1193" t="str">
        <x:v>Nicht nach Literzahl 'auffüllen'; Feuchte/Topfmasse und Sämlingsreaktion priorisieren.</x:v>
      </x:c>
    </x:row>
    <x:row r="4">
      <x:c r="A4" s="1156" t="str">
        <x:v>Etablierung</x:v>
      </x:c>
      <x:c r="B4" s="201" t="str">
        <x:v>4–7</x:v>
      </x:c>
      <x:c r="C4" s="201" t="str">
        <x:v>manuell</x:v>
      </x:c>
      <x:c r="D4" s="201" t="str">
        <x:v>0.08–0.15</x:v>
      </x:c>
      <x:c r="E4" s="201" t="str">
        <x:v>0</x:v>
      </x:c>
      <x:c r="F4" s="201" t="str">
        <x:v>Wurzelzone/Topfgewicht</x:v>
      </x:c>
      <x:c r="G4" s="201" t="str">
        <x:v>Topf bleibt dauerhaft schwer</x:v>
      </x:c>
      <x:c r="H4" s="1193" t="str">
        <x:v>Nicht nach Literzahl 'auffüllen'; Wurzelzonenfeuchte/Topfmasse priorisieren.</x:v>
      </x:c>
    </x:row>
    <x:row r="5">
      <x:c r="A5" s="1156" t="str">
        <x:v>Veg</x:v>
      </x:c>
      <x:c r="B5" s="201" t="str">
        <x:v>8–21</x:v>
      </x:c>
      <x:c r="C5" s="201" t="str">
        <x:v>manuell oder indoor-freigegebene Automation</x:v>
      </x:c>
      <x:c r="D5" s="201" t="str">
        <x:v>0.15–0.50</x:v>
      </x:c>
      <x:c r="E5" s="201" t="str">
        <x:v>nur Diagnose</x:v>
      </x:c>
      <x:c r="F5" s="201" t="str">
        <x:v>Topfgewicht/Feuchte + Input</x:v>
      </x:c>
      <x:c r="G5" s="201" t="str">
        <x:v>Salzrand / Diagnose-Runoff deutlich erhöht</x:v>
      </x:c>
      <x:c r="H5" s="1193" t="str">
        <x:v>Feed/Bewässerung prüfen</x:v>
      </x:c>
    </x:row>
    <x:row r="6">
      <x:c r="A6" s="1156" t="str">
        <x:v>Transition</x:v>
      </x:c>
      <x:c r="B6" s="201" t="str">
        <x:v>22–35</x:v>
      </x:c>
      <x:c r="C6" s="201" t="str">
        <x:v>wie Config</x:v>
      </x:c>
      <x:c r="D6" s="201" t="str">
        <x:v>0.40–1.00</x:v>
      </x:c>
      <x:c r="E6" s="201" t="str">
        <x:v>Diagnose 10–15% nur bei Bedarf</x:v>
      </x:c>
      <x:c r="F6" s="201" t="str">
        <x:v>Input/Runoff etwa 1×/W</x:v>
      </x:c>
      <x:c r="G6" s="201" t="str">
        <x:v>UKD-Heuristik: EC_out &gt; EC_in +0.3–0.4 wiederholt</x:v>
      </x:c>
      <x:c r="H6" s="1193" t="str">
        <x:v>keine EC-Erhöhung; Messmethode prüfen</x:v>
      </x:c>
    </x:row>
    <x:row r="7">
      <x:c r="A7" s="1156" t="str">
        <x:v>Peak</x:v>
      </x:c>
      <x:c r="B7" s="201" t="str">
        <x:v>36–56</x:v>
      </x:c>
      <x:c r="C7" s="201" t="str">
        <x:v>wie Config</x:v>
      </x:c>
      <x:c r="D7" s="201" t="str">
        <x:v>0.80–1.50</x:v>
      </x:c>
      <x:c r="E7" s="201" t="str">
        <x:v>Diagnose</x:v>
      </x:c>
      <x:c r="F7" s="201" t="str">
        <x:v>Wasserverbrauch/Leck/Topfgewicht</x:v>
      </x:c>
      <x:c r="G7" s="201" t="str">
        <x:v>ungeklärter Verbrauchssprung</x:v>
      </x:c>
      <x:c r="H7" s="1193" t="str">
        <x:v>Leck vs. Transpiration klären</x:v>
      </x:c>
    </x:row>
    <x:row r="8">
      <x:c r="A8" s="1156" t="str">
        <x:v>Late</x:v>
      </x:c>
      <x:c r="B8" s="201" t="str">
        <x:v>57–70</x:v>
      </x:c>
      <x:c r="C8" s="201" t="str">
        <x:v>wie Config</x:v>
      </x:c>
      <x:c r="D8" s="201" t="str">
        <x:v>0.60–1.30</x:v>
      </x:c>
      <x:c r="E8" s="201" t="str">
        <x:v>Diagnose</x:v>
      </x:c>
      <x:c r="F8" s="201" t="str">
        <x:v>Nacht-RH + Wasserverbrauch</x:v>
      </x:c>
      <x:c r="G8" s="201" t="str">
        <x:v>nasser Topf + sinkender Bedarf</x:v>
      </x:c>
      <x:c r="H8" s="1193" t="str">
        <x:v>Bewässerung reduzieren / Feed taper</x:v>
      </x:c>
    </x:row>
    <x:row r="9">
      <x:c r="A9" s="1156" t="str">
        <x:v>Harvest I</x:v>
      </x:c>
      <x:c r="B9" s="201" t="str">
        <x:v>71–76</x:v>
      </x:c>
      <x:c r="C9" s="201" t="str">
        <x:v>wie Config</x:v>
      </x:c>
      <x:c r="D9" s="201" t="str">
        <x:v>0.40–0.80</x:v>
      </x:c>
      <x:c r="E9" s="201" t="str">
        <x:v>kein Routineflush</x:v>
      </x:c>
      <x:c r="F9" s="201" t="str">
        <x:v>Reife + EC</x:v>
      </x:c>
      <x:c r="G9" s="201" t="str">
        <x:v>Salz hoch bei reifer Pflanze</x:v>
      </x:c>
      <x:c r="H9" s="1193" t="str">
        <x:v>kurzer Low-EC-Endlauf nur bei begründetem Bedarf</x:v>
      </x:c>
    </x:row>
    <x:row r="10">
      <x:c r="A10" s="1158" t="str">
        <x:v>Harvest II</x:v>
      </x:c>
      <x:c r="B10" s="1194" t="str">
        <x:v>77–80</x:v>
      </x:c>
      <x:c r="C10" s="1194" t="str">
        <x:v>wie Config</x:v>
      </x:c>
      <x:c r="D10" s="1194" t="str">
        <x:v>0.30–0.70</x:v>
      </x:c>
      <x:c r="E10" s="1194" t="str">
        <x:v>kein Routineflush</x:v>
      </x:c>
      <x:c r="F10" s="1194" t="str">
        <x:v>Reife + Wasserbedarf</x:v>
      </x:c>
      <x:c r="G10" s="1194" t="str">
        <x:v>Pflanze fertig / Verbrauch fällt</x:v>
      </x:c>
      <x:c r="H10" s="1195" t="str">
        <x:v>keine kalenderbasierte Überwässerung</x:v>
      </x:c>
    </x:row>
    <x:row r="11">
      <x:c r="A11" s="1723" t="str">
        <x:v>SAFETY: Alle Liter/Tag-Angaben sind empirische Start-/Beobachtungsbänder für dieses Setup, KEINE validierten Cannabis-Dosiswerte. Realer Bedarf hängt von Pflanzenmasse, VPD, Wurzelraum, Substratstruktur, Frequenz und Drainage ab. Band niemals erzwingen.</x:v>
      </x:c>
      <x:c r="B11" s="1723"/>
      <x:c r="C11" s="1723"/>
      <x:c r="D11" s="1723"/>
      <x:c r="E11" s="1723"/>
      <x:c r="F11" s="1723"/>
      <x:c r="G11" s="1723"/>
      <x:c r="H11" s="1723"/>
    </x:row>
    <x:row r="12">
      <x:c r="A12" s="1454" t="str">
        <x:v>TROPF-BLUMAT — LEGACY/RISIKOANALYSE, NICHT UKD-REFERENCE: Der Hersteller erklärt ausdrücklich, dass Tropf-Blumat nicht im Innenbereich verwendet werden darf. Sicherheitsmaßnahmen ändern diesen Herstellerstatus nicht.</x:v>
      </x:c>
      <x:c r="B12" s="1454"/>
      <x:c r="C12" s="1454"/>
      <x:c r="D12" s="1454"/>
      <x:c r="E12" s="1454"/>
      <x:c r="F12" s="1454"/>
      <x:c r="G12" s="1454"/>
      <x:c r="H12" s="1454"/>
    </x:row>
    <x:row r="13">
      <x:c r="A13" s="1455" t="str">
        <x:v>Tropf-Blumat OFF-LABEL</x:v>
      </x:c>
      <x:c r="B13" s="1455" t="str">
        <x:v>Herstellerstatus</x:v>
      </x:c>
      <x:c r="C13" s="1455" t="str">
        <x:v>UKD Status</x:v>
      </x:c>
      <x:c r="D13" s="1455" t="str">
        <x:v>Warum</x:v>
      </x:c>
      <x:c r="E13" s="1455" t="str">
        <x:v>Trigger</x:v>
      </x:c>
      <x:c r="F13" s="1455" t="str">
        <x:v>Aktion</x:v>
      </x:c>
      <x:c r="G13" s="1455" t="str">
        <x:v>Quelle</x:v>
      </x:c>
      <x:c r="H13" s="1455" t="str">
        <x:v>Priorität</x:v>
      </x:c>
    </x:row>
    <x:row r="14">
      <x:c r="A14" s="1154" t="str">
        <x:v>Indoor-Nutzung</x:v>
      </x:c>
      <x:c r="B14" s="1204" t="str">
        <x:v>Hersteller: nicht im Innenbereich verwenden</x:v>
      </x:c>
      <x:c r="C14" s="1204" t="str">
        <x:v>NICHT REFERENCE</x:v>
      </x:c>
      <x:c r="D14" s="1204" t="str">
        <x:v>Herstellerwarnung ist eindeutig</x:v>
      </x:c>
      <x:c r="E14" s="1204" t="str">
        <x:v>Planung</x:v>
      </x:c>
      <x:c r="F14" s="1204" t="str">
        <x:v>manuell oder indoor-freigegebenes System wählen</x:v>
      </x:c>
      <x:c r="G14" s="1204" t="str">
        <x:v>Blumat offizielle App/FAQ</x:v>
      </x:c>
      <x:c r="H14" s="1205" t="str">
        <x:v>KRITISCH</x:v>
      </x:c>
    </x:row>
    <x:row r="15">
      <x:c r="A15" s="1156" t="str">
        <x:v>Auffangwanne</x:v>
      </x:c>
      <x:c r="B15" s="201" t="str">
        <x:v>Schadensminderung nur</x:v>
      </x:c>
      <x:c r="C15" s="201" t="str">
        <x:v>keine Freigabe</x:v>
      </x:c>
      <x:c r="D15" s="201" t="str">
        <x:v>reduziert nur Folgeschaden</x:v>
      </x:c>
      <x:c r="E15" s="201" t="str">
        <x:v>Wasserleck</x:v>
      </x:c>
      <x:c r="F15" s="201" t="str">
        <x:v>Zufuhr stoppen</x:v>
      </x:c>
      <x:c r="G15" s="201" t="str">
        <x:v>UKD Engineering</x:v>
      </x:c>
      <x:c r="H15" s="1193" t="str">
        <x:v>HOCH</x:v>
      </x:c>
    </x:row>
    <x:row r="16">
      <x:c r="A16" s="1156" t="str">
        <x:v>Leckagesensor</x:v>
      </x:c>
      <x:c r="B16" s="201" t="str">
        <x:v>Schadensminderung</x:v>
      </x:c>
      <x:c r="C16" s="201" t="str">
        <x:v>keine Freigabe</x:v>
      </x:c>
      <x:c r="D16" s="201" t="str">
        <x:v>Alarm ersetzt keine Herstellerfreigabe</x:v>
      </x:c>
      <x:c r="E16" s="201" t="str">
        <x:v>Alarm</x:v>
      </x:c>
      <x:c r="F16" s="201" t="str">
        <x:v>Wasser/Strom sicher trennen</x:v>
      </x:c>
      <x:c r="G16" s="201" t="str">
        <x:v>UKD Engineering</x:v>
      </x:c>
      <x:c r="H16" s="1193" t="str">
        <x:v>HOCH</x:v>
      </x:c>
    </x:row>
    <x:row r="17">
      <x:c r="A17" s="1156" t="str">
        <x:v>Reservoirlimit</x:v>
      </x:c>
      <x:c r="B17" s="201" t="str">
        <x:v>Schadensminderung</x:v>
      </x:c>
      <x:c r="C17" s="201" t="str">
        <x:v>keine Freigabe</x:v>
      </x:c>
      <x:c r="D17" s="201" t="str">
        <x:v>Worst-case Volumen begrenzen</x:v>
      </x:c>
      <x:c r="E17" s="201" t="str">
        <x:v>Tankfüllung</x:v>
      </x:c>
      <x:c r="F17" s="201" t="str">
        <x:v>kleine Charge</x:v>
      </x:c>
      <x:c r="G17" s="201" t="str">
        <x:v>UKD Engineering</x:v>
      </x:c>
      <x:c r="H17" s="1193" t="str">
        <x:v>HOCH</x:v>
      </x:c>
    </x:row>
    <x:row r="18">
      <x:c r="A18" s="1156" t="str">
        <x:v>Flüssigdünger</x:v>
      </x:c>
      <x:c r="B18" s="201" t="str">
        <x:v>laut Blumat grundsätzlich im Tank möglich</x:v>
      </x:c>
      <x:c r="C18" s="201" t="str">
        <x:v>Leitungen überwachen</x:v>
      </x:c>
      <x:c r="D18" s="201" t="str">
        <x:v>Hersteller warnt vor Kristallisation über Zeit</x:v>
      </x:c>
      <x:c r="E18" s="201" t="str">
        <x:v>ungleiche Tropfung</x:v>
      </x:c>
      <x:c r="F18" s="201" t="str">
        <x:v>reinigen/ersetzen</x:v>
      </x:c>
      <x:c r="G18" s="201" t="str">
        <x:v>Blumat FAQ</x:v>
      </x:c>
      <x:c r="H18" s="1193" t="str">
        <x:v>HOCH</x:v>
      </x:c>
    </x:row>
    <x:row r="19">
      <x:c r="A19" s="1156" t="str">
        <x:v>Feuchteregelung</x:v>
      </x:c>
      <x:c r="B19" s="201" t="str">
        <x:v>Blumat reagiert ausschließlich auf Bodenfeuchte</x:v>
      </x:c>
      <x:c r="C19" s="201" t="str">
        <x:v>technisch nachvollziehbar</x:v>
      </x:c>
      <x:c r="D19" s="201" t="str">
        <x:v>kein zeitgesteuertes ml/Tag-System</x:v>
      </x:c>
      <x:c r="E19" s="201" t="str">
        <x:v>Feuchteänderung</x:v>
      </x:c>
      <x:c r="F19" s="201" t="str">
        <x:v>Sensorprinzip respektieren</x:v>
      </x:c>
      <x:c r="G19" s="201" t="str">
        <x:v>Blumat FAQ</x:v>
      </x:c>
      <x:c r="H19" s="1193" t="str">
        <x:v>MITTEL</x:v>
      </x:c>
    </x:row>
    <x:row r="20">
      <x:c r="A20" s="1158" t="str">
        <x:v>Mikroben/Carbos</x:v>
      </x:c>
      <x:c r="B20" s="1194" t="str">
        <x:v>keine spezifische Blumat-Freigabe abgeleitet</x:v>
      </x:c>
      <x:c r="C20" s="1194" t="str">
        <x:v>UKD nicht stagnierend</x:v>
      </x:c>
      <x:c r="D20" s="1194" t="str">
        <x:v>zusätzliche Biofilm-/Hygienevariable</x:v>
      </x:c>
      <x:c r="E20" s="1194" t="str">
        <x:v>Geruch/Schleim</x:v>
      </x:c>
      <x:c r="F20" s="1194" t="str">
        <x:v>frisch/separat oder anderes System</x:v>
      </x:c>
      <x:c r="G20" s="1194" t="str">
        <x:v>UKD Vorsicht</x:v>
      </x:c>
      <x:c r="H20" s="1195" t="str">
        <x:v>HOCH</x:v>
      </x:c>
    </x:row>
  </x:sheetData>
  <x:mergeCells>
    <x:mergeCell ref="A12:H12"/>
  </x:mergeCells>
  <x:dataValidations count="1">
    <x:dataValidation type="list" sqref="C14:C20">
      <x:formula1>"offen,OK,WARN,N/A"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9" hidden="0" customWidth="1"/>
    <x:col min="4" max="4" width="26" hidden="0" customWidth="1"/>
    <x:col min="5" max="5" width="12" hidden="0" customWidth="1"/>
    <x:col min="6" max="6" width="13" hidden="0" customWidth="1"/>
    <x:col min="7" max="7" width="13" hidden="0" customWidth="1"/>
    <x:col min="8" max="8" width="27" hidden="0" customWidth="1"/>
    <x:col min="9" max="9" width="11" hidden="0" customWidth="1"/>
    <x:col min="10" max="10" width="46" hidden="0" customWidth="1"/>
    <x:col min="11" max="11" width="46" hidden="0" customWidth="1"/>
    <x:col min="12" max="12" width="46" hidden="0" customWidth="1"/>
    <x:col min="13" max="13" width="13" hidden="0" customWidth="1"/>
  </x:cols>
  <x:sheetData>
    <x:row r="1">
      <x:c r="A1" s="14" t="str">
        <x:v>Phase</x:v>
      </x:c>
      <x:c r="B1" s="14" t="str">
        <x:v>PPFD</x:v>
      </x:c>
      <x:c r="C1" s="14" t="str">
        <x:v>DLI @18h</x:v>
      </x:c>
      <x:c r="D1" s="14" t="str">
        <x:v>Watt Start</x:v>
      </x:c>
      <x:c r="E1" s="14" t="str">
        <x:v>Abstand Start cm</x:v>
      </x:c>
      <x:c r="F1" s="14" t="str">
        <x:v>Temp an</x:v>
      </x:c>
      <x:c r="G1" s="14" t="str">
        <x:v>Temp aus</x:v>
      </x:c>
      <x:c r="H1" s="14" t="str">
        <x:v>LF</x:v>
      </x:c>
      <x:c r="I1" s="14" t="str">
        <x:v>Leaf-VPD est. kPa</x:v>
      </x:c>
      <x:c r="J1" s="14" t="str">
        <x:v>Grenze</x:v>
      </x:c>
      <x:c r="K1" s="14" t="str">
        <x:v>Regelkreis</x:v>
      </x:c>
      <x:c r="L1" s="14" t="str">
        <x:v>Kommentar</x:v>
      </x:c>
      <x:c r="M1" s="1645" t="str">
        <x:v>Air-VPD kPa</x:v>
      </x:c>
    </x:row>
    <x:row r="2">
      <x:c r="A2" s="32" t="str">
        <x:v>Keimung</x:v>
      </x:c>
      <x:c r="B2" s="62" t="n">
        <x:v>160</x:v>
      </x:c>
      <x:c r="C2" s="62" t="n">
        <x:v>10.4</x:v>
      </x:c>
      <x:c r="D2" s="62" t="n">
        <x:v>30</x:v>
      </x:c>
      <x:c r="E2" s="62" t="n">
        <x:v>55</x:v>
      </x:c>
      <x:c r="F2" s="62" t="n">
        <x:v>25</x:v>
      </x:c>
      <x:c r="G2" s="62" t="n">
        <x:v>22.5</x:v>
      </x:c>
      <x:c r="H2" s="62" t="n">
        <x:v>73</x:v>
      </x:c>
      <x:c r="I2" s="62" t="n">
        <x:f>ROUND(0.6108*EXP(17.27*(F2+'01_Run_Config'!$B$34)/(F2+'01_Run_Config'!$B$34+237.3))-(H2/100)*0.6108*EXP(17.27*F2/(F2+237.3)),2)</x:f>
        <x:v>0.67</x:v>
      </x:c>
      <x:c r="J2" s="62" t="str">
        <x:v>Kein PPFD-Upgrade bei Bleaching/Taco/Hitze/EC-Stress</x:v>
      </x:c>
      <x:c r="K2" s="62" t="str">
        <x:v>PPFD messen → Dimmer/Höhe → Temp/RH → Pflanze 24–48h beobachten</x:v>
      </x:c>
      <x:c r="L2" s="33" t="str">
        <x:v>Watt/Abstand nur Startpunkt; PPFD-Mapping dominiert.</x:v>
      </x:c>
      <x:c r="M2" s="1642" t="n">
        <x:f>ROUND(0.6108*EXP(17.27*F2/(F2+237.3))*(1-H2/100),2)</x:f>
        <x:v>0.86</x:v>
      </x:c>
    </x:row>
    <x:row r="3">
      <x:c r="A3" s="34" t="str">
        <x:v>Etablierung</x:v>
      </x:c>
      <x:c r="B3" s="63" t="n">
        <x:v>200</x:v>
      </x:c>
      <x:c r="C3" s="63" t="n">
        <x:v>13</x:v>
      </x:c>
      <x:c r="D3" s="63" t="n">
        <x:v>40</x:v>
      </x:c>
      <x:c r="E3" s="63" t="n">
        <x:v>52</x:v>
      </x:c>
      <x:c r="F3" s="63" t="n">
        <x:v>25</x:v>
      </x:c>
      <x:c r="G3" s="63" t="n">
        <x:v>22</x:v>
      </x:c>
      <x:c r="H3" s="63" t="n">
        <x:v>70</x:v>
      </x:c>
      <x:c r="I3" s="63" t="n">
        <x:f>ROUND(0.6108*EXP(17.27*(F3+'01_Run_Config'!$B$34)/(F3+'01_Run_Config'!$B$34+237.3))-(H3/100)*0.6108*EXP(17.27*F3/(F3+237.3)),2)</x:f>
        <x:v>0.77</x:v>
      </x:c>
      <x:c r="J3" s="63" t="str">
        <x:v>Kein PPFD-Upgrade bei Bleaching/Taco/Hitze/EC-Stress</x:v>
      </x:c>
      <x:c r="K3" s="63" t="str">
        <x:v>PPFD messen → Dimmer/Höhe → Temp/RH → Pflanze 24–48h beobachten</x:v>
      </x:c>
      <x:c r="L3" s="35" t="str">
        <x:v>Watt/Abstand nur Startpunkt; PPFD-Mapping dominiert.</x:v>
      </x:c>
      <x:c r="M3" s="1642" t="n">
        <x:f>ROUND(0.6108*EXP(17.27*F3/(F3+237.3))*(1-H3/100),2)</x:f>
        <x:v>0.95</x:v>
      </x:c>
    </x:row>
    <x:row r="4">
      <x:c r="A4" s="34" t="str">
        <x:v>Early Veg</x:v>
      </x:c>
      <x:c r="B4" s="63" t="n">
        <x:v>275</x:v>
      </x:c>
      <x:c r="C4" s="63" t="n">
        <x:v>17.8</x:v>
      </x:c>
      <x:c r="D4" s="63" t="n">
        <x:v>55</x:v>
      </x:c>
      <x:c r="E4" s="63" t="n">
        <x:v>48</x:v>
      </x:c>
      <x:c r="F4" s="63" t="n">
        <x:v>25.5</x:v>
      </x:c>
      <x:c r="G4" s="63" t="n">
        <x:v>22</x:v>
      </x:c>
      <x:c r="H4" s="63" t="n">
        <x:v>66</x:v>
      </x:c>
      <x:c r="I4" s="63" t="n">
        <x:f>ROUND(0.6108*EXP(17.27*(F4+'01_Run_Config'!$B$34)/(F4+'01_Run_Config'!$B$34+237.3))-(H4/100)*0.6108*EXP(17.27*F4/(F4+237.3)),2)</x:f>
        <x:v>0.92</x:v>
      </x:c>
      <x:c r="J4" s="63" t="str">
        <x:v>Kein PPFD-Upgrade bei Bleaching/Taco/Hitze/EC-Stress</x:v>
      </x:c>
      <x:c r="K4" s="63" t="str">
        <x:v>PPFD messen → Dimmer/Höhe → Temp/RH → Pflanze 24–48h beobachten</x:v>
      </x:c>
      <x:c r="L4" s="35" t="str">
        <x:v>Watt/Abstand nur Startpunkt; PPFD-Mapping dominiert.</x:v>
      </x:c>
      <x:c r="M4" s="1642" t="n">
        <x:f>ROUND(0.6108*EXP(17.27*F4/(F4+237.3))*(1-H4/100),2)</x:f>
        <x:v>1.11</x:v>
      </x:c>
    </x:row>
    <x:row r="5">
      <x:c r="A5" s="34" t="str">
        <x:v>Veg / LST</x:v>
      </x:c>
      <x:c r="B5" s="63" t="n">
        <x:v>350</x:v>
      </x:c>
      <x:c r="C5" s="63" t="n">
        <x:v>22.7</x:v>
      </x:c>
      <x:c r="D5" s="63" t="n">
        <x:v>75</x:v>
      </x:c>
      <x:c r="E5" s="63" t="n">
        <x:v>43</x:v>
      </x:c>
      <x:c r="F5" s="63" t="n">
        <x:v>25.5</x:v>
      </x:c>
      <x:c r="G5" s="63" t="n">
        <x:v>22</x:v>
      </x:c>
      <x:c r="H5" s="63" t="n">
        <x:v>62</x:v>
      </x:c>
      <x:c r="I5" s="63" t="n">
        <x:f>ROUND(0.6108*EXP(17.27*(F5+'01_Run_Config'!$B$34)/(F5+'01_Run_Config'!$B$34+237.3))-(H5/100)*0.6108*EXP(17.27*F5/(F5+237.3)),2)</x:f>
        <x:v>1.05</x:v>
      </x:c>
      <x:c r="J5" s="63" t="str">
        <x:v>Kein PPFD-Upgrade bei Bleaching/Taco/Hitze/EC-Stress</x:v>
      </x:c>
      <x:c r="K5" s="63" t="str">
        <x:v>PPFD messen → Dimmer/Höhe → Temp/RH → Pflanze 24–48h beobachten</x:v>
      </x:c>
      <x:c r="L5" s="35" t="str">
        <x:v>Watt/Abstand nur Startpunkt; PPFD-Mapping dominiert.</x:v>
      </x:c>
      <x:c r="M5" s="1642" t="n">
        <x:f>ROUND(0.6108*EXP(17.27*F5/(F5+237.3))*(1-H5/100),2)</x:f>
        <x:v>1.24</x:v>
      </x:c>
    </x:row>
    <x:row r="6">
      <x:c r="A6" s="34" t="str">
        <x:v>Preflower / Transition</x:v>
      </x:c>
      <x:c r="B6" s="63" t="n">
        <x:v>450</x:v>
      </x:c>
      <x:c r="C6" s="63" t="n">
        <x:v>29.2</x:v>
      </x:c>
      <x:c r="D6" s="63" t="n">
        <x:v>95</x:v>
      </x:c>
      <x:c r="E6" s="63" t="n">
        <x:v>40</x:v>
      </x:c>
      <x:c r="F6" s="63" t="n">
        <x:v>25.5</x:v>
      </x:c>
      <x:c r="G6" s="63" t="n">
        <x:v>22</x:v>
      </x:c>
      <x:c r="H6" s="63" t="n">
        <x:v>58</x:v>
      </x:c>
      <x:c r="I6" s="63" t="n">
        <x:f>ROUND(0.6108*EXP(17.27*(F6+'01_Run_Config'!$B$34)/(F6+'01_Run_Config'!$B$34+237.3))-(H6/100)*0.6108*EXP(17.27*F6/(F6+237.3)),2)</x:f>
        <x:v>1.18</x:v>
      </x:c>
      <x:c r="J6" s="63" t="str">
        <x:v>Kein PPFD-Upgrade bei Bleaching/Taco/Hitze/EC-Stress</x:v>
      </x:c>
      <x:c r="K6" s="63" t="str">
        <x:v>PPFD messen → Dimmer/Höhe → Temp/RH → Pflanze 24–48h beobachten</x:v>
      </x:c>
      <x:c r="L6" s="35" t="str">
        <x:v>Watt/Abstand nur Startpunkt; PPFD-Mapping dominiert.</x:v>
      </x:c>
      <x:c r="M6" s="1642" t="n">
        <x:f>ROUND(0.6108*EXP(17.27*F6/(F6+237.3))*(1-H6/100),2)</x:f>
        <x:v>1.37</x:v>
      </x:c>
    </x:row>
    <x:row r="7">
      <x:c r="A7" s="34" t="str">
        <x:v>Stretch / Early Flower</x:v>
      </x:c>
      <x:c r="B7" s="63" t="n">
        <x:v>550</x:v>
      </x:c>
      <x:c r="C7" s="63" t="n">
        <x:v>35.6</x:v>
      </x:c>
      <x:c r="D7" s="63" t="n">
        <x:v>120</x:v>
      </x:c>
      <x:c r="E7" s="63" t="n">
        <x:v>36</x:v>
      </x:c>
      <x:c r="F7" s="63" t="n">
        <x:v>25</x:v>
      </x:c>
      <x:c r="G7" s="63" t="n">
        <x:v>21.5</x:v>
      </x:c>
      <x:c r="H7" s="63" t="n">
        <x:v>53</x:v>
      </x:c>
      <x:c r="I7" s="63" t="n">
        <x:f>ROUND(0.6108*EXP(17.27*(F7+'01_Run_Config'!$B$34)/(F7+'01_Run_Config'!$B$34+237.3))-(H7/100)*0.6108*EXP(17.27*F7/(F7+237.3)),2)</x:f>
        <x:v>1.3</x:v>
      </x:c>
      <x:c r="J7" s="63" t="str">
        <x:v>Kein PPFD-Upgrade bei Bleaching/Taco/Hitze/EC-Stress</x:v>
      </x:c>
      <x:c r="K7" s="63" t="str">
        <x:v>PPFD messen → Dimmer/Höhe → Temp/RH → Pflanze 24–48h beobachten</x:v>
      </x:c>
      <x:c r="L7" s="35" t="str">
        <x:v>Watt/Abstand nur Startpunkt; PPFD-Mapping dominiert.</x:v>
      </x:c>
      <x:c r="M7" s="1642" t="n">
        <x:f>ROUND(0.6108*EXP(17.27*F7/(F7+237.3))*(1-H7/100),2)</x:f>
        <x:v>1.49</x:v>
      </x:c>
    </x:row>
    <x:row r="8">
      <x:c r="A8" s="34" t="str">
        <x:v>Flower I</x:v>
      </x:c>
      <x:c r="B8" s="63" t="n">
        <x:v>600</x:v>
      </x:c>
      <x:c r="C8" s="63" t="n">
        <x:v>38.9</x:v>
      </x:c>
      <x:c r="D8" s="63" t="n">
        <x:v>135</x:v>
      </x:c>
      <x:c r="E8" s="63" t="n">
        <x:v>34</x:v>
      </x:c>
      <x:c r="F8" s="63" t="n">
        <x:v>25</x:v>
      </x:c>
      <x:c r="G8" s="63" t="n">
        <x:v>21.5</x:v>
      </x:c>
      <x:c r="H8" s="63" t="n">
        <x:v>50</x:v>
      </x:c>
      <x:c r="I8" s="63" t="n">
        <x:f>ROUND(0.6108*EXP(17.27*(F8+'01_Run_Config'!$B$34)/(F8+'01_Run_Config'!$B$34+237.3))-(H8/100)*0.6108*EXP(17.27*F8/(F8+237.3)),2)</x:f>
        <x:v>1.4</x:v>
      </x:c>
      <x:c r="J8" s="63" t="str">
        <x:v>Kein PPFD-Upgrade bei Bleaching/Taco/Hitze/EC-Stress</x:v>
      </x:c>
      <x:c r="K8" s="63" t="str">
        <x:v>PPFD messen → Dimmer/Höhe → Temp/RH → Pflanze 24–48h beobachten</x:v>
      </x:c>
      <x:c r="L8" s="35" t="str">
        <x:v>Watt/Abstand nur Startpunkt; PPFD-Mapping dominiert.</x:v>
      </x:c>
      <x:c r="M8" s="1642" t="n">
        <x:f>ROUND(0.6108*EXP(17.27*F8/(F8+237.3))*(1-H8/100),2)</x:f>
        <x:v>1.58</x:v>
      </x:c>
    </x:row>
    <x:row r="9">
      <x:c r="A9" s="34" t="str">
        <x:v>Peak Flower</x:v>
      </x:c>
      <x:c r="B9" s="63" t="n">
        <x:v>625</x:v>
      </x:c>
      <x:c r="C9" s="63" t="n">
        <x:v>40.5</x:v>
      </x:c>
      <x:c r="D9" s="63" t="n">
        <x:v>140</x:v>
      </x:c>
      <x:c r="E9" s="63" t="n">
        <x:v>34</x:v>
      </x:c>
      <x:c r="F9" s="63" t="n">
        <x:v>24.5</x:v>
      </x:c>
      <x:c r="G9" s="63" t="n">
        <x:v>21</x:v>
      </x:c>
      <x:c r="H9" s="63" t="n">
        <x:v>47</x:v>
      </x:c>
      <x:c r="I9" s="63" t="n">
        <x:f>ROUND(0.6108*EXP(17.27*(F9+'01_Run_Config'!$B$34)/(F9+'01_Run_Config'!$B$34+237.3))-(H9/100)*0.6108*EXP(17.27*F9/(F9+237.3)),2)</x:f>
        <x:v>1.45</x:v>
      </x:c>
      <x:c r="J9" s="63" t="str">
        <x:v>Kein PPFD-Upgrade bei Bleaching/Taco/Hitze/EC-Stress</x:v>
      </x:c>
      <x:c r="K9" s="63" t="str">
        <x:v>PPFD messen → Dimmer/Höhe → Temp/RH → Pflanze 24–48h beobachten</x:v>
      </x:c>
      <x:c r="L9" s="35" t="str">
        <x:v>Watt/Abstand nur Startpunkt; PPFD-Mapping dominiert.</x:v>
      </x:c>
      <x:c r="M9" s="1642" t="n">
        <x:f>ROUND(0.6108*EXP(17.27*F9/(F9+237.3))*(1-H9/100),2)</x:f>
        <x:v>1.63</x:v>
      </x:c>
    </x:row>
    <x:row r="10">
      <x:c r="A10" s="34" t="str">
        <x:v>Late Flower</x:v>
      </x:c>
      <x:c r="B10" s="63" t="n">
        <x:v>600</x:v>
      </x:c>
      <x:c r="C10" s="63" t="n">
        <x:v>38.9</x:v>
      </x:c>
      <x:c r="D10" s="63" t="n">
        <x:v>130</x:v>
      </x:c>
      <x:c r="E10" s="63" t="n">
        <x:v>35</x:v>
      </x:c>
      <x:c r="F10" s="63" t="n">
        <x:v>24</x:v>
      </x:c>
      <x:c r="G10" s="63" t="n">
        <x:v>20.5</x:v>
      </x:c>
      <x:c r="H10" s="63" t="n">
        <x:v>45</x:v>
      </x:c>
      <x:c r="I10" s="63" t="n">
        <x:f>ROUND(0.6108*EXP(17.27*(F10+'01_Run_Config'!$B$34)/(F10+'01_Run_Config'!$B$34+237.3))-(H10/100)*0.6108*EXP(17.27*F10/(F10+237.3)),2)</x:f>
        <x:v>1.47</x:v>
      </x:c>
      <x:c r="J10" s="63" t="str">
        <x:v>Kein PPFD-Upgrade bei Bleaching/Taco/Hitze/EC-Stress</x:v>
      </x:c>
      <x:c r="K10" s="63" t="str">
        <x:v>PPFD messen → Dimmer/Höhe → Temp/RH → Pflanze 24–48h beobachten</x:v>
      </x:c>
      <x:c r="L10" s="35" t="str">
        <x:v>Watt/Abstand nur Startpunkt; PPFD-Mapping dominiert.</x:v>
      </x:c>
      <x:c r="M10" s="1642" t="n">
        <x:f>ROUND(0.6108*EXP(17.27*F10/(F10+237.3))*(1-H10/100),2)</x:f>
        <x:v>1.64</x:v>
      </x:c>
    </x:row>
    <x:row r="11">
      <x:c r="A11" s="34" t="str">
        <x:v>Ripening</x:v>
      </x:c>
      <x:c r="B11" s="63" t="n">
        <x:v>550</x:v>
      </x:c>
      <x:c r="C11" s="63" t="n">
        <x:v>35.6</x:v>
      </x:c>
      <x:c r="D11" s="63" t="n">
        <x:v>120</x:v>
      </x:c>
      <x:c r="E11" s="63" t="n">
        <x:v>37</x:v>
      </x:c>
      <x:c r="F11" s="63" t="n">
        <x:v>23.5</x:v>
      </x:c>
      <x:c r="G11" s="63" t="n">
        <x:v>20.5</x:v>
      </x:c>
      <x:c r="H11" s="63" t="n">
        <x:v>43</x:v>
      </x:c>
      <x:c r="I11" s="63" t="n">
        <x:f>ROUND(0.6108*EXP(17.27*(F11+'01_Run_Config'!$B$34)/(F11+'01_Run_Config'!$B$34+237.3))-(H11/100)*0.6108*EXP(17.27*F11/(F11+237.3)),2)</x:f>
        <x:v>1.48</x:v>
      </x:c>
      <x:c r="J11" s="63" t="str">
        <x:v>Kein PPFD-Upgrade bei Bleaching/Taco/Hitze/EC-Stress</x:v>
      </x:c>
      <x:c r="K11" s="63" t="str">
        <x:v>PPFD messen → Dimmer/Höhe → Temp/RH → Pflanze 24–48h beobachten</x:v>
      </x:c>
      <x:c r="L11" s="35" t="str">
        <x:v>Watt/Abstand nur Startpunkt; PPFD-Mapping dominiert.</x:v>
      </x:c>
      <x:c r="M11" s="1642" t="n">
        <x:f>ROUND(0.6108*EXP(17.27*F11/(F11+237.3))*(1-H11/100),2)</x:f>
        <x:v>1.65</x:v>
      </x:c>
    </x:row>
    <x:row r="12">
      <x:c r="A12" s="36" t="str">
        <x:v>Harvest Window</x:v>
      </x:c>
      <x:c r="B12" s="64" t="n">
        <x:v>500</x:v>
      </x:c>
      <x:c r="C12" s="64" t="n">
        <x:v>32.4</x:v>
      </x:c>
      <x:c r="D12" s="64" t="n">
        <x:v>105</x:v>
      </x:c>
      <x:c r="E12" s="64" t="n">
        <x:v>40</x:v>
      </x:c>
      <x:c r="F12" s="64" t="n">
        <x:v>23</x:v>
      </x:c>
      <x:c r="G12" s="64" t="n">
        <x:v>20</x:v>
      </x:c>
      <x:c r="H12" s="64" t="n">
        <x:v>42</x:v>
      </x:c>
      <x:c r="I12" s="64" t="n">
        <x:f>ROUND(0.6108*EXP(17.27*(F12+'01_Run_Config'!$B$34)/(F12+'01_Run_Config'!$B$34+237.3))-(H12/100)*0.6108*EXP(17.27*F12/(F12+237.3)),2)</x:f>
        <x:v>1.46</x:v>
      </x:c>
      <x:c r="J12" s="64" t="str">
        <x:v>Kein PPFD-Upgrade bei Bleaching/Taco/Hitze/EC-Stress</x:v>
      </x:c>
      <x:c r="K12" s="64" t="str">
        <x:v>PPFD messen → Dimmer/Höhe → Temp/RH → Pflanze 24–48h beobachten</x:v>
      </x:c>
      <x:c r="L12" s="37" t="str">
        <x:v>Watt/Abstand nur Startpunkt; PPFD-Mapping dominiert.</x:v>
      </x:c>
      <x:c r="M12" s="1642" t="n">
        <x:f>ROUND(0.6108*EXP(17.27*F12/(F12+237.3))*(1-H12/100),2)</x:f>
        <x:v>1.63</x:v>
      </x:c>
    </x:row>
    <x:row r="13">
      <x:c r="A13" s="1467" t="str">
        <x:v>Harvest Window II</x:v>
      </x:c>
      <x:c r="B13" s="1468" t="n">
        <x:v>450</x:v>
      </x:c>
      <x:c r="C13" s="1468" t="n">
        <x:v>29.2</x:v>
      </x:c>
      <x:c r="D13" s="1468" t="n">
        <x:v>90</x:v>
      </x:c>
      <x:c r="E13" s="1468" t="n">
        <x:v>42</x:v>
      </x:c>
      <x:c r="F13" s="1468" t="n">
        <x:v>22.5</x:v>
      </x:c>
      <x:c r="G13" s="1468" t="n">
        <x:v>20</x:v>
      </x:c>
      <x:c r="H13" s="1468" t="n">
        <x:v>42</x:v>
      </x:c>
      <x:c r="I13" s="1468" t="n">
        <x:f>ROUND(0.6108*EXP(17.27*(F13+'01_Run_Config'!$B$34)/(F13+'01_Run_Config'!$B$34+237.3))-(H13/100)*0.6108*EXP(17.27*F13/(F13+237.3)),2)</x:f>
        <x:v>1.42</x:v>
      </x:c>
      <x:c r="J13" s="1468" t="str">
        <x:v>Nur bei fortgesetztem Run; Ernte nach Reife, nicht Kalender</x:v>
      </x:c>
      <x:c r="K13" s="1468" t="str">
        <x:v>PPFD messen → Dimmer/Höhe → Klima → Pflanze beobachten</x:v>
      </x:c>
      <x:c r="L13" s="1468" t="str">
        <x:v>Tage 77–80 Plan-Taper; kein Qualitätsbeweis für Lichtreduktion.</x:v>
      </x:c>
      <x:c r="M13" s="1643" t="n">
        <x:f>ROUND(0.6108*EXP(17.27*F13/(F13+237.3))*(1-H13/100),2)</x:f>
        <x:v>1.58</x:v>
      </x:c>
    </x:row>
    <x:row r="14">
      <x:c r="A14" s="1406" t="str">
        <x:v>EVIDENZHINWEIS: 600–625 µmol/m²/s bei 18 h ist eine konservative UKD-Arbeitsobergrenze (DLI ≈39–40,5), kein wissenschaftlich bewiesenes Autoflower-Optimum. Viele Cannabis-Lichtstudien wurden an photoperiodischen Pflanzen unter 12 h durchgeführt.</x:v>
      </x:c>
      <x:c r="B14" s="1407"/>
      <x:c r="C14" s="1407"/>
      <x:c r="D14" s="1407"/>
      <x:c r="E14" s="1407"/>
      <x:c r="F14" s="1407"/>
      <x:c r="G14" s="1407"/>
      <x:c r="H14" s="1407"/>
      <x:c r="I14" s="1407"/>
      <x:c r="J14" s="1407"/>
      <x:c r="K14" s="1407"/>
      <x:c r="L14" s="1407"/>
      <x:c r="M14" s="1408"/>
    </x:row>
    <x:row r="15">
      <x:c r="A15" s="14" t="str">
        <x:v>9-Punkt PPFD Mapping</x:v>
      </x:c>
      <x:c r="B15" s="14" t="str">
        <x:v>Position</x:v>
      </x:c>
      <x:c r="C15" s="14" t="str">
        <x:v>Zielabweichung</x:v>
      </x:c>
      <x:c r="D15" s="14" t="str">
        <x:v>Aktion</x:v>
      </x:c>
      <x:c r="E15" s="1400" t="str">
        <x:v>PPFD IST</x:v>
      </x:c>
      <x:c r="F15" s="1400" t="str">
        <x:v>Δ vs Mittel</x:v>
      </x:c>
      <x:c r="G15" s="1400" t="str">
        <x:v>Status</x:v>
      </x:c>
      <x:c r="H15" s="1400" t="str">
        <x:v>Messnotiz</x:v>
      </x:c>
    </x:row>
    <x:row r="16">
      <x:c r="A16" s="32" t="str">
        <x:v>1</x:v>
      </x:c>
      <x:c r="B16" s="62" t="str">
        <x:v>vorn links</x:v>
      </x:c>
      <x:c r="C16" s="62" t="str">
        <x:v>±15% vom Mittel</x:v>
      </x:c>
      <x:c r="D16" s="33" t="str">
        <x:v>Höhe/Dimmer/Fixtureposition</x:v>
      </x:c>
      <x:c r="E16" s="1474"/>
      <x:c r="F16" s="1477" t="str">
        <x:f>IF(COUNT($E$16:$E$24)&lt;1,"",E16/AVERAGE($E$16:$E$24)-1)</x:f>
      </x:c>
      <x:c r="G16" t="str">
        <x:f>IF(E16="","",IF(ABS(F16)&lt;=0.15,"OK","PRÜFEN"))</x:f>
      </x:c>
    </x:row>
    <x:row r="17">
      <x:c r="A17" s="34" t="str">
        <x:v>2</x:v>
      </x:c>
      <x:c r="B17" s="63" t="str">
        <x:v>vorn Mitte</x:v>
      </x:c>
      <x:c r="C17" s="63" t="str">
        <x:v>±15%</x:v>
      </x:c>
      <x:c r="D17" s="35" t="str"/>
      <x:c r="E17" s="1475"/>
      <x:c r="F17" s="1477" t="str">
        <x:f>IF(COUNT($E$16:$E$24)&lt;1,"",E17/AVERAGE($E$16:$E$24)-1)</x:f>
      </x:c>
      <x:c r="G17" t="str">
        <x:f>IF(E17="","",IF(ABS(F17)&lt;=0.15,"OK","PRÜFEN"))</x:f>
      </x:c>
    </x:row>
    <x:row r="18">
      <x:c r="A18" s="34" t="str">
        <x:v>3</x:v>
      </x:c>
      <x:c r="B18" s="63" t="str">
        <x:v>vorn rechts</x:v>
      </x:c>
      <x:c r="C18" s="63" t="str">
        <x:v>±15%</x:v>
      </x:c>
      <x:c r="D18" s="35" t="str"/>
      <x:c r="E18" s="1475"/>
      <x:c r="F18" s="1477" t="str">
        <x:f>IF(COUNT($E$16:$E$24)&lt;1,"",E18/AVERAGE($E$16:$E$24)-1)</x:f>
      </x:c>
      <x:c r="G18" t="str">
        <x:f>IF(E18="","",IF(ABS(F18)&lt;=0.15,"OK","PRÜFEN"))</x:f>
      </x:c>
    </x:row>
    <x:row r="19">
      <x:c r="A19" s="34" t="str">
        <x:v>4</x:v>
      </x:c>
      <x:c r="B19" s="63" t="str">
        <x:v>Mitte links</x:v>
      </x:c>
      <x:c r="C19" s="63" t="str">
        <x:v>±15%</x:v>
      </x:c>
      <x:c r="D19" s="35" t="str"/>
      <x:c r="E19" s="1475"/>
      <x:c r="F19" s="1477" t="str">
        <x:f>IF(COUNT($E$16:$E$24)&lt;1,"",E19/AVERAGE($E$16:$E$24)-1)</x:f>
      </x:c>
      <x:c r="G19" t="str">
        <x:f>IF(E19="","",IF(ABS(F19)&lt;=0.15,"OK","PRÜFEN"))</x:f>
      </x:c>
    </x:row>
    <x:row r="20">
      <x:c r="A20" s="34" t="str">
        <x:v>5</x:v>
      </x:c>
      <x:c r="B20" s="63" t="str">
        <x:v>Zentrum</x:v>
      </x:c>
      <x:c r="C20" s="63" t="str">
        <x:v>±15%</x:v>
      </x:c>
      <x:c r="D20" s="35" t="str">
        <x:v>Hotspot vermeiden</x:v>
      </x:c>
      <x:c r="E20" s="1475"/>
      <x:c r="F20" s="1477" t="str">
        <x:f>IF(COUNT($E$16:$E$24)&lt;1,"",E20/AVERAGE($E$16:$E$24)-1)</x:f>
      </x:c>
      <x:c r="G20" t="str">
        <x:f>IF(E20="","",IF(ABS(F20)&lt;=0.15,"OK","PRÜFEN"))</x:f>
      </x:c>
    </x:row>
    <x:row r="21">
      <x:c r="A21" s="34" t="str">
        <x:v>6</x:v>
      </x:c>
      <x:c r="B21" s="63" t="str">
        <x:v>Mitte rechts</x:v>
      </x:c>
      <x:c r="C21" s="63" t="str">
        <x:v>±15%</x:v>
      </x:c>
      <x:c r="D21" s="35" t="str"/>
      <x:c r="E21" s="1475"/>
      <x:c r="F21" s="1477" t="str">
        <x:f>IF(COUNT($E$16:$E$24)&lt;1,"",E21/AVERAGE($E$16:$E$24)-1)</x:f>
      </x:c>
      <x:c r="G21" t="str">
        <x:f>IF(E21="","",IF(ABS(F21)&lt;=0.15,"OK","PRÜFEN"))</x:f>
      </x:c>
    </x:row>
    <x:row r="22">
      <x:c r="A22" s="34" t="str">
        <x:v>7</x:v>
      </x:c>
      <x:c r="B22" s="63" t="str">
        <x:v>hinten links</x:v>
      </x:c>
      <x:c r="C22" s="63" t="str">
        <x:v>±15%</x:v>
      </x:c>
      <x:c r="D22" s="35" t="str"/>
      <x:c r="E22" s="1475"/>
      <x:c r="F22" s="1477" t="str">
        <x:f>IF(COUNT($E$16:$E$24)&lt;1,"",E22/AVERAGE($E$16:$E$24)-1)</x:f>
      </x:c>
      <x:c r="G22" t="str">
        <x:f>IF(E22="","",IF(ABS(F22)&lt;=0.15,"OK","PRÜFEN"))</x:f>
      </x:c>
    </x:row>
    <x:row r="23">
      <x:c r="A23" s="34" t="str">
        <x:v>8</x:v>
      </x:c>
      <x:c r="B23" s="63" t="str">
        <x:v>hinten Mitte</x:v>
      </x:c>
      <x:c r="C23" s="63" t="str">
        <x:v>±15%</x:v>
      </x:c>
      <x:c r="D23" s="35" t="str"/>
      <x:c r="E23" s="1475"/>
      <x:c r="F23" s="1477" t="str">
        <x:f>IF(COUNT($E$16:$E$24)&lt;1,"",E23/AVERAGE($E$16:$E$24)-1)</x:f>
      </x:c>
      <x:c r="G23" t="str">
        <x:f>IF(E23="","",IF(ABS(F23)&lt;=0.15,"OK","PRÜFEN"))</x:f>
      </x:c>
    </x:row>
    <x:row r="24">
      <x:c r="A24" s="34" t="str">
        <x:v>9</x:v>
      </x:c>
      <x:c r="B24" s="63" t="str">
        <x:v>hinten rechts</x:v>
      </x:c>
      <x:c r="C24" s="63" t="str">
        <x:v>±15%</x:v>
      </x:c>
      <x:c r="D24" s="35" t="str"/>
      <x:c r="E24" s="1476"/>
      <x:c r="F24" s="1477" t="str">
        <x:f>IF(COUNT($E$16:$E$24)&lt;1,"",E24/AVERAGE($E$16:$E$24)-1)</x:f>
      </x:c>
      <x:c r="G24" t="str">
        <x:f>IF(E24="","",IF(ABS(F24)&lt;=0.15,"OK","PRÜFEN"))</x:f>
      </x:c>
    </x:row>
    <x:row r="25">
      <x:c r="A25" s="36" t="str">
        <x:v>Regel</x:v>
      </x:c>
      <x:c r="B25" s="64" t="str">
        <x:v>nach jeder relevanten Lampenhöhen-/Canopyänderung</x:v>
      </x:c>
      <x:c r="C25" s="64" t="str">
        <x:v>nicht Potthöhe messen</x:v>
      </x:c>
      <x:c r="D25" s="37" t="str">
        <x:v>Messung auf Canopyhöhe</x:v>
      </x:c>
    </x:row>
    <x:row r="27">
      <x:c r="A27" s="1482" t="str">
        <x:v>PPFD-QA</x:v>
      </x:c>
      <x:c r="B27" s="1482" t="str">
        <x:v>Wert</x:v>
      </x:c>
      <x:c r="C27" s="1482" t="str">
        <x:v>Interpretation</x:v>
      </x:c>
      <x:c r="D27" s="1482" t="str">
        <x:v>Status</x:v>
      </x:c>
    </x:row>
    <x:row r="28">
      <x:c r="A28" s="1154" t="str">
        <x:v>Mittel</x:v>
      </x:c>
      <x:c r="B28" s="1204" t="str">
        <x:f>IF(COUNT(E16:E24)&lt;9,"",AVERAGE(E16:E24))</x:f>
      </x:c>
      <x:c r="C28" s="1204" t="str">
        <x:v>arithmetisches Mittel der 9 Punkte</x:v>
      </x:c>
      <x:c r="D28" s="1205" t="str"/>
    </x:row>
    <x:row r="29">
      <x:c r="A29" s="1156" t="str">
        <x:v>Minimum</x:v>
      </x:c>
      <x:c r="B29" s="201" t="str">
        <x:f>IF(COUNT(E16:E24)&lt;9,"",MIN(E16:E24))</x:f>
      </x:c>
      <x:c r="C29" s="201" t="str">
        <x:v>niedrigster Messpunkt</x:v>
      </x:c>
      <x:c r="D29" s="1193" t="str"/>
    </x:row>
    <x:row r="30">
      <x:c r="A30" s="1156" t="str">
        <x:v>Maximum</x:v>
      </x:c>
      <x:c r="B30" s="201" t="str">
        <x:f>IF(COUNT(E16:E24)&lt;9,"",MAX(E16:E24))</x:f>
      </x:c>
      <x:c r="C30" s="201" t="str">
        <x:v>höchster Messpunkt</x:v>
      </x:c>
      <x:c r="D30" s="1193" t="str"/>
    </x:row>
    <x:row r="31">
      <x:c r="A31" s="1156" t="str">
        <x:v>Uniformity min/avg</x:v>
      </x:c>
      <x:c r="B31" s="1483" t="str">
        <x:f>IF(COUNT(E16:E24)&lt;9,"",MIN(E16:E24)/AVERAGE(E16:E24))</x:f>
      </x:c>
      <x:c r="C31" s="201" t="str">
        <x:v>höher = gleichmäßiger; kein universeller Cannabis-Grenzwert</x:v>
      </x:c>
      <x:c r="D31" s="1193" t="str"/>
    </x:row>
    <x:row r="32">
      <x:c r="A32" s="1158" t="str">
        <x:v>CV</x:v>
      </x:c>
      <x:c r="B32" s="1484" t="str">
        <x:f>IF(COUNT(E16:E24)&lt;9,"",STDEV.S(E16:E24)/AVERAGE(E16:E24))</x:f>
      </x:c>
      <x:c r="C32" s="1194" t="str">
        <x:v>UKD internes Ziel: ≤15%; Heuristik, kein Naturgesetz</x:v>
      </x:c>
      <x:c r="D32" s="1195" t="str"/>
    </x:row>
    <x:row r="33">
      <x:c r="A33" s="1724" t="str">
        <x:v>RH EVIDENCE 2025</x:v>
      </x:c>
      <x:c r="B33" s="1724" t="str">
        <x:v>Corredor-Perilla et al. verglichen 37–58% vs. extreme 78–98% canopy RH in EINEM CBD-dominanten Klon.</x:v>
      </x:c>
      <x:c r="C33" s="1724" t="str">
        <x:v>Extreme RH reduzierte Biomasse/Blüten und verzögerte Blüte.</x:v>
      </x:c>
      <x:c r="D33" s="1724" t="str">
        <x:v>Die Autoren sagen ausdrücklich, dass 37–58% Kontrollbereich NICHT als ideales Optimum zu lesen ist.</x:v>
      </x:c>
      <x:c r="E33" s="1724" t="str">
        <x:v>UKD-Folge: RH-Trajektorie bleibt Arbeitsrahmen; keine universelle 40–60%- oder 40–50%-Regel daraus ableiten.</x:v>
      </x:c>
      <x:c r="F33" s="1724"/>
      <x:c r="G33" s="1724"/>
      <x:c r="H33" s="1724"/>
      <x:c r="I33" s="1724"/>
      <x:c r="J33" s="1724"/>
      <x:c r="K33" s="1724"/>
      <x:c r="L33" s="1724"/>
      <x:c r="M33" s="1724" t="str">
        <x:v>https://www.frontiersin.org/journals/plant-science/articles/10.3389/fpls.2025.1678142/full</x:v>
      </x:c>
    </x:row>
    <x:row r="34">
      <x:c r="A34" s="1724" t="str">
        <x:v>AUTOFLOWER / PHOTOPERIOD</x:v>
      </x:c>
      <x:c r="B34" s="1724" t="str">
        <x:v>2024/2026 Genetikarbeiten bestätigen photoperiod-insensitive Autoflower-Typen.</x:v>
      </x:c>
      <x:c r="C34" s="1724" t="str">
        <x:v>Es fehlt weiterhin eine robuste 18h-vs-20h-vs-24h Optimumstudie für diese konkrete Genetik/Setup.</x:v>
      </x:c>
      <x:c r="D34" s="1724" t="str">
        <x:v>18 h ist UKD-Arbeitsphotoperiode, kein bewiesenes Optimum; DLI/Stress/Temperatur und Energieverbrauch sind mitzuwerten.</x:v>
      </x:c>
      <x:c r="E34" s="1724"/>
      <x:c r="F34" s="1724"/>
      <x:c r="G34" s="1724"/>
      <x:c r="H34" s="1724"/>
      <x:c r="I34" s="1724"/>
      <x:c r="J34" s="1724"/>
      <x:c r="K34" s="1724"/>
      <x:c r="L34" s="1724"/>
      <x:c r="M34" s="1724" t="str">
        <x:v>https://pubmed.ncbi.nlm.nih.gov/42168298/</x:v>
      </x:c>
    </x:row>
  </x:sheetData>
  <x:mergeCells>
    <x:mergeCell ref="A14:M14"/>
  </x:mergeCells>
  <x:conditionalFormatting sqref="B2:B1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{131DF822-4450-4528-0C14-B8C24EE0C46D}</x14:id>
        </x:ext>
      </x:extLst>
    </x:cfRule>
  </x:conditionalFormatting>
  <x:conditionalFormatting sqref="H2:H12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16:G24">
    <x:cfRule type="expression" dxfId="62" priority="3">
      <x:formula>G16="OK"</x:formula>
    </x:cfRule>
    <x:cfRule type="expression" dxfId="63" priority="4">
      <x:formula>G16="PRÜFEN"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31DF822-4450-4528-0C14-B8C24EE0C46D}">
            <x14:dataBar gradient="1">
              <x14:cfvo type="min"/>
              <x14:cfvo type="max"/>
              <x14:fillColor rgb="FFA02B93"/>
            </x14:dataBar>
          </x14:cfRule>
          <xm:sqref>B2:B12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2" hidden="0" customWidth="1"/>
    <x:col min="5" max="5" width="42" hidden="0" customWidth="1"/>
    <x:col min="6" max="6" width="24" hidden="0" customWidth="1"/>
    <x:col min="7" max="7" width="42" hidden="0" customWidth="1"/>
    <x:col min="8" max="8" width="42" hidden="0" customWidth="1"/>
  </x:cols>
  <x:sheetData>
    <x:row r="1">
      <x:c r="A1" s="14" t="str">
        <x:v>Zeitfenster</x:v>
      </x:c>
      <x:c r="B1" s="14" t="str">
        <x:v>Trigger</x:v>
      </x:c>
      <x:c r="C1" s="14" t="str">
        <x:v>Maßnahme</x:v>
      </x:c>
      <x:c r="D1" s="14" t="str">
        <x:v>Ziel</x:v>
      </x:c>
      <x:c r="E1" s="14" t="str">
        <x:v>Nicht tun</x:v>
      </x:c>
      <x:c r="F1" s="14" t="str">
        <x:v>Messwert</x:v>
      </x:c>
      <x:c r="G1" s="14" t="str">
        <x:v>Stop-Regel</x:v>
      </x:c>
      <x:c r="H1" s="14" t="str">
        <x:v>Dokumentation</x:v>
      </x:c>
    </x:row>
    <x:row r="2">
      <x:c r="A2" s="32" t="str">
        <x:v>D0–10</x:v>
      </x:c>
      <x:c r="B2" s="62" t="str">
        <x:v>Sämling/unter 4 Nodes</x:v>
      </x:c>
      <x:c r="C2" s="62" t="str">
        <x:v>keine Strukturarbeit</x:v>
      </x:c>
      <x:c r="D2" s="62" t="str">
        <x:v>Wurzel/Vitalität</x:v>
      </x:c>
      <x:c r="E2" s="62" t="str">
        <x:v>kein Toppen, kein Biegen</x:v>
      </x:c>
      <x:c r="F2" s="62" t="str">
        <x:v>Blattstellung/Wachstum</x:v>
      </x:c>
      <x:c r="G2" s="62" t="str">
        <x:v>jede Stressanzeige</x:v>
      </x:c>
      <x:c r="H2" s="33" t="str">
        <x:v>Topfoto 2×/W</x:v>
      </x:c>
    </x:row>
    <x:row r="3">
      <x:c r="A3" s="34" t="str">
        <x:v>D11–18</x:v>
      </x:c>
      <x:c r="B3" s="63" t="str">
        <x:v>4–5 kräftige Nodes</x:v>
      </x:c>
      <x:c r="C3" s="63" t="str">
        <x:v>Stamm ankern, graduell zum Rand biegen</x:v>
      </x:c>
      <x:c r="D3" s="63" t="str">
        <x:v>Apikaldominanz brechen ohne HST</x:v>
      </x:c>
      <x:c r="E3" s="63" t="str">
        <x:v>kein harter 90°-Knick</x:v>
      </x:c>
      <x:c r="F3" s="63" t="str">
        <x:v>Canopyhöhe</x:v>
      </x:c>
      <x:c r="G3" s="63" t="str">
        <x:v>bei verlangsamtem Wachstum stoppen</x:v>
      </x:c>
      <x:c r="H3" s="35" t="str">
        <x:v>vor/nach LST Foto</x:v>
      </x:c>
    </x:row>
    <x:row r="4">
      <x:c r="A4" s="34" t="str">
        <x:v>D19–28</x:v>
      </x:c>
      <x:c r="B4" s="63" t="str">
        <x:v>kräftige Seitenäste</x:v>
      </x:c>
      <x:c r="C4" s="63" t="str">
        <x:v>radial verteilen, alle 3–4 Tage feinjustieren</x:v>
      </x:c>
      <x:c r="D4" s="63" t="str">
        <x:v>6–10 gleich exponierte Tops</x:v>
      </x:c>
      <x:c r="E4" s="63" t="str">
        <x:v>keine wiederholten starken Eingriffe</x:v>
      </x:c>
      <x:c r="F4" s="63" t="str">
        <x:v>Höhenstreuung &lt;8 cm</x:v>
      </x:c>
      <x:c r="G4" s="63" t="str">
        <x:v>bei klarer Preflower strukturelles Training auslaufen</x:v>
      </x:c>
      <x:c r="H4" s="35" t="str">
        <x:v>Top-down Raster</x:v>
      </x:c>
    </x:row>
    <x:row r="5">
      <x:c r="A5" s="34" t="str">
        <x:v>D29–42</x:v>
      </x:c>
      <x:c r="B5" s="63" t="str">
        <x:v>Stretch/Blütenansatz</x:v>
      </x:c>
      <x:c r="C5" s="63" t="str">
        <x:v>Binder lockern, Triebe stützen, leaf-tuck</x:v>
      </x:c>
      <x:c r="D5" s="63" t="str">
        <x:v>Canopy offen und gleich hoch</x:v>
      </x:c>
      <x:c r="E5" s="63" t="str">
        <x:v>kein Toppen/Supercrop</x:v>
      </x:c>
      <x:c r="F5" s="63" t="str">
        <x:v>PPFD-Verteilung</x:v>
      </x:c>
      <x:c r="G5" s="63" t="str">
        <x:v>bei Blütenstress keine weitere Manipulation</x:v>
      </x:c>
      <x:c r="H5" s="35" t="str">
        <x:v>Wochencanopy</x:v>
      </x:c>
    </x:row>
    <x:row r="6">
      <x:c r="A6" s="36" t="str">
        <x:v>D43+</x:v>
      </x:c>
      <x:c r="B6" s="64" t="str">
        <x:v>Blütenaufbau</x:v>
      </x:c>
      <x:c r="C6" s="64" t="str">
        <x:v>nur Support; tote/kranke/blockierende Blätter selektiv</x:v>
      </x:c>
      <x:c r="D6" s="64" t="str">
        <x:v>Luftstrom/Qualität</x:v>
      </x:c>
      <x:c r="E6" s="64" t="str">
        <x:v>keine Massenentlaubung</x:v>
      </x:c>
      <x:c r="F6" s="64" t="str">
        <x:v>LF innen/außen</x:v>
      </x:c>
      <x:c r="G6" s="64" t="str">
        <x:v>RH/Schimmelrisiko vor Ästhetik</x:v>
      </x:c>
      <x:c r="H6" s="37" t="str">
        <x:v>Problemblatt dokumentieren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55" hidden="0" customWidth="1"/>
    <x:col min="27" max="27" width="14" hidden="0" customWidth="1"/>
    <x:col min="28" max="28" width="14" hidden="0" customWidth="1"/>
  </x:cols>
  <x:sheetData>
    <x:row r="1" ht="38" customHeight="1">
      <x:c r="A1" s="790" t="str">
        <x:v>Tag</x:v>
      </x:c>
      <x:c r="B1" s="790" t="str">
        <x:v>Datum</x:v>
      </x:c>
      <x:c r="C1" s="790" t="str">
        <x:v>Phase</x:v>
      </x:c>
      <x:c r="D1" s="1212" t="str">
        <x:v>Temp max</x:v>
      </x:c>
      <x:c r="E1" s="1212" t="str">
        <x:v>Temp min</x:v>
      </x:c>
      <x:c r="F1" s="1212" t="str">
        <x:v>LF max</x:v>
      </x:c>
      <x:c r="G1" s="1212" t="str">
        <x:v>LF min</x:v>
      </x:c>
      <x:c r="H1" s="1212" t="str">
        <x:v>VPD</x:v>
      </x:c>
      <x:c r="I1" s="1212" t="str">
        <x:v>PPFD</x:v>
      </x:c>
      <x:c r="J1" s="1212" t="str">
        <x:v>Watt</x:v>
      </x:c>
      <x:c r="K1" s="1209" t="str">
        <x:v>pH in</x:v>
      </x:c>
      <x:c r="L1" s="1209" t="str">
        <x:v>EC in</x:v>
      </x:c>
      <x:c r="M1" s="1209" t="str">
        <x:v>pH drain</x:v>
      </x:c>
      <x:c r="N1" s="1209" t="str">
        <x:v>EC drain</x:v>
      </x:c>
      <x:c r="O1" s="1209" t="str">
        <x:v>ΔEC</x:v>
      </x:c>
      <x:c r="P1" s="1209" t="str">
        <x:v>Wasser L</x:v>
      </x:c>
      <x:c r="Q1" s="1209" t="str">
        <x:v>Reservoir L</x:v>
      </x:c>
      <x:c r="R1" s="1211" t="str">
        <x:v>Pflanzenhöhe cm</x:v>
      </x:c>
      <x:c r="S1" s="1211" t="str">
        <x:v>Canopy B cm</x:v>
      </x:c>
      <x:c r="T1" s="1211" t="str">
        <x:v>Canopy T cm</x:v>
      </x:c>
      <x:c r="U1" s="1213" t="str">
        <x:v>Bewässerungssystem</x:v>
      </x:c>
      <x:c r="V1" s="1213" t="str">
        <x:v>Geruch/AKF</x:v>
      </x:c>
      <x:c r="W1" s="1213" t="str">
        <x:v>Pest</x:v>
      </x:c>
      <x:c r="X1" s="1213" t="str">
        <x:v>Stress 0-5</x:v>
      </x:c>
      <x:c r="Y1" s="1213" t="str">
        <x:v>Gesamtstatus</x:v>
      </x:c>
      <x:c r="Z1" s="1213" t="str">
        <x:v>Notizen</x:v>
      </x:c>
      <x:c r="AA1" s="1400" t="str">
        <x:v>Blatttemp °C opt.</x:v>
      </x:c>
      <x:c r="AB1" s="1400" t="str">
        <x:v>CO₂ ppm opt.</x:v>
      </x:c>
    </x:row>
    <x:row r="2">
      <x:c r="A2" s="26" t="n">
        <x:v>0</x:v>
      </x:c>
      <x:c r="B2" s="125" t="n">
        <x:f>'01_Run_Config'!$B$4+A2</x:f>
        <x:v>46242</x:v>
      </x:c>
      <x:c r="C2" s="59" t="str">
        <x:f>VLOOKUP(A2,'02_Daily_Master'!$A$2:$AS$82,5,FALSE)</x:f>
        <x:v>Keimung</x:v>
      </x:c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 t="str">
        <x:f>IF(OR(N2="",L2=""),"",N2-L2)</x:f>
      </x:c>
      <x:c r="P2" s="59"/>
      <x:c r="Q2" s="59"/>
      <x:c r="R2" s="59"/>
      <x:c r="S2" s="59"/>
      <x:c r="T2" s="59"/>
      <x:c r="U2" s="59" t="str">
        <x:v>OFFEN</x:v>
      </x:c>
      <x:c r="V2" s="59" t="str">
        <x:v>OFFEN</x:v>
      </x:c>
      <x:c r="W2" s="59" t="str">
        <x:v>OFFEN</x:v>
      </x:c>
      <x:c r="X2" s="59" t="n">
        <x:v>0</x:v>
      </x:c>
      <x:c r="Y2" s="59" t="str">
        <x:f>IF(OR(U2="OFFEN",V2="OFFEN",W2="OFFEN"),"OFFEN",IF(OR(U2="FAIL",V2="FAIL",W2="FAIL",X2&gt;=4),"FAIL",IF(OR(U2="WARN",V2="WARN",W2="WARN",X2&gt;=2),"WARN","OK")))</x:f>
        <x:v>OFFEN</x:v>
      </x:c>
      <x:c r="Z2" s="27" t="str"/>
    </x:row>
    <x:row r="3">
      <x:c r="A3" s="28" t="n">
        <x:v>1</x:v>
      </x:c>
      <x:c r="B3" s="126" t="n">
        <x:f>'01_Run_Config'!$B$4+A3</x:f>
        <x:v>46243</x:v>
      </x:c>
      <x:c r="C3" s="60" t="str">
        <x:f>VLOOKUP(A3,'02_Daily_Master'!$A$2:$AS$82,5,FALSE)</x:f>
        <x:v>Keimung</x:v>
      </x:c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 t="str">
        <x:f>IF(OR(N3="",L3=""),"",N3-L3)</x:f>
      </x:c>
      <x:c r="P3" s="60"/>
      <x:c r="Q3" s="60"/>
      <x:c r="R3" s="60"/>
      <x:c r="S3" s="60"/>
      <x:c r="T3" s="60"/>
      <x:c r="U3" s="60" t="str">
        <x:v>OFFEN</x:v>
      </x:c>
      <x:c r="V3" s="60" t="str">
        <x:v>OFFEN</x:v>
      </x:c>
      <x:c r="W3" s="60" t="str">
        <x:v>OFFEN</x:v>
      </x:c>
      <x:c r="X3" s="60" t="n">
        <x:v>0</x:v>
      </x:c>
      <x:c r="Y3" s="60" t="str">
        <x:f>IF(OR(U3="OFFEN",V3="OFFEN",W3="OFFEN"),"OFFEN",IF(OR(U3="FAIL",V3="FAIL",W3="FAIL",X3&gt;=4),"FAIL",IF(OR(U3="WARN",V3="WARN",W3="WARN",X3&gt;=2),"WARN","OK")))</x:f>
        <x:v>OFFEN</x:v>
      </x:c>
      <x:c r="Z3" s="29" t="str"/>
    </x:row>
    <x:row r="4">
      <x:c r="A4" s="28" t="n">
        <x:v>2</x:v>
      </x:c>
      <x:c r="B4" s="126" t="n">
        <x:f>'01_Run_Config'!$B$4+A4</x:f>
        <x:v>46244</x:v>
      </x:c>
      <x:c r="C4" s="60" t="str">
        <x:f>VLOOKUP(A4,'02_Daily_Master'!$A$2:$AS$82,5,FALSE)</x:f>
        <x:v>Keimung</x:v>
      </x:c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 t="str">
        <x:f>IF(OR(N4="",L4=""),"",N4-L4)</x:f>
      </x:c>
      <x:c r="P4" s="60"/>
      <x:c r="Q4" s="60"/>
      <x:c r="R4" s="60"/>
      <x:c r="S4" s="60"/>
      <x:c r="T4" s="60"/>
      <x:c r="U4" s="60" t="str">
        <x:v>OFFEN</x:v>
      </x:c>
      <x:c r="V4" s="60" t="str">
        <x:v>OFFEN</x:v>
      </x:c>
      <x:c r="W4" s="60" t="str">
        <x:v>OFFEN</x:v>
      </x:c>
      <x:c r="X4" s="60" t="n">
        <x:v>0</x:v>
      </x:c>
      <x:c r="Y4" s="60" t="str">
        <x:f>IF(OR(U4="OFFEN",V4="OFFEN",W4="OFFEN"),"OFFEN",IF(OR(U4="FAIL",V4="FAIL",W4="FAIL",X4&gt;=4),"FAIL",IF(OR(U4="WARN",V4="WARN",W4="WARN",X4&gt;=2),"WARN","OK")))</x:f>
        <x:v>OFFEN</x:v>
      </x:c>
      <x:c r="Z4" s="29" t="str"/>
    </x:row>
    <x:row r="5">
      <x:c r="A5" s="28" t="n">
        <x:v>3</x:v>
      </x:c>
      <x:c r="B5" s="126" t="n">
        <x:f>'01_Run_Config'!$B$4+A5</x:f>
        <x:v>46245</x:v>
      </x:c>
      <x:c r="C5" s="60" t="str">
        <x:f>VLOOKUP(A5,'02_Daily_Master'!$A$2:$AS$82,5,FALSE)</x:f>
        <x:v>Keimung</x:v>
      </x:c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 t="str">
        <x:f>IF(OR(N5="",L5=""),"",N5-L5)</x:f>
      </x:c>
      <x:c r="P5" s="60"/>
      <x:c r="Q5" s="60"/>
      <x:c r="R5" s="60"/>
      <x:c r="S5" s="60"/>
      <x:c r="T5" s="60"/>
      <x:c r="U5" s="60" t="str">
        <x:v>OFFEN</x:v>
      </x:c>
      <x:c r="V5" s="60" t="str">
        <x:v>OFFEN</x:v>
      </x:c>
      <x:c r="W5" s="60" t="str">
        <x:v>OFFEN</x:v>
      </x:c>
      <x:c r="X5" s="60" t="n">
        <x:v>0</x:v>
      </x:c>
      <x:c r="Y5" s="60" t="str">
        <x:f>IF(OR(U5="OFFEN",V5="OFFEN",W5="OFFEN"),"OFFEN",IF(OR(U5="FAIL",V5="FAIL",W5="FAIL",X5&gt;=4),"FAIL",IF(OR(U5="WARN",V5="WARN",W5="WARN",X5&gt;=2),"WARN","OK")))</x:f>
        <x:v>OFFEN</x:v>
      </x:c>
      <x:c r="Z5" s="29" t="str"/>
    </x:row>
    <x:row r="6">
      <x:c r="A6" s="28" t="n">
        <x:v>4</x:v>
      </x:c>
      <x:c r="B6" s="126" t="n">
        <x:f>'01_Run_Config'!$B$4+A6</x:f>
        <x:v>46246</x:v>
      </x:c>
      <x:c r="C6" s="60" t="str">
        <x:f>VLOOKUP(A6,'02_Daily_Master'!$A$2:$AS$82,5,FALSE)</x:f>
        <x:v>Etablierung</x:v>
      </x:c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 t="str">
        <x:f>IF(OR(N6="",L6=""),"",N6-L6)</x:f>
      </x:c>
      <x:c r="P6" s="60"/>
      <x:c r="Q6" s="60"/>
      <x:c r="R6" s="60"/>
      <x:c r="S6" s="60"/>
      <x:c r="T6" s="60"/>
      <x:c r="U6" s="60" t="str">
        <x:v>OFFEN</x:v>
      </x:c>
      <x:c r="V6" s="60" t="str">
        <x:v>OFFEN</x:v>
      </x:c>
      <x:c r="W6" s="60" t="str">
        <x:v>OFFEN</x:v>
      </x:c>
      <x:c r="X6" s="60" t="n">
        <x:v>0</x:v>
      </x:c>
      <x:c r="Y6" s="60" t="str">
        <x:f>IF(OR(U6="OFFEN",V6="OFFEN",W6="OFFEN"),"OFFEN",IF(OR(U6="FAIL",V6="FAIL",W6="FAIL",X6&gt;=4),"FAIL",IF(OR(U6="WARN",V6="WARN",W6="WARN",X6&gt;=2),"WARN","OK")))</x:f>
        <x:v>OFFEN</x:v>
      </x:c>
      <x:c r="Z6" s="29" t="str"/>
    </x:row>
    <x:row r="7">
      <x:c r="A7" s="28" t="n">
        <x:v>5</x:v>
      </x:c>
      <x:c r="B7" s="126" t="n">
        <x:f>'01_Run_Config'!$B$4+A7</x:f>
        <x:v>46247</x:v>
      </x:c>
      <x:c r="C7" s="60" t="str">
        <x:f>VLOOKUP(A7,'02_Daily_Master'!$A$2:$AS$82,5,FALSE)</x:f>
        <x:v>Etablierung</x:v>
      </x:c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 t="str">
        <x:f>IF(OR(N7="",L7=""),"",N7-L7)</x:f>
      </x:c>
      <x:c r="P7" s="60"/>
      <x:c r="Q7" s="60"/>
      <x:c r="R7" s="60"/>
      <x:c r="S7" s="60"/>
      <x:c r="T7" s="60"/>
      <x:c r="U7" s="60" t="str">
        <x:v>OFFEN</x:v>
      </x:c>
      <x:c r="V7" s="60" t="str">
        <x:v>OFFEN</x:v>
      </x:c>
      <x:c r="W7" s="60" t="str">
        <x:v>OFFEN</x:v>
      </x:c>
      <x:c r="X7" s="60" t="n">
        <x:v>0</x:v>
      </x:c>
      <x:c r="Y7" s="60" t="str">
        <x:f>IF(OR(U7="OFFEN",V7="OFFEN",W7="OFFEN"),"OFFEN",IF(OR(U7="FAIL",V7="FAIL",W7="FAIL",X7&gt;=4),"FAIL",IF(OR(U7="WARN",V7="WARN",W7="WARN",X7&gt;=2),"WARN","OK")))</x:f>
        <x:v>OFFEN</x:v>
      </x:c>
      <x:c r="Z7" s="29" t="str"/>
    </x:row>
    <x:row r="8">
      <x:c r="A8" s="28" t="n">
        <x:v>6</x:v>
      </x:c>
      <x:c r="B8" s="126" t="n">
        <x:f>'01_Run_Config'!$B$4+A8</x:f>
        <x:v>46248</x:v>
      </x:c>
      <x:c r="C8" s="60" t="str">
        <x:f>VLOOKUP(A8,'02_Daily_Master'!$A$2:$AS$82,5,FALSE)</x:f>
        <x:v>Etablierung</x:v>
      </x:c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 t="str">
        <x:f>IF(OR(N8="",L8=""),"",N8-L8)</x:f>
      </x:c>
      <x:c r="P8" s="60"/>
      <x:c r="Q8" s="60"/>
      <x:c r="R8" s="60"/>
      <x:c r="S8" s="60"/>
      <x:c r="T8" s="60"/>
      <x:c r="U8" s="60" t="str">
        <x:v>OFFEN</x:v>
      </x:c>
      <x:c r="V8" s="60" t="str">
        <x:v>OFFEN</x:v>
      </x:c>
      <x:c r="W8" s="60" t="str">
        <x:v>OFFEN</x:v>
      </x:c>
      <x:c r="X8" s="60" t="n">
        <x:v>0</x:v>
      </x:c>
      <x:c r="Y8" s="60" t="str">
        <x:f>IF(OR(U8="OFFEN",V8="OFFEN",W8="OFFEN"),"OFFEN",IF(OR(U8="FAIL",V8="FAIL",W8="FAIL",X8&gt;=4),"FAIL",IF(OR(U8="WARN",V8="WARN",W8="WARN",X8&gt;=2),"WARN","OK")))</x:f>
        <x:v>OFFEN</x:v>
      </x:c>
      <x:c r="Z8" s="29" t="str"/>
    </x:row>
    <x:row r="9">
      <x:c r="A9" s="28" t="n">
        <x:v>7</x:v>
      </x:c>
      <x:c r="B9" s="126" t="n">
        <x:f>'01_Run_Config'!$B$4+A9</x:f>
        <x:v>46249</x:v>
      </x:c>
      <x:c r="C9" s="60" t="str">
        <x:f>VLOOKUP(A9,'02_Daily_Master'!$A$2:$AS$82,5,FALSE)</x:f>
        <x:v>Etablierung</x:v>
      </x:c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 t="str">
        <x:f>IF(OR(N9="",L9=""),"",N9-L9)</x:f>
      </x:c>
      <x:c r="P9" s="60"/>
      <x:c r="Q9" s="60"/>
      <x:c r="R9" s="60"/>
      <x:c r="S9" s="60"/>
      <x:c r="T9" s="60"/>
      <x:c r="U9" s="60" t="str">
        <x:v>OFFEN</x:v>
      </x:c>
      <x:c r="V9" s="60" t="str">
        <x:v>OFFEN</x:v>
      </x:c>
      <x:c r="W9" s="60" t="str">
        <x:v>OFFEN</x:v>
      </x:c>
      <x:c r="X9" s="60" t="n">
        <x:v>0</x:v>
      </x:c>
      <x:c r="Y9" s="60" t="str">
        <x:f>IF(OR(U9="OFFEN",V9="OFFEN",W9="OFFEN"),"OFFEN",IF(OR(U9="FAIL",V9="FAIL",W9="FAIL",X9&gt;=4),"FAIL",IF(OR(U9="WARN",V9="WARN",W9="WARN",X9&gt;=2),"WARN","OK")))</x:f>
        <x:v>OFFEN</x:v>
      </x:c>
      <x:c r="Z9" s="29" t="str"/>
    </x:row>
    <x:row r="10">
      <x:c r="A10" s="28" t="n">
        <x:v>8</x:v>
      </x:c>
      <x:c r="B10" s="126" t="n">
        <x:f>'01_Run_Config'!$B$4+A10</x:f>
        <x:v>46250</x:v>
      </x:c>
      <x:c r="C10" s="60" t="str">
        <x:f>VLOOKUP(A10,'02_Daily_Master'!$A$2:$AS$82,5,FALSE)</x:f>
        <x:v>Early Veg</x:v>
      </x:c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 t="str">
        <x:f>IF(OR(N10="",L10=""),"",N10-L10)</x:f>
      </x:c>
      <x:c r="P10" s="60"/>
      <x:c r="Q10" s="60"/>
      <x:c r="R10" s="60"/>
      <x:c r="S10" s="60"/>
      <x:c r="T10" s="60"/>
      <x:c r="U10" s="60" t="str">
        <x:v>OFFEN</x:v>
      </x:c>
      <x:c r="V10" s="60" t="str">
        <x:v>OFFEN</x:v>
      </x:c>
      <x:c r="W10" s="60" t="str">
        <x:v>OFFEN</x:v>
      </x:c>
      <x:c r="X10" s="60" t="n">
        <x:v>0</x:v>
      </x:c>
      <x:c r="Y10" s="60" t="str">
        <x:f>IF(OR(U10="OFFEN",V10="OFFEN",W10="OFFEN"),"OFFEN",IF(OR(U10="FAIL",V10="FAIL",W10="FAIL",X10&gt;=4),"FAIL",IF(OR(U10="WARN",V10="WARN",W10="WARN",X10&gt;=2),"WARN","OK")))</x:f>
        <x:v>OFFEN</x:v>
      </x:c>
      <x:c r="Z10" s="29" t="str"/>
    </x:row>
    <x:row r="11">
      <x:c r="A11" s="28" t="n">
        <x:v>9</x:v>
      </x:c>
      <x:c r="B11" s="126" t="n">
        <x:f>'01_Run_Config'!$B$4+A11</x:f>
        <x:v>46251</x:v>
      </x:c>
      <x:c r="C11" s="60" t="str">
        <x:f>VLOOKUP(A11,'02_Daily_Master'!$A$2:$AS$82,5,FALSE)</x:f>
        <x:v>Early Veg</x:v>
      </x:c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 t="str">
        <x:f>IF(OR(N11="",L11=""),"",N11-L11)</x:f>
      </x:c>
      <x:c r="P11" s="60"/>
      <x:c r="Q11" s="60"/>
      <x:c r="R11" s="60"/>
      <x:c r="S11" s="60"/>
      <x:c r="T11" s="60"/>
      <x:c r="U11" s="60" t="str">
        <x:v>OFFEN</x:v>
      </x:c>
      <x:c r="V11" s="60" t="str">
        <x:v>OFFEN</x:v>
      </x:c>
      <x:c r="W11" s="60" t="str">
        <x:v>OFFEN</x:v>
      </x:c>
      <x:c r="X11" s="60" t="n">
        <x:v>0</x:v>
      </x:c>
      <x:c r="Y11" s="60" t="str">
        <x:f>IF(OR(U11="OFFEN",V11="OFFEN",W11="OFFEN"),"OFFEN",IF(OR(U11="FAIL",V11="FAIL",W11="FAIL",X11&gt;=4),"FAIL",IF(OR(U11="WARN",V11="WARN",W11="WARN",X11&gt;=2),"WARN","OK")))</x:f>
        <x:v>OFFEN</x:v>
      </x:c>
      <x:c r="Z11" s="29" t="str"/>
    </x:row>
    <x:row r="12">
      <x:c r="A12" s="28" t="n">
        <x:v>10</x:v>
      </x:c>
      <x:c r="B12" s="126" t="n">
        <x:f>'01_Run_Config'!$B$4+A12</x:f>
        <x:v>46252</x:v>
      </x:c>
      <x:c r="C12" s="60" t="str">
        <x:f>VLOOKUP(A12,'02_Daily_Master'!$A$2:$AS$82,5,FALSE)</x:f>
        <x:v>Early Veg</x:v>
      </x:c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 t="str">
        <x:f>IF(OR(N12="",L12=""),"",N12-L12)</x:f>
      </x:c>
      <x:c r="P12" s="60"/>
      <x:c r="Q12" s="60"/>
      <x:c r="R12" s="60"/>
      <x:c r="S12" s="60"/>
      <x:c r="T12" s="60"/>
      <x:c r="U12" s="60" t="str">
        <x:v>OFFEN</x:v>
      </x:c>
      <x:c r="V12" s="60" t="str">
        <x:v>OFFEN</x:v>
      </x:c>
      <x:c r="W12" s="60" t="str">
        <x:v>OFFEN</x:v>
      </x:c>
      <x:c r="X12" s="60" t="n">
        <x:v>0</x:v>
      </x:c>
      <x:c r="Y12" s="60" t="str">
        <x:f>IF(OR(U12="OFFEN",V12="OFFEN",W12="OFFEN"),"OFFEN",IF(OR(U12="FAIL",V12="FAIL",W12="FAIL",X12&gt;=4),"FAIL",IF(OR(U12="WARN",V12="WARN",W12="WARN",X12&gt;=2),"WARN","OK")))</x:f>
        <x:v>OFFEN</x:v>
      </x:c>
      <x:c r="Z12" s="29" t="str"/>
    </x:row>
    <x:row r="13">
      <x:c r="A13" s="28" t="n">
        <x:v>11</x:v>
      </x:c>
      <x:c r="B13" s="126" t="n">
        <x:f>'01_Run_Config'!$B$4+A13</x:f>
        <x:v>46253</x:v>
      </x:c>
      <x:c r="C13" s="60" t="str">
        <x:f>VLOOKUP(A13,'02_Daily_Master'!$A$2:$AS$82,5,FALSE)</x:f>
        <x:v>Early Veg</x:v>
      </x:c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 t="str">
        <x:f>IF(OR(N13="",L13=""),"",N13-L13)</x:f>
      </x:c>
      <x:c r="P13" s="60"/>
      <x:c r="Q13" s="60"/>
      <x:c r="R13" s="60"/>
      <x:c r="S13" s="60"/>
      <x:c r="T13" s="60"/>
      <x:c r="U13" s="60" t="str">
        <x:v>OFFEN</x:v>
      </x:c>
      <x:c r="V13" s="60" t="str">
        <x:v>OFFEN</x:v>
      </x:c>
      <x:c r="W13" s="60" t="str">
        <x:v>OFFEN</x:v>
      </x:c>
      <x:c r="X13" s="60" t="n">
        <x:v>0</x:v>
      </x:c>
      <x:c r="Y13" s="60" t="str">
        <x:f>IF(OR(U13="OFFEN",V13="OFFEN",W13="OFFEN"),"OFFEN",IF(OR(U13="FAIL",V13="FAIL",W13="FAIL",X13&gt;=4),"FAIL",IF(OR(U13="WARN",V13="WARN",W13="WARN",X13&gt;=2),"WARN","OK")))</x:f>
        <x:v>OFFEN</x:v>
      </x:c>
      <x:c r="Z13" s="29" t="str"/>
    </x:row>
    <x:row r="14">
      <x:c r="A14" s="28" t="n">
        <x:v>12</x:v>
      </x:c>
      <x:c r="B14" s="126" t="n">
        <x:f>'01_Run_Config'!$B$4+A14</x:f>
        <x:v>46254</x:v>
      </x:c>
      <x:c r="C14" s="60" t="str">
        <x:f>VLOOKUP(A14,'02_Daily_Master'!$A$2:$AS$82,5,FALSE)</x:f>
        <x:v>Early Veg</x:v>
      </x:c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 t="str">
        <x:f>IF(OR(N14="",L14=""),"",N14-L14)</x:f>
      </x:c>
      <x:c r="P14" s="60"/>
      <x:c r="Q14" s="60"/>
      <x:c r="R14" s="60"/>
      <x:c r="S14" s="60"/>
      <x:c r="T14" s="60"/>
      <x:c r="U14" s="60" t="str">
        <x:v>OFFEN</x:v>
      </x:c>
      <x:c r="V14" s="60" t="str">
        <x:v>OFFEN</x:v>
      </x:c>
      <x:c r="W14" s="60" t="str">
        <x:v>OFFEN</x:v>
      </x:c>
      <x:c r="X14" s="60" t="n">
        <x:v>0</x:v>
      </x:c>
      <x:c r="Y14" s="60" t="str">
        <x:f>IF(OR(U14="OFFEN",V14="OFFEN",W14="OFFEN"),"OFFEN",IF(OR(U14="FAIL",V14="FAIL",W14="FAIL",X14&gt;=4),"FAIL",IF(OR(U14="WARN",V14="WARN",W14="WARN",X14&gt;=2),"WARN","OK")))</x:f>
        <x:v>OFFEN</x:v>
      </x:c>
      <x:c r="Z14" s="29" t="str"/>
    </x:row>
    <x:row r="15">
      <x:c r="A15" s="28" t="n">
        <x:v>13</x:v>
      </x:c>
      <x:c r="B15" s="126" t="n">
        <x:f>'01_Run_Config'!$B$4+A15</x:f>
        <x:v>46255</x:v>
      </x:c>
      <x:c r="C15" s="60" t="str">
        <x:f>VLOOKUP(A15,'02_Daily_Master'!$A$2:$AS$82,5,FALSE)</x:f>
        <x:v>Early Veg</x:v>
      </x:c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 t="str">
        <x:f>IF(OR(N15="",L15=""),"",N15-L15)</x:f>
      </x:c>
      <x:c r="P15" s="60"/>
      <x:c r="Q15" s="60"/>
      <x:c r="R15" s="60"/>
      <x:c r="S15" s="60"/>
      <x:c r="T15" s="60"/>
      <x:c r="U15" s="60" t="str">
        <x:v>OFFEN</x:v>
      </x:c>
      <x:c r="V15" s="60" t="str">
        <x:v>OFFEN</x:v>
      </x:c>
      <x:c r="W15" s="60" t="str">
        <x:v>OFFEN</x:v>
      </x:c>
      <x:c r="X15" s="60" t="n">
        <x:v>0</x:v>
      </x:c>
      <x:c r="Y15" s="60" t="str">
        <x:f>IF(OR(U15="OFFEN",V15="OFFEN",W15="OFFEN"),"OFFEN",IF(OR(U15="FAIL",V15="FAIL",W15="FAIL",X15&gt;=4),"FAIL",IF(OR(U15="WARN",V15="WARN",W15="WARN",X15&gt;=2),"WARN","OK")))</x:f>
        <x:v>OFFEN</x:v>
      </x:c>
      <x:c r="Z15" s="29" t="str"/>
    </x:row>
    <x:row r="16">
      <x:c r="A16" s="28" t="n">
        <x:v>14</x:v>
      </x:c>
      <x:c r="B16" s="126" t="n">
        <x:f>'01_Run_Config'!$B$4+A16</x:f>
        <x:v>46256</x:v>
      </x:c>
      <x:c r="C16" s="60" t="str">
        <x:f>VLOOKUP(A16,'02_Daily_Master'!$A$2:$AS$82,5,FALSE)</x:f>
        <x:v>Early Veg</x:v>
      </x:c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 t="str">
        <x:f>IF(OR(N16="",L16=""),"",N16-L16)</x:f>
      </x:c>
      <x:c r="P16" s="60"/>
      <x:c r="Q16" s="60"/>
      <x:c r="R16" s="60"/>
      <x:c r="S16" s="60"/>
      <x:c r="T16" s="60"/>
      <x:c r="U16" s="60" t="str">
        <x:v>OFFEN</x:v>
      </x:c>
      <x:c r="V16" s="60" t="str">
        <x:v>OFFEN</x:v>
      </x:c>
      <x:c r="W16" s="60" t="str">
        <x:v>OFFEN</x:v>
      </x:c>
      <x:c r="X16" s="60" t="n">
        <x:v>0</x:v>
      </x:c>
      <x:c r="Y16" s="60" t="str">
        <x:f>IF(OR(U16="OFFEN",V16="OFFEN",W16="OFFEN"),"OFFEN",IF(OR(U16="FAIL",V16="FAIL",W16="FAIL",X16&gt;=4),"FAIL",IF(OR(U16="WARN",V16="WARN",W16="WARN",X16&gt;=2),"WARN","OK")))</x:f>
        <x:v>OFFEN</x:v>
      </x:c>
      <x:c r="Z16" s="29" t="str"/>
    </x:row>
    <x:row r="17">
      <x:c r="A17" s="28" t="n">
        <x:v>15</x:v>
      </x:c>
      <x:c r="B17" s="126" t="n">
        <x:f>'01_Run_Config'!$B$4+A17</x:f>
        <x:v>46257</x:v>
      </x:c>
      <x:c r="C17" s="60" t="str">
        <x:f>VLOOKUP(A17,'02_Daily_Master'!$A$2:$AS$82,5,FALSE)</x:f>
        <x:v>Veg / LST</x:v>
      </x:c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 t="str">
        <x:f>IF(OR(N17="",L17=""),"",N17-L17)</x:f>
      </x:c>
      <x:c r="P17" s="60"/>
      <x:c r="Q17" s="60"/>
      <x:c r="R17" s="60"/>
      <x:c r="S17" s="60"/>
      <x:c r="T17" s="60"/>
      <x:c r="U17" s="60" t="str">
        <x:v>OFFEN</x:v>
      </x:c>
      <x:c r="V17" s="60" t="str">
        <x:v>OFFEN</x:v>
      </x:c>
      <x:c r="W17" s="60" t="str">
        <x:v>OFFEN</x:v>
      </x:c>
      <x:c r="X17" s="60" t="n">
        <x:v>0</x:v>
      </x:c>
      <x:c r="Y17" s="60" t="str">
        <x:f>IF(OR(U17="OFFEN",V17="OFFEN",W17="OFFEN"),"OFFEN",IF(OR(U17="FAIL",V17="FAIL",W17="FAIL",X17&gt;=4),"FAIL",IF(OR(U17="WARN",V17="WARN",W17="WARN",X17&gt;=2),"WARN","OK")))</x:f>
        <x:v>OFFEN</x:v>
      </x:c>
      <x:c r="Z17" s="29" t="str"/>
    </x:row>
    <x:row r="18">
      <x:c r="A18" s="28" t="n">
        <x:v>16</x:v>
      </x:c>
      <x:c r="B18" s="126" t="n">
        <x:f>'01_Run_Config'!$B$4+A18</x:f>
        <x:v>46258</x:v>
      </x:c>
      <x:c r="C18" s="60" t="str">
        <x:f>VLOOKUP(A18,'02_Daily_Master'!$A$2:$AS$82,5,FALSE)</x:f>
        <x:v>Veg / LST</x:v>
      </x:c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 t="str">
        <x:f>IF(OR(N18="",L18=""),"",N18-L18)</x:f>
      </x:c>
      <x:c r="P18" s="60"/>
      <x:c r="Q18" s="60"/>
      <x:c r="R18" s="60"/>
      <x:c r="S18" s="60"/>
      <x:c r="T18" s="60"/>
      <x:c r="U18" s="60" t="str">
        <x:v>OFFEN</x:v>
      </x:c>
      <x:c r="V18" s="60" t="str">
        <x:v>OFFEN</x:v>
      </x:c>
      <x:c r="W18" s="60" t="str">
        <x:v>OFFEN</x:v>
      </x:c>
      <x:c r="X18" s="60" t="n">
        <x:v>0</x:v>
      </x:c>
      <x:c r="Y18" s="60" t="str">
        <x:f>IF(OR(U18="OFFEN",V18="OFFEN",W18="OFFEN"),"OFFEN",IF(OR(U18="FAIL",V18="FAIL",W18="FAIL",X18&gt;=4),"FAIL",IF(OR(U18="WARN",V18="WARN",W18="WARN",X18&gt;=2),"WARN","OK")))</x:f>
        <x:v>OFFEN</x:v>
      </x:c>
      <x:c r="Z18" s="29" t="str"/>
    </x:row>
    <x:row r="19">
      <x:c r="A19" s="28" t="n">
        <x:v>17</x:v>
      </x:c>
      <x:c r="B19" s="126" t="n">
        <x:f>'01_Run_Config'!$B$4+A19</x:f>
        <x:v>46259</x:v>
      </x:c>
      <x:c r="C19" s="60" t="str">
        <x:f>VLOOKUP(A19,'02_Daily_Master'!$A$2:$AS$82,5,FALSE)</x:f>
        <x:v>Veg / LST</x:v>
      </x:c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 t="str">
        <x:f>IF(OR(N19="",L19=""),"",N19-L19)</x:f>
      </x:c>
      <x:c r="P19" s="60"/>
      <x:c r="Q19" s="60"/>
      <x:c r="R19" s="60"/>
      <x:c r="S19" s="60"/>
      <x:c r="T19" s="60"/>
      <x:c r="U19" s="60" t="str">
        <x:v>OFFEN</x:v>
      </x:c>
      <x:c r="V19" s="60" t="str">
        <x:v>OFFEN</x:v>
      </x:c>
      <x:c r="W19" s="60" t="str">
        <x:v>OFFEN</x:v>
      </x:c>
      <x:c r="X19" s="60" t="n">
        <x:v>0</x:v>
      </x:c>
      <x:c r="Y19" s="60" t="str">
        <x:f>IF(OR(U19="OFFEN",V19="OFFEN",W19="OFFEN"),"OFFEN",IF(OR(U19="FAIL",V19="FAIL",W19="FAIL",X19&gt;=4),"FAIL",IF(OR(U19="WARN",V19="WARN",W19="WARN",X19&gt;=2),"WARN","OK")))</x:f>
        <x:v>OFFEN</x:v>
      </x:c>
      <x:c r="Z19" s="29" t="str"/>
    </x:row>
    <x:row r="20">
      <x:c r="A20" s="28" t="n">
        <x:v>18</x:v>
      </x:c>
      <x:c r="B20" s="126" t="n">
        <x:f>'01_Run_Config'!$B$4+A20</x:f>
        <x:v>46260</x:v>
      </x:c>
      <x:c r="C20" s="60" t="str">
        <x:f>VLOOKUP(A20,'02_Daily_Master'!$A$2:$AS$82,5,FALSE)</x:f>
        <x:v>Veg / LST</x:v>
      </x:c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 t="str">
        <x:f>IF(OR(N20="",L20=""),"",N20-L20)</x:f>
      </x:c>
      <x:c r="P20" s="60"/>
      <x:c r="Q20" s="60"/>
      <x:c r="R20" s="60"/>
      <x:c r="S20" s="60"/>
      <x:c r="T20" s="60"/>
      <x:c r="U20" s="60" t="str">
        <x:v>OFFEN</x:v>
      </x:c>
      <x:c r="V20" s="60" t="str">
        <x:v>OFFEN</x:v>
      </x:c>
      <x:c r="W20" s="60" t="str">
        <x:v>OFFEN</x:v>
      </x:c>
      <x:c r="X20" s="60" t="n">
        <x:v>0</x:v>
      </x:c>
      <x:c r="Y20" s="60" t="str">
        <x:f>IF(OR(U20="OFFEN",V20="OFFEN",W20="OFFEN"),"OFFEN",IF(OR(U20="FAIL",V20="FAIL",W20="FAIL",X20&gt;=4),"FAIL",IF(OR(U20="WARN",V20="WARN",W20="WARN",X20&gt;=2),"WARN","OK")))</x:f>
        <x:v>OFFEN</x:v>
      </x:c>
      <x:c r="Z20" s="29" t="str"/>
    </x:row>
    <x:row r="21">
      <x:c r="A21" s="28" t="n">
        <x:v>19</x:v>
      </x:c>
      <x:c r="B21" s="126" t="n">
        <x:f>'01_Run_Config'!$B$4+A21</x:f>
        <x:v>46261</x:v>
      </x:c>
      <x:c r="C21" s="60" t="str">
        <x:f>VLOOKUP(A21,'02_Daily_Master'!$A$2:$AS$82,5,FALSE)</x:f>
        <x:v>Veg / LST</x:v>
      </x:c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 t="str">
        <x:f>IF(OR(N21="",L21=""),"",N21-L21)</x:f>
      </x:c>
      <x:c r="P21" s="60"/>
      <x:c r="Q21" s="60"/>
      <x:c r="R21" s="60"/>
      <x:c r="S21" s="60"/>
      <x:c r="T21" s="60"/>
      <x:c r="U21" s="60" t="str">
        <x:v>OFFEN</x:v>
      </x:c>
      <x:c r="V21" s="60" t="str">
        <x:v>OFFEN</x:v>
      </x:c>
      <x:c r="W21" s="60" t="str">
        <x:v>OFFEN</x:v>
      </x:c>
      <x:c r="X21" s="60" t="n">
        <x:v>0</x:v>
      </x:c>
      <x:c r="Y21" s="60" t="str">
        <x:f>IF(OR(U21="OFFEN",V21="OFFEN",W21="OFFEN"),"OFFEN",IF(OR(U21="FAIL",V21="FAIL",W21="FAIL",X21&gt;=4),"FAIL",IF(OR(U21="WARN",V21="WARN",W21="WARN",X21&gt;=2),"WARN","OK")))</x:f>
        <x:v>OFFEN</x:v>
      </x:c>
      <x:c r="Z21" s="29" t="str"/>
    </x:row>
    <x:row r="22">
      <x:c r="A22" s="28" t="n">
        <x:v>20</x:v>
      </x:c>
      <x:c r="B22" s="126" t="n">
        <x:f>'01_Run_Config'!$B$4+A22</x:f>
        <x:v>46262</x:v>
      </x:c>
      <x:c r="C22" s="60" t="str">
        <x:f>VLOOKUP(A22,'02_Daily_Master'!$A$2:$AS$82,5,FALSE)</x:f>
        <x:v>Veg / LST</x:v>
      </x:c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 t="str">
        <x:f>IF(OR(N22="",L22=""),"",N22-L22)</x:f>
      </x:c>
      <x:c r="P22" s="60"/>
      <x:c r="Q22" s="60"/>
      <x:c r="R22" s="60"/>
      <x:c r="S22" s="60"/>
      <x:c r="T22" s="60"/>
      <x:c r="U22" s="60" t="str">
        <x:v>OFFEN</x:v>
      </x:c>
      <x:c r="V22" s="60" t="str">
        <x:v>OFFEN</x:v>
      </x:c>
      <x:c r="W22" s="60" t="str">
        <x:v>OFFEN</x:v>
      </x:c>
      <x:c r="X22" s="60" t="n">
        <x:v>0</x:v>
      </x:c>
      <x:c r="Y22" s="60" t="str">
        <x:f>IF(OR(U22="OFFEN",V22="OFFEN",W22="OFFEN"),"OFFEN",IF(OR(U22="FAIL",V22="FAIL",W22="FAIL",X22&gt;=4),"FAIL",IF(OR(U22="WARN",V22="WARN",W22="WARN",X22&gt;=2),"WARN","OK")))</x:f>
        <x:v>OFFEN</x:v>
      </x:c>
      <x:c r="Z22" s="29" t="str"/>
    </x:row>
    <x:row r="23">
      <x:c r="A23" s="28" t="n">
        <x:v>21</x:v>
      </x:c>
      <x:c r="B23" s="126" t="n">
        <x:f>'01_Run_Config'!$B$4+A23</x:f>
        <x:v>46263</x:v>
      </x:c>
      <x:c r="C23" s="60" t="str">
        <x:f>VLOOKUP(A23,'02_Daily_Master'!$A$2:$AS$82,5,FALSE)</x:f>
        <x:v>Veg / LST</x:v>
      </x:c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 t="str">
        <x:f>IF(OR(N23="",L23=""),"",N23-L23)</x:f>
      </x:c>
      <x:c r="P23" s="60"/>
      <x:c r="Q23" s="60"/>
      <x:c r="R23" s="60"/>
      <x:c r="S23" s="60"/>
      <x:c r="T23" s="60"/>
      <x:c r="U23" s="60" t="str">
        <x:v>OFFEN</x:v>
      </x:c>
      <x:c r="V23" s="60" t="str">
        <x:v>OFFEN</x:v>
      </x:c>
      <x:c r="W23" s="60" t="str">
        <x:v>OFFEN</x:v>
      </x:c>
      <x:c r="X23" s="60" t="n">
        <x:v>0</x:v>
      </x:c>
      <x:c r="Y23" s="60" t="str">
        <x:f>IF(OR(U23="OFFEN",V23="OFFEN",W23="OFFEN"),"OFFEN",IF(OR(U23="FAIL",V23="FAIL",W23="FAIL",X23&gt;=4),"FAIL",IF(OR(U23="WARN",V23="WARN",W23="WARN",X23&gt;=2),"WARN","OK")))</x:f>
        <x:v>OFFEN</x:v>
      </x:c>
      <x:c r="Z23" s="29" t="str"/>
    </x:row>
    <x:row r="24">
      <x:c r="A24" s="28" t="n">
        <x:v>22</x:v>
      </x:c>
      <x:c r="B24" s="126" t="n">
        <x:f>'01_Run_Config'!$B$4+A24</x:f>
        <x:v>46264</x:v>
      </x:c>
      <x:c r="C24" s="60" t="str">
        <x:f>VLOOKUP(A24,'02_Daily_Master'!$A$2:$AS$82,5,FALSE)</x:f>
        <x:v>Preflower-Watch</x:v>
      </x:c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 t="str">
        <x:f>IF(OR(N24="",L24=""),"",N24-L24)</x:f>
      </x:c>
      <x:c r="P24" s="60"/>
      <x:c r="Q24" s="60"/>
      <x:c r="R24" s="60"/>
      <x:c r="S24" s="60"/>
      <x:c r="T24" s="60"/>
      <x:c r="U24" s="60" t="str">
        <x:v>OFFEN</x:v>
      </x:c>
      <x:c r="V24" s="60" t="str">
        <x:v>OFFEN</x:v>
      </x:c>
      <x:c r="W24" s="60" t="str">
        <x:v>OFFEN</x:v>
      </x:c>
      <x:c r="X24" s="60" t="n">
        <x:v>0</x:v>
      </x:c>
      <x:c r="Y24" s="60" t="str">
        <x:f>IF(OR(U24="OFFEN",V24="OFFEN",W24="OFFEN"),"OFFEN",IF(OR(U24="FAIL",V24="FAIL",W24="FAIL",X24&gt;=4),"FAIL",IF(OR(U24="WARN",V24="WARN",W24="WARN",X24&gt;=2),"WARN","OK")))</x:f>
        <x:v>OFFEN</x:v>
      </x:c>
      <x:c r="Z24" s="29" t="str"/>
    </x:row>
    <x:row r="25">
      <x:c r="A25" s="28" t="n">
        <x:v>23</x:v>
      </x:c>
      <x:c r="B25" s="126" t="n">
        <x:f>'01_Run_Config'!$B$4+A25</x:f>
        <x:v>46265</x:v>
      </x:c>
      <x:c r="C25" s="60" t="str">
        <x:f>VLOOKUP(A25,'02_Daily_Master'!$A$2:$AS$82,5,FALSE)</x:f>
        <x:v>Preflower-Watch</x:v>
      </x:c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 t="str">
        <x:f>IF(OR(N25="",L25=""),"",N25-L25)</x:f>
      </x:c>
      <x:c r="P25" s="60"/>
      <x:c r="Q25" s="60"/>
      <x:c r="R25" s="60"/>
      <x:c r="S25" s="60"/>
      <x:c r="T25" s="60"/>
      <x:c r="U25" s="60" t="str">
        <x:v>OFFEN</x:v>
      </x:c>
      <x:c r="V25" s="60" t="str">
        <x:v>OFFEN</x:v>
      </x:c>
      <x:c r="W25" s="60" t="str">
        <x:v>OFFEN</x:v>
      </x:c>
      <x:c r="X25" s="60" t="n">
        <x:v>0</x:v>
      </x:c>
      <x:c r="Y25" s="60" t="str">
        <x:f>IF(OR(U25="OFFEN",V25="OFFEN",W25="OFFEN"),"OFFEN",IF(OR(U25="FAIL",V25="FAIL",W25="FAIL",X25&gt;=4),"FAIL",IF(OR(U25="WARN",V25="WARN",W25="WARN",X25&gt;=2),"WARN","OK")))</x:f>
        <x:v>OFFEN</x:v>
      </x:c>
      <x:c r="Z25" s="29" t="str"/>
    </x:row>
    <x:row r="26">
      <x:c r="A26" s="28" t="n">
        <x:v>24</x:v>
      </x:c>
      <x:c r="B26" s="126" t="n">
        <x:f>'01_Run_Config'!$B$4+A26</x:f>
        <x:v>46266</x:v>
      </x:c>
      <x:c r="C26" s="60" t="str">
        <x:f>VLOOKUP(A26,'02_Daily_Master'!$A$2:$AS$82,5,FALSE)</x:f>
        <x:v>Preflower-Watch</x:v>
      </x:c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 t="str">
        <x:f>IF(OR(N26="",L26=""),"",N26-L26)</x:f>
      </x:c>
      <x:c r="P26" s="60"/>
      <x:c r="Q26" s="60"/>
      <x:c r="R26" s="60"/>
      <x:c r="S26" s="60"/>
      <x:c r="T26" s="60"/>
      <x:c r="U26" s="60" t="str">
        <x:v>OFFEN</x:v>
      </x:c>
      <x:c r="V26" s="60" t="str">
        <x:v>OFFEN</x:v>
      </x:c>
      <x:c r="W26" s="60" t="str">
        <x:v>OFFEN</x:v>
      </x:c>
      <x:c r="X26" s="60" t="n">
        <x:v>0</x:v>
      </x:c>
      <x:c r="Y26" s="60" t="str">
        <x:f>IF(OR(U26="OFFEN",V26="OFFEN",W26="OFFEN"),"OFFEN",IF(OR(U26="FAIL",V26="FAIL",W26="FAIL",X26&gt;=4),"FAIL",IF(OR(U26="WARN",V26="WARN",W26="WARN",X26&gt;=2),"WARN","OK")))</x:f>
        <x:v>OFFEN</x:v>
      </x:c>
      <x:c r="Z26" s="29" t="str"/>
    </x:row>
    <x:row r="27">
      <x:c r="A27" s="28" t="n">
        <x:v>25</x:v>
      </x:c>
      <x:c r="B27" s="126" t="n">
        <x:f>'01_Run_Config'!$B$4+A27</x:f>
        <x:v>46267</x:v>
      </x:c>
      <x:c r="C27" s="60" t="str">
        <x:f>VLOOKUP(A27,'02_Daily_Master'!$A$2:$AS$82,5,FALSE)</x:f>
        <x:v>Preflower-Watch</x:v>
      </x:c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 t="str">
        <x:f>IF(OR(N27="",L27=""),"",N27-L27)</x:f>
      </x:c>
      <x:c r="P27" s="60"/>
      <x:c r="Q27" s="60"/>
      <x:c r="R27" s="60"/>
      <x:c r="S27" s="60"/>
      <x:c r="T27" s="60"/>
      <x:c r="U27" s="60" t="str">
        <x:v>OFFEN</x:v>
      </x:c>
      <x:c r="V27" s="60" t="str">
        <x:v>OFFEN</x:v>
      </x:c>
      <x:c r="W27" s="60" t="str">
        <x:v>OFFEN</x:v>
      </x:c>
      <x:c r="X27" s="60" t="n">
        <x:v>0</x:v>
      </x:c>
      <x:c r="Y27" s="60" t="str">
        <x:f>IF(OR(U27="OFFEN",V27="OFFEN",W27="OFFEN"),"OFFEN",IF(OR(U27="FAIL",V27="FAIL",W27="FAIL",X27&gt;=4),"FAIL",IF(OR(U27="WARN",V27="WARN",W27="WARN",X27&gt;=2),"WARN","OK")))</x:f>
        <x:v>OFFEN</x:v>
      </x:c>
      <x:c r="Z27" s="29" t="str"/>
    </x:row>
    <x:row r="28">
      <x:c r="A28" s="28" t="n">
        <x:v>26</x:v>
      </x:c>
      <x:c r="B28" s="126" t="n">
        <x:f>'01_Run_Config'!$B$4+A28</x:f>
        <x:v>46268</x:v>
      </x:c>
      <x:c r="C28" s="60" t="str">
        <x:f>VLOOKUP(A28,'02_Daily_Master'!$A$2:$AS$82,5,FALSE)</x:f>
        <x:v>Preflower-Watch</x:v>
      </x:c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 t="str">
        <x:f>IF(OR(N28="",L28=""),"",N28-L28)</x:f>
      </x:c>
      <x:c r="P28" s="60"/>
      <x:c r="Q28" s="60"/>
      <x:c r="R28" s="60"/>
      <x:c r="S28" s="60"/>
      <x:c r="T28" s="60"/>
      <x:c r="U28" s="60" t="str">
        <x:v>OFFEN</x:v>
      </x:c>
      <x:c r="V28" s="60" t="str">
        <x:v>OFFEN</x:v>
      </x:c>
      <x:c r="W28" s="60" t="str">
        <x:v>OFFEN</x:v>
      </x:c>
      <x:c r="X28" s="60" t="n">
        <x:v>0</x:v>
      </x:c>
      <x:c r="Y28" s="60" t="str">
        <x:f>IF(OR(U28="OFFEN",V28="OFFEN",W28="OFFEN"),"OFFEN",IF(OR(U28="FAIL",V28="FAIL",W28="FAIL",X28&gt;=4),"FAIL",IF(OR(U28="WARN",V28="WARN",W28="WARN",X28&gt;=2),"WARN","OK")))</x:f>
        <x:v>OFFEN</x:v>
      </x:c>
      <x:c r="Z28" s="29" t="str"/>
    </x:row>
    <x:row r="29">
      <x:c r="A29" s="28" t="n">
        <x:v>27</x:v>
      </x:c>
      <x:c r="B29" s="126" t="n">
        <x:f>'01_Run_Config'!$B$4+A29</x:f>
        <x:v>46269</x:v>
      </x:c>
      <x:c r="C29" s="60" t="str">
        <x:f>VLOOKUP(A29,'02_Daily_Master'!$A$2:$AS$82,5,FALSE)</x:f>
        <x:v>Preflower-Watch</x:v>
      </x:c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 t="str">
        <x:f>IF(OR(N29="",L29=""),"",N29-L29)</x:f>
      </x:c>
      <x:c r="P29" s="60"/>
      <x:c r="Q29" s="60"/>
      <x:c r="R29" s="60"/>
      <x:c r="S29" s="60"/>
      <x:c r="T29" s="60"/>
      <x:c r="U29" s="60" t="str">
        <x:v>OFFEN</x:v>
      </x:c>
      <x:c r="V29" s="60" t="str">
        <x:v>OFFEN</x:v>
      </x:c>
      <x:c r="W29" s="60" t="str">
        <x:v>OFFEN</x:v>
      </x:c>
      <x:c r="X29" s="60" t="n">
        <x:v>0</x:v>
      </x:c>
      <x:c r="Y29" s="60" t="str">
        <x:f>IF(OR(U29="OFFEN",V29="OFFEN",W29="OFFEN"),"OFFEN",IF(OR(U29="FAIL",V29="FAIL",W29="FAIL",X29&gt;=4),"FAIL",IF(OR(U29="WARN",V29="WARN",W29="WARN",X29&gt;=2),"WARN","OK")))</x:f>
        <x:v>OFFEN</x:v>
      </x:c>
      <x:c r="Z29" s="29" t="str"/>
    </x:row>
    <x:row r="30">
      <x:c r="A30" s="28" t="n">
        <x:v>28</x:v>
      </x:c>
      <x:c r="B30" s="126" t="n">
        <x:f>'01_Run_Config'!$B$4+A30</x:f>
        <x:v>46270</x:v>
      </x:c>
      <x:c r="C30" s="60" t="str">
        <x:f>VLOOKUP(A30,'02_Daily_Master'!$A$2:$AS$82,5,FALSE)</x:f>
        <x:v>Transition / Stretch (B1)</x:v>
      </x:c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 t="str">
        <x:f>IF(OR(N30="",L30=""),"",N30-L30)</x:f>
      </x:c>
      <x:c r="P30" s="60"/>
      <x:c r="Q30" s="60"/>
      <x:c r="R30" s="60"/>
      <x:c r="S30" s="60"/>
      <x:c r="T30" s="60"/>
      <x:c r="U30" s="60" t="str">
        <x:v>OFFEN</x:v>
      </x:c>
      <x:c r="V30" s="60" t="str">
        <x:v>OFFEN</x:v>
      </x:c>
      <x:c r="W30" s="60" t="str">
        <x:v>OFFEN</x:v>
      </x:c>
      <x:c r="X30" s="60" t="n">
        <x:v>0</x:v>
      </x:c>
      <x:c r="Y30" s="60" t="str">
        <x:f>IF(OR(U30="OFFEN",V30="OFFEN",W30="OFFEN"),"OFFEN",IF(OR(U30="FAIL",V30="FAIL",W30="FAIL",X30&gt;=4),"FAIL",IF(OR(U30="WARN",V30="WARN",W30="WARN",X30&gt;=2),"WARN","OK")))</x:f>
        <x:v>OFFEN</x:v>
      </x:c>
      <x:c r="Z30" s="29" t="str"/>
    </x:row>
    <x:row r="31">
      <x:c r="A31" s="28" t="n">
        <x:v>29</x:v>
      </x:c>
      <x:c r="B31" s="126" t="n">
        <x:f>'01_Run_Config'!$B$4+A31</x:f>
        <x:v>46271</x:v>
      </x:c>
      <x:c r="C31" s="60" t="str">
        <x:f>VLOOKUP(A31,'02_Daily_Master'!$A$2:$AS$82,5,FALSE)</x:f>
        <x:v>Transition / Stretch (B1)</x:v>
      </x:c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 t="str">
        <x:f>IF(OR(N31="",L31=""),"",N31-L31)</x:f>
      </x:c>
      <x:c r="P31" s="60"/>
      <x:c r="Q31" s="60"/>
      <x:c r="R31" s="60"/>
      <x:c r="S31" s="60"/>
      <x:c r="T31" s="60"/>
      <x:c r="U31" s="60" t="str">
        <x:v>OFFEN</x:v>
      </x:c>
      <x:c r="V31" s="60" t="str">
        <x:v>OFFEN</x:v>
      </x:c>
      <x:c r="W31" s="60" t="str">
        <x:v>OFFEN</x:v>
      </x:c>
      <x:c r="X31" s="60" t="n">
        <x:v>0</x:v>
      </x:c>
      <x:c r="Y31" s="60" t="str">
        <x:f>IF(OR(U31="OFFEN",V31="OFFEN",W31="OFFEN"),"OFFEN",IF(OR(U31="FAIL",V31="FAIL",W31="FAIL",X31&gt;=4),"FAIL",IF(OR(U31="WARN",V31="WARN",W31="WARN",X31&gt;=2),"WARN","OK")))</x:f>
        <x:v>OFFEN</x:v>
      </x:c>
      <x:c r="Z31" s="29" t="str"/>
    </x:row>
    <x:row r="32">
      <x:c r="A32" s="28" t="n">
        <x:v>30</x:v>
      </x:c>
      <x:c r="B32" s="126" t="n">
        <x:f>'01_Run_Config'!$B$4+A32</x:f>
        <x:v>46272</x:v>
      </x:c>
      <x:c r="C32" s="60" t="str">
        <x:f>VLOOKUP(A32,'02_Daily_Master'!$A$2:$AS$82,5,FALSE)</x:f>
        <x:v>Transition / Stretch (B1)</x:v>
      </x:c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 t="str">
        <x:f>IF(OR(N32="",L32=""),"",N32-L32)</x:f>
      </x:c>
      <x:c r="P32" s="60"/>
      <x:c r="Q32" s="60"/>
      <x:c r="R32" s="60"/>
      <x:c r="S32" s="60"/>
      <x:c r="T32" s="60"/>
      <x:c r="U32" s="60" t="str">
        <x:v>OFFEN</x:v>
      </x:c>
      <x:c r="V32" s="60" t="str">
        <x:v>OFFEN</x:v>
      </x:c>
      <x:c r="W32" s="60" t="str">
        <x:v>OFFEN</x:v>
      </x:c>
      <x:c r="X32" s="60" t="n">
        <x:v>0</x:v>
      </x:c>
      <x:c r="Y32" s="60" t="str">
        <x:f>IF(OR(U32="OFFEN",V32="OFFEN",W32="OFFEN"),"OFFEN",IF(OR(U32="FAIL",V32="FAIL",W32="FAIL",X32&gt;=4),"FAIL",IF(OR(U32="WARN",V32="WARN",W32="WARN",X32&gt;=2),"WARN","OK")))</x:f>
        <x:v>OFFEN</x:v>
      </x:c>
      <x:c r="Z32" s="29" t="str"/>
    </x:row>
    <x:row r="33">
      <x:c r="A33" s="28" t="n">
        <x:v>31</x:v>
      </x:c>
      <x:c r="B33" s="126" t="n">
        <x:f>'01_Run_Config'!$B$4+A33</x:f>
        <x:v>46273</x:v>
      </x:c>
      <x:c r="C33" s="60" t="str">
        <x:f>VLOOKUP(A33,'02_Daily_Master'!$A$2:$AS$82,5,FALSE)</x:f>
        <x:v>Transition / Stretch (B1)</x:v>
      </x:c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 t="str">
        <x:f>IF(OR(N33="",L33=""),"",N33-L33)</x:f>
      </x:c>
      <x:c r="P33" s="60"/>
      <x:c r="Q33" s="60"/>
      <x:c r="R33" s="60"/>
      <x:c r="S33" s="60"/>
      <x:c r="T33" s="60"/>
      <x:c r="U33" s="60" t="str">
        <x:v>OFFEN</x:v>
      </x:c>
      <x:c r="V33" s="60" t="str">
        <x:v>OFFEN</x:v>
      </x:c>
      <x:c r="W33" s="60" t="str">
        <x:v>OFFEN</x:v>
      </x:c>
      <x:c r="X33" s="60" t="n">
        <x:v>0</x:v>
      </x:c>
      <x:c r="Y33" s="60" t="str">
        <x:f>IF(OR(U33="OFFEN",V33="OFFEN",W33="OFFEN"),"OFFEN",IF(OR(U33="FAIL",V33="FAIL",W33="FAIL",X33&gt;=4),"FAIL",IF(OR(U33="WARN",V33="WARN",W33="WARN",X33&gt;=2),"WARN","OK")))</x:f>
        <x:v>OFFEN</x:v>
      </x:c>
      <x:c r="Z33" s="29" t="str"/>
    </x:row>
    <x:row r="34">
      <x:c r="A34" s="28" t="n">
        <x:v>32</x:v>
      </x:c>
      <x:c r="B34" s="126" t="n">
        <x:f>'01_Run_Config'!$B$4+A34</x:f>
        <x:v>46274</x:v>
      </x:c>
      <x:c r="C34" s="60" t="str">
        <x:f>VLOOKUP(A34,'02_Daily_Master'!$A$2:$AS$82,5,FALSE)</x:f>
        <x:v>Transition / Stretch (B1)</x:v>
      </x:c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 t="str">
        <x:f>IF(OR(N34="",L34=""),"",N34-L34)</x:f>
      </x:c>
      <x:c r="P34" s="60"/>
      <x:c r="Q34" s="60"/>
      <x:c r="R34" s="60"/>
      <x:c r="S34" s="60"/>
      <x:c r="T34" s="60"/>
      <x:c r="U34" s="60" t="str">
        <x:v>OFFEN</x:v>
      </x:c>
      <x:c r="V34" s="60" t="str">
        <x:v>OFFEN</x:v>
      </x:c>
      <x:c r="W34" s="60" t="str">
        <x:v>OFFEN</x:v>
      </x:c>
      <x:c r="X34" s="60" t="n">
        <x:v>0</x:v>
      </x:c>
      <x:c r="Y34" s="60" t="str">
        <x:f>IF(OR(U34="OFFEN",V34="OFFEN",W34="OFFEN"),"OFFEN",IF(OR(U34="FAIL",V34="FAIL",W34="FAIL",X34&gt;=4),"FAIL",IF(OR(U34="WARN",V34="WARN",W34="WARN",X34&gt;=2),"WARN","OK")))</x:f>
        <x:v>OFFEN</x:v>
      </x:c>
      <x:c r="Z34" s="29" t="str"/>
    </x:row>
    <x:row r="35">
      <x:c r="A35" s="28" t="n">
        <x:v>33</x:v>
      </x:c>
      <x:c r="B35" s="126" t="n">
        <x:f>'01_Run_Config'!$B$4+A35</x:f>
        <x:v>46275</x:v>
      </x:c>
      <x:c r="C35" s="60" t="str">
        <x:f>VLOOKUP(A35,'02_Daily_Master'!$A$2:$AS$82,5,FALSE)</x:f>
        <x:v>Transition / Stretch (B1)</x:v>
      </x:c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 t="str">
        <x:f>IF(OR(N35="",L35=""),"",N35-L35)</x:f>
      </x:c>
      <x:c r="P35" s="60"/>
      <x:c r="Q35" s="60"/>
      <x:c r="R35" s="60"/>
      <x:c r="S35" s="60"/>
      <x:c r="T35" s="60"/>
      <x:c r="U35" s="60" t="str">
        <x:v>OFFEN</x:v>
      </x:c>
      <x:c r="V35" s="60" t="str">
        <x:v>OFFEN</x:v>
      </x:c>
      <x:c r="W35" s="60" t="str">
        <x:v>OFFEN</x:v>
      </x:c>
      <x:c r="X35" s="60" t="n">
        <x:v>0</x:v>
      </x:c>
      <x:c r="Y35" s="60" t="str">
        <x:f>IF(OR(U35="OFFEN",V35="OFFEN",W35="OFFEN"),"OFFEN",IF(OR(U35="FAIL",V35="FAIL",W35="FAIL",X35&gt;=4),"FAIL",IF(OR(U35="WARN",V35="WARN",W35="WARN",X35&gt;=2),"WARN","OK")))</x:f>
        <x:v>OFFEN</x:v>
      </x:c>
      <x:c r="Z35" s="29" t="str"/>
    </x:row>
    <x:row r="36">
      <x:c r="A36" s="28" t="n">
        <x:v>34</x:v>
      </x:c>
      <x:c r="B36" s="126" t="n">
        <x:f>'01_Run_Config'!$B$4+A36</x:f>
        <x:v>46276</x:v>
      </x:c>
      <x:c r="C36" s="60" t="str">
        <x:f>VLOOKUP(A36,'02_Daily_Master'!$A$2:$AS$82,5,FALSE)</x:f>
        <x:v>Transition / Stretch (B1)</x:v>
      </x:c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 t="str">
        <x:f>IF(OR(N36="",L36=""),"",N36-L36)</x:f>
      </x:c>
      <x:c r="P36" s="60"/>
      <x:c r="Q36" s="60"/>
      <x:c r="R36" s="60"/>
      <x:c r="S36" s="60"/>
      <x:c r="T36" s="60"/>
      <x:c r="U36" s="60" t="str">
        <x:v>OFFEN</x:v>
      </x:c>
      <x:c r="V36" s="60" t="str">
        <x:v>OFFEN</x:v>
      </x:c>
      <x:c r="W36" s="60" t="str">
        <x:v>OFFEN</x:v>
      </x:c>
      <x:c r="X36" s="60" t="n">
        <x:v>0</x:v>
      </x:c>
      <x:c r="Y36" s="60" t="str">
        <x:f>IF(OR(U36="OFFEN",V36="OFFEN",W36="OFFEN"),"OFFEN",IF(OR(U36="FAIL",V36="FAIL",W36="FAIL",X36&gt;=4),"FAIL",IF(OR(U36="WARN",V36="WARN",W36="WARN",X36&gt;=2),"WARN","OK")))</x:f>
        <x:v>OFFEN</x:v>
      </x:c>
      <x:c r="Z36" s="29" t="str"/>
    </x:row>
    <x:row r="37">
      <x:c r="A37" s="28" t="n">
        <x:v>35</x:v>
      </x:c>
      <x:c r="B37" s="126" t="n">
        <x:f>'01_Run_Config'!$B$4+A37</x:f>
        <x:v>46277</x:v>
      </x:c>
      <x:c r="C37" s="60" t="str">
        <x:f>VLOOKUP(A37,'02_Daily_Master'!$A$2:$AS$82,5,FALSE)</x:f>
        <x:v>Early Flower (B2)</x:v>
      </x:c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 t="str">
        <x:f>IF(OR(N37="",L37=""),"",N37-L37)</x:f>
      </x:c>
      <x:c r="P37" s="60"/>
      <x:c r="Q37" s="60"/>
      <x:c r="R37" s="60"/>
      <x:c r="S37" s="60"/>
      <x:c r="T37" s="60"/>
      <x:c r="U37" s="60" t="str">
        <x:v>OFFEN</x:v>
      </x:c>
      <x:c r="V37" s="60" t="str">
        <x:v>OFFEN</x:v>
      </x:c>
      <x:c r="W37" s="60" t="str">
        <x:v>OFFEN</x:v>
      </x:c>
      <x:c r="X37" s="60" t="n">
        <x:v>0</x:v>
      </x:c>
      <x:c r="Y37" s="60" t="str">
        <x:f>IF(OR(U37="OFFEN",V37="OFFEN",W37="OFFEN"),"OFFEN",IF(OR(U37="FAIL",V37="FAIL",W37="FAIL",X37&gt;=4),"FAIL",IF(OR(U37="WARN",V37="WARN",W37="WARN",X37&gt;=2),"WARN","OK")))</x:f>
        <x:v>OFFEN</x:v>
      </x:c>
      <x:c r="Z37" s="29" t="str"/>
    </x:row>
    <x:row r="38">
      <x:c r="A38" s="28" t="n">
        <x:v>36</x:v>
      </x:c>
      <x:c r="B38" s="126" t="n">
        <x:f>'01_Run_Config'!$B$4+A38</x:f>
        <x:v>46278</x:v>
      </x:c>
      <x:c r="C38" s="60" t="str">
        <x:f>VLOOKUP(A38,'02_Daily_Master'!$A$2:$AS$82,5,FALSE)</x:f>
        <x:v>Early Flower (B2)</x:v>
      </x:c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 t="str">
        <x:f>IF(OR(N38="",L38=""),"",N38-L38)</x:f>
      </x:c>
      <x:c r="P38" s="60"/>
      <x:c r="Q38" s="60"/>
      <x:c r="R38" s="60"/>
      <x:c r="S38" s="60"/>
      <x:c r="T38" s="60"/>
      <x:c r="U38" s="60" t="str">
        <x:v>OFFEN</x:v>
      </x:c>
      <x:c r="V38" s="60" t="str">
        <x:v>OFFEN</x:v>
      </x:c>
      <x:c r="W38" s="60" t="str">
        <x:v>OFFEN</x:v>
      </x:c>
      <x:c r="X38" s="60" t="n">
        <x:v>0</x:v>
      </x:c>
      <x:c r="Y38" s="60" t="str">
        <x:f>IF(OR(U38="OFFEN",V38="OFFEN",W38="OFFEN"),"OFFEN",IF(OR(U38="FAIL",V38="FAIL",W38="FAIL",X38&gt;=4),"FAIL",IF(OR(U38="WARN",V38="WARN",W38="WARN",X38&gt;=2),"WARN","OK")))</x:f>
        <x:v>OFFEN</x:v>
      </x:c>
      <x:c r="Z38" s="29" t="str"/>
    </x:row>
    <x:row r="39">
      <x:c r="A39" s="28" t="n">
        <x:v>37</x:v>
      </x:c>
      <x:c r="B39" s="126" t="n">
        <x:f>'01_Run_Config'!$B$4+A39</x:f>
        <x:v>46279</x:v>
      </x:c>
      <x:c r="C39" s="60" t="str">
        <x:f>VLOOKUP(A39,'02_Daily_Master'!$A$2:$AS$82,5,FALSE)</x:f>
        <x:v>Early Flower (B2)</x:v>
      </x:c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 t="str">
        <x:f>IF(OR(N39="",L39=""),"",N39-L39)</x:f>
      </x:c>
      <x:c r="P39" s="60"/>
      <x:c r="Q39" s="60"/>
      <x:c r="R39" s="60"/>
      <x:c r="S39" s="60"/>
      <x:c r="T39" s="60"/>
      <x:c r="U39" s="60" t="str">
        <x:v>OFFEN</x:v>
      </x:c>
      <x:c r="V39" s="60" t="str">
        <x:v>OFFEN</x:v>
      </x:c>
      <x:c r="W39" s="60" t="str">
        <x:v>OFFEN</x:v>
      </x:c>
      <x:c r="X39" s="60" t="n">
        <x:v>0</x:v>
      </x:c>
      <x:c r="Y39" s="60" t="str">
        <x:f>IF(OR(U39="OFFEN",V39="OFFEN",W39="OFFEN"),"OFFEN",IF(OR(U39="FAIL",V39="FAIL",W39="FAIL",X39&gt;=4),"FAIL",IF(OR(U39="WARN",V39="WARN",W39="WARN",X39&gt;=2),"WARN","OK")))</x:f>
        <x:v>OFFEN</x:v>
      </x:c>
      <x:c r="Z39" s="29" t="str"/>
    </x:row>
    <x:row r="40">
      <x:c r="A40" s="28" t="n">
        <x:v>38</x:v>
      </x:c>
      <x:c r="B40" s="126" t="n">
        <x:f>'01_Run_Config'!$B$4+A40</x:f>
        <x:v>46280</x:v>
      </x:c>
      <x:c r="C40" s="60" t="str">
        <x:f>VLOOKUP(A40,'02_Daily_Master'!$A$2:$AS$82,5,FALSE)</x:f>
        <x:v>Early Flower (B2)</x:v>
      </x:c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 t="str">
        <x:f>IF(OR(N40="",L40=""),"",N40-L40)</x:f>
      </x:c>
      <x:c r="P40" s="60"/>
      <x:c r="Q40" s="60"/>
      <x:c r="R40" s="60"/>
      <x:c r="S40" s="60"/>
      <x:c r="T40" s="60"/>
      <x:c r="U40" s="60" t="str">
        <x:v>OFFEN</x:v>
      </x:c>
      <x:c r="V40" s="60" t="str">
        <x:v>OFFEN</x:v>
      </x:c>
      <x:c r="W40" s="60" t="str">
        <x:v>OFFEN</x:v>
      </x:c>
      <x:c r="X40" s="60" t="n">
        <x:v>0</x:v>
      </x:c>
      <x:c r="Y40" s="60" t="str">
        <x:f>IF(OR(U40="OFFEN",V40="OFFEN",W40="OFFEN"),"OFFEN",IF(OR(U40="FAIL",V40="FAIL",W40="FAIL",X40&gt;=4),"FAIL",IF(OR(U40="WARN",V40="WARN",W40="WARN",X40&gt;=2),"WARN","OK")))</x:f>
        <x:v>OFFEN</x:v>
      </x:c>
      <x:c r="Z40" s="29" t="str"/>
    </x:row>
    <x:row r="41">
      <x:c r="A41" s="28" t="n">
        <x:v>39</x:v>
      </x:c>
      <x:c r="B41" s="126" t="n">
        <x:f>'01_Run_Config'!$B$4+A41</x:f>
        <x:v>46281</x:v>
      </x:c>
      <x:c r="C41" s="60" t="str">
        <x:f>VLOOKUP(A41,'02_Daily_Master'!$A$2:$AS$82,5,FALSE)</x:f>
        <x:v>Early Flower (B2)</x:v>
      </x:c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 t="str">
        <x:f>IF(OR(N41="",L41=""),"",N41-L41)</x:f>
      </x:c>
      <x:c r="P41" s="60"/>
      <x:c r="Q41" s="60"/>
      <x:c r="R41" s="60"/>
      <x:c r="S41" s="60"/>
      <x:c r="T41" s="60"/>
      <x:c r="U41" s="60" t="str">
        <x:v>OFFEN</x:v>
      </x:c>
      <x:c r="V41" s="60" t="str">
        <x:v>OFFEN</x:v>
      </x:c>
      <x:c r="W41" s="60" t="str">
        <x:v>OFFEN</x:v>
      </x:c>
      <x:c r="X41" s="60" t="n">
        <x:v>0</x:v>
      </x:c>
      <x:c r="Y41" s="60" t="str">
        <x:f>IF(OR(U41="OFFEN",V41="OFFEN",W41="OFFEN"),"OFFEN",IF(OR(U41="FAIL",V41="FAIL",W41="FAIL",X41&gt;=4),"FAIL",IF(OR(U41="WARN",V41="WARN",W41="WARN",X41&gt;=2),"WARN","OK")))</x:f>
        <x:v>OFFEN</x:v>
      </x:c>
      <x:c r="Z41" s="29" t="str"/>
    </x:row>
    <x:row r="42">
      <x:c r="A42" s="28" t="n">
        <x:v>40</x:v>
      </x:c>
      <x:c r="B42" s="126" t="n">
        <x:f>'01_Run_Config'!$B$4+A42</x:f>
        <x:v>46282</x:v>
      </x:c>
      <x:c r="C42" s="60" t="str">
        <x:f>VLOOKUP(A42,'02_Daily_Master'!$A$2:$AS$82,5,FALSE)</x:f>
        <x:v>Early Flower (B2)</x:v>
      </x:c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 t="str">
        <x:f>IF(OR(N42="",L42=""),"",N42-L42)</x:f>
      </x:c>
      <x:c r="P42" s="60"/>
      <x:c r="Q42" s="60"/>
      <x:c r="R42" s="60"/>
      <x:c r="S42" s="60"/>
      <x:c r="T42" s="60"/>
      <x:c r="U42" s="60" t="str">
        <x:v>OFFEN</x:v>
      </x:c>
      <x:c r="V42" s="60" t="str">
        <x:v>OFFEN</x:v>
      </x:c>
      <x:c r="W42" s="60" t="str">
        <x:v>OFFEN</x:v>
      </x:c>
      <x:c r="X42" s="60" t="n">
        <x:v>0</x:v>
      </x:c>
      <x:c r="Y42" s="60" t="str">
        <x:f>IF(OR(U42="OFFEN",V42="OFFEN",W42="OFFEN"),"OFFEN",IF(OR(U42="FAIL",V42="FAIL",W42="FAIL",X42&gt;=4),"FAIL",IF(OR(U42="WARN",V42="WARN",W42="WARN",X42&gt;=2),"WARN","OK")))</x:f>
        <x:v>OFFEN</x:v>
      </x:c>
      <x:c r="Z42" s="29" t="str"/>
    </x:row>
    <x:row r="43">
      <x:c r="A43" s="28" t="n">
        <x:v>41</x:v>
      </x:c>
      <x:c r="B43" s="126" t="n">
        <x:f>'01_Run_Config'!$B$4+A43</x:f>
        <x:v>46283</x:v>
      </x:c>
      <x:c r="C43" s="60" t="str">
        <x:f>VLOOKUP(A43,'02_Daily_Master'!$A$2:$AS$82,5,FALSE)</x:f>
        <x:v>Early Flower (B2)</x:v>
      </x:c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 t="str">
        <x:f>IF(OR(N43="",L43=""),"",N43-L43)</x:f>
      </x:c>
      <x:c r="P43" s="60"/>
      <x:c r="Q43" s="60"/>
      <x:c r="R43" s="60"/>
      <x:c r="S43" s="60"/>
      <x:c r="T43" s="60"/>
      <x:c r="U43" s="60" t="str">
        <x:v>OFFEN</x:v>
      </x:c>
      <x:c r="V43" s="60" t="str">
        <x:v>OFFEN</x:v>
      </x:c>
      <x:c r="W43" s="60" t="str">
        <x:v>OFFEN</x:v>
      </x:c>
      <x:c r="X43" s="60" t="n">
        <x:v>0</x:v>
      </x:c>
      <x:c r="Y43" s="60" t="str">
        <x:f>IF(OR(U43="OFFEN",V43="OFFEN",W43="OFFEN"),"OFFEN",IF(OR(U43="FAIL",V43="FAIL",W43="FAIL",X43&gt;=4),"FAIL",IF(OR(U43="WARN",V43="WARN",W43="WARN",X43&gt;=2),"WARN","OK")))</x:f>
        <x:v>OFFEN</x:v>
      </x:c>
      <x:c r="Z43" s="29" t="str"/>
    </x:row>
    <x:row r="44">
      <x:c r="A44" s="28" t="n">
        <x:v>42</x:v>
      </x:c>
      <x:c r="B44" s="126" t="n">
        <x:f>'01_Run_Config'!$B$4+A44</x:f>
        <x:v>46284</x:v>
      </x:c>
      <x:c r="C44" s="60" t="str">
        <x:f>VLOOKUP(A44,'02_Daily_Master'!$A$2:$AS$82,5,FALSE)</x:f>
        <x:v>Flower I (B3)</x:v>
      </x:c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 t="str">
        <x:f>IF(OR(N44="",L44=""),"",N44-L44)</x:f>
      </x:c>
      <x:c r="P44" s="60"/>
      <x:c r="Q44" s="60"/>
      <x:c r="R44" s="60"/>
      <x:c r="S44" s="60"/>
      <x:c r="T44" s="60"/>
      <x:c r="U44" s="60" t="str">
        <x:v>OFFEN</x:v>
      </x:c>
      <x:c r="V44" s="60" t="str">
        <x:v>OFFEN</x:v>
      </x:c>
      <x:c r="W44" s="60" t="str">
        <x:v>OFFEN</x:v>
      </x:c>
      <x:c r="X44" s="60" t="n">
        <x:v>0</x:v>
      </x:c>
      <x:c r="Y44" s="60" t="str">
        <x:f>IF(OR(U44="OFFEN",V44="OFFEN",W44="OFFEN"),"OFFEN",IF(OR(U44="FAIL",V44="FAIL",W44="FAIL",X44&gt;=4),"FAIL",IF(OR(U44="WARN",V44="WARN",W44="WARN",X44&gt;=2),"WARN","OK")))</x:f>
        <x:v>OFFEN</x:v>
      </x:c>
      <x:c r="Z44" s="29" t="str"/>
    </x:row>
    <x:row r="45">
      <x:c r="A45" s="28" t="n">
        <x:v>43</x:v>
      </x:c>
      <x:c r="B45" s="126" t="n">
        <x:f>'01_Run_Config'!$B$4+A45</x:f>
        <x:v>46285</x:v>
      </x:c>
      <x:c r="C45" s="60" t="str">
        <x:f>VLOOKUP(A45,'02_Daily_Master'!$A$2:$AS$82,5,FALSE)</x:f>
        <x:v>Flower I (B3)</x:v>
      </x:c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 t="str">
        <x:f>IF(OR(N45="",L45=""),"",N45-L45)</x:f>
      </x:c>
      <x:c r="P45" s="60"/>
      <x:c r="Q45" s="60"/>
      <x:c r="R45" s="60"/>
      <x:c r="S45" s="60"/>
      <x:c r="T45" s="60"/>
      <x:c r="U45" s="60" t="str">
        <x:v>OFFEN</x:v>
      </x:c>
      <x:c r="V45" s="60" t="str">
        <x:v>OFFEN</x:v>
      </x:c>
      <x:c r="W45" s="60" t="str">
        <x:v>OFFEN</x:v>
      </x:c>
      <x:c r="X45" s="60" t="n">
        <x:v>0</x:v>
      </x:c>
      <x:c r="Y45" s="60" t="str">
        <x:f>IF(OR(U45="OFFEN",V45="OFFEN",W45="OFFEN"),"OFFEN",IF(OR(U45="FAIL",V45="FAIL",W45="FAIL",X45&gt;=4),"FAIL",IF(OR(U45="WARN",V45="WARN",W45="WARN",X45&gt;=2),"WARN","OK")))</x:f>
        <x:v>OFFEN</x:v>
      </x:c>
      <x:c r="Z45" s="29" t="str"/>
    </x:row>
    <x:row r="46">
      <x:c r="A46" s="28" t="n">
        <x:v>44</x:v>
      </x:c>
      <x:c r="B46" s="126" t="n">
        <x:f>'01_Run_Config'!$B$4+A46</x:f>
        <x:v>46286</x:v>
      </x:c>
      <x:c r="C46" s="60" t="str">
        <x:f>VLOOKUP(A46,'02_Daily_Master'!$A$2:$AS$82,5,FALSE)</x:f>
        <x:v>Flower I (B3)</x:v>
      </x:c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 t="str">
        <x:f>IF(OR(N46="",L46=""),"",N46-L46)</x:f>
      </x:c>
      <x:c r="P46" s="60"/>
      <x:c r="Q46" s="60"/>
      <x:c r="R46" s="60"/>
      <x:c r="S46" s="60"/>
      <x:c r="T46" s="60"/>
      <x:c r="U46" s="60" t="str">
        <x:v>OFFEN</x:v>
      </x:c>
      <x:c r="V46" s="60" t="str">
        <x:v>OFFEN</x:v>
      </x:c>
      <x:c r="W46" s="60" t="str">
        <x:v>OFFEN</x:v>
      </x:c>
      <x:c r="X46" s="60" t="n">
        <x:v>0</x:v>
      </x:c>
      <x:c r="Y46" s="60" t="str">
        <x:f>IF(OR(U46="OFFEN",V46="OFFEN",W46="OFFEN"),"OFFEN",IF(OR(U46="FAIL",V46="FAIL",W46="FAIL",X46&gt;=4),"FAIL",IF(OR(U46="WARN",V46="WARN",W46="WARN",X46&gt;=2),"WARN","OK")))</x:f>
        <x:v>OFFEN</x:v>
      </x:c>
      <x:c r="Z46" s="29" t="str"/>
    </x:row>
    <x:row r="47">
      <x:c r="A47" s="28" t="n">
        <x:v>45</x:v>
      </x:c>
      <x:c r="B47" s="126" t="n">
        <x:f>'01_Run_Config'!$B$4+A47</x:f>
        <x:v>46287</x:v>
      </x:c>
      <x:c r="C47" s="60" t="str">
        <x:f>VLOOKUP(A47,'02_Daily_Master'!$A$2:$AS$82,5,FALSE)</x:f>
        <x:v>Flower I (B3)</x:v>
      </x:c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 t="str">
        <x:f>IF(OR(N47="",L47=""),"",N47-L47)</x:f>
      </x:c>
      <x:c r="P47" s="60"/>
      <x:c r="Q47" s="60"/>
      <x:c r="R47" s="60"/>
      <x:c r="S47" s="60"/>
      <x:c r="T47" s="60"/>
      <x:c r="U47" s="60" t="str">
        <x:v>OFFEN</x:v>
      </x:c>
      <x:c r="V47" s="60" t="str">
        <x:v>OFFEN</x:v>
      </x:c>
      <x:c r="W47" s="60" t="str">
        <x:v>OFFEN</x:v>
      </x:c>
      <x:c r="X47" s="60" t="n">
        <x:v>0</x:v>
      </x:c>
      <x:c r="Y47" s="60" t="str">
        <x:f>IF(OR(U47="OFFEN",V47="OFFEN",W47="OFFEN"),"OFFEN",IF(OR(U47="FAIL",V47="FAIL",W47="FAIL",X47&gt;=4),"FAIL",IF(OR(U47="WARN",V47="WARN",W47="WARN",X47&gt;=2),"WARN","OK")))</x:f>
        <x:v>OFFEN</x:v>
      </x:c>
      <x:c r="Z47" s="29" t="str"/>
    </x:row>
    <x:row r="48">
      <x:c r="A48" s="28" t="n">
        <x:v>46</x:v>
      </x:c>
      <x:c r="B48" s="126" t="n">
        <x:f>'01_Run_Config'!$B$4+A48</x:f>
        <x:v>46288</x:v>
      </x:c>
      <x:c r="C48" s="60" t="str">
        <x:f>VLOOKUP(A48,'02_Daily_Master'!$A$2:$AS$82,5,FALSE)</x:f>
        <x:v>Flower I (B3)</x:v>
      </x:c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 t="str">
        <x:f>IF(OR(N48="",L48=""),"",N48-L48)</x:f>
      </x:c>
      <x:c r="P48" s="60"/>
      <x:c r="Q48" s="60"/>
      <x:c r="R48" s="60"/>
      <x:c r="S48" s="60"/>
      <x:c r="T48" s="60"/>
      <x:c r="U48" s="60" t="str">
        <x:v>OFFEN</x:v>
      </x:c>
      <x:c r="V48" s="60" t="str">
        <x:v>OFFEN</x:v>
      </x:c>
      <x:c r="W48" s="60" t="str">
        <x:v>OFFEN</x:v>
      </x:c>
      <x:c r="X48" s="60" t="n">
        <x:v>0</x:v>
      </x:c>
      <x:c r="Y48" s="60" t="str">
        <x:f>IF(OR(U48="OFFEN",V48="OFFEN",W48="OFFEN"),"OFFEN",IF(OR(U48="FAIL",V48="FAIL",W48="FAIL",X48&gt;=4),"FAIL",IF(OR(U48="WARN",V48="WARN",W48="WARN",X48&gt;=2),"WARN","OK")))</x:f>
        <x:v>OFFEN</x:v>
      </x:c>
      <x:c r="Z48" s="29" t="str"/>
    </x:row>
    <x:row r="49">
      <x:c r="A49" s="28" t="n">
        <x:v>47</x:v>
      </x:c>
      <x:c r="B49" s="126" t="n">
        <x:f>'01_Run_Config'!$B$4+A49</x:f>
        <x:v>46289</x:v>
      </x:c>
      <x:c r="C49" s="60" t="str">
        <x:f>VLOOKUP(A49,'02_Daily_Master'!$A$2:$AS$82,5,FALSE)</x:f>
        <x:v>Flower I (B3)</x:v>
      </x:c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 t="str">
        <x:f>IF(OR(N49="",L49=""),"",N49-L49)</x:f>
      </x:c>
      <x:c r="P49" s="60"/>
      <x:c r="Q49" s="60"/>
      <x:c r="R49" s="60"/>
      <x:c r="S49" s="60"/>
      <x:c r="T49" s="60"/>
      <x:c r="U49" s="60" t="str">
        <x:v>OFFEN</x:v>
      </x:c>
      <x:c r="V49" s="60" t="str">
        <x:v>OFFEN</x:v>
      </x:c>
      <x:c r="W49" s="60" t="str">
        <x:v>OFFEN</x:v>
      </x:c>
      <x:c r="X49" s="60" t="n">
        <x:v>0</x:v>
      </x:c>
      <x:c r="Y49" s="60" t="str">
        <x:f>IF(OR(U49="OFFEN",V49="OFFEN",W49="OFFEN"),"OFFEN",IF(OR(U49="FAIL",V49="FAIL",W49="FAIL",X49&gt;=4),"FAIL",IF(OR(U49="WARN",V49="WARN",W49="WARN",X49&gt;=2),"WARN","OK")))</x:f>
        <x:v>OFFEN</x:v>
      </x:c>
      <x:c r="Z49" s="29" t="str"/>
    </x:row>
    <x:row r="50">
      <x:c r="A50" s="28" t="n">
        <x:v>48</x:v>
      </x:c>
      <x:c r="B50" s="126" t="n">
        <x:f>'01_Run_Config'!$B$4+A50</x:f>
        <x:v>46290</x:v>
      </x:c>
      <x:c r="C50" s="60" t="str">
        <x:f>VLOOKUP(A50,'02_Daily_Master'!$A$2:$AS$82,5,FALSE)</x:f>
        <x:v>Flower I (B3)</x:v>
      </x:c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 t="str">
        <x:f>IF(OR(N50="",L50=""),"",N50-L50)</x:f>
      </x:c>
      <x:c r="P50" s="60"/>
      <x:c r="Q50" s="60"/>
      <x:c r="R50" s="60"/>
      <x:c r="S50" s="60"/>
      <x:c r="T50" s="60"/>
      <x:c r="U50" s="60" t="str">
        <x:v>OFFEN</x:v>
      </x:c>
      <x:c r="V50" s="60" t="str">
        <x:v>OFFEN</x:v>
      </x:c>
      <x:c r="W50" s="60" t="str">
        <x:v>OFFEN</x:v>
      </x:c>
      <x:c r="X50" s="60" t="n">
        <x:v>0</x:v>
      </x:c>
      <x:c r="Y50" s="60" t="str">
        <x:f>IF(OR(U50="OFFEN",V50="OFFEN",W50="OFFEN"),"OFFEN",IF(OR(U50="FAIL",V50="FAIL",W50="FAIL",X50&gt;=4),"FAIL",IF(OR(U50="WARN",V50="WARN",W50="WARN",X50&gt;=2),"WARN","OK")))</x:f>
        <x:v>OFFEN</x:v>
      </x:c>
      <x:c r="Z50" s="29" t="str"/>
    </x:row>
    <x:row r="51">
      <x:c r="A51" s="28" t="n">
        <x:v>49</x:v>
      </x:c>
      <x:c r="B51" s="126" t="n">
        <x:f>'01_Run_Config'!$B$4+A51</x:f>
        <x:v>46291</x:v>
      </x:c>
      <x:c r="C51" s="60" t="str">
        <x:f>VLOOKUP(A51,'02_Daily_Master'!$A$2:$AS$82,5,FALSE)</x:f>
        <x:v>Peak Flower (B4)</x:v>
      </x:c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 t="str">
        <x:f>IF(OR(N51="",L51=""),"",N51-L51)</x:f>
      </x:c>
      <x:c r="P51" s="60"/>
      <x:c r="Q51" s="60"/>
      <x:c r="R51" s="60"/>
      <x:c r="S51" s="60"/>
      <x:c r="T51" s="60"/>
      <x:c r="U51" s="60" t="str">
        <x:v>OFFEN</x:v>
      </x:c>
      <x:c r="V51" s="60" t="str">
        <x:v>OFFEN</x:v>
      </x:c>
      <x:c r="W51" s="60" t="str">
        <x:v>OFFEN</x:v>
      </x:c>
      <x:c r="X51" s="60" t="n">
        <x:v>0</x:v>
      </x:c>
      <x:c r="Y51" s="60" t="str">
        <x:f>IF(OR(U51="OFFEN",V51="OFFEN",W51="OFFEN"),"OFFEN",IF(OR(U51="FAIL",V51="FAIL",W51="FAIL",X51&gt;=4),"FAIL",IF(OR(U51="WARN",V51="WARN",W51="WARN",X51&gt;=2),"WARN","OK")))</x:f>
        <x:v>OFFEN</x:v>
      </x:c>
      <x:c r="Z51" s="29" t="str"/>
    </x:row>
    <x:row r="52">
      <x:c r="A52" s="28" t="n">
        <x:v>50</x:v>
      </x:c>
      <x:c r="B52" s="126" t="n">
        <x:f>'01_Run_Config'!$B$4+A52</x:f>
        <x:v>46292</x:v>
      </x:c>
      <x:c r="C52" s="60" t="str">
        <x:f>VLOOKUP(A52,'02_Daily_Master'!$A$2:$AS$82,5,FALSE)</x:f>
        <x:v>Peak Flower (B4)</x:v>
      </x:c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 t="str">
        <x:f>IF(OR(N52="",L52=""),"",N52-L52)</x:f>
      </x:c>
      <x:c r="P52" s="60"/>
      <x:c r="Q52" s="60"/>
      <x:c r="R52" s="60"/>
      <x:c r="S52" s="60"/>
      <x:c r="T52" s="60"/>
      <x:c r="U52" s="60" t="str">
        <x:v>OFFEN</x:v>
      </x:c>
      <x:c r="V52" s="60" t="str">
        <x:v>OFFEN</x:v>
      </x:c>
      <x:c r="W52" s="60" t="str">
        <x:v>OFFEN</x:v>
      </x:c>
      <x:c r="X52" s="60" t="n">
        <x:v>0</x:v>
      </x:c>
      <x:c r="Y52" s="60" t="str">
        <x:f>IF(OR(U52="OFFEN",V52="OFFEN",W52="OFFEN"),"OFFEN",IF(OR(U52="FAIL",V52="FAIL",W52="FAIL",X52&gt;=4),"FAIL",IF(OR(U52="WARN",V52="WARN",W52="WARN",X52&gt;=2),"WARN","OK")))</x:f>
        <x:v>OFFEN</x:v>
      </x:c>
      <x:c r="Z52" s="29" t="str"/>
    </x:row>
    <x:row r="53">
      <x:c r="A53" s="28" t="n">
        <x:v>51</x:v>
      </x:c>
      <x:c r="B53" s="126" t="n">
        <x:f>'01_Run_Config'!$B$4+A53</x:f>
        <x:v>46293</x:v>
      </x:c>
      <x:c r="C53" s="60" t="str">
        <x:f>VLOOKUP(A53,'02_Daily_Master'!$A$2:$AS$82,5,FALSE)</x:f>
        <x:v>Peak Flower (B4)</x:v>
      </x:c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 t="str">
        <x:f>IF(OR(N53="",L53=""),"",N53-L53)</x:f>
      </x:c>
      <x:c r="P53" s="60"/>
      <x:c r="Q53" s="60"/>
      <x:c r="R53" s="60"/>
      <x:c r="S53" s="60"/>
      <x:c r="T53" s="60"/>
      <x:c r="U53" s="60" t="str">
        <x:v>OFFEN</x:v>
      </x:c>
      <x:c r="V53" s="60" t="str">
        <x:v>OFFEN</x:v>
      </x:c>
      <x:c r="W53" s="60" t="str">
        <x:v>OFFEN</x:v>
      </x:c>
      <x:c r="X53" s="60" t="n">
        <x:v>0</x:v>
      </x:c>
      <x:c r="Y53" s="60" t="str">
        <x:f>IF(OR(U53="OFFEN",V53="OFFEN",W53="OFFEN"),"OFFEN",IF(OR(U53="FAIL",V53="FAIL",W53="FAIL",X53&gt;=4),"FAIL",IF(OR(U53="WARN",V53="WARN",W53="WARN",X53&gt;=2),"WARN","OK")))</x:f>
        <x:v>OFFEN</x:v>
      </x:c>
      <x:c r="Z53" s="29" t="str"/>
    </x:row>
    <x:row r="54">
      <x:c r="A54" s="28" t="n">
        <x:v>52</x:v>
      </x:c>
      <x:c r="B54" s="126" t="n">
        <x:f>'01_Run_Config'!$B$4+A54</x:f>
        <x:v>46294</x:v>
      </x:c>
      <x:c r="C54" s="60" t="str">
        <x:f>VLOOKUP(A54,'02_Daily_Master'!$A$2:$AS$82,5,FALSE)</x:f>
        <x:v>Peak Flower (B4)</x:v>
      </x:c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 t="str">
        <x:f>IF(OR(N54="",L54=""),"",N54-L54)</x:f>
      </x:c>
      <x:c r="P54" s="60"/>
      <x:c r="Q54" s="60"/>
      <x:c r="R54" s="60"/>
      <x:c r="S54" s="60"/>
      <x:c r="T54" s="60"/>
      <x:c r="U54" s="60" t="str">
        <x:v>OFFEN</x:v>
      </x:c>
      <x:c r="V54" s="60" t="str">
        <x:v>OFFEN</x:v>
      </x:c>
      <x:c r="W54" s="60" t="str">
        <x:v>OFFEN</x:v>
      </x:c>
      <x:c r="X54" s="60" t="n">
        <x:v>0</x:v>
      </x:c>
      <x:c r="Y54" s="60" t="str">
        <x:f>IF(OR(U54="OFFEN",V54="OFFEN",W54="OFFEN"),"OFFEN",IF(OR(U54="FAIL",V54="FAIL",W54="FAIL",X54&gt;=4),"FAIL",IF(OR(U54="WARN",V54="WARN",W54="WARN",X54&gt;=2),"WARN","OK")))</x:f>
        <x:v>OFFEN</x:v>
      </x:c>
      <x:c r="Z54" s="29" t="str"/>
    </x:row>
    <x:row r="55">
      <x:c r="A55" s="28" t="n">
        <x:v>53</x:v>
      </x:c>
      <x:c r="B55" s="126" t="n">
        <x:f>'01_Run_Config'!$B$4+A55</x:f>
        <x:v>46295</x:v>
      </x:c>
      <x:c r="C55" s="60" t="str">
        <x:f>VLOOKUP(A55,'02_Daily_Master'!$A$2:$AS$82,5,FALSE)</x:f>
        <x:v>Peak Flower (B4)</x:v>
      </x:c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 t="str">
        <x:f>IF(OR(N55="",L55=""),"",N55-L55)</x:f>
      </x:c>
      <x:c r="P55" s="60"/>
      <x:c r="Q55" s="60"/>
      <x:c r="R55" s="60"/>
      <x:c r="S55" s="60"/>
      <x:c r="T55" s="60"/>
      <x:c r="U55" s="60" t="str">
        <x:v>OFFEN</x:v>
      </x:c>
      <x:c r="V55" s="60" t="str">
        <x:v>OFFEN</x:v>
      </x:c>
      <x:c r="W55" s="60" t="str">
        <x:v>OFFEN</x:v>
      </x:c>
      <x:c r="X55" s="60" t="n">
        <x:v>0</x:v>
      </x:c>
      <x:c r="Y55" s="60" t="str">
        <x:f>IF(OR(U55="OFFEN",V55="OFFEN",W55="OFFEN"),"OFFEN",IF(OR(U55="FAIL",V55="FAIL",W55="FAIL",X55&gt;=4),"FAIL",IF(OR(U55="WARN",V55="WARN",W55="WARN",X55&gt;=2),"WARN","OK")))</x:f>
        <x:v>OFFEN</x:v>
      </x:c>
      <x:c r="Z55" s="29" t="str"/>
    </x:row>
    <x:row r="56">
      <x:c r="A56" s="28" t="n">
        <x:v>54</x:v>
      </x:c>
      <x:c r="B56" s="126" t="n">
        <x:f>'01_Run_Config'!$B$4+A56</x:f>
        <x:v>46296</x:v>
      </x:c>
      <x:c r="C56" s="60" t="str">
        <x:f>VLOOKUP(A56,'02_Daily_Master'!$A$2:$AS$82,5,FALSE)</x:f>
        <x:v>Peak Flower (B4)</x:v>
      </x:c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 t="str">
        <x:f>IF(OR(N56="",L56=""),"",N56-L56)</x:f>
      </x:c>
      <x:c r="P56" s="60"/>
      <x:c r="Q56" s="60"/>
      <x:c r="R56" s="60"/>
      <x:c r="S56" s="60"/>
      <x:c r="T56" s="60"/>
      <x:c r="U56" s="60" t="str">
        <x:v>OFFEN</x:v>
      </x:c>
      <x:c r="V56" s="60" t="str">
        <x:v>OFFEN</x:v>
      </x:c>
      <x:c r="W56" s="60" t="str">
        <x:v>OFFEN</x:v>
      </x:c>
      <x:c r="X56" s="60" t="n">
        <x:v>0</x:v>
      </x:c>
      <x:c r="Y56" s="60" t="str">
        <x:f>IF(OR(U56="OFFEN",V56="OFFEN",W56="OFFEN"),"OFFEN",IF(OR(U56="FAIL",V56="FAIL",W56="FAIL",X56&gt;=4),"FAIL",IF(OR(U56="WARN",V56="WARN",W56="WARN",X56&gt;=2),"WARN","OK")))</x:f>
        <x:v>OFFEN</x:v>
      </x:c>
      <x:c r="Z56" s="29" t="str"/>
    </x:row>
    <x:row r="57">
      <x:c r="A57" s="28" t="n">
        <x:v>55</x:v>
      </x:c>
      <x:c r="B57" s="126" t="n">
        <x:f>'01_Run_Config'!$B$4+A57</x:f>
        <x:v>46297</x:v>
      </x:c>
      <x:c r="C57" s="60" t="str">
        <x:f>VLOOKUP(A57,'02_Daily_Master'!$A$2:$AS$82,5,FALSE)</x:f>
        <x:v>Peak Flower (B4)</x:v>
      </x:c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 t="str">
        <x:f>IF(OR(N57="",L57=""),"",N57-L57)</x:f>
      </x:c>
      <x:c r="P57" s="60"/>
      <x:c r="Q57" s="60"/>
      <x:c r="R57" s="60"/>
      <x:c r="S57" s="60"/>
      <x:c r="T57" s="60"/>
      <x:c r="U57" s="60" t="str">
        <x:v>OFFEN</x:v>
      </x:c>
      <x:c r="V57" s="60" t="str">
        <x:v>OFFEN</x:v>
      </x:c>
      <x:c r="W57" s="60" t="str">
        <x:v>OFFEN</x:v>
      </x:c>
      <x:c r="X57" s="60" t="n">
        <x:v>0</x:v>
      </x:c>
      <x:c r="Y57" s="60" t="str">
        <x:f>IF(OR(U57="OFFEN",V57="OFFEN",W57="OFFEN"),"OFFEN",IF(OR(U57="FAIL",V57="FAIL",W57="FAIL",X57&gt;=4),"FAIL",IF(OR(U57="WARN",V57="WARN",W57="WARN",X57&gt;=2),"WARN","OK")))</x:f>
        <x:v>OFFEN</x:v>
      </x:c>
      <x:c r="Z57" s="29" t="str"/>
    </x:row>
    <x:row r="58">
      <x:c r="A58" s="28" t="n">
        <x:v>56</x:v>
      </x:c>
      <x:c r="B58" s="126" t="n">
        <x:f>'01_Run_Config'!$B$4+A58</x:f>
        <x:v>46298</x:v>
      </x:c>
      <x:c r="C58" s="60" t="str">
        <x:f>VLOOKUP(A58,'02_Daily_Master'!$A$2:$AS$82,5,FALSE)</x:f>
        <x:v>Peak Flower (B5)</x:v>
      </x:c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 t="str">
        <x:f>IF(OR(N58="",L58=""),"",N58-L58)</x:f>
      </x:c>
      <x:c r="P58" s="60"/>
      <x:c r="Q58" s="60"/>
      <x:c r="R58" s="60"/>
      <x:c r="S58" s="60"/>
      <x:c r="T58" s="60"/>
      <x:c r="U58" s="60" t="str">
        <x:v>OFFEN</x:v>
      </x:c>
      <x:c r="V58" s="60" t="str">
        <x:v>OFFEN</x:v>
      </x:c>
      <x:c r="W58" s="60" t="str">
        <x:v>OFFEN</x:v>
      </x:c>
      <x:c r="X58" s="60" t="n">
        <x:v>0</x:v>
      </x:c>
      <x:c r="Y58" s="60" t="str">
        <x:f>IF(OR(U58="OFFEN",V58="OFFEN",W58="OFFEN"),"OFFEN",IF(OR(U58="FAIL",V58="FAIL",W58="FAIL",X58&gt;=4),"FAIL",IF(OR(U58="WARN",V58="WARN",W58="WARN",X58&gt;=2),"WARN","OK")))</x:f>
        <x:v>OFFEN</x:v>
      </x:c>
      <x:c r="Z58" s="29" t="str"/>
    </x:row>
    <x:row r="59">
      <x:c r="A59" s="28" t="n">
        <x:v>57</x:v>
      </x:c>
      <x:c r="B59" s="126" t="n">
        <x:f>'01_Run_Config'!$B$4+A59</x:f>
        <x:v>46299</x:v>
      </x:c>
      <x:c r="C59" s="60" t="str">
        <x:f>VLOOKUP(A59,'02_Daily_Master'!$A$2:$AS$82,5,FALSE)</x:f>
        <x:v>Peak Flower (B5)</x:v>
      </x:c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 t="str">
        <x:f>IF(OR(N59="",L59=""),"",N59-L59)</x:f>
      </x:c>
      <x:c r="P59" s="60"/>
      <x:c r="Q59" s="60"/>
      <x:c r="R59" s="60"/>
      <x:c r="S59" s="60"/>
      <x:c r="T59" s="60"/>
      <x:c r="U59" s="60" t="str">
        <x:v>OFFEN</x:v>
      </x:c>
      <x:c r="V59" s="60" t="str">
        <x:v>OFFEN</x:v>
      </x:c>
      <x:c r="W59" s="60" t="str">
        <x:v>OFFEN</x:v>
      </x:c>
      <x:c r="X59" s="60" t="n">
        <x:v>0</x:v>
      </x:c>
      <x:c r="Y59" s="60" t="str">
        <x:f>IF(OR(U59="OFFEN",V59="OFFEN",W59="OFFEN"),"OFFEN",IF(OR(U59="FAIL",V59="FAIL",W59="FAIL",X59&gt;=4),"FAIL",IF(OR(U59="WARN",V59="WARN",W59="WARN",X59&gt;=2),"WARN","OK")))</x:f>
        <x:v>OFFEN</x:v>
      </x:c>
      <x:c r="Z59" s="29" t="str"/>
    </x:row>
    <x:row r="60">
      <x:c r="A60" s="28" t="n">
        <x:v>58</x:v>
      </x:c>
      <x:c r="B60" s="126" t="n">
        <x:f>'01_Run_Config'!$B$4+A60</x:f>
        <x:v>46300</x:v>
      </x:c>
      <x:c r="C60" s="60" t="str">
        <x:f>VLOOKUP(A60,'02_Daily_Master'!$A$2:$AS$82,5,FALSE)</x:f>
        <x:v>Peak Flower (B5)</x:v>
      </x:c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 t="str">
        <x:f>IF(OR(N60="",L60=""),"",N60-L60)</x:f>
      </x:c>
      <x:c r="P60" s="60"/>
      <x:c r="Q60" s="60"/>
      <x:c r="R60" s="60"/>
      <x:c r="S60" s="60"/>
      <x:c r="T60" s="60"/>
      <x:c r="U60" s="60" t="str">
        <x:v>OFFEN</x:v>
      </x:c>
      <x:c r="V60" s="60" t="str">
        <x:v>OFFEN</x:v>
      </x:c>
      <x:c r="W60" s="60" t="str">
        <x:v>OFFEN</x:v>
      </x:c>
      <x:c r="X60" s="60" t="n">
        <x:v>0</x:v>
      </x:c>
      <x:c r="Y60" s="60" t="str">
        <x:f>IF(OR(U60="OFFEN",V60="OFFEN",W60="OFFEN"),"OFFEN",IF(OR(U60="FAIL",V60="FAIL",W60="FAIL",X60&gt;=4),"FAIL",IF(OR(U60="WARN",V60="WARN",W60="WARN",X60&gt;=2),"WARN","OK")))</x:f>
        <x:v>OFFEN</x:v>
      </x:c>
      <x:c r="Z60" s="29" t="str"/>
    </x:row>
    <x:row r="61">
      <x:c r="A61" s="28" t="n">
        <x:v>59</x:v>
      </x:c>
      <x:c r="B61" s="126" t="n">
        <x:f>'01_Run_Config'!$B$4+A61</x:f>
        <x:v>46301</x:v>
      </x:c>
      <x:c r="C61" s="60" t="str">
        <x:f>VLOOKUP(A61,'02_Daily_Master'!$A$2:$AS$82,5,FALSE)</x:f>
        <x:v>Peak Flower (B5)</x:v>
      </x:c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 t="str">
        <x:f>IF(OR(N61="",L61=""),"",N61-L61)</x:f>
      </x:c>
      <x:c r="P61" s="60"/>
      <x:c r="Q61" s="60"/>
      <x:c r="R61" s="60"/>
      <x:c r="S61" s="60"/>
      <x:c r="T61" s="60"/>
      <x:c r="U61" s="60" t="str">
        <x:v>OFFEN</x:v>
      </x:c>
      <x:c r="V61" s="60" t="str">
        <x:v>OFFEN</x:v>
      </x:c>
      <x:c r="W61" s="60" t="str">
        <x:v>OFFEN</x:v>
      </x:c>
      <x:c r="X61" s="60" t="n">
        <x:v>0</x:v>
      </x:c>
      <x:c r="Y61" s="60" t="str">
        <x:f>IF(OR(U61="OFFEN",V61="OFFEN",W61="OFFEN"),"OFFEN",IF(OR(U61="FAIL",V61="FAIL",W61="FAIL",X61&gt;=4),"FAIL",IF(OR(U61="WARN",V61="WARN",W61="WARN",X61&gt;=2),"WARN","OK")))</x:f>
        <x:v>OFFEN</x:v>
      </x:c>
      <x:c r="Z61" s="29" t="str"/>
    </x:row>
    <x:row r="62">
      <x:c r="A62" s="28" t="n">
        <x:v>60</x:v>
      </x:c>
      <x:c r="B62" s="126" t="n">
        <x:f>'01_Run_Config'!$B$4+A62</x:f>
        <x:v>46302</x:v>
      </x:c>
      <x:c r="C62" s="60" t="str">
        <x:f>VLOOKUP(A62,'02_Daily_Master'!$A$2:$AS$82,5,FALSE)</x:f>
        <x:v>Peak Flower (B5)</x:v>
      </x:c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 t="str">
        <x:f>IF(OR(N62="",L62=""),"",N62-L62)</x:f>
      </x:c>
      <x:c r="P62" s="60"/>
      <x:c r="Q62" s="60"/>
      <x:c r="R62" s="60"/>
      <x:c r="S62" s="60"/>
      <x:c r="T62" s="60"/>
      <x:c r="U62" s="60" t="str">
        <x:v>OFFEN</x:v>
      </x:c>
      <x:c r="V62" s="60" t="str">
        <x:v>OFFEN</x:v>
      </x:c>
      <x:c r="W62" s="60" t="str">
        <x:v>OFFEN</x:v>
      </x:c>
      <x:c r="X62" s="60" t="n">
        <x:v>0</x:v>
      </x:c>
      <x:c r="Y62" s="60" t="str">
        <x:f>IF(OR(U62="OFFEN",V62="OFFEN",W62="OFFEN"),"OFFEN",IF(OR(U62="FAIL",V62="FAIL",W62="FAIL",X62&gt;=4),"FAIL",IF(OR(U62="WARN",V62="WARN",W62="WARN",X62&gt;=2),"WARN","OK")))</x:f>
        <x:v>OFFEN</x:v>
      </x:c>
      <x:c r="Z62" s="29" t="str"/>
    </x:row>
    <x:row r="63">
      <x:c r="A63" s="28" t="n">
        <x:v>61</x:v>
      </x:c>
      <x:c r="B63" s="126" t="n">
        <x:f>'01_Run_Config'!$B$4+A63</x:f>
        <x:v>46303</x:v>
      </x:c>
      <x:c r="C63" s="60" t="str">
        <x:f>VLOOKUP(A63,'02_Daily_Master'!$A$2:$AS$82,5,FALSE)</x:f>
        <x:v>Peak Flower (B5)</x:v>
      </x:c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 t="str">
        <x:f>IF(OR(N63="",L63=""),"",N63-L63)</x:f>
      </x:c>
      <x:c r="P63" s="60"/>
      <x:c r="Q63" s="60"/>
      <x:c r="R63" s="60"/>
      <x:c r="S63" s="60"/>
      <x:c r="T63" s="60"/>
      <x:c r="U63" s="60" t="str">
        <x:v>OFFEN</x:v>
      </x:c>
      <x:c r="V63" s="60" t="str">
        <x:v>OFFEN</x:v>
      </x:c>
      <x:c r="W63" s="60" t="str">
        <x:v>OFFEN</x:v>
      </x:c>
      <x:c r="X63" s="60" t="n">
        <x:v>0</x:v>
      </x:c>
      <x:c r="Y63" s="60" t="str">
        <x:f>IF(OR(U63="OFFEN",V63="OFFEN",W63="OFFEN"),"OFFEN",IF(OR(U63="FAIL",V63="FAIL",W63="FAIL",X63&gt;=4),"FAIL",IF(OR(U63="WARN",V63="WARN",W63="WARN",X63&gt;=2),"WARN","OK")))</x:f>
        <x:v>OFFEN</x:v>
      </x:c>
      <x:c r="Z63" s="29" t="str"/>
    </x:row>
    <x:row r="64">
      <x:c r="A64" s="28" t="n">
        <x:v>62</x:v>
      </x:c>
      <x:c r="B64" s="126" t="n">
        <x:f>'01_Run_Config'!$B$4+A64</x:f>
        <x:v>46304</x:v>
      </x:c>
      <x:c r="C64" s="60" t="str">
        <x:f>VLOOKUP(A64,'02_Daily_Master'!$A$2:$AS$82,5,FALSE)</x:f>
        <x:v>Peak Flower (B5)</x:v>
      </x:c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 t="str">
        <x:f>IF(OR(N64="",L64=""),"",N64-L64)</x:f>
      </x:c>
      <x:c r="P64" s="60"/>
      <x:c r="Q64" s="60"/>
      <x:c r="R64" s="60"/>
      <x:c r="S64" s="60"/>
      <x:c r="T64" s="60"/>
      <x:c r="U64" s="60" t="str">
        <x:v>OFFEN</x:v>
      </x:c>
      <x:c r="V64" s="60" t="str">
        <x:v>OFFEN</x:v>
      </x:c>
      <x:c r="W64" s="60" t="str">
        <x:v>OFFEN</x:v>
      </x:c>
      <x:c r="X64" s="60" t="n">
        <x:v>0</x:v>
      </x:c>
      <x:c r="Y64" s="60" t="str">
        <x:f>IF(OR(U64="OFFEN",V64="OFFEN",W64="OFFEN"),"OFFEN",IF(OR(U64="FAIL",V64="FAIL",W64="FAIL",X64&gt;=4),"FAIL",IF(OR(U64="WARN",V64="WARN",W64="WARN",X64&gt;=2),"WARN","OK")))</x:f>
        <x:v>OFFEN</x:v>
      </x:c>
      <x:c r="Z64" s="29" t="str"/>
    </x:row>
    <x:row r="65">
      <x:c r="A65" s="28" t="n">
        <x:v>63</x:v>
      </x:c>
      <x:c r="B65" s="126" t="n">
        <x:f>'01_Run_Config'!$B$4+A65</x:f>
        <x:v>46305</x:v>
      </x:c>
      <x:c r="C65" s="60" t="str">
        <x:f>VLOOKUP(A65,'02_Daily_Master'!$A$2:$AS$82,5,FALSE)</x:f>
        <x:v>Late Flower (B6)</x:v>
      </x:c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 t="str">
        <x:f>IF(OR(N65="",L65=""),"",N65-L65)</x:f>
      </x:c>
      <x:c r="P65" s="60"/>
      <x:c r="Q65" s="60"/>
      <x:c r="R65" s="60"/>
      <x:c r="S65" s="60"/>
      <x:c r="T65" s="60"/>
      <x:c r="U65" s="60" t="str">
        <x:v>OFFEN</x:v>
      </x:c>
      <x:c r="V65" s="60" t="str">
        <x:v>OFFEN</x:v>
      </x:c>
      <x:c r="W65" s="60" t="str">
        <x:v>OFFEN</x:v>
      </x:c>
      <x:c r="X65" s="60" t="n">
        <x:v>0</x:v>
      </x:c>
      <x:c r="Y65" s="60" t="str">
        <x:f>IF(OR(U65="OFFEN",V65="OFFEN",W65="OFFEN"),"OFFEN",IF(OR(U65="FAIL",V65="FAIL",W65="FAIL",X65&gt;=4),"FAIL",IF(OR(U65="WARN",V65="WARN",W65="WARN",X65&gt;=2),"WARN","OK")))</x:f>
        <x:v>OFFEN</x:v>
      </x:c>
      <x:c r="Z65" s="29" t="str"/>
    </x:row>
    <x:row r="66">
      <x:c r="A66" s="28" t="n">
        <x:v>64</x:v>
      </x:c>
      <x:c r="B66" s="126" t="n">
        <x:f>'01_Run_Config'!$B$4+A66</x:f>
        <x:v>46306</x:v>
      </x:c>
      <x:c r="C66" s="60" t="str">
        <x:f>VLOOKUP(A66,'02_Daily_Master'!$A$2:$AS$82,5,FALSE)</x:f>
        <x:v>Late Flower (B6)</x:v>
      </x:c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 t="str">
        <x:f>IF(OR(N66="",L66=""),"",N66-L66)</x:f>
      </x:c>
      <x:c r="P66" s="60"/>
      <x:c r="Q66" s="60"/>
      <x:c r="R66" s="60"/>
      <x:c r="S66" s="60"/>
      <x:c r="T66" s="60"/>
      <x:c r="U66" s="60" t="str">
        <x:v>OFFEN</x:v>
      </x:c>
      <x:c r="V66" s="60" t="str">
        <x:v>OFFEN</x:v>
      </x:c>
      <x:c r="W66" s="60" t="str">
        <x:v>OFFEN</x:v>
      </x:c>
      <x:c r="X66" s="60" t="n">
        <x:v>0</x:v>
      </x:c>
      <x:c r="Y66" s="60" t="str">
        <x:f>IF(OR(U66="OFFEN",V66="OFFEN",W66="OFFEN"),"OFFEN",IF(OR(U66="FAIL",V66="FAIL",W66="FAIL",X66&gt;=4),"FAIL",IF(OR(U66="WARN",V66="WARN",W66="WARN",X66&gt;=2),"WARN","OK")))</x:f>
        <x:v>OFFEN</x:v>
      </x:c>
      <x:c r="Z66" s="29" t="str"/>
    </x:row>
    <x:row r="67">
      <x:c r="A67" s="28" t="n">
        <x:v>65</x:v>
      </x:c>
      <x:c r="B67" s="126" t="n">
        <x:f>'01_Run_Config'!$B$4+A67</x:f>
        <x:v>46307</x:v>
      </x:c>
      <x:c r="C67" s="60" t="str">
        <x:f>VLOOKUP(A67,'02_Daily_Master'!$A$2:$AS$82,5,FALSE)</x:f>
        <x:v>Late Flower (B6)</x:v>
      </x:c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 t="str">
        <x:f>IF(OR(N67="",L67=""),"",N67-L67)</x:f>
      </x:c>
      <x:c r="P67" s="60"/>
      <x:c r="Q67" s="60"/>
      <x:c r="R67" s="60"/>
      <x:c r="S67" s="60"/>
      <x:c r="T67" s="60"/>
      <x:c r="U67" s="60" t="str">
        <x:v>OFFEN</x:v>
      </x:c>
      <x:c r="V67" s="60" t="str">
        <x:v>OFFEN</x:v>
      </x:c>
      <x:c r="W67" s="60" t="str">
        <x:v>OFFEN</x:v>
      </x:c>
      <x:c r="X67" s="60" t="n">
        <x:v>0</x:v>
      </x:c>
      <x:c r="Y67" s="60" t="str">
        <x:f>IF(OR(U67="OFFEN",V67="OFFEN",W67="OFFEN"),"OFFEN",IF(OR(U67="FAIL",V67="FAIL",W67="FAIL",X67&gt;=4),"FAIL",IF(OR(U67="WARN",V67="WARN",W67="WARN",X67&gt;=2),"WARN","OK")))</x:f>
        <x:v>OFFEN</x:v>
      </x:c>
      <x:c r="Z67" s="29" t="str"/>
    </x:row>
    <x:row r="68">
      <x:c r="A68" s="28" t="n">
        <x:v>66</x:v>
      </x:c>
      <x:c r="B68" s="126" t="n">
        <x:f>'01_Run_Config'!$B$4+A68</x:f>
        <x:v>46308</x:v>
      </x:c>
      <x:c r="C68" s="60" t="str">
        <x:f>VLOOKUP(A68,'02_Daily_Master'!$A$2:$AS$82,5,FALSE)</x:f>
        <x:v>Late Flower (B6)</x:v>
      </x:c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 t="str">
        <x:f>IF(OR(N68="",L68=""),"",N68-L68)</x:f>
      </x:c>
      <x:c r="P68" s="60"/>
      <x:c r="Q68" s="60"/>
      <x:c r="R68" s="60"/>
      <x:c r="S68" s="60"/>
      <x:c r="T68" s="60"/>
      <x:c r="U68" s="60" t="str">
        <x:v>OFFEN</x:v>
      </x:c>
      <x:c r="V68" s="60" t="str">
        <x:v>OFFEN</x:v>
      </x:c>
      <x:c r="W68" s="60" t="str">
        <x:v>OFFEN</x:v>
      </x:c>
      <x:c r="X68" s="60" t="n">
        <x:v>0</x:v>
      </x:c>
      <x:c r="Y68" s="60" t="str">
        <x:f>IF(OR(U68="OFFEN",V68="OFFEN",W68="OFFEN"),"OFFEN",IF(OR(U68="FAIL",V68="FAIL",W68="FAIL",X68&gt;=4),"FAIL",IF(OR(U68="WARN",V68="WARN",W68="WARN",X68&gt;=2),"WARN","OK")))</x:f>
        <x:v>OFFEN</x:v>
      </x:c>
      <x:c r="Z68" s="29" t="str"/>
    </x:row>
    <x:row r="69">
      <x:c r="A69" s="28" t="n">
        <x:v>67</x:v>
      </x:c>
      <x:c r="B69" s="126" t="n">
        <x:f>'01_Run_Config'!$B$4+A69</x:f>
        <x:v>46309</x:v>
      </x:c>
      <x:c r="C69" s="60" t="str">
        <x:f>VLOOKUP(A69,'02_Daily_Master'!$A$2:$AS$82,5,FALSE)</x:f>
        <x:v>Late Flower (B6)</x:v>
      </x:c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 t="str">
        <x:f>IF(OR(N69="",L69=""),"",N69-L69)</x:f>
      </x:c>
      <x:c r="P69" s="60"/>
      <x:c r="Q69" s="60"/>
      <x:c r="R69" s="60"/>
      <x:c r="S69" s="60"/>
      <x:c r="T69" s="60"/>
      <x:c r="U69" s="60" t="str">
        <x:v>OFFEN</x:v>
      </x:c>
      <x:c r="V69" s="60" t="str">
        <x:v>OFFEN</x:v>
      </x:c>
      <x:c r="W69" s="60" t="str">
        <x:v>OFFEN</x:v>
      </x:c>
      <x:c r="X69" s="60" t="n">
        <x:v>0</x:v>
      </x:c>
      <x:c r="Y69" s="60" t="str">
        <x:f>IF(OR(U69="OFFEN",V69="OFFEN",W69="OFFEN"),"OFFEN",IF(OR(U69="FAIL",V69="FAIL",W69="FAIL",X69&gt;=4),"FAIL",IF(OR(U69="WARN",V69="WARN",W69="WARN",X69&gt;=2),"WARN","OK")))</x:f>
        <x:v>OFFEN</x:v>
      </x:c>
      <x:c r="Z69" s="29" t="str"/>
    </x:row>
    <x:row r="70">
      <x:c r="A70" s="28" t="n">
        <x:v>68</x:v>
      </x:c>
      <x:c r="B70" s="126" t="n">
        <x:f>'01_Run_Config'!$B$4+A70</x:f>
        <x:v>46310</x:v>
      </x:c>
      <x:c r="C70" s="60" t="str">
        <x:f>VLOOKUP(A70,'02_Daily_Master'!$A$2:$AS$82,5,FALSE)</x:f>
        <x:v>Late Flower (B6)</x:v>
      </x:c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 t="str">
        <x:f>IF(OR(N70="",L70=""),"",N70-L70)</x:f>
      </x:c>
      <x:c r="P70" s="60"/>
      <x:c r="Q70" s="60"/>
      <x:c r="R70" s="60"/>
      <x:c r="S70" s="60"/>
      <x:c r="T70" s="60"/>
      <x:c r="U70" s="60" t="str">
        <x:v>OFFEN</x:v>
      </x:c>
      <x:c r="V70" s="60" t="str">
        <x:v>OFFEN</x:v>
      </x:c>
      <x:c r="W70" s="60" t="str">
        <x:v>OFFEN</x:v>
      </x:c>
      <x:c r="X70" s="60" t="n">
        <x:v>0</x:v>
      </x:c>
      <x:c r="Y70" s="60" t="str">
        <x:f>IF(OR(U70="OFFEN",V70="OFFEN",W70="OFFEN"),"OFFEN",IF(OR(U70="FAIL",V70="FAIL",W70="FAIL",X70&gt;=4),"FAIL",IF(OR(U70="WARN",V70="WARN",W70="WARN",X70&gt;=2),"WARN","OK")))</x:f>
        <x:v>OFFEN</x:v>
      </x:c>
      <x:c r="Z70" s="29" t="str"/>
    </x:row>
    <x:row r="71">
      <x:c r="A71" s="28" t="n">
        <x:v>69</x:v>
      </x:c>
      <x:c r="B71" s="126" t="n">
        <x:f>'01_Run_Config'!$B$4+A71</x:f>
        <x:v>46311</x:v>
      </x:c>
      <x:c r="C71" s="60" t="str">
        <x:f>VLOOKUP(A71,'02_Daily_Master'!$A$2:$AS$82,5,FALSE)</x:f>
        <x:v>Late Flower (B6)</x:v>
      </x:c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 t="str">
        <x:f>IF(OR(N71="",L71=""),"",N71-L71)</x:f>
      </x:c>
      <x:c r="P71" s="60"/>
      <x:c r="Q71" s="60"/>
      <x:c r="R71" s="60"/>
      <x:c r="S71" s="60"/>
      <x:c r="T71" s="60"/>
      <x:c r="U71" s="60" t="str">
        <x:v>OFFEN</x:v>
      </x:c>
      <x:c r="V71" s="60" t="str">
        <x:v>OFFEN</x:v>
      </x:c>
      <x:c r="W71" s="60" t="str">
        <x:v>OFFEN</x:v>
      </x:c>
      <x:c r="X71" s="60" t="n">
        <x:v>0</x:v>
      </x:c>
      <x:c r="Y71" s="60" t="str">
        <x:f>IF(OR(U71="OFFEN",V71="OFFEN",W71="OFFEN"),"OFFEN",IF(OR(U71="FAIL",V71="FAIL",W71="FAIL",X71&gt;=4),"FAIL",IF(OR(U71="WARN",V71="WARN",W71="WARN",X71&gt;=2),"WARN","OK")))</x:f>
        <x:v>OFFEN</x:v>
      </x:c>
      <x:c r="Z71" s="29" t="str"/>
    </x:row>
    <x:row r="72">
      <x:c r="A72" s="28" t="n">
        <x:v>70</x:v>
      </x:c>
      <x:c r="B72" s="126" t="n">
        <x:f>'01_Run_Config'!$B$4+A72</x:f>
        <x:v>46312</x:v>
      </x:c>
      <x:c r="C72" s="60" t="str">
        <x:f>VLOOKUP(A72,'02_Daily_Master'!$A$2:$AS$82,5,FALSE)</x:f>
        <x:v>Ripening (B7)</x:v>
      </x:c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 t="str">
        <x:f>IF(OR(N72="",L72=""),"",N72-L72)</x:f>
      </x:c>
      <x:c r="P72" s="60"/>
      <x:c r="Q72" s="60"/>
      <x:c r="R72" s="60"/>
      <x:c r="S72" s="60"/>
      <x:c r="T72" s="60"/>
      <x:c r="U72" s="60" t="str">
        <x:v>OFFEN</x:v>
      </x:c>
      <x:c r="V72" s="60" t="str">
        <x:v>OFFEN</x:v>
      </x:c>
      <x:c r="W72" s="60" t="str">
        <x:v>OFFEN</x:v>
      </x:c>
      <x:c r="X72" s="60" t="n">
        <x:v>0</x:v>
      </x:c>
      <x:c r="Y72" s="60" t="str">
        <x:f>IF(OR(U72="OFFEN",V72="OFFEN",W72="OFFEN"),"OFFEN",IF(OR(U72="FAIL",V72="FAIL",W72="FAIL",X72&gt;=4),"FAIL",IF(OR(U72="WARN",V72="WARN",W72="WARN",X72&gt;=2),"WARN","OK")))</x:f>
        <x:v>OFFEN</x:v>
      </x:c>
      <x:c r="Z72" s="29" t="str"/>
    </x:row>
    <x:row r="73">
      <x:c r="A73" s="28" t="n">
        <x:v>71</x:v>
      </x:c>
      <x:c r="B73" s="126" t="n">
        <x:f>'01_Run_Config'!$B$4+A73</x:f>
        <x:v>46313</x:v>
      </x:c>
      <x:c r="C73" s="60" t="str">
        <x:f>VLOOKUP(A73,'02_Daily_Master'!$A$2:$AS$82,5,FALSE)</x:f>
        <x:v>Ripening (B7)</x:v>
      </x:c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 t="str">
        <x:f>IF(OR(N73="",L73=""),"",N73-L73)</x:f>
      </x:c>
      <x:c r="P73" s="60"/>
      <x:c r="Q73" s="60"/>
      <x:c r="R73" s="60"/>
      <x:c r="S73" s="60"/>
      <x:c r="T73" s="60"/>
      <x:c r="U73" s="60" t="str">
        <x:v>OFFEN</x:v>
      </x:c>
      <x:c r="V73" s="60" t="str">
        <x:v>OFFEN</x:v>
      </x:c>
      <x:c r="W73" s="60" t="str">
        <x:v>OFFEN</x:v>
      </x:c>
      <x:c r="X73" s="60" t="n">
        <x:v>0</x:v>
      </x:c>
      <x:c r="Y73" s="60" t="str">
        <x:f>IF(OR(U73="OFFEN",V73="OFFEN",W73="OFFEN"),"OFFEN",IF(OR(U73="FAIL",V73="FAIL",W73="FAIL",X73&gt;=4),"FAIL",IF(OR(U73="WARN",V73="WARN",W73="WARN",X73&gt;=2),"WARN","OK")))</x:f>
        <x:v>OFFEN</x:v>
      </x:c>
      <x:c r="Z73" s="29" t="str"/>
    </x:row>
    <x:row r="74">
      <x:c r="A74" s="28" t="n">
        <x:v>72</x:v>
      </x:c>
      <x:c r="B74" s="126" t="n">
        <x:f>'01_Run_Config'!$B$4+A74</x:f>
        <x:v>46314</x:v>
      </x:c>
      <x:c r="C74" s="60" t="str">
        <x:f>VLOOKUP(A74,'02_Daily_Master'!$A$2:$AS$82,5,FALSE)</x:f>
        <x:v>Ripening (B7)</x:v>
      </x:c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 t="str">
        <x:f>IF(OR(N74="",L74=""),"",N74-L74)</x:f>
      </x:c>
      <x:c r="P74" s="60"/>
      <x:c r="Q74" s="60"/>
      <x:c r="R74" s="60"/>
      <x:c r="S74" s="60"/>
      <x:c r="T74" s="60"/>
      <x:c r="U74" s="60" t="str">
        <x:v>OFFEN</x:v>
      </x:c>
      <x:c r="V74" s="60" t="str">
        <x:v>OFFEN</x:v>
      </x:c>
      <x:c r="W74" s="60" t="str">
        <x:v>OFFEN</x:v>
      </x:c>
      <x:c r="X74" s="60" t="n">
        <x:v>0</x:v>
      </x:c>
      <x:c r="Y74" s="60" t="str">
        <x:f>IF(OR(U74="OFFEN",V74="OFFEN",W74="OFFEN"),"OFFEN",IF(OR(U74="FAIL",V74="FAIL",W74="FAIL",X74&gt;=4),"FAIL",IF(OR(U74="WARN",V74="WARN",W74="WARN",X74&gt;=2),"WARN","OK")))</x:f>
        <x:v>OFFEN</x:v>
      </x:c>
      <x:c r="Z74" s="29" t="str"/>
    </x:row>
    <x:row r="75">
      <x:c r="A75" s="28" t="n">
        <x:v>73</x:v>
      </x:c>
      <x:c r="B75" s="126" t="n">
        <x:f>'01_Run_Config'!$B$4+A75</x:f>
        <x:v>46315</x:v>
      </x:c>
      <x:c r="C75" s="60" t="str">
        <x:f>VLOOKUP(A75,'02_Daily_Master'!$A$2:$AS$82,5,FALSE)</x:f>
        <x:v>Ripening (B7)</x:v>
      </x:c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 t="str">
        <x:f>IF(OR(N75="",L75=""),"",N75-L75)</x:f>
      </x:c>
      <x:c r="P75" s="60"/>
      <x:c r="Q75" s="60"/>
      <x:c r="R75" s="60"/>
      <x:c r="S75" s="60"/>
      <x:c r="T75" s="60"/>
      <x:c r="U75" s="60" t="str">
        <x:v>OFFEN</x:v>
      </x:c>
      <x:c r="V75" s="60" t="str">
        <x:v>OFFEN</x:v>
      </x:c>
      <x:c r="W75" s="60" t="str">
        <x:v>OFFEN</x:v>
      </x:c>
      <x:c r="X75" s="60" t="n">
        <x:v>0</x:v>
      </x:c>
      <x:c r="Y75" s="60" t="str">
        <x:f>IF(OR(U75="OFFEN",V75="OFFEN",W75="OFFEN"),"OFFEN",IF(OR(U75="FAIL",V75="FAIL",W75="FAIL",X75&gt;=4),"FAIL",IF(OR(U75="WARN",V75="WARN",W75="WARN",X75&gt;=2),"WARN","OK")))</x:f>
        <x:v>OFFEN</x:v>
      </x:c>
      <x:c r="Z75" s="29" t="str"/>
    </x:row>
    <x:row r="76">
      <x:c r="A76" s="28" t="n">
        <x:v>74</x:v>
      </x:c>
      <x:c r="B76" s="126" t="n">
        <x:f>'01_Run_Config'!$B$4+A76</x:f>
        <x:v>46316</x:v>
      </x:c>
      <x:c r="C76" s="60" t="str">
        <x:f>VLOOKUP(A76,'02_Daily_Master'!$A$2:$AS$82,5,FALSE)</x:f>
        <x:v>Ripening (B7)</x:v>
      </x:c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 t="str">
        <x:f>IF(OR(N76="",L76=""),"",N76-L76)</x:f>
      </x:c>
      <x:c r="P76" s="60"/>
      <x:c r="Q76" s="60"/>
      <x:c r="R76" s="60"/>
      <x:c r="S76" s="60"/>
      <x:c r="T76" s="60"/>
      <x:c r="U76" s="60" t="str">
        <x:v>OFFEN</x:v>
      </x:c>
      <x:c r="V76" s="60" t="str">
        <x:v>OFFEN</x:v>
      </x:c>
      <x:c r="W76" s="60" t="str">
        <x:v>OFFEN</x:v>
      </x:c>
      <x:c r="X76" s="60" t="n">
        <x:v>0</x:v>
      </x:c>
      <x:c r="Y76" s="60" t="str">
        <x:f>IF(OR(U76="OFFEN",V76="OFFEN",W76="OFFEN"),"OFFEN",IF(OR(U76="FAIL",V76="FAIL",W76="FAIL",X76&gt;=4),"FAIL",IF(OR(U76="WARN",V76="WARN",W76="WARN",X76&gt;=2),"WARN","OK")))</x:f>
        <x:v>OFFEN</x:v>
      </x:c>
      <x:c r="Z76" s="29" t="str"/>
    </x:row>
    <x:row r="77">
      <x:c r="A77" s="28" t="n">
        <x:v>75</x:v>
      </x:c>
      <x:c r="B77" s="126" t="n">
        <x:f>'01_Run_Config'!$B$4+A77</x:f>
        <x:v>46317</x:v>
      </x:c>
      <x:c r="C77" s="60" t="str">
        <x:f>VLOOKUP(A77,'02_Daily_Master'!$A$2:$AS$82,5,FALSE)</x:f>
        <x:v>Ripening (B7)</x:v>
      </x:c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 t="str">
        <x:f>IF(OR(N77="",L77=""),"",N77-L77)</x:f>
      </x:c>
      <x:c r="P77" s="60"/>
      <x:c r="Q77" s="60"/>
      <x:c r="R77" s="60"/>
      <x:c r="S77" s="60"/>
      <x:c r="T77" s="60"/>
      <x:c r="U77" s="60" t="str">
        <x:v>OFFEN</x:v>
      </x:c>
      <x:c r="V77" s="60" t="str">
        <x:v>OFFEN</x:v>
      </x:c>
      <x:c r="W77" s="60" t="str">
        <x:v>OFFEN</x:v>
      </x:c>
      <x:c r="X77" s="60" t="n">
        <x:v>0</x:v>
      </x:c>
      <x:c r="Y77" s="60" t="str">
        <x:f>IF(OR(U77="OFFEN",V77="OFFEN",W77="OFFEN"),"OFFEN",IF(OR(U77="FAIL",V77="FAIL",W77="FAIL",X77&gt;=4),"FAIL",IF(OR(U77="WARN",V77="WARN",W77="WARN",X77&gt;=2),"WARN","OK")))</x:f>
        <x:v>OFFEN</x:v>
      </x:c>
      <x:c r="Z77" s="29" t="str"/>
    </x:row>
    <x:row r="78">
      <x:c r="A78" s="28" t="n">
        <x:v>76</x:v>
      </x:c>
      <x:c r="B78" s="126" t="n">
        <x:f>'01_Run_Config'!$B$4+A78</x:f>
        <x:v>46318</x:v>
      </x:c>
      <x:c r="C78" s="60" t="str">
        <x:f>VLOOKUP(A78,'02_Daily_Master'!$A$2:$AS$82,5,FALSE)</x:f>
        <x:v>Ripening (B7)</x:v>
      </x:c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 t="str">
        <x:f>IF(OR(N78="",L78=""),"",N78-L78)</x:f>
      </x:c>
      <x:c r="P78" s="60"/>
      <x:c r="Q78" s="60"/>
      <x:c r="R78" s="60"/>
      <x:c r="S78" s="60"/>
      <x:c r="T78" s="60"/>
      <x:c r="U78" s="60" t="str">
        <x:v>OFFEN</x:v>
      </x:c>
      <x:c r="V78" s="60" t="str">
        <x:v>OFFEN</x:v>
      </x:c>
      <x:c r="W78" s="60" t="str">
        <x:v>OFFEN</x:v>
      </x:c>
      <x:c r="X78" s="60" t="n">
        <x:v>0</x:v>
      </x:c>
      <x:c r="Y78" s="60" t="str">
        <x:f>IF(OR(U78="OFFEN",V78="OFFEN",W78="OFFEN"),"OFFEN",IF(OR(U78="FAIL",V78="FAIL",W78="FAIL",X78&gt;=4),"FAIL",IF(OR(U78="WARN",V78="WARN",W78="WARN",X78&gt;=2),"WARN","OK")))</x:f>
        <x:v>OFFEN</x:v>
      </x:c>
      <x:c r="Z78" s="29" t="str"/>
    </x:row>
    <x:row r="79">
      <x:c r="A79" s="28" t="n">
        <x:v>77</x:v>
      </x:c>
      <x:c r="B79" s="126" t="n">
        <x:f>'01_Run_Config'!$B$4+A79</x:f>
        <x:v>46319</x:v>
      </x:c>
      <x:c r="C79" s="60" t="str">
        <x:f>VLOOKUP(A79,'02_Daily_Master'!$A$2:$AS$82,5,FALSE)</x:f>
        <x:v>Harvest / Extension (B7+)</x:v>
      </x:c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 t="str">
        <x:f>IF(OR(N79="",L79=""),"",N79-L79)</x:f>
      </x:c>
      <x:c r="P79" s="60"/>
      <x:c r="Q79" s="60"/>
      <x:c r="R79" s="60"/>
      <x:c r="S79" s="60"/>
      <x:c r="T79" s="60"/>
      <x:c r="U79" s="60" t="str">
        <x:v>OFFEN</x:v>
      </x:c>
      <x:c r="V79" s="60" t="str">
        <x:v>OFFEN</x:v>
      </x:c>
      <x:c r="W79" s="60" t="str">
        <x:v>OFFEN</x:v>
      </x:c>
      <x:c r="X79" s="60" t="n">
        <x:v>0</x:v>
      </x:c>
      <x:c r="Y79" s="60" t="str">
        <x:f>IF(OR(U79="OFFEN",V79="OFFEN",W79="OFFEN"),"OFFEN",IF(OR(U79="FAIL",V79="FAIL",W79="FAIL",X79&gt;=4),"FAIL",IF(OR(U79="WARN",V79="WARN",W79="WARN",X79&gt;=2),"WARN","OK")))</x:f>
        <x:v>OFFEN</x:v>
      </x:c>
      <x:c r="Z79" s="29" t="str"/>
    </x:row>
    <x:row r="80">
      <x:c r="A80" s="28" t="n">
        <x:v>78</x:v>
      </x:c>
      <x:c r="B80" s="126" t="n">
        <x:f>'01_Run_Config'!$B$4+A80</x:f>
        <x:v>46320</x:v>
      </x:c>
      <x:c r="C80" s="60" t="str">
        <x:f>VLOOKUP(A80,'02_Daily_Master'!$A$2:$AS$82,5,FALSE)</x:f>
        <x:v>Harvest / Extension (B7+)</x:v>
      </x:c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 t="str">
        <x:f>IF(OR(N80="",L80=""),"",N80-L80)</x:f>
      </x:c>
      <x:c r="P80" s="60"/>
      <x:c r="Q80" s="60"/>
      <x:c r="R80" s="60"/>
      <x:c r="S80" s="60"/>
      <x:c r="T80" s="60"/>
      <x:c r="U80" s="60" t="str">
        <x:v>OFFEN</x:v>
      </x:c>
      <x:c r="V80" s="60" t="str">
        <x:v>OFFEN</x:v>
      </x:c>
      <x:c r="W80" s="60" t="str">
        <x:v>OFFEN</x:v>
      </x:c>
      <x:c r="X80" s="60" t="n">
        <x:v>0</x:v>
      </x:c>
      <x:c r="Y80" s="60" t="str">
        <x:f>IF(OR(U80="OFFEN",V80="OFFEN",W80="OFFEN"),"OFFEN",IF(OR(U80="FAIL",V80="FAIL",W80="FAIL",X80&gt;=4),"FAIL",IF(OR(U80="WARN",V80="WARN",W80="WARN",X80&gt;=2),"WARN","OK")))</x:f>
        <x:v>OFFEN</x:v>
      </x:c>
      <x:c r="Z80" s="29" t="str"/>
    </x:row>
    <x:row r="81">
      <x:c r="A81" s="28" t="n">
        <x:v>79</x:v>
      </x:c>
      <x:c r="B81" s="126" t="n">
        <x:f>'01_Run_Config'!$B$4+A81</x:f>
        <x:v>46321</x:v>
      </x:c>
      <x:c r="C81" s="60" t="str">
        <x:f>VLOOKUP(A81,'02_Daily_Master'!$A$2:$AS$82,5,FALSE)</x:f>
        <x:v>Harvest / Extension (B7+)</x:v>
      </x:c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 t="str">
        <x:f>IF(OR(N81="",L81=""),"",N81-L81)</x:f>
      </x:c>
      <x:c r="P81" s="60"/>
      <x:c r="Q81" s="60"/>
      <x:c r="R81" s="60"/>
      <x:c r="S81" s="60"/>
      <x:c r="T81" s="60"/>
      <x:c r="U81" s="60" t="str">
        <x:v>OFFEN</x:v>
      </x:c>
      <x:c r="V81" s="60" t="str">
        <x:v>OFFEN</x:v>
      </x:c>
      <x:c r="W81" s="60" t="str">
        <x:v>OFFEN</x:v>
      </x:c>
      <x:c r="X81" s="60" t="n">
        <x:v>0</x:v>
      </x:c>
      <x:c r="Y81" s="60" t="str">
        <x:f>IF(OR(U81="OFFEN",V81="OFFEN",W81="OFFEN"),"OFFEN",IF(OR(U81="FAIL",V81="FAIL",W81="FAIL",X81&gt;=4),"FAIL",IF(OR(U81="WARN",V81="WARN",W81="WARN",X81&gt;=2),"WARN","OK")))</x:f>
        <x:v>OFFEN</x:v>
      </x:c>
      <x:c r="Z81" s="29" t="str"/>
    </x:row>
    <x:row r="82">
      <x:c r="A82" s="30" t="n">
        <x:v>80</x:v>
      </x:c>
      <x:c r="B82" s="127" t="n">
        <x:f>'01_Run_Config'!$B$4+A82</x:f>
        <x:v>46322</x:v>
      </x:c>
      <x:c r="C82" s="61" t="str">
        <x:f>VLOOKUP(A82,'02_Daily_Master'!$A$2:$AS$82,5,FALSE)</x:f>
        <x:v>Harvest / Extension (B7+)</x:v>
      </x:c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 t="str">
        <x:f>IF(OR(N82="",L82=""),"",N82-L82)</x:f>
      </x:c>
      <x:c r="P82" s="61"/>
      <x:c r="Q82" s="61"/>
      <x:c r="R82" s="61"/>
      <x:c r="S82" s="61"/>
      <x:c r="T82" s="61"/>
      <x:c r="U82" s="61" t="str">
        <x:v>OFFEN</x:v>
      </x:c>
      <x:c r="V82" s="61" t="str">
        <x:v>OFFEN</x:v>
      </x:c>
      <x:c r="W82" s="61" t="str">
        <x:v>OFFEN</x:v>
      </x:c>
      <x:c r="X82" s="61" t="n">
        <x:v>0</x:v>
      </x:c>
      <x:c r="Y82" s="61" t="str">
        <x:f>IF(OR(U82="OFFEN",V82="OFFEN",W82="OFFEN"),"OFFEN",IF(OR(U82="FAIL",V82="FAIL",W82="FAIL",X82&gt;=4),"FAIL",IF(OR(U82="WARN",V82="WARN",W82="WARN",X82&gt;=2),"WARN","OK")))</x:f>
        <x:v>OFFEN</x:v>
      </x:c>
      <x:c r="Z82" s="31" t="str"/>
    </x:row>
  </x:sheetData>
  <x:conditionalFormatting sqref="O2:O82">
    <x:cfRule type="expression" dxfId="8" priority="1">
      <x:formula>O2&gt;0.4</x:formula>
    </x:cfRule>
  </x:conditionalFormatting>
  <x:conditionalFormatting sqref="X2:X82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A2:Z82">
    <x:cfRule type="expression" dxfId="52" priority="6">
      <x:formula>$A2='01_Run_Config'!$B$5</x:formula>
    </x:cfRule>
  </x:conditionalFormatting>
  <x:conditionalFormatting sqref="Y2:Y82">
    <x:cfRule type="expression" dxfId="64" priority="7">
      <x:formula>Y2="OFFEN"</x:formula>
    </x:cfRule>
    <x:cfRule type="expression" dxfId="65" priority="8">
      <x:formula>Y2="OK"</x:formula>
    </x:cfRule>
    <x:cfRule type="expression" dxfId="66" priority="9">
      <x:formula>Y2="WARN"</x:formula>
    </x:cfRule>
    <x:cfRule type="expression" dxfId="67" priority="10">
      <x:formula>Y2="FAIL"</x:formula>
    </x:cfRule>
  </x:conditionalFormatting>
  <x:dataValidations count="5">
    <x:dataValidation type="list" sqref="U2:U82">
      <x:formula1>"OFFEN,OK,WARN,FAIL,N/A"</x:formula1>
    </x:dataValidation>
    <x:dataValidation type="list" sqref="V2:V82">
      <x:formula1>"OFFEN,OK,WARN,FAIL,N/A"</x:formula1>
    </x:dataValidation>
    <x:dataValidation type="list" sqref="W2:W82">
      <x:formula1>"OFFEN,OK,WARN,FAIL,N/A"</x:formula1>
    </x:dataValidation>
    <x:dataValidation type="list" sqref="Y2:Y82">
      <x:formula1>"OK,WARN,FAIL,N/A"</x:formula1>
    </x:dataValidation>
    <x:dataValidation operator="between" sqref="X2:X82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a2decd03c4d4a0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522" t="str">
        <x:v>Symptom</x:v>
      </x:c>
      <x:c r="B1" s="1523" t="str">
        <x:v>Zuerst messen</x:v>
      </x:c>
      <x:c r="C1" s="1523" t="str">
        <x:v>Häufige Systemursache</x:v>
      </x:c>
      <x:c r="D1" s="1523" t="str">
        <x:v>NICHT sofort</x:v>
      </x:c>
      <x:c r="E1" s="1523" t="str">
        <x:v>Eingriff 1</x:v>
      </x:c>
      <x:c r="F1" s="1523" t="str">
        <x:v>Eingriff 2</x:v>
      </x:c>
      <x:c r="G1" s="1523" t="str">
        <x:v>Escalation</x:v>
      </x:c>
      <x:c r="H1" s="1524" t="str">
        <x:v>Kommentar</x:v>
      </x:c>
    </x:row>
    <x:row r="2">
      <x:c r="A2" s="1191" t="str">
        <x:v>Spitzenbrand</x:v>
      </x:c>
      <x:c r="B2" s="62" t="str">
        <x:v>EC in/out, pH, PPFD</x:v>
      </x:c>
      <x:c r="C2" s="62" t="str">
        <x:v>zu hohe Gesamtstärke/PK, Lichtstress</x:v>
      </x:c>
      <x:c r="D2" s="62" t="str">
        <x:v>mehr CalMag/Booster</x:v>
      </x:c>
      <x:c r="E2" s="62" t="str">
        <x:v>Feed 10–20% senken</x:v>
      </x:c>
      <x:c r="F2" s="62" t="str">
        <x:v>Diagnose-Drain</x:v>
      </x:c>
      <x:c r="G2" s="62" t="str">
        <x:v>bei Fortschritt Rootzone prüfen</x:v>
      </x:c>
      <x:c r="H2" s="1192" t="str">
        <x:v>EC_out &gt; in+0.3–0.4 ernst nehmen</x:v>
      </x:c>
    </x:row>
    <x:row r="3">
      <x:c r="A3" s="1156" t="str">
        <x:v>Rostflecken</x:v>
      </x:c>
      <x:c r="B3" s="201" t="str">
        <x:v>pH, Wasser-Ca/Mg, EC, Blattposition</x:v>
      </x:c>
      <x:c r="C3" s="201" t="str">
        <x:v>pH/Antagonismus statt echter Ca/Mg-Armut</x:v>
      </x:c>
      <x:c r="D3" s="201" t="str">
        <x:v>blind CalMag stapeln</x:v>
      </x:c>
      <x:c r="E3" s="201" t="str">
        <x:v>Wasserwerte prüfen</x:v>
      </x:c>
      <x:c r="F3" s="201" t="str">
        <x:v>K/PK-Last prüfen</x:v>
      </x:c>
      <x:c r="G3" s="201" t="str">
        <x:v>gezielte CalMag-Korrektur</x:v>
      </x:c>
      <x:c r="H3" s="1193" t="str">
        <x:v>Mg-Überversorgung kann Ca/K hemmen</x:v>
      </x:c>
    </x:row>
    <x:row r="4">
      <x:c r="A4" s="1156" t="str">
        <x:v>Interveinale Chlorose</x:v>
      </x:c>
      <x:c r="B4" s="201" t="str">
        <x:v>Mg, K/PK, pH</x:v>
      </x:c>
      <x:c r="C4" s="201" t="str">
        <x:v>K/P-induzierter Mg-Shift möglich</x:v>
      </x:c>
      <x:c r="D4" s="201" t="str">
        <x:v>PK weiter erhöhen</x:v>
      </x:c>
      <x:c r="E4" s="201" t="str">
        <x:v>Nährstoffstack vereinfachen</x:v>
      </x:c>
      <x:c r="F4" s="201" t="str">
        <x:v>Wasser/Mg prüfen</x:v>
      </x:c>
      <x:c r="G4" s="201" t="str">
        <x:v>gezielt korrigieren</x:v>
      </x:c>
      <x:c r="H4" s="1193" t="str">
        <x:v>Symptomkontext entscheidend</x:v>
      </x:c>
    </x:row>
    <x:row r="5">
      <x:c r="A5" s="1156" t="str">
        <x:v>Taco/aufgerollt</x:v>
      </x:c>
      <x:c r="B5" s="201" t="str">
        <x:v>Blatttemp, PPFD, VPD</x:v>
      </x:c>
      <x:c r="C5" s="201" t="str">
        <x:v>Licht/Hitze/trockene Luft</x:v>
      </x:c>
      <x:c r="D5" s="201" t="str">
        <x:v>Nährstoffe ändern</x:v>
      </x:c>
      <x:c r="E5" s="201" t="str">
        <x:v>PPFD oder Temp senken</x:v>
      </x:c>
      <x:c r="F5" s="201" t="str">
        <x:v>LF/VPD korrigieren</x:v>
      </x:c>
      <x:c r="G5" s="201" t="str">
        <x:v>48h beobachten</x:v>
      </x:c>
      <x:c r="H5" s="1193" t="str">
        <x:v>erst Umwelt, dann Feed</x:v>
      </x:c>
    </x:row>
    <x:row r="6">
      <x:c r="A6" s="1156" t="str">
        <x:v>Hängend + nasser Topf</x:v>
      </x:c>
      <x:c r="B6" s="201" t="str">
        <x:v>Topfgewicht/Feuchte, Bewässerungsmodus, Temp</x:v>
      </x:c>
      <x:c r="C6" s="201" t="str">
        <x:v>Überbewässerung/geringe Transpiration</x:v>
      </x:c>
      <x:c r="D6" s="201" t="str">
        <x:v>mehr Wasser</x:v>
      </x:c>
      <x:c r="E6" s="201" t="str">
        <x:v>Bewässerung reduzieren</x:v>
      </x:c>
      <x:c r="F6" s="201" t="str">
        <x:v>Luft/Temp prüfen</x:v>
      </x:c>
      <x:c r="G6" s="201" t="str">
        <x:v>Wurzeln kontrollieren</x:v>
      </x:c>
      <x:c r="H6" s="1193" t="str">
        <x:v>Wurzel Complex ist kein Ersatz für Bewässerungsfehler</x:v>
      </x:c>
    </x:row>
    <x:row r="7">
      <x:c r="A7" s="1156" t="str">
        <x:v>Hängend + leichter Topf</x:v>
      </x:c>
      <x:c r="B7" s="201" t="str">
        <x:v>Wasserquelle/Leitung/Topfgewicht</x:v>
      </x:c>
      <x:c r="C7" s="201" t="str">
        <x:v>Unterversorgung/Automationsfehler</x:v>
      </x:c>
      <x:c r="D7" s="201" t="str">
        <x:v>Dünger erhöhen</x:v>
      </x:c>
      <x:c r="E7" s="201" t="str">
        <x:v>Wasserzufuhr herstellen</x:v>
      </x:c>
      <x:c r="F7" s="201" t="str">
        <x:v>Sensor neu befüllen/einstellen</x:v>
      </x:c>
      <x:c r="G7" s="201" t="str">
        <x:v>Leck-/Tankcheck</x:v>
      </x:c>
      <x:c r="H7" s="1193" t="str">
        <x:v>bei Automationssystem Hersteller-SOP verwenden</x:v>
      </x:c>
    </x:row>
    <x:row r="8">
      <x:c r="A8" s="1156" t="str">
        <x:v>pH drift stark</x:v>
      </x:c>
      <x:c r="B8" s="201" t="str">
        <x:v>Kalibrierung, Wasseralkalinität, Additivstack</x:v>
      </x:c>
      <x:c r="C8" s="201" t="str">
        <x:v>Fremdprodukte/Reservoirbiologie</x:v>
      </x:c>
      <x:c r="D8" s="201" t="str">
        <x:v>Up/Down ping-pong</x:v>
      </x:c>
      <x:c r="E8" s="201" t="str">
        <x:v>frische Lösung minimaler Stack</x:v>
      </x:c>
      <x:c r="F8" s="201" t="str">
        <x:v>Messgerät kalibrieren</x:v>
      </x:c>
      <x:c r="G8" s="201" t="str">
        <x:v>System isolieren</x:v>
      </x:c>
      <x:c r="H8" s="1193" t="str">
        <x:v>pH Perfect bei Fremdprodukten nicht garantiert; Alkalinität/HCO3 prüfen</x:v>
      </x:c>
    </x:row>
    <x:row r="9">
      <x:c r="A9" s="1156" t="str">
        <x:v>Schleim/Geruch Tank</x:v>
      </x:c>
      <x:c r="B9" s="201" t="str">
        <x:v>Tanktemp, Mikroben/Carbos</x:v>
      </x:c>
      <x:c r="C9" s="201" t="str">
        <x:v>stagnierende biologische Lösung</x:v>
      </x:c>
      <x:c r="D9" s="201" t="str">
        <x:v>mehr Enzyme</x:v>
      </x:c>
      <x:c r="E9" s="201" t="str">
        <x:v>Tank leeren/reinigen</x:v>
      </x:c>
      <x:c r="F9" s="201" t="str">
        <x:v>Mikroben separat frisch</x:v>
      </x:c>
      <x:c r="G9" s="201" t="str">
        <x:v>Leitungen reinigen</x:v>
      </x:c>
      <x:c r="H9" s="1193" t="str">
        <x:v>besonders bei komplexer automatisierter Reservoirfütterung</x:v>
      </x:c>
    </x:row>
    <x:row r="10">
      <x:c r="A10" s="1156" t="str">
        <x:v>LF Nacht &gt;60%</x:v>
      </x:c>
      <x:c r="B10" s="201" t="str">
        <x:v>Lung-room LF, Abluft, stehendes Wasser</x:v>
      </x:c>
      <x:c r="C10" s="201" t="str">
        <x:v>Transpiration + Tempabfall</x:v>
      </x:c>
      <x:c r="D10" s="201" t="str">
        <x:v>Massenentlaubung zuerst</x:v>
      </x:c>
      <x:c r="E10" s="201" t="str">
        <x:v>Abluft/Lung-room trocknen</x:v>
      </x:c>
      <x:c r="F10" s="201" t="str">
        <x:v>Drain entfernen</x:v>
      </x:c>
      <x:c r="G10" s="201" t="str">
        <x:v>Colas prüfen</x:v>
      </x:c>
      <x:c r="H10" s="1193" t="str">
        <x:v>Schimmelrisiko-Ereignis</x:v>
      </x:c>
    </x:row>
    <x:row r="11">
      <x:c r="A11" s="1158" t="str">
        <x:v>Bleaching</x:v>
      </x:c>
      <x:c r="B11" s="1194" t="str">
        <x:v>PPFD, Lampenabstand, Temp</x:v>
      </x:c>
      <x:c r="C11" s="1194" t="str">
        <x:v>zu hohe Photonenlast</x:v>
      </x:c>
      <x:c r="D11" s="1194" t="str">
        <x:v>EC erhöhen</x:v>
      </x:c>
      <x:c r="E11" s="1194" t="str">
        <x:v>Dimmer/Abstand korrigieren</x:v>
      </x:c>
      <x:c r="F11" s="1194" t="str">
        <x:v>24–48h beobachten</x:v>
      </x:c>
      <x:c r="G11" s="1194" t="str">
        <x:v>Canopy map</x:v>
      </x:c>
      <x:c r="H11" s="1195" t="str">
        <x:v>Watt ist nicht Zielgröße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3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39" hidden="0" customWidth="1"/>
    <x:col min="8" max="8" width="39" hidden="0" customWidth="1"/>
    <x:col min="9" max="9" width="45" hidden="0" customWidth="1"/>
    <x:col min="10" max="10" width="31" hidden="0" customWidth="1"/>
    <x:col min="12" max="12" width="20" hidden="0" customWidth="1"/>
    <x:col min="13" max="13" width="16" hidden="0" customWidth="1"/>
    <x:col min="14" max="14" width="43" hidden="0" customWidth="1"/>
  </x:cols>
  <x:sheetData>
    <x:row r="1">
      <x:c r="A1" s="14" t="str">
        <x:v>Phase</x:v>
      </x:c>
      <x:c r="B1" s="14" t="str">
        <x:v>Trigger</x:v>
      </x:c>
      <x:c r="C1" s="14" t="str">
        <x:v>Ziel</x:v>
      </x:c>
      <x:c r="D1" s="14" t="str">
        <x:v>Temp</x:v>
      </x:c>
      <x:c r="E1" s="14" t="str">
        <x:v>LF</x:v>
      </x:c>
      <x:c r="F1" s="14" t="str">
        <x:v>Luft</x:v>
      </x:c>
      <x:c r="G1" s="14" t="str">
        <x:v>Messung</x:v>
      </x:c>
      <x:c r="H1" s="14" t="str">
        <x:v>Stop-Regel</x:v>
      </x:c>
      <x:c r="I1" t="str">
        <x:v>aw / Feuchte</x:v>
      </x:c>
      <x:c r="J1" t="str">
        <x:v>Evidenzstatus</x:v>
      </x:c>
      <x:c r="L1" s="1688" t="str">
        <x:v>RUN KPI</x:v>
      </x:c>
      <x:c r="M1" s="1688" t="str">
        <x:v>Wert</x:v>
      </x:c>
      <x:c r="N1" s="1688" t="str">
        <x:v>Hinweis</x:v>
      </x:c>
    </x:row>
    <x:row r="2">
      <x:c r="A2" s="1154" t="str">
        <x:v>Ernteentscheidung</x:v>
      </x:c>
      <x:c r="B2" s="1204" t="str">
        <x:v>Calyx-/Trichomreife + Gesamtpflanze; nicht nur Pistillen</x:v>
      </x:c>
      <x:c r="C2" s="1204" t="str">
        <x:v>gewünschter Reifegrad</x:v>
      </x:c>
      <x:c r="D2" s="1204" t="str">
        <x:v>22–24°C vor Ernte</x:v>
      </x:c>
      <x:c r="E2" s="1204" t="str">
        <x:v>40–47%</x:v>
      </x:c>
      <x:c r="F2" s="1204" t="str">
        <x:v>normal</x:v>
      </x:c>
      <x:c r="G2" s="1204" t="str">
        <x:v>Makro an Calyxen</x:v>
      </x:c>
      <x:c r="H2" s="1485" t="str">
        <x:v>Breeder-Tage sind Fenster, kein Trigger</x:v>
      </x:c>
      <x:c r="I2" s="1204" t="str">
        <x:v>—</x:v>
      </x:c>
      <x:c r="J2" s="1205" t="str">
        <x:v>UKD Praxisrahmen</x:v>
      </x:c>
      <x:c r="L2" s="1154" t="str">
        <x:v>Trockenmasse g</x:v>
      </x:c>
      <x:c r="M2" s="1692" t="n">
        <x:v>0</x:v>
      </x:c>
      <x:c r="N2" s="1205" t="str">
        <x:v>Benutzereingabe nach vollständiger Trocknung</x:v>
      </x:c>
    </x:row>
    <x:row r="3">
      <x:c r="A3" s="1156" t="str">
        <x:v>Vorbereitung</x:v>
      </x:c>
      <x:c r="B3" s="201" t="str">
        <x:v>24–48 h vor Schnitt</x:v>
      </x:c>
      <x:c r="C3" s="201" t="str">
        <x:v>Dry-Room stabil</x:v>
      </x:c>
      <x:c r="D3" s="201" t="str">
        <x:v>18–20°C</x:v>
      </x:c>
      <x:c r="E3" s="201" t="str">
        <x:v>55–60%</x:v>
      </x:c>
      <x:c r="F3" s="201" t="str">
        <x:v>indirekt</x:v>
      </x:c>
      <x:c r="G3" s="201" t="str">
        <x:v>Logger 24 h testen</x:v>
      </x:c>
      <x:c r="H3" s="35" t="str">
        <x:v>kein improvisierter heißer Raum</x:v>
      </x:c>
      <x:c r="I3" s="201" t="str">
        <x:v>—</x:v>
      </x:c>
      <x:c r="J3" s="1193" t="str">
        <x:v>konservativer Praxisbereich, kein universelles Optimum</x:v>
      </x:c>
      <x:c r="L3" s="1156" t="str">
        <x:v>Lichtenergie kWh</x:v>
      </x:c>
      <x:c r="M3" s="201" t="n">
        <x:f>VLOOKUP('01_Run_Config'!$B$7,'02_Daily_Master'!$A$2:$AP$82,42,FALSE)</x:f>
        <x:v>150.1199999999999</x:v>
      </x:c>
      <x:c r="N3" s="1193" t="str">
        <x:v>aus 02_Daily_Master bis Plan-Endtag</x:v>
      </x:c>
    </x:row>
    <x:row r="4">
      <x:c r="A4" s="1156" t="str">
        <x:v>Trocknung</x:v>
      </x:c>
      <x:c r="B4" s="201" t="str">
        <x:v>nach Schnitt</x:v>
      </x:c>
      <x:c r="C4" s="201" t="str">
        <x:v>langsame, gleichmäßige Wasserabgabe</x:v>
      </x:c>
      <x:c r="D4" s="201" t="str">
        <x:v>18–20°C</x:v>
      </x:c>
      <x:c r="E4" s="201" t="str">
        <x:v>55–60%</x:v>
      </x:c>
      <x:c r="F4" s="201" t="str">
        <x:v>keine direkte Luft auf Blüten</x:v>
      </x:c>
      <x:c r="G4" s="201" t="str">
        <x:v>Klima + Masse/Feuchte</x:v>
      </x:c>
      <x:c r="H4" s="35" t="str">
        <x:v>kein Schnellheizen</x:v>
      </x:c>
      <x:c r="I4" s="201" t="str">
        <x:v>aw bevorzugt messen; Zielbereich etwa 0.55–0.65 als Qualitäts-/Sicherheitsrahmen</x:v>
      </x:c>
      <x:c r="J4" s="1193" t="str">
        <x:v>Literatur-/Praxisrahmen; cultivarabhängig</x:v>
      </x:c>
      <x:c r="L4" s="1156" t="str">
        <x:v>g/kWh Licht</x:v>
      </x:c>
      <x:c r="M4" s="201" t="str">
        <x:f>IF(OR(M2&lt;=0,M3&lt;=0),"",M2/M3)</x:f>
      </x:c>
      <x:c r="N4" s="1193" t="str">
        <x:v>bevorzugte Licht-Effizienzkennzahl</x:v>
      </x:c>
    </x:row>
    <x:row r="5">
      <x:c r="A5" s="1156" t="str">
        <x:v>Dry QA</x:v>
      </x:c>
      <x:c r="B5" s="201" t="str">
        <x:v>täglich</x:v>
      </x:c>
      <x:c r="C5" s="201" t="str">
        <x:v>kein Schimmel/Ammoniak/Fehlgeruch</x:v>
      </x:c>
      <x:c r="D5" s="201" t="str">
        <x:v>stabil</x:v>
      </x:c>
      <x:c r="E5" s="201" t="str">
        <x:v>stabil</x:v>
      </x:c>
      <x:c r="F5" s="201" t="str">
        <x:v>sanft</x:v>
      </x:c>
      <x:c r="G5" s="201" t="str">
        <x:v>Geruch + Oberfläche + ggf. aw</x:v>
      </x:c>
      <x:c r="H5" s="35" t="str">
        <x:v>bei Schimmel isolieren</x:v>
      </x:c>
      <x:c r="I5" s="201" t="str">
        <x:v>aw &gt;0.65 = erhöhte Aufmerksamkeit / weiter trocknen</x:v>
      </x:c>
      <x:c r="J5" s="1193" t="str">
        <x:v>mikrobiologische Sicherheitslogik</x:v>
      </x:c>
      <x:c r="L5" s="1156" t="str">
        <x:v>g/W max</x:v>
      </x:c>
      <x:c r="M5" s="201" t="str">
        <x:f>IF(M2&lt;=0,"",M2/'01_Run_Config'!$B$11)</x:f>
      </x:c>
      <x:c r="N5" s="1193" t="str">
        <x:v>nur grobe Legacy-Kennzahl; nicht primär</x:v>
      </x:c>
    </x:row>
    <x:row r="6">
      <x:c r="A6" s="1156" t="str">
        <x:v>Cure Start</x:v>
      </x:c>
      <x:c r="B6" s="201" t="str">
        <x:v>Gleichgewicht erreicht</x:v>
      </x:c>
      <x:c r="C6" s="201" t="str">
        <x:v>langsame Homogenisierung</x:v>
      </x:c>
      <x:c r="D6" s="201" t="str">
        <x:v>18–21°C</x:v>
      </x:c>
      <x:c r="E6" s="201" t="str">
        <x:v>Behälter-RH überwachen</x:v>
      </x:c>
      <x:c r="F6" s="201" t="str">
        <x:v>kein Fan</x:v>
      </x:c>
      <x:c r="G6" s="201" t="str">
        <x:v>aw bzw. stabile Behälter-RH</x:v>
      </x:c>
      <x:c r="H6" s="35" t="str">
        <x:v>nicht nur 'Stem snap' verwenden</x:v>
      </x:c>
      <x:c r="I6" s="201" t="str">
        <x:v>aw ca. 0.55–0.65; keine starre cultivarunabhängige Endpunktgarantie</x:v>
      </x:c>
      <x:c r="J6" s="1193" t="str">
        <x:v>wissenschaftlich noch nicht standardisiert</x:v>
      </x:c>
      <x:c r="L6" s="1156" t="str">
        <x:v>Lichtkosten €</x:v>
      </x:c>
      <x:c r="M6" s="201" t="str">
        <x:f>IF('01_Run_Config'!$B$39&lt;=0,"",M3*'01_Run_Config'!$B$39)</x:f>
      </x:c>
      <x:c r="N6" s="1193" t="str">
        <x:v>nur wenn Strompreis in Config &gt;0</x:v>
      </x:c>
    </x:row>
    <x:row r="7">
      <x:c r="A7" s="1158" t="str">
        <x:v>Dokumentation</x:v>
      </x:c>
      <x:c r="B7" s="1194" t="str">
        <x:v>nach Endgewicht</x:v>
      </x:c>
      <x:c r="C7" s="1194" t="str">
        <x:v>Runvergleich</x:v>
      </x:c>
      <x:c r="D7" s="1194" t="str">
        <x:v>—</x:v>
      </x:c>
      <x:c r="E7" s="1194" t="str">
        <x:v>—</x:v>
      </x:c>
      <x:c r="F7" s="1194" t="str">
        <x:v>—</x:v>
      </x:c>
      <x:c r="G7" s="1194" t="str">
        <x:v>trockenes Gewicht + Licht-kWh + g/kWh + Fotos</x:v>
      </x:c>
      <x:c r="H7" s="1486" t="str">
        <x:v>gesetzlichen Bestand berücksichtigen</x:v>
      </x:c>
      <x:c r="I7" s="1194" t="str">
        <x:v>Endgewicht dokumentieren</x:v>
      </x:c>
      <x:c r="J7" s="1195" t="str">
        <x:v>Mess-/Rechts-Parameter</x:v>
      </x:c>
      <x:c r="L7" s="1158" t="str">
        <x:v>Legal QA</x:v>
      </x:c>
      <x:c r="M7" s="1194" t="str">
        <x:v>Bestand prüfen</x:v>
      </x:c>
      <x:c r="N7" s="1195" t="str">
        <x:v>Trockengewicht ≠ automatisch zulässiger Lagerbestand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9" hidden="0" customWidth="1"/>
    <x:col min="8" max="8" width="39" hidden="0" customWidth="1"/>
    <x:col min="9" max="9" width="39" hidden="0" customWidth="1"/>
    <x:col min="10" max="10" width="55" hidden="0" customWidth="1"/>
  </x:cols>
  <x:sheetData>
    <x:row r="1">
      <x:c r="A1" s="14" t="str">
        <x:v>Genetik</x:v>
      </x:c>
      <x:c r="B1" s="14" t="str">
        <x:v>Typ</x:v>
      </x:c>
      <x:c r="C1" s="14" t="str">
        <x:v>Breeder-Zyklus</x:v>
      </x:c>
      <x:c r="D1" s="14" t="str">
        <x:v>Breeder-Höhe</x:v>
      </x:c>
      <x:c r="E1" s="14" t="str">
        <x:v>Training</x:v>
      </x:c>
      <x:c r="F1" s="14" t="str">
        <x:v>UKD-Fit</x:v>
      </x:c>
      <x:c r="G1" s="14" t="str">
        <x:v>Hauptstärke</x:v>
      </x:c>
      <x:c r="H1" s="14" t="str">
        <x:v>Risiko</x:v>
      </x:c>
      <x:c r="I1" s="14" t="str">
        <x:v>Plananpassung</x:v>
      </x:c>
      <x:c r="J1" s="14" t="str">
        <x:v>Quelle</x:v>
      </x:c>
    </x:row>
    <x:row r="2">
      <x:c r="A2" s="1154" t="str">
        <x:v>Double Grape — Mephisto</x:v>
      </x:c>
      <x:c r="B2" s="1204" t="str">
        <x:v>Auto F7</x:v>
      </x:c>
      <x:c r="C2" s="1204" t="str">
        <x:v>70–80 d ab Sprout</x:v>
      </x:c>
      <x:c r="D2" s="1204" t="str">
        <x:v>55–80 cm</x:v>
      </x:c>
      <x:c r="E2" s="1204" t="str">
        <x:v>LST gut</x:v>
      </x:c>
      <x:c r="F2" s="1204" t="str">
        <x:v>95/100</x:v>
      </x:c>
      <x:c r="G2" s="1204" t="str">
        <x:v>kompakt, harzig, dokumentierte F7</x:v>
      </x:c>
      <x:c r="H2" s="1204" t="str">
        <x:v>hohe Potenz; Samenvariabilität bleibt</x:v>
      </x:c>
      <x:c r="I2" s="1204" t="str">
        <x:v>Masterplan Default</x:v>
      </x:c>
      <x:c r="J2" s="1205" t="str">
        <x:v>https://eu.mephistogenetics.com/products/double-grape</x:v>
      </x:c>
    </x:row>
    <x:row r="3">
      <x:c r="A3" s="1156" t="str">
        <x:v>Auto Night Queen — Dutch Passion</x:v>
      </x:c>
      <x:c r="B3" s="201" t="str">
        <x:v>Auto</x:v>
      </x:c>
      <x:c r="C3" s="201" t="str">
        <x:v>~10–11 Wochen</x:v>
      </x:c>
      <x:c r="D3" s="201" t="str">
        <x:v>meist 50–70 cm; &lt;100 cm</x:v>
      </x:c>
      <x:c r="E3" s="201" t="str">
        <x:v>wenig Training nötig</x:v>
      </x:c>
      <x:c r="F3" s="201" t="str">
        <x:v>92/100</x:v>
      </x:c>
      <x:c r="G3" s="201" t="str">
        <x:v>kompakt/robust</x:v>
      </x:c>
      <x:c r="H3" s="201" t="str">
        <x:v>dichte Colas</x:v>
      </x:c>
      <x:c r="I3" s="201" t="str">
        <x:v>LF spät streng überwachen</x:v>
      </x:c>
      <x:c r="J3" s="1193" t="str">
        <x:v>https://dutch-passion.com/de/hanfsamen/auto-night-queen</x:v>
      </x:c>
    </x:row>
    <x:row r="4">
      <x:c r="A4" s="1156" t="str">
        <x:v>Auto Cinderella Jack — Dutch Passion</x:v>
      </x:c>
      <x:c r="B4" s="201" t="str">
        <x:v>Auto</x:v>
      </x:c>
      <x:c r="C4" s="201" t="str">
        <x:v>~10–11 Wochen</x:v>
      </x:c>
      <x:c r="D4" s="201" t="str">
        <x:v>typ. etwa 75–100 cm; Variation möglich</x:v>
      </x:c>
      <x:c r="E4" s="201" t="str">
        <x:v>vorsichtig; Scrog nicht Anfängerfokus</x:v>
      </x:c>
      <x:c r="F4" s="201" t="str">
        <x:v>88/100</x:v>
      </x:c>
      <x:c r="G4" s="201" t="str">
        <x:v>starke Performance-Dokumentation</x:v>
      </x:c>
      <x:c r="H4" s="201" t="str">
        <x:v>Potenz/Volumen; Training anspruchsvoller</x:v>
      </x:c>
      <x:c r="I4" s="201" t="str">
        <x:v>Training konservativer</x:v>
      </x:c>
      <x:c r="J4" s="1193" t="str">
        <x:v>https://dutch-passion.com/de/hanfsamen/auto-cinderella-jack</x:v>
      </x:c>
    </x:row>
    <x:row r="5">
      <x:c r="A5" s="1156" t="str">
        <x:v>Sour Stomper — Mephisto</x:v>
      </x:c>
      <x:c r="B5" s="201" t="str">
        <x:v>Auto F7</x:v>
      </x:c>
      <x:c r="C5" s="201" t="str">
        <x:v>65–75 d</x:v>
      </x:c>
      <x:c r="D5" s="201" t="str">
        <x:v>60–100 cm</x:v>
      </x:c>
      <x:c r="E5" s="201" t="str">
        <x:v>LST</x:v>
      </x:c>
      <x:c r="F5" s="201" t="str">
        <x:v>89/100</x:v>
      </x:c>
      <x:c r="G5" s="201" t="str">
        <x:v>Aroma/Homogenität</x:v>
      </x:c>
      <x:c r="H5" s="201" t="str">
        <x:v>Stretch/Geruch</x:v>
      </x:c>
      <x:c r="I5" s="201" t="str">
        <x:v>früheres Canopy-Management</x:v>
      </x:c>
      <x:c r="J5" s="1193" t="str">
        <x:v>https://eu.mephistogenetics.com/products/sour-stomper</x:v>
      </x:c>
    </x:row>
    <x:row r="6">
      <x:c r="A6" s="1233" t="str">
        <x:v>Banana Purple Punch Auto RF3 — Fast Buds</x:v>
      </x:c>
      <x:c r="B6" s="64" t="str">
        <x:v>Auto RF3</x:v>
      </x:c>
      <x:c r="C6" s="64" t="str">
        <x:v>8–9 Wochen</x:v>
      </x:c>
      <x:c r="D6" s="64" t="str">
        <x:v>80–150 cm</x:v>
      </x:c>
      <x:c r="E6" s="64" t="str">
        <x:v>LST vorsichtig</x:v>
      </x:c>
      <x:c r="F6" s="64" t="str">
        <x:v>82/100</x:v>
      </x:c>
      <x:c r="G6" s="64" t="str">
        <x:v>moderne Harz-/Dessertqualität</x:v>
      </x:c>
      <x:c r="H6" s="64" t="str">
        <x:v>bis 150 cm: deutlich höheres Zelt-/Stretchrisiko</x:v>
      </x:c>
      <x:c r="I6" s="64" t="str">
        <x:v>früh trainieren; Höhe eng beobachten</x:v>
      </x:c>
      <x:c r="J6" s="1234" t="str">
        <x:v>https://2fast4buds.com/de/seeds/banana-purple-punch-auto</x:v>
      </x:c>
    </x:row>
    <x:row r="7">
      <x:c r="A7" s="1158" t="str">
        <x:v>24 Carat — Mephisto</x:v>
      </x:c>
      <x:c r="B7" s="1194" t="str">
        <x:v>Auto F7</x:v>
      </x:c>
      <x:c r="C7" s="1194" t="str">
        <x:v>65–75 d</x:v>
      </x:c>
      <x:c r="D7" s="1194" t="str">
        <x:v>40–60 cm</x:v>
      </x:c>
      <x:c r="E7" s="1194" t="str">
        <x:v>minimal/moderat</x:v>
      </x:c>
      <x:c r="F7" s="1194" t="str">
        <x:v>93/100</x:v>
      </x:c>
      <x:c r="G7" s="1194" t="str">
        <x:v>extrem kompakter Kontrollkandidat</x:v>
      </x:c>
      <x:c r="H7" s="1194" t="str">
        <x:v>weniger Canopy-Füllung möglich</x:v>
      </x:c>
      <x:c r="I7" s="1194" t="str">
        <x:v>sehr interessant für 60×60 Low-maintenance Vergleich</x:v>
      </x:c>
      <x:c r="J7" s="1195" t="str">
        <x:v>https://eu.mephistogenetics.com/products/24-carat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.5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</x:cols>
  <x:sheetData>
    <x:row r="1">
      <x:c r="A1" s="1292" t="str">
        <x:v>UKD Produkt×Produkt-Kompatibilitätsmatrix (Reference-Logik, nicht bloße Hersteller-Mischbarkeit)</x:v>
      </x:c>
      <x:c r="B1" s="1293"/>
      <x:c r="C1" s="1293"/>
      <x:c r="D1" s="1293"/>
      <x:c r="E1" s="1293"/>
      <x:c r="F1" s="1293"/>
      <x:c r="G1" s="1293"/>
      <x:c r="H1" s="1293"/>
      <x:c r="I1" s="1293"/>
      <x:c r="J1" s="1293"/>
      <x:c r="K1" s="1293"/>
      <x:c r="L1" s="1293"/>
      <x:c r="M1" s="1293"/>
      <x:c r="N1" s="1293"/>
      <x:c r="O1" s="1293"/>
      <x:c r="P1" s="1293"/>
      <x:c r="Q1" s="1293"/>
      <x:c r="R1" s="1293"/>
      <x:c r="S1" s="1293"/>
      <x:c r="T1" s="1293"/>
      <x:c r="U1" s="1293"/>
      <x:c r="V1" s="1293"/>
      <x:c r="W1" s="1293"/>
      <x:c r="X1" s="1293"/>
      <x:c r="Y1" s="1293"/>
      <x:c r="Z1" s="1293"/>
      <x:c r="AA1" s="1293"/>
      <x:c r="AB1" s="1294"/>
      <x:c r="AC1" s="1297"/>
    </x:row>
    <x:row r="2">
      <x:c r="A2" s="28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29"/>
    </x:row>
    <x:row r="3">
      <x:c r="A3" s="789" t="str">
        <x:v>Produkt</x:v>
      </x:c>
      <x:c r="B3" s="790" t="str">
        <x:v>UGro Rhiza</x:v>
      </x:c>
      <x:c r="C3" s="790" t="str">
        <x:v>HESI TNT</x:v>
      </x:c>
      <x:c r="D3" s="790" t="str">
        <x:v>HESI Coco</x:v>
      </x:c>
      <x:c r="E3" s="790" t="str">
        <x:v>Wurzel Complex</x:v>
      </x:c>
      <x:c r="F3" s="790" t="str">
        <x:v>PowerZyme</x:v>
      </x:c>
      <x:c r="G3" s="790" t="str">
        <x:v>SuperVit</x:v>
      </x:c>
      <x:c r="H3" s="790" t="str">
        <x:v>HESI Boost</x:v>
      </x:c>
      <x:c r="I3" s="790" t="str">
        <x:v>PK 13/14</x:v>
      </x:c>
      <x:c r="J3" s="790" t="str">
        <x:v>HESI CalMag</x:v>
      </x:c>
      <x:c r="K3" s="790" t="str">
        <x:v>Hesilicio</x:v>
      </x:c>
      <x:c r="L3" s="790" t="str">
        <x:v>pH Perfect Sensi Coco</x:v>
      </x:c>
      <x:c r="M3" s="790" t="str">
        <x:v>Voodoo</x:v>
      </x:c>
      <x:c r="N3" s="790" t="str">
        <x:v>Piranha</x:v>
      </x:c>
      <x:c r="O3" s="790" t="str">
        <x:v>Tarantula</x:v>
      </x:c>
      <x:c r="P3" s="790" t="str">
        <x:v>B-52</x:v>
      </x:c>
      <x:c r="Q3" s="790" t="str">
        <x:v>Rhino Skin</x:v>
      </x:c>
      <x:c r="R3" s="790" t="str">
        <x:v>Sensizym</x:v>
      </x:c>
      <x:c r="S3" s="790" t="str">
        <x:v>Big Bud</x:v>
      </x:c>
      <x:c r="T3" s="790" t="str">
        <x:v>Big Bud Coco</x:v>
      </x:c>
      <x:c r="U3" s="790" t="str">
        <x:v>Bud Ignitor</x:v>
      </x:c>
      <x:c r="V3" s="790" t="str">
        <x:v>Overdrive</x:v>
      </x:c>
      <x:c r="W3" s="790" t="str">
        <x:v>Bud Candy</x:v>
      </x:c>
      <x:c r="X3" s="790" t="str">
        <x:v>CarboLoad</x:v>
      </x:c>
      <x:c r="Y3" s="790" t="str">
        <x:v>Sensi CalMag Xtra</x:v>
      </x:c>
      <x:c r="Z3" s="790" t="str">
        <x:v>Flo &amp; Gro</x:v>
      </x:c>
      <x:c r="AA3" s="790" t="str">
        <x:v>pH Up</x:v>
      </x:c>
      <x:c r="AB3" s="795" t="str">
        <x:v>pH Down</x:v>
      </x:c>
      <x:c r="AC3" s="790" t="str">
        <x:v>Athena Balance</x:v>
      </x:c>
    </x:row>
    <x:row r="4">
      <x:c r="A4" s="789" t="str">
        <x:v>UGro Rhiza</x:v>
      </x:c>
      <x:c r="B4" s="60" t="str">
        <x:v>—</x:v>
      </x:c>
      <x:c r="C4" s="60" t="str">
        <x:v>✅</x:v>
      </x:c>
      <x:c r="D4" s="60" t="str">
        <x:v>✅</x:v>
      </x:c>
      <x:c r="E4" s="60" t="str">
        <x:v>✅</x:v>
      </x:c>
      <x:c r="F4" s="60" t="str">
        <x:v>✅</x:v>
      </x:c>
      <x:c r="G4" s="60" t="str">
        <x:v>✅</x:v>
      </x:c>
      <x:c r="H4" s="60" t="str">
        <x:v>✅</x:v>
      </x:c>
      <x:c r="I4" s="60" t="str">
        <x:v>✅</x:v>
      </x:c>
      <x:c r="J4" s="60" t="str">
        <x:v>✅</x:v>
      </x:c>
      <x:c r="K4" s="60" t="str">
        <x:v>✅</x:v>
      </x:c>
      <x:c r="L4" s="60" t="str">
        <x:v>✅</x:v>
      </x:c>
      <x:c r="M4" s="60" t="str">
        <x:v>🧪</x:v>
      </x:c>
      <x:c r="N4" s="60" t="str">
        <x:v>R</x:v>
      </x:c>
      <x:c r="O4" s="60" t="str">
        <x:v>🧪</x:v>
      </x:c>
      <x:c r="P4" s="60" t="str">
        <x:v>✅</x:v>
      </x:c>
      <x:c r="Q4" s="60" t="str">
        <x:v>✅</x:v>
      </x:c>
      <x:c r="R4" s="60" t="str">
        <x:v>✅</x:v>
      </x:c>
      <x:c r="S4" s="60" t="str">
        <x:v>✅</x:v>
      </x:c>
      <x:c r="T4" s="60" t="str">
        <x:v>✅</x:v>
      </x:c>
      <x:c r="U4" s="60" t="str">
        <x:v>✅</x:v>
      </x:c>
      <x:c r="V4" s="60" t="str">
        <x:v>✅</x:v>
      </x:c>
      <x:c r="W4" s="60" t="str">
        <x:v>✅</x:v>
      </x:c>
      <x:c r="X4" s="60" t="str">
        <x:v>✅</x:v>
      </x:c>
      <x:c r="Y4" s="60" t="str">
        <x:v>✅</x:v>
      </x:c>
      <x:c r="Z4" s="60" t="str">
        <x:v>⚠</x:v>
      </x:c>
      <x:c r="AA4" s="60" t="str">
        <x:v>◐</x:v>
      </x:c>
      <x:c r="AB4" s="29" t="str">
        <x:v>◐</x:v>
      </x:c>
      <x:c r="AC4" s="278" t="str">
        <x:v>◐</x:v>
      </x:c>
    </x:row>
    <x:row r="5">
      <x:c r="A5" s="789" t="str">
        <x:v>HESI TNT</x:v>
      </x:c>
      <x:c r="B5" s="60" t="str">
        <x:v>✅</x:v>
      </x:c>
      <x:c r="C5" s="60" t="str">
        <x:v>—</x:v>
      </x:c>
      <x:c r="D5" s="60" t="str">
        <x:v>↔</x:v>
      </x:c>
      <x:c r="E5" s="60" t="str">
        <x:v>✅</x:v>
      </x:c>
      <x:c r="F5" s="60" t="str">
        <x:v>✅</x:v>
      </x:c>
      <x:c r="G5" s="60" t="str">
        <x:v>✅</x:v>
      </x:c>
      <x:c r="H5" s="60" t="str">
        <x:v>✅</x:v>
      </x:c>
      <x:c r="I5" s="60" t="str">
        <x:v>✅</x:v>
      </x:c>
      <x:c r="J5" s="60" t="str">
        <x:v>✅</x:v>
      </x:c>
      <x:c r="K5" s="60" t="str">
        <x:v>✅</x:v>
      </x:c>
      <x:c r="L5" s="60" t="str">
        <x:v>✖</x:v>
      </x:c>
      <x:c r="M5" s="60" t="str">
        <x:v>✅</x:v>
      </x:c>
      <x:c r="N5" s="60" t="str">
        <x:v>✅</x:v>
      </x:c>
      <x:c r="O5" s="60" t="str">
        <x:v>✅</x:v>
      </x:c>
      <x:c r="P5" s="60" t="str">
        <x:v>✅</x:v>
      </x:c>
      <x:c r="Q5" s="60" t="str">
        <x:v>✅</x:v>
      </x:c>
      <x:c r="R5" s="60" t="str">
        <x:v>✅</x:v>
      </x:c>
      <x:c r="S5" s="60" t="str">
        <x:v>✅</x:v>
      </x:c>
      <x:c r="T5" s="60" t="str">
        <x:v>✅</x:v>
      </x:c>
      <x:c r="U5" s="60" t="str">
        <x:v>✅</x:v>
      </x:c>
      <x:c r="V5" s="60" t="str">
        <x:v>✅</x:v>
      </x:c>
      <x:c r="W5" s="60" t="str">
        <x:v>✅</x:v>
      </x:c>
      <x:c r="X5" s="60" t="str">
        <x:v>✅</x:v>
      </x:c>
      <x:c r="Y5" s="60" t="str">
        <x:v>✅</x:v>
      </x:c>
      <x:c r="Z5" s="60" t="str">
        <x:v>✅</x:v>
      </x:c>
      <x:c r="AA5" s="60" t="str">
        <x:v>◐</x:v>
      </x:c>
      <x:c r="AB5" s="29" t="str">
        <x:v>◐</x:v>
      </x:c>
      <x:c r="AC5" s="279" t="str">
        <x:v>◐</x:v>
      </x:c>
    </x:row>
    <x:row r="6">
      <x:c r="A6" s="789" t="str">
        <x:v>HESI Coco</x:v>
      </x:c>
      <x:c r="B6" s="60" t="str">
        <x:v>✅</x:v>
      </x:c>
      <x:c r="C6" s="60" t="str">
        <x:v>↔</x:v>
      </x:c>
      <x:c r="D6" s="60" t="str">
        <x:v>—</x:v>
      </x:c>
      <x:c r="E6" s="60" t="str">
        <x:v>✅</x:v>
      </x:c>
      <x:c r="F6" s="60" t="str">
        <x:v>✅</x:v>
      </x:c>
      <x:c r="G6" s="60" t="str">
        <x:v>✅</x:v>
      </x:c>
      <x:c r="H6" s="60" t="str">
        <x:v>✅</x:v>
      </x:c>
      <x:c r="I6" s="60" t="str">
        <x:v>✅</x:v>
      </x:c>
      <x:c r="J6" s="60" t="str">
        <x:v>◐</x:v>
      </x:c>
      <x:c r="K6" s="60" t="str">
        <x:v>✅</x:v>
      </x:c>
      <x:c r="L6" s="60" t="str">
        <x:v>✖</x:v>
      </x:c>
      <x:c r="M6" s="60" t="str">
        <x:v>✅</x:v>
      </x:c>
      <x:c r="N6" s="60" t="str">
        <x:v>✅</x:v>
      </x:c>
      <x:c r="O6" s="60" t="str">
        <x:v>✅</x:v>
      </x:c>
      <x:c r="P6" s="60" t="str">
        <x:v>✅</x:v>
      </x:c>
      <x:c r="Q6" s="60" t="str">
        <x:v>✅</x:v>
      </x:c>
      <x:c r="R6" s="60" t="str">
        <x:v>✅</x:v>
      </x:c>
      <x:c r="S6" s="60" t="str">
        <x:v>✅</x:v>
      </x:c>
      <x:c r="T6" s="60" t="str">
        <x:v>⚠</x:v>
      </x:c>
      <x:c r="U6" s="60" t="str">
        <x:v>✅</x:v>
      </x:c>
      <x:c r="V6" s="60" t="str">
        <x:v>✅</x:v>
      </x:c>
      <x:c r="W6" s="60" t="str">
        <x:v>✅</x:v>
      </x:c>
      <x:c r="X6" s="60" t="str">
        <x:v>✅</x:v>
      </x:c>
      <x:c r="Y6" s="60" t="str">
        <x:v>⚠</x:v>
      </x:c>
      <x:c r="Z6" s="60" t="str">
        <x:v>✅</x:v>
      </x:c>
      <x:c r="AA6" s="60" t="str">
        <x:v>◐</x:v>
      </x:c>
      <x:c r="AB6" s="29" t="str">
        <x:v>◐</x:v>
      </x:c>
      <x:c r="AC6" s="279" t="str">
        <x:v>◐</x:v>
      </x:c>
    </x:row>
    <x:row r="7">
      <x:c r="A7" s="789" t="str">
        <x:v>Wurzel Complex</x:v>
      </x:c>
      <x:c r="B7" s="60" t="str">
        <x:v>✅</x:v>
      </x:c>
      <x:c r="C7" s="60" t="str">
        <x:v>✅</x:v>
      </x:c>
      <x:c r="D7" s="60" t="str">
        <x:v>✅</x:v>
      </x:c>
      <x:c r="E7" s="60" t="str">
        <x:v>—</x:v>
      </x:c>
      <x:c r="F7" s="60" t="str">
        <x:v>✅</x:v>
      </x:c>
      <x:c r="G7" s="60" t="str">
        <x:v>✅</x:v>
      </x:c>
      <x:c r="H7" s="60" t="str">
        <x:v>✅</x:v>
      </x:c>
      <x:c r="I7" s="60" t="str">
        <x:v>✅</x:v>
      </x:c>
      <x:c r="J7" s="60" t="str">
        <x:v>✅</x:v>
      </x:c>
      <x:c r="K7" s="60" t="str">
        <x:v>✅</x:v>
      </x:c>
      <x:c r="L7" s="60" t="str">
        <x:v>⚠</x:v>
      </x:c>
      <x:c r="M7" s="60" t="str">
        <x:v>🧪</x:v>
      </x:c>
      <x:c r="N7" s="60" t="str">
        <x:v>🧪</x:v>
      </x:c>
      <x:c r="O7" s="60" t="str">
        <x:v>🧪</x:v>
      </x:c>
      <x:c r="P7" s="60" t="str">
        <x:v>✅</x:v>
      </x:c>
      <x:c r="Q7" s="60" t="str">
        <x:v>✅</x:v>
      </x:c>
      <x:c r="R7" s="60" t="str">
        <x:v>✅</x:v>
      </x:c>
      <x:c r="S7" s="60" t="str">
        <x:v>✅</x:v>
      </x:c>
      <x:c r="T7" s="60" t="str">
        <x:v>✅</x:v>
      </x:c>
      <x:c r="U7" s="60" t="str">
        <x:v>✅</x:v>
      </x:c>
      <x:c r="V7" s="60" t="str">
        <x:v>✅</x:v>
      </x:c>
      <x:c r="W7" s="60" t="str">
        <x:v>✅</x:v>
      </x:c>
      <x:c r="X7" s="60" t="str">
        <x:v>✅</x:v>
      </x:c>
      <x:c r="Y7" s="60" t="str">
        <x:v>✅</x:v>
      </x:c>
      <x:c r="Z7" s="60" t="str">
        <x:v>✅</x:v>
      </x:c>
      <x:c r="AA7" s="60" t="str">
        <x:v>◐</x:v>
      </x:c>
      <x:c r="AB7" s="29" t="str">
        <x:v>◐</x:v>
      </x:c>
      <x:c r="AC7" s="279" t="str">
        <x:v>◐</x:v>
      </x:c>
    </x:row>
    <x:row r="8">
      <x:c r="A8" s="789" t="str">
        <x:v>PowerZyme</x:v>
      </x:c>
      <x:c r="B8" s="60" t="str">
        <x:v>✅</x:v>
      </x:c>
      <x:c r="C8" s="60" t="str">
        <x:v>✅</x:v>
      </x:c>
      <x:c r="D8" s="60" t="str">
        <x:v>✅</x:v>
      </x:c>
      <x:c r="E8" s="60" t="str">
        <x:v>✅</x:v>
      </x:c>
      <x:c r="F8" s="60" t="str">
        <x:v>—</x:v>
      </x:c>
      <x:c r="G8" s="60" t="str">
        <x:v>✅</x:v>
      </x:c>
      <x:c r="H8" s="60" t="str">
        <x:v>✅</x:v>
      </x:c>
      <x:c r="I8" s="60" t="str">
        <x:v>✅</x:v>
      </x:c>
      <x:c r="J8" s="60" t="str">
        <x:v>✅</x:v>
      </x:c>
      <x:c r="K8" s="60" t="str">
        <x:v>✅</x:v>
      </x:c>
      <x:c r="L8" s="60" t="str">
        <x:v>⚠</x:v>
      </x:c>
      <x:c r="M8" s="60" t="str">
        <x:v>✅</x:v>
      </x:c>
      <x:c r="N8" s="60" t="str">
        <x:v>✅</x:v>
      </x:c>
      <x:c r="O8" s="60" t="str">
        <x:v>✅</x:v>
      </x:c>
      <x:c r="P8" s="60" t="str">
        <x:v>✅</x:v>
      </x:c>
      <x:c r="Q8" s="60" t="str">
        <x:v>✅</x:v>
      </x:c>
      <x:c r="R8" s="60" t="str">
        <x:v>R</x:v>
      </x:c>
      <x:c r="S8" s="60" t="str">
        <x:v>✅</x:v>
      </x:c>
      <x:c r="T8" s="60" t="str">
        <x:v>✅</x:v>
      </x:c>
      <x:c r="U8" s="60" t="str">
        <x:v>✅</x:v>
      </x:c>
      <x:c r="V8" s="60" t="str">
        <x:v>✅</x:v>
      </x:c>
      <x:c r="W8" s="60" t="str">
        <x:v>✅</x:v>
      </x:c>
      <x:c r="X8" s="60" t="str">
        <x:v>✅</x:v>
      </x:c>
      <x:c r="Y8" s="60" t="str">
        <x:v>✅</x:v>
      </x:c>
      <x:c r="Z8" s="60" t="str">
        <x:v>✅</x:v>
      </x:c>
      <x:c r="AA8" s="60" t="str">
        <x:v>◐</x:v>
      </x:c>
      <x:c r="AB8" s="29" t="str">
        <x:v>◐</x:v>
      </x:c>
      <x:c r="AC8" s="279" t="str">
        <x:v>◐</x:v>
      </x:c>
    </x:row>
    <x:row r="9">
      <x:c r="A9" s="789" t="str">
        <x:v>SuperVit</x:v>
      </x:c>
      <x:c r="B9" s="60" t="str">
        <x:v>✅</x:v>
      </x:c>
      <x:c r="C9" s="60" t="str">
        <x:v>✅</x:v>
      </x:c>
      <x:c r="D9" s="60" t="str">
        <x:v>✅</x:v>
      </x:c>
      <x:c r="E9" s="60" t="str">
        <x:v>✅</x:v>
      </x:c>
      <x:c r="F9" s="60" t="str">
        <x:v>✅</x:v>
      </x:c>
      <x:c r="G9" s="60" t="str">
        <x:v>—</x:v>
      </x:c>
      <x:c r="H9" s="60" t="str">
        <x:v>✅</x:v>
      </x:c>
      <x:c r="I9" s="60" t="str">
        <x:v>✅</x:v>
      </x:c>
      <x:c r="J9" s="60" t="str">
        <x:v>✅</x:v>
      </x:c>
      <x:c r="K9" s="60" t="str">
        <x:v>✅</x:v>
      </x:c>
      <x:c r="L9" s="60" t="str">
        <x:v>⚠</x:v>
      </x:c>
      <x:c r="M9" s="60" t="str">
        <x:v>✅</x:v>
      </x:c>
      <x:c r="N9" s="60" t="str">
        <x:v>✅</x:v>
      </x:c>
      <x:c r="O9" s="60" t="str">
        <x:v>✅</x:v>
      </x:c>
      <x:c r="P9" s="60" t="str">
        <x:v>✅</x:v>
      </x:c>
      <x:c r="Q9" s="60" t="str">
        <x:v>✅</x:v>
      </x:c>
      <x:c r="R9" s="60" t="str">
        <x:v>✅</x:v>
      </x:c>
      <x:c r="S9" s="60" t="str">
        <x:v>✅</x:v>
      </x:c>
      <x:c r="T9" s="60" t="str">
        <x:v>✅</x:v>
      </x:c>
      <x:c r="U9" s="60" t="str">
        <x:v>✅</x:v>
      </x:c>
      <x:c r="V9" s="60" t="str">
        <x:v>✅</x:v>
      </x:c>
      <x:c r="W9" s="60" t="str">
        <x:v>✅</x:v>
      </x:c>
      <x:c r="X9" s="60" t="str">
        <x:v>✅</x:v>
      </x:c>
      <x:c r="Y9" s="60" t="str">
        <x:v>✅</x:v>
      </x:c>
      <x:c r="Z9" s="60" t="str">
        <x:v>✅</x:v>
      </x:c>
      <x:c r="AA9" s="60" t="str">
        <x:v>◐</x:v>
      </x:c>
      <x:c r="AB9" s="29" t="str">
        <x:v>◐</x:v>
      </x:c>
      <x:c r="AC9" s="279" t="str">
        <x:v>◐</x:v>
      </x:c>
    </x:row>
    <x:row r="10">
      <x:c r="A10" s="789" t="str">
        <x:v>HESI Boost</x:v>
      </x:c>
      <x:c r="B10" s="60" t="str">
        <x:v>✅</x:v>
      </x:c>
      <x:c r="C10" s="60" t="str">
        <x:v>✅</x:v>
      </x:c>
      <x:c r="D10" s="60" t="str">
        <x:v>✅</x:v>
      </x:c>
      <x:c r="E10" s="60" t="str">
        <x:v>✅</x:v>
      </x:c>
      <x:c r="F10" s="60" t="str">
        <x:v>✅</x:v>
      </x:c>
      <x:c r="G10" s="60" t="str">
        <x:v>✅</x:v>
      </x:c>
      <x:c r="H10" s="60" t="str">
        <x:v>—</x:v>
      </x:c>
      <x:c r="I10" s="60" t="str">
        <x:v>✅</x:v>
      </x:c>
      <x:c r="J10" s="60" t="str">
        <x:v>✅</x:v>
      </x:c>
      <x:c r="K10" s="60" t="str">
        <x:v>✅</x:v>
      </x:c>
      <x:c r="L10" s="60" t="str">
        <x:v>⚠</x:v>
      </x:c>
      <x:c r="M10" s="60" t="str">
        <x:v>T</x:v>
      </x:c>
      <x:c r="N10" s="60" t="str">
        <x:v>T</x:v>
      </x:c>
      <x:c r="O10" s="60" t="str">
        <x:v>T</x:v>
      </x:c>
      <x:c r="P10" s="60" t="str">
        <x:v>✅</x:v>
      </x:c>
      <x:c r="Q10" s="60" t="str">
        <x:v>✅</x:v>
      </x:c>
      <x:c r="R10" s="60" t="str">
        <x:v>✅</x:v>
      </x:c>
      <x:c r="S10" s="60" t="str">
        <x:v>✅</x:v>
      </x:c>
      <x:c r="T10" s="60" t="str">
        <x:v>✅</x:v>
      </x:c>
      <x:c r="U10" s="60" t="str">
        <x:v>✅</x:v>
      </x:c>
      <x:c r="V10" s="60" t="str">
        <x:v>✅</x:v>
      </x:c>
      <x:c r="W10" s="60" t="str">
        <x:v>R</x:v>
      </x:c>
      <x:c r="X10" s="60" t="str">
        <x:v>R</x:v>
      </x:c>
      <x:c r="Y10" s="60" t="str">
        <x:v>✅</x:v>
      </x:c>
      <x:c r="Z10" s="60" t="str">
        <x:v>✅</x:v>
      </x:c>
      <x:c r="AA10" s="60" t="str">
        <x:v>◐</x:v>
      </x:c>
      <x:c r="AB10" s="29" t="str">
        <x:v>◐</x:v>
      </x:c>
      <x:c r="AC10" s="279" t="str">
        <x:v>◐</x:v>
      </x:c>
    </x:row>
    <x:row r="11">
      <x:c r="A11" s="789" t="str">
        <x:v>PK 13/14</x:v>
      </x:c>
      <x:c r="B11" s="60" t="str">
        <x:v>✅</x:v>
      </x:c>
      <x:c r="C11" s="60" t="str">
        <x:v>✅</x:v>
      </x:c>
      <x:c r="D11" s="60" t="str">
        <x:v>✅</x:v>
      </x:c>
      <x:c r="E11" s="60" t="str">
        <x:v>✅</x:v>
      </x:c>
      <x:c r="F11" s="60" t="str">
        <x:v>✅</x:v>
      </x:c>
      <x:c r="G11" s="60" t="str">
        <x:v>✅</x:v>
      </x:c>
      <x:c r="H11" s="60" t="str">
        <x:v>✅</x:v>
      </x:c>
      <x:c r="I11" s="60" t="str">
        <x:v>—</x:v>
      </x:c>
      <x:c r="J11" s="60" t="str">
        <x:v>✅</x:v>
      </x:c>
      <x:c r="K11" s="60" t="str">
        <x:v>✅</x:v>
      </x:c>
      <x:c r="L11" s="60" t="str">
        <x:v>⚠</x:v>
      </x:c>
      <x:c r="M11" s="60" t="str">
        <x:v>✅</x:v>
      </x:c>
      <x:c r="N11" s="60" t="str">
        <x:v>✅</x:v>
      </x:c>
      <x:c r="O11" s="60" t="str">
        <x:v>✅</x:v>
      </x:c>
      <x:c r="P11" s="60" t="str">
        <x:v>✅</x:v>
      </x:c>
      <x:c r="Q11" s="60" t="str">
        <x:v>✅</x:v>
      </x:c>
      <x:c r="R11" s="60" t="str">
        <x:v>✅</x:v>
      </x:c>
      <x:c r="S11" s="60" t="str">
        <x:v>⚠</x:v>
      </x:c>
      <x:c r="T11" s="60" t="str">
        <x:v>⚠</x:v>
      </x:c>
      <x:c r="U11" s="60" t="str">
        <x:v>⚠</x:v>
      </x:c>
      <x:c r="V11" s="60" t="str">
        <x:v>⚠</x:v>
      </x:c>
      <x:c r="W11" s="60" t="str">
        <x:v>✅</x:v>
      </x:c>
      <x:c r="X11" s="60" t="str">
        <x:v>✅</x:v>
      </x:c>
      <x:c r="Y11" s="60" t="str">
        <x:v>✅</x:v>
      </x:c>
      <x:c r="Z11" s="60" t="str">
        <x:v>✅</x:v>
      </x:c>
      <x:c r="AA11" s="60" t="str">
        <x:v>◐</x:v>
      </x:c>
      <x:c r="AB11" s="29" t="str">
        <x:v>◐</x:v>
      </x:c>
      <x:c r="AC11" s="279" t="str">
        <x:v>⚠</x:v>
      </x:c>
    </x:row>
    <x:row r="12">
      <x:c r="A12" s="789" t="str">
        <x:v>HESI CalMag</x:v>
      </x:c>
      <x:c r="B12" s="60" t="str">
        <x:v>✅</x:v>
      </x:c>
      <x:c r="C12" s="60" t="str">
        <x:v>✅</x:v>
      </x:c>
      <x:c r="D12" s="60" t="str">
        <x:v>◐</x:v>
      </x:c>
      <x:c r="E12" s="60" t="str">
        <x:v>✅</x:v>
      </x:c>
      <x:c r="F12" s="60" t="str">
        <x:v>✅</x:v>
      </x:c>
      <x:c r="G12" s="60" t="str">
        <x:v>✅</x:v>
      </x:c>
      <x:c r="H12" s="60" t="str">
        <x:v>✅</x:v>
      </x:c>
      <x:c r="I12" s="60" t="str">
        <x:v>✅</x:v>
      </x:c>
      <x:c r="J12" s="60" t="str">
        <x:v>—</x:v>
      </x:c>
      <x:c r="K12" s="60" t="str">
        <x:v>✅</x:v>
      </x:c>
      <x:c r="L12" s="60" t="str">
        <x:v>⚠</x:v>
      </x:c>
      <x:c r="M12" s="60" t="str">
        <x:v>✅</x:v>
      </x:c>
      <x:c r="N12" s="60" t="str">
        <x:v>✅</x:v>
      </x:c>
      <x:c r="O12" s="60" t="str">
        <x:v>✅</x:v>
      </x:c>
      <x:c r="P12" s="60" t="str">
        <x:v>✅</x:v>
      </x:c>
      <x:c r="Q12" s="60" t="str">
        <x:v>✅</x:v>
      </x:c>
      <x:c r="R12" s="60" t="str">
        <x:v>✅</x:v>
      </x:c>
      <x:c r="S12" s="60" t="str">
        <x:v>✅</x:v>
      </x:c>
      <x:c r="T12" s="60" t="str">
        <x:v>✅</x:v>
      </x:c>
      <x:c r="U12" s="60" t="str">
        <x:v>✅</x:v>
      </x:c>
      <x:c r="V12" s="60" t="str">
        <x:v>✅</x:v>
      </x:c>
      <x:c r="W12" s="60" t="str">
        <x:v>✅</x:v>
      </x:c>
      <x:c r="X12" s="60" t="str">
        <x:v>✅</x:v>
      </x:c>
      <x:c r="Y12" s="60" t="str">
        <x:v>R</x:v>
      </x:c>
      <x:c r="Z12" s="60" t="str">
        <x:v>✅</x:v>
      </x:c>
      <x:c r="AA12" s="60" t="str">
        <x:v>◐</x:v>
      </x:c>
      <x:c r="AB12" s="29" t="str">
        <x:v>◐</x:v>
      </x:c>
      <x:c r="AC12" s="279" t="str">
        <x:v>◐</x:v>
      </x:c>
    </x:row>
    <x:row r="13">
      <x:c r="A13" s="789" t="str">
        <x:v>Hesilicio</x:v>
      </x:c>
      <x:c r="B13" s="60" t="str">
        <x:v>✅</x:v>
      </x:c>
      <x:c r="C13" s="60" t="str">
        <x:v>✅</x:v>
      </x:c>
      <x:c r="D13" s="60" t="str">
        <x:v>✅</x:v>
      </x:c>
      <x:c r="E13" s="60" t="str">
        <x:v>✅</x:v>
      </x:c>
      <x:c r="F13" s="60" t="str">
        <x:v>✅</x:v>
      </x:c>
      <x:c r="G13" s="60" t="str">
        <x:v>✅</x:v>
      </x:c>
      <x:c r="H13" s="60" t="str">
        <x:v>✅</x:v>
      </x:c>
      <x:c r="I13" s="60" t="str">
        <x:v>✅</x:v>
      </x:c>
      <x:c r="J13" s="60" t="str">
        <x:v>✅</x:v>
      </x:c>
      <x:c r="K13" s="60" t="str">
        <x:v>—</x:v>
      </x:c>
      <x:c r="L13" s="60" t="str">
        <x:v>⚠</x:v>
      </x:c>
      <x:c r="M13" s="60" t="str">
        <x:v>✅</x:v>
      </x:c>
      <x:c r="N13" s="60" t="str">
        <x:v>✅</x:v>
      </x:c>
      <x:c r="O13" s="60" t="str">
        <x:v>✅</x:v>
      </x:c>
      <x:c r="P13" s="60" t="str">
        <x:v>✅</x:v>
      </x:c>
      <x:c r="Q13" s="60" t="str">
        <x:v>R</x:v>
      </x:c>
      <x:c r="R13" s="60" t="str">
        <x:v>✅</x:v>
      </x:c>
      <x:c r="S13" s="60" t="str">
        <x:v>✅</x:v>
      </x:c>
      <x:c r="T13" s="60" t="str">
        <x:v>✅</x:v>
      </x:c>
      <x:c r="U13" s="60" t="str">
        <x:v>✅</x:v>
      </x:c>
      <x:c r="V13" s="60" t="str">
        <x:v>✅</x:v>
      </x:c>
      <x:c r="W13" s="60" t="str">
        <x:v>✅</x:v>
      </x:c>
      <x:c r="X13" s="60" t="str">
        <x:v>✅</x:v>
      </x:c>
      <x:c r="Y13" s="60" t="str">
        <x:v>✅</x:v>
      </x:c>
      <x:c r="Z13" s="60" t="str">
        <x:v>✅</x:v>
      </x:c>
      <x:c r="AA13" s="60" t="str">
        <x:v>◐</x:v>
      </x:c>
      <x:c r="AB13" s="29" t="str">
        <x:v>◐</x:v>
      </x:c>
      <x:c r="AC13" s="279" t="str">
        <x:v>R</x:v>
      </x:c>
    </x:row>
    <x:row r="14">
      <x:c r="A14" s="789" t="str">
        <x:v>pH Perfect Sensi Coco</x:v>
      </x:c>
      <x:c r="B14" s="60" t="str">
        <x:v>✅</x:v>
      </x:c>
      <x:c r="C14" s="60" t="str">
        <x:v>✖</x:v>
      </x:c>
      <x:c r="D14" s="60" t="str">
        <x:v>✖</x:v>
      </x:c>
      <x:c r="E14" s="60" t="str">
        <x:v>⚠</x:v>
      </x:c>
      <x:c r="F14" s="60" t="str">
        <x:v>⚠</x:v>
      </x:c>
      <x:c r="G14" s="60" t="str">
        <x:v>⚠</x:v>
      </x:c>
      <x:c r="H14" s="60" t="str">
        <x:v>⚠</x:v>
      </x:c>
      <x:c r="I14" s="60" t="str">
        <x:v>⚠</x:v>
      </x:c>
      <x:c r="J14" s="60" t="str">
        <x:v>⚠</x:v>
      </x:c>
      <x:c r="K14" s="60" t="str">
        <x:v>⚠</x:v>
      </x:c>
      <x:c r="L14" s="60" t="str">
        <x:v>—</x:v>
      </x:c>
      <x:c r="M14" s="60" t="str">
        <x:v>✅</x:v>
      </x:c>
      <x:c r="N14" s="60" t="str">
        <x:v>✅</x:v>
      </x:c>
      <x:c r="O14" s="60" t="str">
        <x:v>✅</x:v>
      </x:c>
      <x:c r="P14" s="60" t="str">
        <x:v>✅</x:v>
      </x:c>
      <x:c r="Q14" s="60" t="str">
        <x:v>✅</x:v>
      </x:c>
      <x:c r="R14" s="60" t="str">
        <x:v>✅</x:v>
      </x:c>
      <x:c r="S14" s="60" t="str">
        <x:v>✅</x:v>
      </x:c>
      <x:c r="T14" s="60" t="str">
        <x:v>✅</x:v>
      </x:c>
      <x:c r="U14" s="60" t="str">
        <x:v>✅</x:v>
      </x:c>
      <x:c r="V14" s="60" t="str">
        <x:v>✅</x:v>
      </x:c>
      <x:c r="W14" s="60" t="str">
        <x:v>✅</x:v>
      </x:c>
      <x:c r="X14" s="60" t="str">
        <x:v>✅</x:v>
      </x:c>
      <x:c r="Y14" s="60" t="str">
        <x:v>✅</x:v>
      </x:c>
      <x:c r="Z14" s="60" t="str">
        <x:v>✅</x:v>
      </x:c>
      <x:c r="AA14" s="60" t="str">
        <x:v>⚠</x:v>
      </x:c>
      <x:c r="AB14" s="29" t="str">
        <x:v>⚠</x:v>
      </x:c>
      <x:c r="AC14" s="279" t="str">
        <x:v>⚠</x:v>
      </x:c>
    </x:row>
    <x:row r="15">
      <x:c r="A15" s="789" t="str">
        <x:v>Voodoo</x:v>
      </x:c>
      <x:c r="B15" s="60" t="str">
        <x:v>🧪</x:v>
      </x:c>
      <x:c r="C15" s="60" t="str">
        <x:v>✅</x:v>
      </x:c>
      <x:c r="D15" s="60" t="str">
        <x:v>✅</x:v>
      </x:c>
      <x:c r="E15" s="60" t="str">
        <x:v>🧪</x:v>
      </x:c>
      <x:c r="F15" s="60" t="str">
        <x:v>✅</x:v>
      </x:c>
      <x:c r="G15" s="60" t="str">
        <x:v>✅</x:v>
      </x:c>
      <x:c r="H15" s="60" t="str">
        <x:v>T</x:v>
      </x:c>
      <x:c r="I15" s="60" t="str">
        <x:v>✅</x:v>
      </x:c>
      <x:c r="J15" s="60" t="str">
        <x:v>✅</x:v>
      </x:c>
      <x:c r="K15" s="60" t="str">
        <x:v>✅</x:v>
      </x:c>
      <x:c r="L15" s="60" t="str">
        <x:v>✅</x:v>
      </x:c>
      <x:c r="M15" s="60" t="str">
        <x:v>—</x:v>
      </x:c>
      <x:c r="N15" s="60" t="str">
        <x:v>🧪</x:v>
      </x:c>
      <x:c r="O15" s="60" t="str">
        <x:v>🧪</x:v>
      </x:c>
      <x:c r="P15" s="60" t="str">
        <x:v>✅</x:v>
      </x:c>
      <x:c r="Q15" s="60" t="str">
        <x:v>✅</x:v>
      </x:c>
      <x:c r="R15" s="60" t="str">
        <x:v>✅</x:v>
      </x:c>
      <x:c r="S15" s="60" t="str">
        <x:v>✅</x:v>
      </x:c>
      <x:c r="T15" s="60" t="str">
        <x:v>✅</x:v>
      </x:c>
      <x:c r="U15" s="60" t="str">
        <x:v>✅</x:v>
      </x:c>
      <x:c r="V15" s="60" t="str">
        <x:v>✅</x:v>
      </x:c>
      <x:c r="W15" s="60" t="str">
        <x:v>T</x:v>
      </x:c>
      <x:c r="X15" s="60" t="str">
        <x:v>T</x:v>
      </x:c>
      <x:c r="Y15" s="60" t="str">
        <x:v>✅</x:v>
      </x:c>
      <x:c r="Z15" s="60" t="str">
        <x:v>✖</x:v>
      </x:c>
      <x:c r="AA15" s="60" t="str">
        <x:v>◐</x:v>
      </x:c>
      <x:c r="AB15" s="29" t="str">
        <x:v>◐</x:v>
      </x:c>
      <x:c r="AC15" s="279" t="str">
        <x:v>◐</x:v>
      </x:c>
    </x:row>
    <x:row r="16">
      <x:c r="A16" s="789" t="str">
        <x:v>Piranha</x:v>
      </x:c>
      <x:c r="B16" s="60" t="str">
        <x:v>R</x:v>
      </x:c>
      <x:c r="C16" s="60" t="str">
        <x:v>✅</x:v>
      </x:c>
      <x:c r="D16" s="60" t="str">
        <x:v>✅</x:v>
      </x:c>
      <x:c r="E16" s="60" t="str">
        <x:v>🧪</x:v>
      </x:c>
      <x:c r="F16" s="60" t="str">
        <x:v>✅</x:v>
      </x:c>
      <x:c r="G16" s="60" t="str">
        <x:v>✅</x:v>
      </x:c>
      <x:c r="H16" s="60" t="str">
        <x:v>T</x:v>
      </x:c>
      <x:c r="I16" s="60" t="str">
        <x:v>✅</x:v>
      </x:c>
      <x:c r="J16" s="60" t="str">
        <x:v>✅</x:v>
      </x:c>
      <x:c r="K16" s="60" t="str">
        <x:v>✅</x:v>
      </x:c>
      <x:c r="L16" s="60" t="str">
        <x:v>✅</x:v>
      </x:c>
      <x:c r="M16" s="60" t="str">
        <x:v>🧪</x:v>
      </x:c>
      <x:c r="N16" s="60" t="str">
        <x:v>—</x:v>
      </x:c>
      <x:c r="O16" s="60" t="str">
        <x:v>🧪</x:v>
      </x:c>
      <x:c r="P16" s="60" t="str">
        <x:v>✅</x:v>
      </x:c>
      <x:c r="Q16" s="60" t="str">
        <x:v>✅</x:v>
      </x:c>
      <x:c r="R16" s="60" t="str">
        <x:v>✅</x:v>
      </x:c>
      <x:c r="S16" s="60" t="str">
        <x:v>✅</x:v>
      </x:c>
      <x:c r="T16" s="60" t="str">
        <x:v>✅</x:v>
      </x:c>
      <x:c r="U16" s="60" t="str">
        <x:v>✅</x:v>
      </x:c>
      <x:c r="V16" s="60" t="str">
        <x:v>✅</x:v>
      </x:c>
      <x:c r="W16" s="60" t="str">
        <x:v>T</x:v>
      </x:c>
      <x:c r="X16" s="60" t="str">
        <x:v>T</x:v>
      </x:c>
      <x:c r="Y16" s="60" t="str">
        <x:v>✅</x:v>
      </x:c>
      <x:c r="Z16" s="60" t="str">
        <x:v>✖</x:v>
      </x:c>
      <x:c r="AA16" s="60" t="str">
        <x:v>◐</x:v>
      </x:c>
      <x:c r="AB16" s="29" t="str">
        <x:v>◐</x:v>
      </x:c>
      <x:c r="AC16" s="279" t="str">
        <x:v>◐</x:v>
      </x:c>
    </x:row>
    <x:row r="17">
      <x:c r="A17" s="789" t="str">
        <x:v>Tarantula</x:v>
      </x:c>
      <x:c r="B17" s="60" t="str">
        <x:v>🧪</x:v>
      </x:c>
      <x:c r="C17" s="60" t="str">
        <x:v>✅</x:v>
      </x:c>
      <x:c r="D17" s="60" t="str">
        <x:v>✅</x:v>
      </x:c>
      <x:c r="E17" s="60" t="str">
        <x:v>🧪</x:v>
      </x:c>
      <x:c r="F17" s="60" t="str">
        <x:v>✅</x:v>
      </x:c>
      <x:c r="G17" s="60" t="str">
        <x:v>✅</x:v>
      </x:c>
      <x:c r="H17" s="60" t="str">
        <x:v>T</x:v>
      </x:c>
      <x:c r="I17" s="60" t="str">
        <x:v>✅</x:v>
      </x:c>
      <x:c r="J17" s="60" t="str">
        <x:v>✅</x:v>
      </x:c>
      <x:c r="K17" s="60" t="str">
        <x:v>✅</x:v>
      </x:c>
      <x:c r="L17" s="60" t="str">
        <x:v>✅</x:v>
      </x:c>
      <x:c r="M17" s="60" t="str">
        <x:v>🧪</x:v>
      </x:c>
      <x:c r="N17" s="60" t="str">
        <x:v>🧪</x:v>
      </x:c>
      <x:c r="O17" s="60" t="str">
        <x:v>—</x:v>
      </x:c>
      <x:c r="P17" s="60" t="str">
        <x:v>✅</x:v>
      </x:c>
      <x:c r="Q17" s="60" t="str">
        <x:v>✅</x:v>
      </x:c>
      <x:c r="R17" s="60" t="str">
        <x:v>✅</x:v>
      </x:c>
      <x:c r="S17" s="60" t="str">
        <x:v>✅</x:v>
      </x:c>
      <x:c r="T17" s="60" t="str">
        <x:v>✅</x:v>
      </x:c>
      <x:c r="U17" s="60" t="str">
        <x:v>✅</x:v>
      </x:c>
      <x:c r="V17" s="60" t="str">
        <x:v>✅</x:v>
      </x:c>
      <x:c r="W17" s="60" t="str">
        <x:v>T</x:v>
      </x:c>
      <x:c r="X17" s="60" t="str">
        <x:v>T</x:v>
      </x:c>
      <x:c r="Y17" s="60" t="str">
        <x:v>✅</x:v>
      </x:c>
      <x:c r="Z17" s="60" t="str">
        <x:v>✖</x:v>
      </x:c>
      <x:c r="AA17" s="60" t="str">
        <x:v>◐</x:v>
      </x:c>
      <x:c r="AB17" s="29" t="str">
        <x:v>◐</x:v>
      </x:c>
      <x:c r="AC17" s="279" t="str">
        <x:v>◐</x:v>
      </x:c>
    </x:row>
    <x:row r="18">
      <x:c r="A18" s="789" t="str">
        <x:v>B-52</x:v>
      </x:c>
      <x:c r="B18" s="60" t="str">
        <x:v>✅</x:v>
      </x:c>
      <x:c r="C18" s="60" t="str">
        <x:v>✅</x:v>
      </x:c>
      <x:c r="D18" s="60" t="str">
        <x:v>✅</x:v>
      </x:c>
      <x:c r="E18" s="60" t="str">
        <x:v>✅</x:v>
      </x:c>
      <x:c r="F18" s="60" t="str">
        <x:v>✅</x:v>
      </x:c>
      <x:c r="G18" s="60" t="str">
        <x:v>✅</x:v>
      </x:c>
      <x:c r="H18" s="60" t="str">
        <x:v>✅</x:v>
      </x:c>
      <x:c r="I18" s="60" t="str">
        <x:v>✅</x:v>
      </x:c>
      <x:c r="J18" s="60" t="str">
        <x:v>✅</x:v>
      </x:c>
      <x:c r="K18" s="60" t="str">
        <x:v>✅</x:v>
      </x:c>
      <x:c r="L18" s="60" t="str">
        <x:v>✅</x:v>
      </x:c>
      <x:c r="M18" s="60" t="str">
        <x:v>✅</x:v>
      </x:c>
      <x:c r="N18" s="60" t="str">
        <x:v>✅</x:v>
      </x:c>
      <x:c r="O18" s="60" t="str">
        <x:v>✅</x:v>
      </x:c>
      <x:c r="P18" s="60" t="str">
        <x:v>—</x:v>
      </x:c>
      <x:c r="Q18" s="60" t="str">
        <x:v>✅</x:v>
      </x:c>
      <x:c r="R18" s="60" t="str">
        <x:v>✅</x:v>
      </x:c>
      <x:c r="S18" s="60" t="str">
        <x:v>✅</x:v>
      </x:c>
      <x:c r="T18" s="60" t="str">
        <x:v>✅</x:v>
      </x:c>
      <x:c r="U18" s="60" t="str">
        <x:v>✅</x:v>
      </x:c>
      <x:c r="V18" s="60" t="str">
        <x:v>✅</x:v>
      </x:c>
      <x:c r="W18" s="60" t="str">
        <x:v>✅</x:v>
      </x:c>
      <x:c r="X18" s="60" t="str">
        <x:v>✅</x:v>
      </x:c>
      <x:c r="Y18" s="60" t="str">
        <x:v>✅</x:v>
      </x:c>
      <x:c r="Z18" s="60" t="str">
        <x:v>✅</x:v>
      </x:c>
      <x:c r="AA18" s="60" t="str">
        <x:v>◐</x:v>
      </x:c>
      <x:c r="AB18" s="29" t="str">
        <x:v>◐</x:v>
      </x:c>
      <x:c r="AC18" s="279" t="str">
        <x:v>◐</x:v>
      </x:c>
    </x:row>
    <x:row r="19">
      <x:c r="A19" s="789" t="str">
        <x:v>Rhino Skin</x:v>
      </x:c>
      <x:c r="B19" s="60" t="str">
        <x:v>✅</x:v>
      </x:c>
      <x:c r="C19" s="60" t="str">
        <x:v>✅</x:v>
      </x:c>
      <x:c r="D19" s="60" t="str">
        <x:v>✅</x:v>
      </x:c>
      <x:c r="E19" s="60" t="str">
        <x:v>✅</x:v>
      </x:c>
      <x:c r="F19" s="60" t="str">
        <x:v>✅</x:v>
      </x:c>
      <x:c r="G19" s="60" t="str">
        <x:v>✅</x:v>
      </x:c>
      <x:c r="H19" s="60" t="str">
        <x:v>✅</x:v>
      </x:c>
      <x:c r="I19" s="60" t="str">
        <x:v>✅</x:v>
      </x:c>
      <x:c r="J19" s="60" t="str">
        <x:v>✅</x:v>
      </x:c>
      <x:c r="K19" s="60" t="str">
        <x:v>R</x:v>
      </x:c>
      <x:c r="L19" s="60" t="str">
        <x:v>✅</x:v>
      </x:c>
      <x:c r="M19" s="60" t="str">
        <x:v>✅</x:v>
      </x:c>
      <x:c r="N19" s="60" t="str">
        <x:v>✅</x:v>
      </x:c>
      <x:c r="O19" s="60" t="str">
        <x:v>✅</x:v>
      </x:c>
      <x:c r="P19" s="60" t="str">
        <x:v>✅</x:v>
      </x:c>
      <x:c r="Q19" s="60" t="str">
        <x:v>—</x:v>
      </x:c>
      <x:c r="R19" s="60" t="str">
        <x:v>✅</x:v>
      </x:c>
      <x:c r="S19" s="60" t="str">
        <x:v>✅</x:v>
      </x:c>
      <x:c r="T19" s="60" t="str">
        <x:v>✅</x:v>
      </x:c>
      <x:c r="U19" s="60" t="str">
        <x:v>✅</x:v>
      </x:c>
      <x:c r="V19" s="60" t="str">
        <x:v>✅</x:v>
      </x:c>
      <x:c r="W19" s="60" t="str">
        <x:v>✅</x:v>
      </x:c>
      <x:c r="X19" s="60" t="str">
        <x:v>✅</x:v>
      </x:c>
      <x:c r="Y19" s="60" t="str">
        <x:v>✅</x:v>
      </x:c>
      <x:c r="Z19" s="60" t="str">
        <x:v>✅</x:v>
      </x:c>
      <x:c r="AA19" s="60" t="str">
        <x:v>◐</x:v>
      </x:c>
      <x:c r="AB19" s="29" t="str">
        <x:v>◐</x:v>
      </x:c>
      <x:c r="AC19" s="279" t="str">
        <x:v>R</x:v>
      </x:c>
    </x:row>
    <x:row r="20">
      <x:c r="A20" s="789" t="str">
        <x:v>Sensizym</x:v>
      </x:c>
      <x:c r="B20" s="60" t="str">
        <x:v>✅</x:v>
      </x:c>
      <x:c r="C20" s="60" t="str">
        <x:v>✅</x:v>
      </x:c>
      <x:c r="D20" s="60" t="str">
        <x:v>✅</x:v>
      </x:c>
      <x:c r="E20" s="60" t="str">
        <x:v>✅</x:v>
      </x:c>
      <x:c r="F20" s="60" t="str">
        <x:v>R</x:v>
      </x:c>
      <x:c r="G20" s="60" t="str">
        <x:v>✅</x:v>
      </x:c>
      <x:c r="H20" s="60" t="str">
        <x:v>✅</x:v>
      </x:c>
      <x:c r="I20" s="60" t="str">
        <x:v>✅</x:v>
      </x:c>
      <x:c r="J20" s="60" t="str">
        <x:v>✅</x:v>
      </x:c>
      <x:c r="K20" s="60" t="str">
        <x:v>✅</x:v>
      </x:c>
      <x:c r="L20" s="60" t="str">
        <x:v>✅</x:v>
      </x:c>
      <x:c r="M20" s="60" t="str">
        <x:v>✅</x:v>
      </x:c>
      <x:c r="N20" s="60" t="str">
        <x:v>✅</x:v>
      </x:c>
      <x:c r="O20" s="60" t="str">
        <x:v>✅</x:v>
      </x:c>
      <x:c r="P20" s="60" t="str">
        <x:v>✅</x:v>
      </x:c>
      <x:c r="Q20" s="60" t="str">
        <x:v>✅</x:v>
      </x:c>
      <x:c r="R20" s="60" t="str">
        <x:v>—</x:v>
      </x:c>
      <x:c r="S20" s="60" t="str">
        <x:v>✅</x:v>
      </x:c>
      <x:c r="T20" s="60" t="str">
        <x:v>✅</x:v>
      </x:c>
      <x:c r="U20" s="60" t="str">
        <x:v>✅</x:v>
      </x:c>
      <x:c r="V20" s="60" t="str">
        <x:v>✅</x:v>
      </x:c>
      <x:c r="W20" s="60" t="str">
        <x:v>✅</x:v>
      </x:c>
      <x:c r="X20" s="60" t="str">
        <x:v>✅</x:v>
      </x:c>
      <x:c r="Y20" s="60" t="str">
        <x:v>✅</x:v>
      </x:c>
      <x:c r="Z20" s="60" t="str">
        <x:v>✅</x:v>
      </x:c>
      <x:c r="AA20" s="60" t="str">
        <x:v>◐</x:v>
      </x:c>
      <x:c r="AB20" s="29" t="str">
        <x:v>◐</x:v>
      </x:c>
      <x:c r="AC20" s="279" t="str">
        <x:v>◐</x:v>
      </x:c>
    </x:row>
    <x:row r="21">
      <x:c r="A21" s="789" t="str">
        <x:v>Big Bud</x:v>
      </x:c>
      <x:c r="B21" s="60" t="str">
        <x:v>✅</x:v>
      </x:c>
      <x:c r="C21" s="60" t="str">
        <x:v>✅</x:v>
      </x:c>
      <x:c r="D21" s="60" t="str">
        <x:v>✅</x:v>
      </x:c>
      <x:c r="E21" s="60" t="str">
        <x:v>✅</x:v>
      </x:c>
      <x:c r="F21" s="60" t="str">
        <x:v>✅</x:v>
      </x:c>
      <x:c r="G21" s="60" t="str">
        <x:v>✅</x:v>
      </x:c>
      <x:c r="H21" s="60" t="str">
        <x:v>✅</x:v>
      </x:c>
      <x:c r="I21" s="60" t="str">
        <x:v>⚠</x:v>
      </x:c>
      <x:c r="J21" s="60" t="str">
        <x:v>✅</x:v>
      </x:c>
      <x:c r="K21" s="60" t="str">
        <x:v>✅</x:v>
      </x:c>
      <x:c r="L21" s="60" t="str">
        <x:v>✅</x:v>
      </x:c>
      <x:c r="M21" s="60" t="str">
        <x:v>✅</x:v>
      </x:c>
      <x:c r="N21" s="60" t="str">
        <x:v>✅</x:v>
      </x:c>
      <x:c r="O21" s="60" t="str">
        <x:v>✅</x:v>
      </x:c>
      <x:c r="P21" s="60" t="str">
        <x:v>✅</x:v>
      </x:c>
      <x:c r="Q21" s="60" t="str">
        <x:v>✅</x:v>
      </x:c>
      <x:c r="R21" s="60" t="str">
        <x:v>✅</x:v>
      </x:c>
      <x:c r="S21" s="60" t="str">
        <x:v>—</x:v>
      </x:c>
      <x:c r="T21" s="60" t="str">
        <x:v>⚠</x:v>
      </x:c>
      <x:c r="U21" s="60" t="str">
        <x:v>↔</x:v>
      </x:c>
      <x:c r="V21" s="60" t="str">
        <x:v>↔</x:v>
      </x:c>
      <x:c r="W21" s="60" t="str">
        <x:v>✅</x:v>
      </x:c>
      <x:c r="X21" s="60" t="str">
        <x:v>✅</x:v>
      </x:c>
      <x:c r="Y21" s="60" t="str">
        <x:v>✅</x:v>
      </x:c>
      <x:c r="Z21" s="60" t="str">
        <x:v>✅</x:v>
      </x:c>
      <x:c r="AA21" s="60" t="str">
        <x:v>◐</x:v>
      </x:c>
      <x:c r="AB21" s="29" t="str">
        <x:v>◐</x:v>
      </x:c>
      <x:c r="AC21" s="279" t="str">
        <x:v>⚠</x:v>
      </x:c>
    </x:row>
    <x:row r="22">
      <x:c r="A22" s="789" t="str">
        <x:v>Big Bud Coco</x:v>
      </x:c>
      <x:c r="B22" s="60" t="str">
        <x:v>✅</x:v>
      </x:c>
      <x:c r="C22" s="60" t="str">
        <x:v>✅</x:v>
      </x:c>
      <x:c r="D22" s="60" t="str">
        <x:v>⚠</x:v>
      </x:c>
      <x:c r="E22" s="60" t="str">
        <x:v>✅</x:v>
      </x:c>
      <x:c r="F22" s="60" t="str">
        <x:v>✅</x:v>
      </x:c>
      <x:c r="G22" s="60" t="str">
        <x:v>✅</x:v>
      </x:c>
      <x:c r="H22" s="60" t="str">
        <x:v>✅</x:v>
      </x:c>
      <x:c r="I22" s="60" t="str">
        <x:v>⚠</x:v>
      </x:c>
      <x:c r="J22" s="60" t="str">
        <x:v>✅</x:v>
      </x:c>
      <x:c r="K22" s="60" t="str">
        <x:v>✅</x:v>
      </x:c>
      <x:c r="L22" s="60" t="str">
        <x:v>✅</x:v>
      </x:c>
      <x:c r="M22" s="60" t="str">
        <x:v>✅</x:v>
      </x:c>
      <x:c r="N22" s="60" t="str">
        <x:v>✅</x:v>
      </x:c>
      <x:c r="O22" s="60" t="str">
        <x:v>✅</x:v>
      </x:c>
      <x:c r="P22" s="60" t="str">
        <x:v>✅</x:v>
      </x:c>
      <x:c r="Q22" s="60" t="str">
        <x:v>✅</x:v>
      </x:c>
      <x:c r="R22" s="60" t="str">
        <x:v>✅</x:v>
      </x:c>
      <x:c r="S22" s="60" t="str">
        <x:v>⚠</x:v>
      </x:c>
      <x:c r="T22" s="60" t="str">
        <x:v>—</x:v>
      </x:c>
      <x:c r="U22" s="60" t="str">
        <x:v>↔</x:v>
      </x:c>
      <x:c r="V22" s="60" t="str">
        <x:v>↔</x:v>
      </x:c>
      <x:c r="W22" s="60" t="str">
        <x:v>✅</x:v>
      </x:c>
      <x:c r="X22" s="60" t="str">
        <x:v>✅</x:v>
      </x:c>
      <x:c r="Y22" s="60" t="str">
        <x:v>✅</x:v>
      </x:c>
      <x:c r="Z22" s="60" t="str">
        <x:v>✅</x:v>
      </x:c>
      <x:c r="AA22" s="60" t="str">
        <x:v>◐</x:v>
      </x:c>
      <x:c r="AB22" s="29" t="str">
        <x:v>◐</x:v>
      </x:c>
      <x:c r="AC22" s="279" t="str">
        <x:v>⚠</x:v>
      </x:c>
    </x:row>
    <x:row r="23">
      <x:c r="A23" s="789" t="str">
        <x:v>Bud Ignitor</x:v>
      </x:c>
      <x:c r="B23" s="60" t="str">
        <x:v>✅</x:v>
      </x:c>
      <x:c r="C23" s="60" t="str">
        <x:v>✅</x:v>
      </x:c>
      <x:c r="D23" s="60" t="str">
        <x:v>✅</x:v>
      </x:c>
      <x:c r="E23" s="60" t="str">
        <x:v>✅</x:v>
      </x:c>
      <x:c r="F23" s="60" t="str">
        <x:v>✅</x:v>
      </x:c>
      <x:c r="G23" s="60" t="str">
        <x:v>✅</x:v>
      </x:c>
      <x:c r="H23" s="60" t="str">
        <x:v>✅</x:v>
      </x:c>
      <x:c r="I23" s="60" t="str">
        <x:v>⚠</x:v>
      </x:c>
      <x:c r="J23" s="60" t="str">
        <x:v>✅</x:v>
      </x:c>
      <x:c r="K23" s="60" t="str">
        <x:v>✅</x:v>
      </x:c>
      <x:c r="L23" s="60" t="str">
        <x:v>✅</x:v>
      </x:c>
      <x:c r="M23" s="60" t="str">
        <x:v>✅</x:v>
      </x:c>
      <x:c r="N23" s="60" t="str">
        <x:v>✅</x:v>
      </x:c>
      <x:c r="O23" s="60" t="str">
        <x:v>✅</x:v>
      </x:c>
      <x:c r="P23" s="60" t="str">
        <x:v>✅</x:v>
      </x:c>
      <x:c r="Q23" s="60" t="str">
        <x:v>✅</x:v>
      </x:c>
      <x:c r="R23" s="60" t="str">
        <x:v>✅</x:v>
      </x:c>
      <x:c r="S23" s="60" t="str">
        <x:v>↔</x:v>
      </x:c>
      <x:c r="T23" s="60" t="str">
        <x:v>↔</x:v>
      </x:c>
      <x:c r="U23" s="60" t="str">
        <x:v>—</x:v>
      </x:c>
      <x:c r="V23" s="60" t="str">
        <x:v>⚠</x:v>
      </x:c>
      <x:c r="W23" s="60" t="str">
        <x:v>✅</x:v>
      </x:c>
      <x:c r="X23" s="60" t="str">
        <x:v>✅</x:v>
      </x:c>
      <x:c r="Y23" s="60" t="str">
        <x:v>✅</x:v>
      </x:c>
      <x:c r="Z23" s="60" t="str">
        <x:v>✅</x:v>
      </x:c>
      <x:c r="AA23" s="60" t="str">
        <x:v>◐</x:v>
      </x:c>
      <x:c r="AB23" s="29" t="str">
        <x:v>◐</x:v>
      </x:c>
      <x:c r="AC23" s="279" t="str">
        <x:v>⚠</x:v>
      </x:c>
    </x:row>
    <x:row r="24">
      <x:c r="A24" s="789" t="str">
        <x:v>Overdrive</x:v>
      </x:c>
      <x:c r="B24" s="60" t="str">
        <x:v>✅</x:v>
      </x:c>
      <x:c r="C24" s="60" t="str">
        <x:v>✅</x:v>
      </x:c>
      <x:c r="D24" s="60" t="str">
        <x:v>✅</x:v>
      </x:c>
      <x:c r="E24" s="60" t="str">
        <x:v>✅</x:v>
      </x:c>
      <x:c r="F24" s="60" t="str">
        <x:v>✅</x:v>
      </x:c>
      <x:c r="G24" s="60" t="str">
        <x:v>✅</x:v>
      </x:c>
      <x:c r="H24" s="60" t="str">
        <x:v>✅</x:v>
      </x:c>
      <x:c r="I24" s="60" t="str">
        <x:v>⚠</x:v>
      </x:c>
      <x:c r="J24" s="60" t="str">
        <x:v>✅</x:v>
      </x:c>
      <x:c r="K24" s="60" t="str">
        <x:v>✅</x:v>
      </x:c>
      <x:c r="L24" s="60" t="str">
        <x:v>✅</x:v>
      </x:c>
      <x:c r="M24" s="60" t="str">
        <x:v>✅</x:v>
      </x:c>
      <x:c r="N24" s="60" t="str">
        <x:v>✅</x:v>
      </x:c>
      <x:c r="O24" s="60" t="str">
        <x:v>✅</x:v>
      </x:c>
      <x:c r="P24" s="60" t="str">
        <x:v>✅</x:v>
      </x:c>
      <x:c r="Q24" s="60" t="str">
        <x:v>✅</x:v>
      </x:c>
      <x:c r="R24" s="60" t="str">
        <x:v>✅</x:v>
      </x:c>
      <x:c r="S24" s="60" t="str">
        <x:v>↔</x:v>
      </x:c>
      <x:c r="T24" s="60" t="str">
        <x:v>↔</x:v>
      </x:c>
      <x:c r="U24" s="60" t="str">
        <x:v>⚠</x:v>
      </x:c>
      <x:c r="V24" s="60" t="str">
        <x:v>—</x:v>
      </x:c>
      <x:c r="W24" s="60" t="str">
        <x:v>✅</x:v>
      </x:c>
      <x:c r="X24" s="60" t="str">
        <x:v>✅</x:v>
      </x:c>
      <x:c r="Y24" s="60" t="str">
        <x:v>✅</x:v>
      </x:c>
      <x:c r="Z24" s="60" t="str">
        <x:v>✅</x:v>
      </x:c>
      <x:c r="AA24" s="60" t="str">
        <x:v>◐</x:v>
      </x:c>
      <x:c r="AB24" s="29" t="str">
        <x:v>◐</x:v>
      </x:c>
      <x:c r="AC24" s="279" t="str">
        <x:v>⚠</x:v>
      </x:c>
    </x:row>
    <x:row r="25">
      <x:c r="A25" s="789" t="str">
        <x:v>Bud Candy</x:v>
      </x:c>
      <x:c r="B25" s="60" t="str">
        <x:v>✅</x:v>
      </x:c>
      <x:c r="C25" s="60" t="str">
        <x:v>✅</x:v>
      </x:c>
      <x:c r="D25" s="60" t="str">
        <x:v>✅</x:v>
      </x:c>
      <x:c r="E25" s="60" t="str">
        <x:v>✅</x:v>
      </x:c>
      <x:c r="F25" s="60" t="str">
        <x:v>✅</x:v>
      </x:c>
      <x:c r="G25" s="60" t="str">
        <x:v>✅</x:v>
      </x:c>
      <x:c r="H25" s="60" t="str">
        <x:v>R</x:v>
      </x:c>
      <x:c r="I25" s="60" t="str">
        <x:v>✅</x:v>
      </x:c>
      <x:c r="J25" s="60" t="str">
        <x:v>✅</x:v>
      </x:c>
      <x:c r="K25" s="60" t="str">
        <x:v>✅</x:v>
      </x:c>
      <x:c r="L25" s="60" t="str">
        <x:v>✅</x:v>
      </x:c>
      <x:c r="M25" s="60" t="str">
        <x:v>T</x:v>
      </x:c>
      <x:c r="N25" s="60" t="str">
        <x:v>T</x:v>
      </x:c>
      <x:c r="O25" s="60" t="str">
        <x:v>T</x:v>
      </x:c>
      <x:c r="P25" s="60" t="str">
        <x:v>✅</x:v>
      </x:c>
      <x:c r="Q25" s="60" t="str">
        <x:v>✅</x:v>
      </x:c>
      <x:c r="R25" s="60" t="str">
        <x:v>✅</x:v>
      </x:c>
      <x:c r="S25" s="60" t="str">
        <x:v>✅</x:v>
      </x:c>
      <x:c r="T25" s="60" t="str">
        <x:v>✅</x:v>
      </x:c>
      <x:c r="U25" s="60" t="str">
        <x:v>✅</x:v>
      </x:c>
      <x:c r="V25" s="60" t="str">
        <x:v>✅</x:v>
      </x:c>
      <x:c r="W25" s="60" t="str">
        <x:v>—</x:v>
      </x:c>
      <x:c r="X25" s="60" t="str">
        <x:v>R</x:v>
      </x:c>
      <x:c r="Y25" s="60" t="str">
        <x:v>✅</x:v>
      </x:c>
      <x:c r="Z25" s="60" t="str">
        <x:v>✅</x:v>
      </x:c>
      <x:c r="AA25" s="60" t="str">
        <x:v>◐</x:v>
      </x:c>
      <x:c r="AB25" s="29" t="str">
        <x:v>◐</x:v>
      </x:c>
      <x:c r="AC25" s="279" t="str">
        <x:v>◐</x:v>
      </x:c>
    </x:row>
    <x:row r="26">
      <x:c r="A26" s="789" t="str">
        <x:v>CarboLoad</x:v>
      </x:c>
      <x:c r="B26" s="60" t="str">
        <x:v>✅</x:v>
      </x:c>
      <x:c r="C26" s="60" t="str">
        <x:v>✅</x:v>
      </x:c>
      <x:c r="D26" s="60" t="str">
        <x:v>✅</x:v>
      </x:c>
      <x:c r="E26" s="60" t="str">
        <x:v>✅</x:v>
      </x:c>
      <x:c r="F26" s="60" t="str">
        <x:v>✅</x:v>
      </x:c>
      <x:c r="G26" s="60" t="str">
        <x:v>✅</x:v>
      </x:c>
      <x:c r="H26" s="60" t="str">
        <x:v>R</x:v>
      </x:c>
      <x:c r="I26" s="60" t="str">
        <x:v>✅</x:v>
      </x:c>
      <x:c r="J26" s="60" t="str">
        <x:v>✅</x:v>
      </x:c>
      <x:c r="K26" s="60" t="str">
        <x:v>✅</x:v>
      </x:c>
      <x:c r="L26" s="60" t="str">
        <x:v>✅</x:v>
      </x:c>
      <x:c r="M26" s="60" t="str">
        <x:v>T</x:v>
      </x:c>
      <x:c r="N26" s="60" t="str">
        <x:v>T</x:v>
      </x:c>
      <x:c r="O26" s="60" t="str">
        <x:v>T</x:v>
      </x:c>
      <x:c r="P26" s="60" t="str">
        <x:v>✅</x:v>
      </x:c>
      <x:c r="Q26" s="60" t="str">
        <x:v>✅</x:v>
      </x:c>
      <x:c r="R26" s="60" t="str">
        <x:v>✅</x:v>
      </x:c>
      <x:c r="S26" s="60" t="str">
        <x:v>✅</x:v>
      </x:c>
      <x:c r="T26" s="60" t="str">
        <x:v>✅</x:v>
      </x:c>
      <x:c r="U26" s="60" t="str">
        <x:v>✅</x:v>
      </x:c>
      <x:c r="V26" s="60" t="str">
        <x:v>✅</x:v>
      </x:c>
      <x:c r="W26" s="60" t="str">
        <x:v>R</x:v>
      </x:c>
      <x:c r="X26" s="60" t="str">
        <x:v>—</x:v>
      </x:c>
      <x:c r="Y26" s="60" t="str">
        <x:v>✅</x:v>
      </x:c>
      <x:c r="Z26" s="60" t="str">
        <x:v>✅</x:v>
      </x:c>
      <x:c r="AA26" s="60" t="str">
        <x:v>◐</x:v>
      </x:c>
      <x:c r="AB26" s="29" t="str">
        <x:v>◐</x:v>
      </x:c>
      <x:c r="AC26" s="279" t="str">
        <x:v>◐</x:v>
      </x:c>
    </x:row>
    <x:row r="27">
      <x:c r="A27" s="789" t="str">
        <x:v>Sensi CalMag Xtra</x:v>
      </x:c>
      <x:c r="B27" s="60" t="str">
        <x:v>✅</x:v>
      </x:c>
      <x:c r="C27" s="60" t="str">
        <x:v>✅</x:v>
      </x:c>
      <x:c r="D27" s="60" t="str">
        <x:v>⚠</x:v>
      </x:c>
      <x:c r="E27" s="60" t="str">
        <x:v>✅</x:v>
      </x:c>
      <x:c r="F27" s="60" t="str">
        <x:v>✅</x:v>
      </x:c>
      <x:c r="G27" s="60" t="str">
        <x:v>✅</x:v>
      </x:c>
      <x:c r="H27" s="60" t="str">
        <x:v>✅</x:v>
      </x:c>
      <x:c r="I27" s="60" t="str">
        <x:v>✅</x:v>
      </x:c>
      <x:c r="J27" s="60" t="str">
        <x:v>R</x:v>
      </x:c>
      <x:c r="K27" s="60" t="str">
        <x:v>✅</x:v>
      </x:c>
      <x:c r="L27" s="60" t="str">
        <x:v>✅</x:v>
      </x:c>
      <x:c r="M27" s="60" t="str">
        <x:v>✅</x:v>
      </x:c>
      <x:c r="N27" s="60" t="str">
        <x:v>✅</x:v>
      </x:c>
      <x:c r="O27" s="60" t="str">
        <x:v>✅</x:v>
      </x:c>
      <x:c r="P27" s="60" t="str">
        <x:v>✅</x:v>
      </x:c>
      <x:c r="Q27" s="60" t="str">
        <x:v>✅</x:v>
      </x:c>
      <x:c r="R27" s="60" t="str">
        <x:v>✅</x:v>
      </x:c>
      <x:c r="S27" s="60" t="str">
        <x:v>✅</x:v>
      </x:c>
      <x:c r="T27" s="60" t="str">
        <x:v>✅</x:v>
      </x:c>
      <x:c r="U27" s="60" t="str">
        <x:v>✅</x:v>
      </x:c>
      <x:c r="V27" s="60" t="str">
        <x:v>✅</x:v>
      </x:c>
      <x:c r="W27" s="60" t="str">
        <x:v>✅</x:v>
      </x:c>
      <x:c r="X27" s="60" t="str">
        <x:v>✅</x:v>
      </x:c>
      <x:c r="Y27" s="60" t="str">
        <x:v>—</x:v>
      </x:c>
      <x:c r="Z27" s="60" t="str">
        <x:v>✅</x:v>
      </x:c>
      <x:c r="AA27" s="60" t="str">
        <x:v>◐</x:v>
      </x:c>
      <x:c r="AB27" s="29" t="str">
        <x:v>◐</x:v>
      </x:c>
      <x:c r="AC27" s="279" t="str">
        <x:v>◐</x:v>
      </x:c>
    </x:row>
    <x:row r="28">
      <x:c r="A28" s="789" t="str">
        <x:v>Flo &amp; Gro</x:v>
      </x:c>
      <x:c r="B28" s="60" t="str">
        <x:v>⚠</x:v>
      </x:c>
      <x:c r="C28" s="60" t="str">
        <x:v>✅</x:v>
      </x:c>
      <x:c r="D28" s="60" t="str">
        <x:v>✅</x:v>
      </x:c>
      <x:c r="E28" s="60" t="str">
        <x:v>✅</x:v>
      </x:c>
      <x:c r="F28" s="60" t="str">
        <x:v>✅</x:v>
      </x:c>
      <x:c r="G28" s="60" t="str">
        <x:v>✅</x:v>
      </x:c>
      <x:c r="H28" s="60" t="str">
        <x:v>✅</x:v>
      </x:c>
      <x:c r="I28" s="60" t="str">
        <x:v>✅</x:v>
      </x:c>
      <x:c r="J28" s="60" t="str">
        <x:v>✅</x:v>
      </x:c>
      <x:c r="K28" s="60" t="str">
        <x:v>✅</x:v>
      </x:c>
      <x:c r="L28" s="60" t="str">
        <x:v>✅</x:v>
      </x:c>
      <x:c r="M28" s="60" t="str">
        <x:v>✖</x:v>
      </x:c>
      <x:c r="N28" s="60" t="str">
        <x:v>✖</x:v>
      </x:c>
      <x:c r="O28" s="60" t="str">
        <x:v>✖</x:v>
      </x:c>
      <x:c r="P28" s="60" t="str">
        <x:v>✅</x:v>
      </x:c>
      <x:c r="Q28" s="60" t="str">
        <x:v>✅</x:v>
      </x:c>
      <x:c r="R28" s="60" t="str">
        <x:v>✅</x:v>
      </x:c>
      <x:c r="S28" s="60" t="str">
        <x:v>✅</x:v>
      </x:c>
      <x:c r="T28" s="60" t="str">
        <x:v>✅</x:v>
      </x:c>
      <x:c r="U28" s="60" t="str">
        <x:v>✅</x:v>
      </x:c>
      <x:c r="V28" s="60" t="str">
        <x:v>✅</x:v>
      </x:c>
      <x:c r="W28" s="60" t="str">
        <x:v>✅</x:v>
      </x:c>
      <x:c r="X28" s="60" t="str">
        <x:v>✅</x:v>
      </x:c>
      <x:c r="Y28" s="60" t="str">
        <x:v>✅</x:v>
      </x:c>
      <x:c r="Z28" s="60" t="str">
        <x:v>—</x:v>
      </x:c>
      <x:c r="AA28" s="60" t="str">
        <x:v>◐</x:v>
      </x:c>
      <x:c r="AB28" s="29" t="str">
        <x:v>◐</x:v>
      </x:c>
      <x:c r="AC28" s="279" t="str">
        <x:v>◐</x:v>
      </x:c>
    </x:row>
    <x:row r="29">
      <x:c r="A29" s="789" t="str">
        <x:v>pH Up</x:v>
      </x:c>
      <x:c r="B29" s="60" t="str">
        <x:v>◐</x:v>
      </x:c>
      <x:c r="C29" s="60" t="str">
        <x:v>◐</x:v>
      </x:c>
      <x:c r="D29" s="60" t="str">
        <x:v>◐</x:v>
      </x:c>
      <x:c r="E29" s="60" t="str">
        <x:v>◐</x:v>
      </x:c>
      <x:c r="F29" s="60" t="str">
        <x:v>◐</x:v>
      </x:c>
      <x:c r="G29" s="60" t="str">
        <x:v>◐</x:v>
      </x:c>
      <x:c r="H29" s="60" t="str">
        <x:v>◐</x:v>
      </x:c>
      <x:c r="I29" s="60" t="str">
        <x:v>◐</x:v>
      </x:c>
      <x:c r="J29" s="60" t="str">
        <x:v>◐</x:v>
      </x:c>
      <x:c r="K29" s="60" t="str">
        <x:v>◐</x:v>
      </x:c>
      <x:c r="L29" s="60" t="str">
        <x:v>⚠</x:v>
      </x:c>
      <x:c r="M29" s="60" t="str">
        <x:v>◐</x:v>
      </x:c>
      <x:c r="N29" s="60" t="str">
        <x:v>◐</x:v>
      </x:c>
      <x:c r="O29" s="60" t="str">
        <x:v>◐</x:v>
      </x:c>
      <x:c r="P29" s="60" t="str">
        <x:v>◐</x:v>
      </x:c>
      <x:c r="Q29" s="60" t="str">
        <x:v>◐</x:v>
      </x:c>
      <x:c r="R29" s="60" t="str">
        <x:v>◐</x:v>
      </x:c>
      <x:c r="S29" s="60" t="str">
        <x:v>◐</x:v>
      </x:c>
      <x:c r="T29" s="60" t="str">
        <x:v>◐</x:v>
      </x:c>
      <x:c r="U29" s="60" t="str">
        <x:v>◐</x:v>
      </x:c>
      <x:c r="V29" s="60" t="str">
        <x:v>◐</x:v>
      </x:c>
      <x:c r="W29" s="60" t="str">
        <x:v>◐</x:v>
      </x:c>
      <x:c r="X29" s="60" t="str">
        <x:v>◐</x:v>
      </x:c>
      <x:c r="Y29" s="60" t="str">
        <x:v>◐</x:v>
      </x:c>
      <x:c r="Z29" s="60" t="str">
        <x:v>◐</x:v>
      </x:c>
      <x:c r="AA29" s="60" t="str">
        <x:v>—</x:v>
      </x:c>
      <x:c r="AB29" s="29" t="str">
        <x:v>✖</x:v>
      </x:c>
      <x:c r="AC29" s="279" t="str">
        <x:v>R</x:v>
      </x:c>
    </x:row>
    <x:row r="30">
      <x:c r="A30" s="789" t="str">
        <x:v>pH Down</x:v>
      </x:c>
      <x:c r="B30" s="60" t="str">
        <x:v>◐</x:v>
      </x:c>
      <x:c r="C30" s="60" t="str">
        <x:v>◐</x:v>
      </x:c>
      <x:c r="D30" s="60" t="str">
        <x:v>◐</x:v>
      </x:c>
      <x:c r="E30" s="60" t="str">
        <x:v>◐</x:v>
      </x:c>
      <x:c r="F30" s="60" t="str">
        <x:v>◐</x:v>
      </x:c>
      <x:c r="G30" s="60" t="str">
        <x:v>◐</x:v>
      </x:c>
      <x:c r="H30" s="60" t="str">
        <x:v>◐</x:v>
      </x:c>
      <x:c r="I30" s="60" t="str">
        <x:v>◐</x:v>
      </x:c>
      <x:c r="J30" s="60" t="str">
        <x:v>◐</x:v>
      </x:c>
      <x:c r="K30" s="60" t="str">
        <x:v>◐</x:v>
      </x:c>
      <x:c r="L30" s="60" t="str">
        <x:v>⚠</x:v>
      </x:c>
      <x:c r="M30" s="60" t="str">
        <x:v>◐</x:v>
      </x:c>
      <x:c r="N30" s="60" t="str">
        <x:v>◐</x:v>
      </x:c>
      <x:c r="O30" s="60" t="str">
        <x:v>◐</x:v>
      </x:c>
      <x:c r="P30" s="60" t="str">
        <x:v>◐</x:v>
      </x:c>
      <x:c r="Q30" s="60" t="str">
        <x:v>◐</x:v>
      </x:c>
      <x:c r="R30" s="60" t="str">
        <x:v>◐</x:v>
      </x:c>
      <x:c r="S30" s="60" t="str">
        <x:v>◐</x:v>
      </x:c>
      <x:c r="T30" s="60" t="str">
        <x:v>◐</x:v>
      </x:c>
      <x:c r="U30" s="60" t="str">
        <x:v>◐</x:v>
      </x:c>
      <x:c r="V30" s="60" t="str">
        <x:v>◐</x:v>
      </x:c>
      <x:c r="W30" s="60" t="str">
        <x:v>◐</x:v>
      </x:c>
      <x:c r="X30" s="60" t="str">
        <x:v>◐</x:v>
      </x:c>
      <x:c r="Y30" s="60" t="str">
        <x:v>◐</x:v>
      </x:c>
      <x:c r="Z30" s="60" t="str">
        <x:v>◐</x:v>
      </x:c>
      <x:c r="AA30" s="60" t="str">
        <x:v>✖</x:v>
      </x:c>
      <x:c r="AB30" s="29" t="str">
        <x:v>—</x:v>
      </x:c>
      <x:c r="AC30" s="279" t="str">
        <x:v>↔</x:v>
      </x:c>
    </x:row>
    <x:row r="31">
      <x:c r="A31" s="789" t="str">
        <x:v>Athena Balance</x:v>
      </x:c>
      <x:c r="B31" s="288" t="str">
        <x:v>◐</x:v>
      </x:c>
      <x:c r="C31" s="289" t="str">
        <x:v>◐</x:v>
      </x:c>
      <x:c r="D31" s="289" t="str">
        <x:v>◐</x:v>
      </x:c>
      <x:c r="E31" s="289" t="str">
        <x:v>◐</x:v>
      </x:c>
      <x:c r="F31" s="289" t="str">
        <x:v>◐</x:v>
      </x:c>
      <x:c r="G31" s="289" t="str">
        <x:v>◐</x:v>
      </x:c>
      <x:c r="H31" s="289" t="str">
        <x:v>◐</x:v>
      </x:c>
      <x:c r="I31" s="289" t="str">
        <x:v>⚠</x:v>
      </x:c>
      <x:c r="J31" s="289" t="str">
        <x:v>◐</x:v>
      </x:c>
      <x:c r="K31" s="289" t="str">
        <x:v>R</x:v>
      </x:c>
      <x:c r="L31" s="289" t="str">
        <x:v>⚠</x:v>
      </x:c>
      <x:c r="M31" s="289" t="str">
        <x:v>◐</x:v>
      </x:c>
      <x:c r="N31" s="289" t="str">
        <x:v>◐</x:v>
      </x:c>
      <x:c r="O31" s="289" t="str">
        <x:v>◐</x:v>
      </x:c>
      <x:c r="P31" s="289" t="str">
        <x:v>◐</x:v>
      </x:c>
      <x:c r="Q31" s="289" t="str">
        <x:v>R</x:v>
      </x:c>
      <x:c r="R31" s="289" t="str">
        <x:v>◐</x:v>
      </x:c>
      <x:c r="S31" s="289" t="str">
        <x:v>⚠</x:v>
      </x:c>
      <x:c r="T31" s="289" t="str">
        <x:v>⚠</x:v>
      </x:c>
      <x:c r="U31" s="289" t="str">
        <x:v>⚠</x:v>
      </x:c>
      <x:c r="V31" s="289" t="str">
        <x:v>⚠</x:v>
      </x:c>
      <x:c r="W31" s="289" t="str">
        <x:v>◐</x:v>
      </x:c>
      <x:c r="X31" s="289" t="str">
        <x:v>◐</x:v>
      </x:c>
      <x:c r="Y31" s="289" t="str">
        <x:v>◐</x:v>
      </x:c>
      <x:c r="Z31" s="289" t="str">
        <x:v>◐</x:v>
      </x:c>
      <x:c r="AA31" s="289" t="str">
        <x:v>R</x:v>
      </x:c>
      <x:c r="AB31" s="290" t="str">
        <x:v>↔</x:v>
      </x:c>
      <x:c r="AC31" s="284" t="str">
        <x:v>—</x:v>
      </x:c>
    </x:row>
    <x:row r="32">
      <x:c r="A32" s="28" t="str">
        <x:v>Legende</x:v>
      </x:c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  <x:c r="AA32" s="60"/>
      <x:c r="AB32" s="29"/>
    </x:row>
    <x:row r="33">
      <x:c r="A33" s="28" t="str">
        <x:v>✅</x:v>
      </x:c>
      <x:c r="B33" s="60" t="str">
        <x:v>empfohlen / orthogonal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  <x:c r="AA33" s="60"/>
      <x:c r="AB33" s="29"/>
    </x:row>
    <x:row r="34">
      <x:c r="A34" s="28" t="str">
        <x:v>◐</x:v>
      </x:c>
      <x:c r="B34" s="60" t="str">
        <x:v>kompatibel, aber nur bei Bedarf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  <x:c r="AA34" s="60"/>
      <x:c r="AB34" s="29"/>
    </x:row>
    <x:row r="35">
      <x:c r="A35" s="28" t="str">
        <x:v>🧪</x:v>
      </x:c>
      <x:c r="B35" s="60" t="str">
        <x:v>nur kontrollierter A/B-Test</x:v>
      </x:c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  <x:c r="AA35" s="60"/>
      <x:c r="AB35" s="29"/>
    </x:row>
    <x:row r="36">
      <x:c r="A36" s="28" t="str">
        <x:v>↔</x:v>
      </x:c>
      <x:c r="B36" s="60" t="str">
        <x:v>Alternative / phasengetrennt</x:v>
      </x:c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  <x:c r="AA36" s="60"/>
      <x:c r="AB36" s="29"/>
    </x:row>
    <x:row r="37">
      <x:c r="A37" s="28" t="str">
        <x:v>R</x:v>
      </x:c>
      <x:c r="B37" s="60" t="str">
        <x:v>redundant: eins wählen</x:v>
      </x:c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  <x:c r="AA37" s="60"/>
      <x:c r="AB37" s="29"/>
    </x:row>
    <x:row r="38">
      <x:c r="A38" s="28" t="str">
        <x:v>⚠</x:v>
      </x:c>
      <x:c r="B38" s="60" t="str">
        <x:v>Risiko/Überlappung/EC-pH beachten</x:v>
      </x:c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  <x:c r="AA38" s="60"/>
      <x:c r="AB38" s="29"/>
    </x:row>
    <x:row r="39">
      <x:c r="A39" s="28" t="str">
        <x:v>✖</x:v>
      </x:c>
      <x:c r="B39" s="60" t="str">
        <x:v>im UKD Reference nicht gleichzeitig</x:v>
      </x:c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  <x:c r="AA39" s="60"/>
      <x:c r="AB39" s="29"/>
    </x:row>
    <x:row r="40">
      <x:c r="A40" s="30" t="str">
        <x:v>T</x:v>
      </x:c>
      <x:c r="B40" s="61" t="str">
        <x:v>Tankwarnung: frisch/manuell bevorzugen</x:v>
      </x:c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  <x:c r="AA40" s="61"/>
      <x:c r="AB40" s="31"/>
    </x:row>
  </x:sheetData>
  <x:conditionalFormatting sqref="B4:AB30">
    <x:cfRule type="expression" dxfId="12" priority="1">
      <x:formula>B4="✅"</x:formula>
    </x:cfRule>
    <x:cfRule type="expression" dxfId="13" priority="2">
      <x:formula>B4="◐"</x:formula>
    </x:cfRule>
    <x:cfRule type="expression" dxfId="14" priority="3">
      <x:formula>B4="🧪"</x:formula>
    </x:cfRule>
    <x:cfRule type="expression" dxfId="15" priority="4">
      <x:formula>B4="↔"</x:formula>
    </x:cfRule>
    <x:cfRule type="expression" dxfId="16" priority="5">
      <x:formula>B4="R"</x:formula>
    </x:cfRule>
    <x:cfRule type="expression" dxfId="17" priority="6">
      <x:formula>B4="⚠"</x:formula>
    </x:cfRule>
    <x:cfRule type="expression" dxfId="18" priority="7">
      <x:formula>B4="✖"</x:formula>
    </x:cfRule>
    <x:cfRule type="expression" dxfId="19" priority="8">
      <x:formula>B4="T"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4" hidden="0" customWidth="1"/>
    <x:col min="5" max="5" width="18" hidden="0" customWidth="1"/>
    <x:col min="6" max="6" width="15" hidden="0" customWidth="1"/>
    <x:col min="7" max="7" width="29" hidden="0" customWidth="1"/>
    <x:col min="8" max="8" width="18" hidden="0" customWidth="1"/>
    <x:col min="9" max="9" width="18" hidden="0" customWidth="1"/>
    <x:col min="10" max="10" width="48" hidden="0" customWidth="1"/>
    <x:col min="11" max="11" width="48" hidden="0" customWidth="1"/>
    <x:col min="12" max="12" width="58" hidden="0" customWidth="1"/>
  </x:cols>
  <x:sheetData>
    <x:row r="1">
      <x:c r="A1" s="790" t="str">
        <x:v>Hersteller</x:v>
      </x:c>
      <x:c r="B1" s="790" t="str">
        <x:v>Produkt</x:v>
      </x:c>
      <x:c r="C1" s="790" t="str">
        <x:v>Kategorie</x:v>
      </x:c>
      <x:c r="D1" s="790" t="str">
        <x:v>Funktion</x:v>
      </x:c>
      <x:c r="E1" s="790" t="str">
        <x:v>Phase</x:v>
      </x:c>
      <x:c r="F1" s="790" t="str">
        <x:v>Medium</x:v>
      </x:c>
      <x:c r="G1" s="790" t="str">
        <x:v>Offizielle Dosis / Einsatz</x:v>
      </x:c>
      <x:c r="H1" s="790" t="str">
        <x:v>UKD-Status</x:v>
      </x:c>
      <x:c r="I1" s="790" t="str">
        <x:v>UKD Reservoir-/Automationsbewertung</x:v>
      </x:c>
      <x:c r="J1" s="790" t="str">
        <x:v>Chemische/Funktionale Hinweise</x:v>
      </x:c>
      <x:c r="K1" s="790" t="str">
        <x:v>UKD-Kompatibilitätsurteil</x:v>
      </x:c>
      <x:c r="L1" s="790" t="str">
        <x:v>Quelle</x:v>
      </x:c>
    </x:row>
    <x:row r="2">
      <x:c r="A2" s="32" t="str">
        <x:v>HESI</x:v>
      </x:c>
      <x:c r="B2" s="62" t="str">
        <x:v>Wurzel Complex</x:v>
      </x:c>
      <x:c r="C2" s="62" t="str">
        <x:v>Booster</x:v>
      </x:c>
      <x:c r="D2" s="62" t="str">
        <x:v>Root/Stress</x:v>
      </x:c>
      <x:c r="E2" s="62" t="str">
        <x:v>Baby/Veg</x:v>
      </x:c>
      <x:c r="F2" s="62" t="str">
        <x:v>Coco: ja</x:v>
      </x:c>
      <x:c r="G2" s="62" t="str">
        <x:v>5 ml/L; 2.5 ml/L bei häufig/länger</x:v>
      </x:c>
      <x:c r="H2" s="62" t="str">
        <x:v>CORE</x:v>
      </x:c>
      <x:c r="I2" s="62" t="str">
        <x:v>Bedingt</x:v>
      </x:c>
      <x:c r="J2" s="62" t="str">
        <x:v>Mikronährstoffe/Vitamine/Aminosäuren; kein Basisdünger</x:v>
      </x:c>
      <x:c r="K2" s="62" t="str">
        <x:v>Mit HESI offiziell kombinierbar; Hybrid mit Voodoo nur definiert testen</x:v>
      </x:c>
      <x:c r="L2" s="33" t="str">
        <x:v>https://hesi.nl/de/Wurzel-Complex</x:v>
      </x:c>
    </x:row>
    <x:row r="3">
      <x:c r="A3" s="34" t="str">
        <x:v>HESI</x:v>
      </x:c>
      <x:c r="B3" s="63" t="str">
        <x:v>SuperVit</x:v>
      </x:c>
      <x:c r="C3" s="63" t="str">
        <x:v>Booster</x:v>
      </x:c>
      <x:c r="D3" s="63" t="str">
        <x:v>Vitamine/Aminosäuren</x:v>
      </x:c>
      <x:c r="E3" s="63" t="str">
        <x:v>Baby/Veg/Blüte</x:v>
      </x:c>
      <x:c r="F3" s="63" t="str">
        <x:v>Coco: ja</x:v>
      </x:c>
      <x:c r="G3" s="63" t="str">
        <x:v>1 ml/65 L (Mikrodosis)</x:v>
      </x:c>
      <x:c r="H3" s="63" t="str">
        <x:v>CORE</x:v>
      </x:c>
      <x:c r="I3" s="63" t="str">
        <x:v>Ja</x:v>
      </x:c>
      <x:c r="J3" s="63" t="str">
        <x:v>Sehr geringe Dosis; kein relevanter EC-Treiber</x:v>
      </x:c>
      <x:c r="K3" s="63" t="str">
        <x:v>Mit B-52 funktionell teilweise redundant</x:v>
      </x:c>
      <x:c r="L3" s="35" t="str">
        <x:v>https://hesi.nl/SUPERVIT</x:v>
      </x:c>
    </x:row>
    <x:row r="4">
      <x:c r="A4" s="34" t="str">
        <x:v>HESI</x:v>
      </x:c>
      <x:c r="B4" s="63" t="str">
        <x:v>Boost</x:v>
      </x:c>
      <x:c r="C4" s="63" t="str">
        <x:v>Booster</x:v>
      </x:c>
      <x:c r="D4" s="63" t="str">
        <x:v>Blütestimulation/Zucker/PK</x:v>
      </x:c>
      <x:c r="E4" s="63" t="str">
        <x:v>Ende Veg/Blüte</x:v>
      </x:c>
      <x:c r="F4" s="63" t="str">
        <x:v>Coco: ja</x:v>
      </x:c>
      <x:c r="G4" s="63" t="str">
        <x:v>2 ml/L</x:v>
      </x:c>
      <x:c r="H4" s="63" t="str">
        <x:v>OPTION</x:v>
      </x:c>
      <x:c r="I4" s="63" t="str">
        <x:v>Bedingt</x:v>
      </x:c>
      <x:c r="J4" s="63" t="str">
        <x:v>Organisch + PK; Zucker/Extrakte</x:v>
      </x:c>
      <x:c r="K4" s="63" t="str">
        <x:v>Nicht blind mit Big Bud/Bud Candy/CarboLoad/PK maximieren</x:v>
      </x:c>
      <x:c r="L4" s="35" t="str">
        <x:v>https://hesi.nl/de/Boost</x:v>
      </x:c>
    </x:row>
    <x:row r="5">
      <x:c r="A5" s="34" t="str">
        <x:v>HESI</x:v>
      </x:c>
      <x:c r="B5" s="63" t="str">
        <x:v>PowerZyme</x:v>
      </x:c>
      <x:c r="C5" s="63" t="str">
        <x:v>Booster</x:v>
      </x:c>
      <x:c r="D5" s="63" t="str">
        <x:v>Enzyme/Medium</x:v>
      </x:c>
      <x:c r="E5" s="63" t="str">
        <x:v>gesamter Zyklus</x:v>
      </x:c>
      <x:c r="F5" s="63" t="str">
        <x:v>Coco: ja</x:v>
      </x:c>
      <x:c r="G5" s="63" t="str">
        <x:v>2 ml/L</x:v>
      </x:c>
      <x:c r="H5" s="63" t="str">
        <x:v>CORE</x:v>
      </x:c>
      <x:c r="I5" s="63" t="str">
        <x:v>Ja</x:v>
      </x:c>
      <x:c r="J5" s="63" t="str">
        <x:v>Enzymextrakt aus Trichoderma; zelluloseabbauend</x:v>
      </x:c>
      <x:c r="K5" s="63" t="str">
        <x:v>Mit Sensizym funktionell redundant: eins wählen</x:v>
      </x:c>
      <x:c r="L5" s="35" t="str">
        <x:v>https://hesi.nl/de/PowerZyme</x:v>
      </x:c>
    </x:row>
    <x:row r="6">
      <x:c r="A6" s="34" t="str">
        <x:v>HESI</x:v>
      </x:c>
      <x:c r="B6" s="63" t="str">
        <x:v>Hesilicio</x:v>
      </x:c>
      <x:c r="C6" s="63" t="str">
        <x:v>Booster</x:v>
      </x:c>
      <x:c r="D6" s="63" t="str">
        <x:v>Silizium</x:v>
      </x:c>
      <x:c r="E6" s="63" t="str">
        <x:v>gesamter Zyklus</x:v>
      </x:c>
      <x:c r="F6" s="63" t="str">
        <x:v>Coco: ja</x:v>
      </x:c>
      <x:c r="G6" s="63" t="str">
        <x:v>max. 0.5 ml/L, ca. 1×/Woche</x:v>
      </x:c>
      <x:c r="H6" s="63" t="str">
        <x:v>OPTION</x:v>
      </x:c>
      <x:c r="I6" s="63" t="str">
        <x:v>Ja</x:v>
      </x:c>
      <x:c r="J6" s="63" t="str">
        <x:v>3% Orthokieselsäure</x:v>
      </x:c>
      <x:c r="K6" s="63" t="str">
        <x:v>Nicht zusätzlich Rhino Skin im Reference Stack</x:v>
      </x:c>
      <x:c r="L6" s="35" t="str">
        <x:v>https://hesi.nl/de/Hesilicio</x:v>
      </x:c>
    </x:row>
    <x:row r="7">
      <x:c r="A7" s="34" t="str">
        <x:v>HESI</x:v>
      </x:c>
      <x:c r="B7" s="63" t="str">
        <x:v>CalMag</x:v>
      </x:c>
      <x:c r="C7" s="63" t="str">
        <x:v>Booster/Nährstoff</x:v>
      </x:c>
      <x:c r="D7" s="63" t="str">
        <x:v>Ca/Mg/Fe</x:v>
      </x:c>
      <x:c r="E7" s="63" t="str">
        <x:v>nach Wasserbedarf</x:v>
      </x:c>
      <x:c r="F7" s="63" t="str">
        <x:v>Coco: ja</x:v>
      </x:c>
      <x:c r="G7" s="63" t="str">
        <x:v>bis Wasser-EC ca. 0.4–0.5; RO typ. 3–4 ml/5L</x:v>
      </x:c>
      <x:c r="H7" s="63" t="str">
        <x:v>CONDITIONAL</x:v>
      </x:c>
      <x:c r="I7" s="63" t="str">
        <x:v>Ja</x:v>
      </x:c>
      <x:c r="J7" s="63" t="str">
        <x:v>NPK 5-0-0; Ca/Mg plus Fe/Mo</x:v>
      </x:c>
      <x:c r="K7" s="63" t="str">
        <x:v>Nicht pauschal mit Sensi Cal Mag Xtra/Revive addieren</x:v>
      </x:c>
      <x:c r="L7" s="35" t="str">
        <x:v>https://hesi.nl/de/CalMag</x:v>
      </x:c>
    </x:row>
    <x:row r="8">
      <x:c r="A8" s="34" t="str">
        <x:v>HESI</x:v>
      </x:c>
      <x:c r="B8" s="63" t="str">
        <x:v>TNT Complex</x:v>
      </x:c>
      <x:c r="C8" s="63" t="str">
        <x:v>Basisdünger</x:v>
      </x:c>
      <x:c r="D8" s="63" t="str">
        <x:v>Wachstum</x:v>
      </x:c>
      <x:c r="E8" s="63" t="str">
        <x:v>Veg</x:v>
      </x:c>
      <x:c r="F8" s="63" t="str">
        <x:v>Coco: ja</x:v>
      </x:c>
      <x:c r="G8" s="63" t="str">
        <x:v>5 ml/L; 2.5 ml/L jung/kontinuierlich</x:v>
      </x:c>
      <x:c r="H8" s="63" t="str">
        <x:v>CORE</x:v>
      </x:c>
      <x:c r="I8" s="63" t="str">
        <x:v>Ja</x:v>
      </x:c>
      <x:c r="J8" s="63" t="str">
        <x:v>NPK 3-2-3; organisch gebundener N-Anteil -&gt; EC allein unterschätzt Nährstoffgabe</x:v>
      </x:c>
      <x:c r="K8" s="63" t="str">
        <x:v>Sequenziell vor HESI Coco, nicht zwei Vollbasen parallel</x:v>
      </x:c>
      <x:c r="L8" s="35" t="str">
        <x:v>https://hesi.nl/de/TNT-COMPLEX</x:v>
      </x:c>
    </x:row>
    <x:row r="9">
      <x:c r="A9" s="34" t="str">
        <x:v>HESI</x:v>
      </x:c>
      <x:c r="B9" s="63" t="str">
        <x:v>Coco</x:v>
      </x:c>
      <x:c r="C9" s="63" t="str">
        <x:v>Basisdünger</x:v>
      </x:c>
      <x:c r="D9" s="63" t="str">
        <x:v>Coco Blüte</x:v>
      </x:c>
      <x:c r="E9" s="63" t="str">
        <x:v>Blüte</x:v>
      </x:c>
      <x:c r="F9" s="63" t="str">
        <x:v>Coco: ja</x:v>
      </x:c>
      <x:c r="G9" s="63" t="str">
        <x:v>5 ml/L bei jedem Gießen laut Hersteller</x:v>
      </x:c>
      <x:c r="H9" s="63" t="str">
        <x:v>CORE</x:v>
      </x:c>
      <x:c r="I9" s="63" t="str">
        <x:v>Ja</x:v>
      </x:c>
      <x:c r="J9" s="63" t="str">
        <x:v>NPK 3-4-5 + Ca/Mg + Spurenelemente</x:v>
      </x:c>
      <x:c r="K9" s="63" t="str">
        <x:v>UKD-Hauptbasis in Blüte; pH danach messen/korrigieren</x:v>
      </x:c>
      <x:c r="L9" s="35" t="str">
        <x:v>https://hesi.nl/de/COCO</x:v>
      </x:c>
    </x:row>
    <x:row r="10">
      <x:c r="A10" s="34" t="str">
        <x:v>HESI</x:v>
      </x:c>
      <x:c r="B10" s="63" t="str">
        <x:v>PK 13/14</x:v>
      </x:c>
      <x:c r="C10" s="63" t="str">
        <x:v>PK-Dünger</x:v>
      </x:c>
      <x:c r="D10" s="63" t="str">
        <x:v>PK-Boost</x:v>
      </x:c>
      <x:c r="E10" s="63" t="str">
        <x:v>2. Hälfte Blüte</x:v>
      </x:c>
      <x:c r="F10" s="63" t="str">
        <x:v>Coco: ja</x:v>
      </x:c>
      <x:c r="G10" s="63" t="str">
        <x:v>0.25–1.5 ml/L</x:v>
      </x:c>
      <x:c r="H10" s="63" t="str">
        <x:v>OPTION</x:v>
      </x:c>
      <x:c r="I10" s="63" t="str">
        <x:v>Ja</x:v>
      </x:c>
      <x:c r="J10" s="63" t="str">
        <x:v>PK-Dünger; K-Überschuss kann Ca/Mg-Mangel provozieren</x:v>
      </x:c>
      <x:c r="K10" s="63" t="str">
        <x:v>Alternative zu AN-PK-Bulkern, nicht blind kombinieren</x:v>
      </x:c>
      <x:c r="L10" s="35" t="str">
        <x:v>https://hesi.nl/de/PK-13-14</x:v>
      </x:c>
    </x:row>
    <x:row r="11">
      <x:c r="A11" s="34" t="str">
        <x:v>HESI</x:v>
      </x:c>
      <x:c r="B11" s="63" t="str">
        <x:v>Hydro Wuchs</x:v>
      </x:c>
      <x:c r="C11" s="63" t="str">
        <x:v>Basisdünger</x:v>
      </x:c>
      <x:c r="D11" s="63" t="str">
        <x:v>Hydro Wachstum</x:v>
      </x:c>
      <x:c r="E11" s="63" t="str">
        <x:v>Veg</x:v>
      </x:c>
      <x:c r="F11" s="63" t="str">
        <x:v>Hydro</x:v>
      </x:c>
      <x:c r="G11" s="63" t="str">
        <x:v>Herstellerschema</x:v>
      </x:c>
      <x:c r="H11" s="63" t="str">
        <x:v>EXCLUDE</x:v>
      </x:c>
      <x:c r="I11" s="63" t="str">
        <x:v>n/a</x:v>
      </x:c>
      <x:c r="J11" s="63" t="str">
        <x:v>Für Hydro, nicht UKD-Coco</x:v>
      </x:c>
      <x:c r="K11" s="63" t="str">
        <x:v>Nicht zusätzlich zu TNT/Coco</x:v>
      </x:c>
      <x:c r="L11" s="35" t="str">
        <x:v>https://hesi.nl/de/PRODUKTE</x:v>
      </x:c>
    </x:row>
    <x:row r="12">
      <x:c r="A12" s="34" t="str">
        <x:v>HESI</x:v>
      </x:c>
      <x:c r="B12" s="63" t="str">
        <x:v>Hydro Blüte</x:v>
      </x:c>
      <x:c r="C12" s="63" t="str">
        <x:v>Basisdünger</x:v>
      </x:c>
      <x:c r="D12" s="63" t="str">
        <x:v>Hydro Blüte</x:v>
      </x:c>
      <x:c r="E12" s="63" t="str">
        <x:v>Blüte</x:v>
      </x:c>
      <x:c r="F12" s="63" t="str">
        <x:v>Hydro</x:v>
      </x:c>
      <x:c r="G12" s="63" t="str">
        <x:v>Herstellerschema</x:v>
      </x:c>
      <x:c r="H12" s="63" t="str">
        <x:v>EXCLUDE</x:v>
      </x:c>
      <x:c r="I12" s="63" t="str">
        <x:v>n/a</x:v>
      </x:c>
      <x:c r="J12" s="63" t="str">
        <x:v>Für Hydro, nicht UKD-Coco</x:v>
      </x:c>
      <x:c r="K12" s="63" t="str">
        <x:v>Nicht zusätzlich zu Coco</x:v>
      </x:c>
      <x:c r="L12" s="35" t="str">
        <x:v>https://hesi.nl/de/PRODUKTE</x:v>
      </x:c>
    </x:row>
    <x:row r="13">
      <x:c r="A13" s="34" t="str">
        <x:v>HESI</x:v>
      </x:c>
      <x:c r="B13" s="63" t="str">
        <x:v>Blüh Complex</x:v>
      </x:c>
      <x:c r="C13" s="63" t="str">
        <x:v>Basisdünger</x:v>
      </x:c>
      <x:c r="D13" s="63" t="str">
        <x:v>Erde Blüte</x:v>
      </x:c>
      <x:c r="E13" s="63" t="str">
        <x:v>Blüte</x:v>
      </x:c>
      <x:c r="F13" s="63" t="str">
        <x:v>Erde</x:v>
      </x:c>
      <x:c r="G13" s="63" t="str">
        <x:v>Herstellerschema</x:v>
      </x:c>
      <x:c r="H13" s="63" t="str">
        <x:v>EXCLUDE</x:v>
      </x:c>
      <x:c r="I13" s="63" t="str">
        <x:v>n/a</x:v>
      </x:c>
      <x:c r="J13" s="63" t="str">
        <x:v>Erde-spezifisch</x:v>
      </x:c>
      <x:c r="K13" s="63" t="str">
        <x:v>Für UKD-Coco HESI Coco vorziehen</x:v>
      </x:c>
      <x:c r="L13" s="35" t="str">
        <x:v>https://hesi.nl/de/PRODUKTE</x:v>
      </x:c>
    </x:row>
    <x:row r="14">
      <x:c r="A14" s="34" t="str">
        <x:v>HESI</x:v>
      </x:c>
      <x:c r="B14" s="63" t="str">
        <x:v>Phosphor Plus</x:v>
      </x:c>
      <x:c r="C14" s="63" t="str">
        <x:v>PK-Dünger</x:v>
      </x:c>
      <x:c r="D14" s="63" t="str">
        <x:v>Erde PK</x:v>
      </x:c>
      <x:c r="E14" s="63" t="str">
        <x:v>Blüte</x:v>
      </x:c>
      <x:c r="F14" s="63" t="str">
        <x:v>Erde</x:v>
      </x:c>
      <x:c r="G14" s="63" t="str">
        <x:v>Herstellerschema</x:v>
      </x:c>
      <x:c r="H14" s="63" t="str">
        <x:v>EXCLUDE</x:v>
      </x:c>
      <x:c r="I14" s="63" t="str">
        <x:v>n/a</x:v>
      </x:c>
      <x:c r="J14" s="63" t="str">
        <x:v>Erde-spezifische PK-Ergänzung</x:v>
      </x:c>
      <x:c r="K14" s="63" t="str">
        <x:v>In Coco PK 13/14 verwenden, nicht beides</x:v>
      </x:c>
      <x:c r="L14" s="35" t="str">
        <x:v>https://hesi.nl/de/PRODUKTE</x:v>
      </x:c>
    </x:row>
    <x:row r="15">
      <x:c r="A15" s="34" t="str">
        <x:v>HESI</x:v>
      </x:c>
      <x:c r="B15" s="63" t="str">
        <x:v>Bio Grow</x:v>
      </x:c>
      <x:c r="C15" s="63" t="str">
        <x:v>Bio-Basis</x:v>
      </x:c>
      <x:c r="D15" s="63" t="str">
        <x:v>Organisches Wachstum</x:v>
      </x:c>
      <x:c r="E15" s="63" t="str">
        <x:v>Veg</x:v>
      </x:c>
      <x:c r="F15" s="63" t="str">
        <x:v>Erde/Coco laut Katalog</x:v>
      </x:c>
      <x:c r="G15" s="63" t="str">
        <x:v>Herstellerschema</x:v>
      </x:c>
      <x:c r="H15" s="63" t="str">
        <x:v>EXCLUDE</x:v>
      </x:c>
      <x:c r="I15" s="63" t="str">
        <x:v>UKD Reference: vermeiden / organische Reservoirkomplexität</x:v>
      </x:c>
      <x:c r="J15" s="63" t="str">
        <x:v>Organische Extrakte</x:v>
      </x:c>
      <x:c r="K15" s="63" t="str">
        <x:v>Nicht im mineralischen UKD-Reference-Stack; organischer Systemwechsel</x:v>
      </x:c>
      <x:c r="L15" s="35" t="str">
        <x:v>https://hesi.nl/de/PRODUKTE</x:v>
      </x:c>
    </x:row>
    <x:row r="16">
      <x:c r="A16" s="34" t="str">
        <x:v>HESI</x:v>
      </x:c>
      <x:c r="B16" s="63" t="str">
        <x:v>Bio Bloom</x:v>
      </x:c>
      <x:c r="C16" s="63" t="str">
        <x:v>Bio-Basis</x:v>
      </x:c>
      <x:c r="D16" s="63" t="str">
        <x:v>Organische Blüte</x:v>
      </x:c>
      <x:c r="E16" s="63" t="str">
        <x:v>Blüte</x:v>
      </x:c>
      <x:c r="F16" s="63" t="str">
        <x:v>Erde/Coco laut Katalog</x:v>
      </x:c>
      <x:c r="G16" s="63" t="str">
        <x:v>Herstellerschema</x:v>
      </x:c>
      <x:c r="H16" s="63" t="str">
        <x:v>EXCLUDE</x:v>
      </x:c>
      <x:c r="I16" s="63" t="str">
        <x:v>UKD Reference: vermeiden / organische Reservoirkomplexität</x:v>
      </x:c>
      <x:c r="J16" s="63" t="str">
        <x:v>Organische Extrakte</x:v>
      </x:c>
      <x:c r="K16" s="63" t="str">
        <x:v>Nicht mit HESI Coco als zweite Basis</x:v>
      </x:c>
      <x:c r="L16" s="35" t="str">
        <x:v>https://hesi.nl/de/PRODUKTE</x:v>
      </x:c>
    </x:row>
    <x:row r="17">
      <x:c r="A17" s="34" t="str">
        <x:v>HESI</x:v>
      </x:c>
      <x:c r="B17" s="63" t="str">
        <x:v>HousePlant Elixir</x:v>
      </x:c>
      <x:c r="C17" s="63" t="str">
        <x:v>Komplettdünger</x:v>
      </x:c>
      <x:c r="D17" s="63" t="str">
        <x:v>Zimmerpflanzen</x:v>
      </x:c>
      <x:c r="E17" s="63" t="str">
        <x:v>gesamter Zyklus</x:v>
      </x:c>
      <x:c r="F17" s="63" t="str">
        <x:v>Coco möglich</x:v>
      </x:c>
      <x:c r="G17" s="63" t="str">
        <x:v>Herstellerschema</x:v>
      </x:c>
      <x:c r="H17" s="63" t="str">
        <x:v>EXCLUDE</x:v>
      </x:c>
      <x:c r="I17" s="63" t="str">
        <x:v>Bedingt</x:v>
      </x:c>
      <x:c r="J17" s="63" t="str">
        <x:v>Enthält Funktionen aus TNT+Wurzel+SuperVit</x:v>
      </x:c>
      <x:c r="K17" s="63" t="str">
        <x:v>Nicht für UKD; mit Wurzel/SuperVit redundant</x:v>
      </x:c>
      <x:c r="L17" s="35" t="str">
        <x:v>https://hesi.nl/de/PRODUKTE</x:v>
      </x:c>
    </x:row>
    <x:row r="18">
      <x:c r="A18" s="34" t="str">
        <x:v>HESI</x:v>
      </x:c>
      <x:c r="B18" s="63" t="str">
        <x:v>OrchiVit</x:v>
      </x:c>
      <x:c r="C18" s="63" t="str">
        <x:v>Komplettdünger</x:v>
      </x:c>
      <x:c r="D18" s="63" t="str">
        <x:v>Orchideen</x:v>
      </x:c>
      <x:c r="E18" s="63" t="str">
        <x:v>gesamter Zyklus</x:v>
      </x:c>
      <x:c r="F18" s="63" t="str">
        <x:v>Coco möglich</x:v>
      </x:c>
      <x:c r="G18" s="63" t="str">
        <x:v>Herstellerschema</x:v>
      </x:c>
      <x:c r="H18" s="63" t="str">
        <x:v>EXCLUDE</x:v>
      </x:c>
      <x:c r="I18" s="63" t="str">
        <x:v>Bedingt</x:v>
      </x:c>
      <x:c r="J18" s="63" t="str">
        <x:v>Orchideen-spezifisch</x:v>
      </x:c>
      <x:c r="K18" s="63" t="str">
        <x:v>Nicht für UKD</x:v>
      </x:c>
      <x:c r="L18" s="35" t="str">
        <x:v>https://hesi.nl/de/PRODUKTE</x:v>
      </x:c>
    </x:row>
    <x:row r="19">
      <x:c r="A19" s="34" t="str">
        <x:v>HESI</x:v>
      </x:c>
      <x:c r="B19" s="63" t="str">
        <x:v>Balkon Blüten Elixir</x:v>
      </x:c>
      <x:c r="C19" s="63" t="str">
        <x:v>Komplettdünger</x:v>
      </x:c>
      <x:c r="D19" s="63" t="str">
        <x:v>Zierpflanzen</x:v>
      </x:c>
      <x:c r="E19" s="63" t="str">
        <x:v>Blüte</x:v>
      </x:c>
      <x:c r="F19" s="63" t="str">
        <x:v>Erde</x:v>
      </x:c>
      <x:c r="G19" s="63" t="str">
        <x:v>Herstellerschema</x:v>
      </x:c>
      <x:c r="H19" s="63" t="str">
        <x:v>EXCLUDE</x:v>
      </x:c>
      <x:c r="I19" s="63" t="str">
        <x:v>n/a</x:v>
      </x:c>
      <x:c r="J19" s="63" t="str">
        <x:v>Zierpflanzen</x:v>
      </x:c>
      <x:c r="K19" s="63" t="str">
        <x:v>Nicht für UKD</x:v>
      </x:c>
      <x:c r="L19" s="35" t="str">
        <x:v>https://hesi.nl/de/PRODUKTE</x:v>
      </x:c>
    </x:row>
    <x:row r="20">
      <x:c r="A20" s="34" t="str">
        <x:v>HESI</x:v>
      </x:c>
      <x:c r="B20" s="63" t="str">
        <x:v>StarterBox Coco</x:v>
      </x:c>
      <x:c r="C20" s="63" t="str">
        <x:v>Pack</x:v>
      </x:c>
      <x:c r="D20" s="63" t="str">
        <x:v>Systempack</x:v>
      </x:c>
      <x:c r="E20" s="63" t="str">
        <x:v>gesamter Zyklus</x:v>
      </x:c>
      <x:c r="F20" s="63" t="str">
        <x:v>Coco</x:v>
      </x:c>
      <x:c r="G20" s="63" t="str">
        <x:v>enthält Einzeldosierungen</x:v>
      </x:c>
      <x:c r="H20" s="63" t="str">
        <x:v>REFERENCE</x:v>
      </x:c>
      <x:c r="I20" s="63" t="str">
        <x:v>n/a</x:v>
      </x:c>
      <x:c r="J20" s="63" t="str">
        <x:v>Wurzel, SuperVit, PowerZyme, TNT, Coco, PK, Boost</x:v>
      </x:c>
      <x:c r="K20" s="63" t="str">
        <x:v>Offizielle Bestätigung der HESI-Reference-Architektur</x:v>
      </x:c>
      <x:c r="L20" s="35" t="str">
        <x:v>https://hesi.nl/de/StarterBox</x:v>
      </x:c>
    </x:row>
    <x:row r="21">
      <x:c r="A21" s="34" t="str">
        <x:v>HESI</x:v>
      </x:c>
      <x:c r="B21" s="63" t="str">
        <x:v>Hesi Pack</x:v>
      </x:c>
      <x:c r="C21" s="63" t="str">
        <x:v>Pack</x:v>
      </x:c>
      <x:c r="D21" s="63" t="str">
        <x:v>Systempack</x:v>
      </x:c>
      <x:c r="E21" s="63" t="str">
        <x:v>gesamter Zyklus</x:v>
      </x:c>
      <x:c r="F21" s="63" t="str">
        <x:v>primär Erde</x:v>
      </x:c>
      <x:c r="G21" s="63" t="str">
        <x:v>Pack</x:v>
      </x:c>
      <x:c r="H21" s="63" t="str">
        <x:v>EXCLUDE</x:v>
      </x:c>
      <x:c r="I21" s="63" t="str">
        <x:v>n/a</x:v>
      </x:c>
      <x:c r="J21" s="63" t="str">
        <x:v>TNT/Blüh/Phosphor Plus/Boost</x:v>
      </x:c>
      <x:c r="K21" s="63" t="str">
        <x:v>Nicht Coco-spezifisch</x:v>
      </x:c>
      <x:c r="L21" s="35" t="str">
        <x:v>https://hesi.nl/de/Hesi-Pack</x:v>
      </x:c>
    </x:row>
    <x:row r="22">
      <x:c r="A22" s="34" t="str">
        <x:v>Advanced Nutrients</x:v>
      </x:c>
      <x:c r="B22" s="63" t="str">
        <x:v>pH Perfect Sensi Coco Grow &amp; Bloom</x:v>
      </x:c>
      <x:c r="C22" s="63" t="str">
        <x:v>pH Perfect Basis</x:v>
      </x:c>
      <x:c r="D22" s="63" t="str">
        <x:v>Coco Vollbasis</x:v>
      </x:c>
      <x:c r="E22" s="63" t="str">
        <x:v>Veg/Blüte</x:v>
      </x:c>
      <x:c r="F22" s="63" t="str">
        <x:v>Coco: ja</x:v>
      </x:c>
      <x:c r="G22" s="63" t="str">
        <x:v>Grow A+B: 1→4 ml/L; Bloom A+B typ. 4 ml/L</x:v>
      </x:c>
      <x:c r="H22" s="63" t="str">
        <x:v>ALTERNATIVE BASE</x:v>
      </x:c>
      <x:c r="I22" s="63" t="str">
        <x:v>Ja</x:v>
      </x:c>
      <x:c r="J22" s="63" t="str">
        <x:v>Ca/Mg/Fe chelatiert; pH Perfect</x:v>
      </x:c>
      <x:c r="K22" s="63" t="str">
        <x:v>Alternative zum HESI-Basisweg; nicht parallel mit HESI TNT/Coco</x:v>
      </x:c>
      <x:c r="L22" s="35" t="str">
        <x:v>https://www.advancednutrients.com/de/products/ph-perfect-sensi-coco-grow-bloom/</x:v>
      </x:c>
    </x:row>
    <x:row r="23">
      <x:c r="A23" s="34" t="str">
        <x:v>Advanced Nutrients</x:v>
      </x:c>
      <x:c r="B23" s="63" t="str">
        <x:v>pH Perfect Sensi Grow &amp; Bloom</x:v>
      </x:c>
      <x:c r="C23" s="63" t="str">
        <x:v>pH Perfect Basis</x:v>
      </x:c>
      <x:c r="D23" s="63" t="str">
        <x:v>Vollbasis</x:v>
      </x:c>
      <x:c r="E23" s="63" t="str">
        <x:v>Veg/Blüte</x:v>
      </x:c>
      <x:c r="F23" s="63" t="str">
        <x:v>Hydro/soilless</x:v>
      </x:c>
      <x:c r="G23" s="63" t="str">
        <x:v>Herstellerschema</x:v>
      </x:c>
      <x:c r="H23" s="63" t="str">
        <x:v>ALT BASE</x:v>
      </x:c>
      <x:c r="I23" s="63" t="str">
        <x:v>Ja</x:v>
      </x:c>
      <x:c r="J23" s="63" t="str">
        <x:v>2-Komponenten, pH Perfect</x:v>
      </x:c>
      <x:c r="K23" s="63" t="str">
        <x:v>Sensi Coco ist für UKD-Coco passender</x:v>
      </x:c>
      <x:c r="L23" s="35" t="str">
        <x:v>https://www.advancednutrients.com/de/products/ph-perfect-sensi-grow-bloom/</x:v>
      </x:c>
    </x:row>
    <x:row r="24">
      <x:c r="A24" s="34" t="str">
        <x:v>Advanced Nutrients</x:v>
      </x:c>
      <x:c r="B24" s="63" t="str">
        <x:v>pH Perfect Grow Micro Bloom</x:v>
      </x:c>
      <x:c r="C24" s="63" t="str">
        <x:v>pH Perfect Basis</x:v>
      </x:c>
      <x:c r="D24" s="63" t="str">
        <x:v>3-Part Vollbasis</x:v>
      </x:c>
      <x:c r="E24" s="63" t="str">
        <x:v>Veg/Blüte</x:v>
      </x:c>
      <x:c r="F24" s="63" t="str">
        <x:v>Hydro/Coco</x:v>
      </x:c>
      <x:c r="G24" s="63" t="str">
        <x:v>1→4 ml/L je Teil; Blüte typ. 4 ml/L je Teil</x:v>
      </x:c>
      <x:c r="H24" s="63" t="str">
        <x:v>ALT BASE</x:v>
      </x:c>
      <x:c r="I24" s="63" t="str">
        <x:v>Ja</x:v>
      </x:c>
      <x:c r="J24" s="63" t="str">
        <x:v>3-Komponenten, pH Perfect</x:v>
      </x:c>
      <x:c r="K24" s="63" t="str">
        <x:v>Nicht zusammen mit HESI-Basen</x:v>
      </x:c>
      <x:c r="L24" s="35" t="str">
        <x:v>https://www.advancednutrients.com/de/products/ph-perfect-grow-micro-bloom/</x:v>
      </x:c>
    </x:row>
    <x:row r="25">
      <x:c r="A25" s="34" t="str">
        <x:v>Advanced Nutrients</x:v>
      </x:c>
      <x:c r="B25" s="63" t="str">
        <x:v>pH Perfect Connoisseur Grow &amp; Bloom</x:v>
      </x:c>
      <x:c r="C25" s="63" t="str">
        <x:v>pH Perfect Basis</x:v>
      </x:c>
      <x:c r="D25" s="63" t="str">
        <x:v>Premium Vollbasis</x:v>
      </x:c>
      <x:c r="E25" s="63" t="str">
        <x:v>Veg/Blüte</x:v>
      </x:c>
      <x:c r="F25" s="63" t="str">
        <x:v>Hydro/soilless</x:v>
      </x:c>
      <x:c r="G25" s="63" t="str">
        <x:v>Herstellerschema</x:v>
      </x:c>
      <x:c r="H25" s="63" t="str">
        <x:v>ALT BASE</x:v>
      </x:c>
      <x:c r="I25" s="63" t="str">
        <x:v>Ja</x:v>
      </x:c>
      <x:c r="J25" s="63" t="str">
        <x:v>Premium 2-Part, pH Perfect</x:v>
      </x:c>
      <x:c r="K25" s="63" t="str">
        <x:v>Für UKD kein Vorteil gegenüber Coco-spezifischer Basis nachgewiesen</x:v>
      </x:c>
      <x:c r="L25" s="35" t="str">
        <x:v>https://www.advancednutrients.com/products/</x:v>
      </x:c>
    </x:row>
    <x:row r="26">
      <x:c r="A26" s="34" t="str">
        <x:v>Advanced Nutrients</x:v>
      </x:c>
      <x:c r="B26" s="63" t="str">
        <x:v>Jungle Juice Grow/Micro/Bloom</x:v>
      </x:c>
      <x:c r="C26" s="63" t="str">
        <x:v>Basis</x:v>
      </x:c>
      <x:c r="D26" s="63" t="str">
        <x:v>3-Part Vollbasis</x:v>
      </x:c>
      <x:c r="E26" s="63" t="str">
        <x:v>Veg/Blüte</x:v>
      </x:c>
      <x:c r="F26" s="63" t="str">
        <x:v>Hydro/Coco</x:v>
      </x:c>
      <x:c r="G26" s="63" t="str">
        <x:v>Herstellerschema</x:v>
      </x:c>
      <x:c r="H26" s="63" t="str">
        <x:v>EXCLUDE</x:v>
      </x:c>
      <x:c r="I26" s="63" t="str">
        <x:v>Ja</x:v>
      </x:c>
      <x:c r="J26" s="63" t="str">
        <x:v>anpassbare 3-Part Basis</x:v>
      </x:c>
      <x:c r="K26" s="63" t="str">
        <x:v>Nicht zusätzlich zu HESI</x:v>
      </x:c>
      <x:c r="L26" s="35" t="str">
        <x:v>https://www.advancednutrients.com/products/</x:v>
      </x:c>
    </x:row>
    <x:row r="27">
      <x:c r="A27" s="34" t="str">
        <x:v>Advanced Nutrients</x:v>
      </x:c>
      <x:c r="B27" s="63" t="str">
        <x:v>Sensi Terra Series</x:v>
      </x:c>
      <x:c r="C27" s="63" t="str">
        <x:v>Basis</x:v>
      </x:c>
      <x:c r="D27" s="63" t="str">
        <x:v>Soil/soilless Basis</x:v>
      </x:c>
      <x:c r="E27" s="63" t="str">
        <x:v>Veg/Blüte</x:v>
      </x:c>
      <x:c r="F27" s="63" t="str">
        <x:v>Erde/soilless</x:v>
      </x:c>
      <x:c r="G27" s="63" t="str">
        <x:v>Herstellerschema</x:v>
      </x:c>
      <x:c r="H27" s="63" t="str">
        <x:v>EXCLUDE</x:v>
      </x:c>
      <x:c r="I27" s="63" t="str">
        <x:v>Bedingt</x:v>
      </x:c>
      <x:c r="J27" s="63" t="str">
        <x:v>Terra-Basis</x:v>
      </x:c>
      <x:c r="K27" s="63" t="str">
        <x:v>Nicht UKD-Coco priorisiert</x:v>
      </x:c>
      <x:c r="L27" s="35" t="str">
        <x:v>https://www.advancednutrients.com/products/</x:v>
      </x:c>
    </x:row>
    <x:row r="28">
      <x:c r="A28" s="34" t="str">
        <x:v>Advanced Nutrients</x:v>
      </x:c>
      <x:c r="B28" s="63" t="str">
        <x:v>Heavy Harvest</x:v>
      </x:c>
      <x:c r="C28" s="63" t="str">
        <x:v>Granular Basis</x:v>
      </x:c>
      <x:c r="D28" s="63" t="str">
        <x:v>Outdoor Topdress</x:v>
      </x:c>
      <x:c r="E28" s="63" t="str">
        <x:v>Veg/Blüte</x:v>
      </x:c>
      <x:c r="F28" s="63" t="str">
        <x:v>Outdoor</x:v>
      </x:c>
      <x:c r="G28" s="63" t="str">
        <x:v>Topdress 1–2×/Monat</x:v>
      </x:c>
      <x:c r="H28" s="63" t="str">
        <x:v>EXCLUDE</x:v>
      </x:c>
      <x:c r="I28" s="63" t="str">
        <x:v>Nein</x:v>
      </x:c>
      <x:c r="J28" s="63" t="str">
        <x:v>Granulat</x:v>
      </x:c>
      <x:c r="K28" s="63" t="str">
        <x:v>Nicht für den UKD-Coco-Reference-Run</x:v>
      </x:c>
      <x:c r="L28" s="35" t="str">
        <x:v>https://www.advancednutrients.com/products/</x:v>
      </x:c>
    </x:row>
    <x:row r="29">
      <x:c r="A29" s="34" t="str">
        <x:v>Advanced Nutrients</x:v>
      </x:c>
      <x:c r="B29" s="63" t="str">
        <x:v>Cultivator Series</x:v>
      </x:c>
      <x:c r="C29" s="63" t="str">
        <x:v>Pulver Basis</x:v>
      </x:c>
      <x:c r="D29" s="63" t="str">
        <x:v>Commercial salts</x:v>
      </x:c>
      <x:c r="E29" s="63" t="str">
        <x:v>Veg/Blüte</x:v>
      </x:c>
      <x:c r="F29" s="63" t="str">
        <x:v>Hydro/Coco</x:v>
      </x:c>
      <x:c r="G29" s="63" t="str">
        <x:v>Herstellerschema</x:v>
      </x:c>
      <x:c r="H29" s="63" t="str">
        <x:v>EXPERIMENTAL</x:v>
      </x:c>
      <x:c r="I29" s="63" t="str">
        <x:v>Ja</x:v>
      </x:c>
      <x:c r="J29" s="63" t="str">
        <x:v>wasserlösliche Salze</x:v>
      </x:c>
      <x:c r="K29" s="63" t="str">
        <x:v>Professionelle Alternative, nicht Reference</x:v>
      </x:c>
      <x:c r="L29" s="35" t="str">
        <x:v>https://www.advancednutrients.com/products/</x:v>
      </x:c>
    </x:row>
    <x:row r="30">
      <x:c r="A30" s="34" t="str">
        <x:v>Advanced Nutrients</x:v>
      </x:c>
      <x:c r="B30" s="63" t="str">
        <x:v>OG Organics Iguana Juice Grow &amp; Bloom</x:v>
      </x:c>
      <x:c r="C30" s="63" t="str">
        <x:v>Bio-Basis</x:v>
      </x:c>
      <x:c r="D30" s="63" t="str">
        <x:v>organische Vollbasis</x:v>
      </x:c>
      <x:c r="E30" s="63" t="str">
        <x:v>Veg/Blüte</x:v>
      </x:c>
      <x:c r="F30" s="63" t="str">
        <x:v>Bio/Soil</x:v>
      </x:c>
      <x:c r="G30" s="63" t="str">
        <x:v>Herstellerschema</x:v>
      </x:c>
      <x:c r="H30" s="63" t="str">
        <x:v>EXCLUDE</x:v>
      </x:c>
      <x:c r="I30" s="63" t="str">
        <x:v>UKD Reference: vermeiden / organische Reservoirkomplexität</x:v>
      </x:c>
      <x:c r="J30" s="63" t="str">
        <x:v>organische Inputs</x:v>
      </x:c>
      <x:c r="K30" s="63" t="str">
        <x:v>Reservoir-/Biofilmkomplexität und Systemwechsel</x:v>
      </x:c>
      <x:c r="L30" s="35" t="str">
        <x:v>https://www.advancednutrients.com/products/</x:v>
      </x:c>
    </x:row>
    <x:row r="31">
      <x:c r="A31" s="34" t="str">
        <x:v>Advanced Nutrients</x:v>
      </x:c>
      <x:c r="B31" s="63" t="str">
        <x:v>Voodoo Juice</x:v>
      </x:c>
      <x:c r="C31" s="63" t="str">
        <x:v>Root Microbes</x:v>
      </x:c>
      <x:c r="D31" s="63" t="str">
        <x:v>Bacillus-Inokulum</x:v>
      </x:c>
      <x:c r="E31" s="63" t="str">
        <x:v>Veg W1-2; Blüte W1-2</x:v>
      </x:c>
      <x:c r="F31" s="63" t="str">
        <x:v>Coco: ja</x:v>
      </x:c>
      <x:c r="G31" s="63" t="str">
        <x:v>2 ml/L</x:v>
      </x:c>
      <x:c r="H31" s="63" t="str">
        <x:v>CORE HYBRID</x:v>
      </x:c>
      <x:c r="I31" s="63" t="str">
        <x:v>Manual/fresh</x:v>
      </x:c>
      <x:c r="J31" s="63" t="str">
        <x:v>4 Bacillus-Stämme; 0-0-0</x:v>
      </x:c>
      <x:c r="K31" s="63" t="str">
        <x:v>Mit HESI technisch kompatibel; kurz und frisch statt Dauertank</x:v>
      </x:c>
      <x:c r="L31" s="35" t="str">
        <x:v>https://www.advancednutrients.com/de/products/voodoo-juice/</x:v>
      </x:c>
    </x:row>
    <x:row r="32">
      <x:c r="A32" s="34" t="str">
        <x:v>Advanced Nutrients</x:v>
      </x:c>
      <x:c r="B32" s="63" t="str">
        <x:v>Voodoo Juice Plus</x:v>
      </x:c>
      <x:c r="C32" s="63" t="str">
        <x:v>Root Microbes</x:v>
      </x:c>
      <x:c r="D32" s="63" t="str">
        <x:v>3-in-1 Mikroben</x:v>
      </x:c>
      <x:c r="E32" s="63" t="str">
        <x:v>frühe Veg/Blüte</x:v>
      </x:c>
      <x:c r="F32" s="63" t="str">
        <x:v>Coco: ja</x:v>
      </x:c>
      <x:c r="G32" s="63" t="str">
        <x:v>Produktchart, Tabletten</x:v>
      </x:c>
      <x:c r="H32" s="63" t="str">
        <x:v>A/B ONLY</x:v>
      </x:c>
      <x:c r="I32" s="63" t="str">
        <x:v>Manual/fresh</x:v>
      </x:c>
      <x:c r="J32" s="63" t="str">
        <x:v>kombiniert mehrere Mikrobenstämme</x:v>
      </x:c>
      <x:c r="K32" s="63" t="str">
        <x:v>Ersetzt Voodoo+Piranha+Tarantula, nicht zusätzlich dazu</x:v>
      </x:c>
      <x:c r="L32" s="35" t="str">
        <x:v>https://www.advancednutrients.com/de/products/voodoo-juice-plus/</x:v>
      </x:c>
    </x:row>
    <x:row r="33">
      <x:c r="A33" s="34" t="str">
        <x:v>Advanced Nutrients</x:v>
      </x:c>
      <x:c r="B33" s="63" t="str">
        <x:v>Piranha</x:v>
      </x:c>
      <x:c r="C33" s="63" t="str">
        <x:v>Root Microbes</x:v>
      </x:c>
      <x:c r="D33" s="63" t="str">
        <x:v>Pilze/Mykorrhiza</x:v>
      </x:c>
      <x:c r="E33" s="63" t="str">
        <x:v>Veg W1-2; Blüte W1-2</x:v>
      </x:c>
      <x:c r="F33" s="63" t="str">
        <x:v>Coco: ja</x:v>
      </x:c>
      <x:c r="G33" s="63" t="str">
        <x:v>2 ml/L</x:v>
      </x:c>
      <x:c r="H33" s="63" t="str">
        <x:v>A/B ONLY</x:v>
      </x:c>
      <x:c r="I33" s="63" t="str">
        <x:v>Manual/fresh</x:v>
      </x:c>
      <x:c r="J33" s="63" t="str">
        <x:v>nützliche Pilze</x:v>
      </x:c>
      <x:c r="K33" s="63" t="str">
        <x:v>UGro Rhiza enthält bereits Pilzkomponente -&gt; hohe Redundanz</x:v>
      </x:c>
      <x:c r="L33" s="35" t="str">
        <x:v>https://www.advancednutrients.com/de/products/piranha/</x:v>
      </x:c>
    </x:row>
    <x:row r="34">
      <x:c r="A34" s="34" t="str">
        <x:v>Advanced Nutrients</x:v>
      </x:c>
      <x:c r="B34" s="63" t="str">
        <x:v>Tarantula</x:v>
      </x:c>
      <x:c r="C34" s="63" t="str">
        <x:v>Root Microbes</x:v>
      </x:c>
      <x:c r="D34" s="63" t="str">
        <x:v>Bakterien</x:v>
      </x:c>
      <x:c r="E34" s="63" t="str">
        <x:v>Veg W1-2; Blüte W1-2</x:v>
      </x:c>
      <x:c r="F34" s="63" t="str">
        <x:v>Coco: ja</x:v>
      </x:c>
      <x:c r="G34" s="63" t="str">
        <x:v>2 ml/L</x:v>
      </x:c>
      <x:c r="H34" s="63" t="str">
        <x:v>A/B ONLY</x:v>
      </x:c>
      <x:c r="I34" s="63" t="str">
        <x:v>Manual/fresh</x:v>
      </x:c>
      <x:c r="J34" s="63" t="str">
        <x:v>zusätzliche Bakterien</x:v>
      </x:c>
      <x:c r="K34" s="63" t="str">
        <x:v>Mit Voodoo möglich, aber im UKD Reference unnötige Variable</x:v>
      </x:c>
      <x:c r="L34" s="35" t="str">
        <x:v>https://www.advancednutrients.com/de/products/tarantula/</x:v>
      </x:c>
    </x:row>
    <x:row r="35">
      <x:c r="A35" s="34" t="str">
        <x:v>Advanced Nutrients</x:v>
      </x:c>
      <x:c r="B35" s="63" t="str">
        <x:v>B-52</x:v>
      </x:c>
      <x:c r="C35" s="63" t="str">
        <x:v>Biostimulant</x:v>
      </x:c>
      <x:c r="D35" s="63" t="str">
        <x:v>B-Vitamine/Kelp/Humin</x:v>
      </x:c>
      <x:c r="E35" s="63" t="str">
        <x:v>Veg W1-4; Blüte W3-7</x:v>
      </x:c>
      <x:c r="F35" s="63" t="str">
        <x:v>Coco: ja</x:v>
      </x:c>
      <x:c r="G35" s="63" t="str">
        <x:v>2 ml/L</x:v>
      </x:c>
      <x:c r="H35" s="63" t="str">
        <x:v>OPTION/A-B</x:v>
      </x:c>
      <x:c r="I35" s="63" t="str">
        <x:v>Bedingt</x:v>
      </x:c>
      <x:c r="J35" s="63" t="str">
        <x:v>B-Vitamine, Kelp, Huminsäure</x:v>
      </x:c>
      <x:c r="K35" s="63" t="str">
        <x:v>Teilweise redundant zu SuperVit/Wurzel/Boost; nicht Reference nötig</x:v>
      </x:c>
      <x:c r="L35" s="35" t="str">
        <x:v>https://www.advancednutrients.com/de/products/b-52/</x:v>
      </x:c>
    </x:row>
    <x:row r="36">
      <x:c r="A36" s="34" t="str">
        <x:v>Advanced Nutrients</x:v>
      </x:c>
      <x:c r="B36" s="63" t="str">
        <x:v>Rhino Skin</x:v>
      </x:c>
      <x:c r="C36" s="63" t="str">
        <x:v>Silica</x:v>
      </x:c>
      <x:c r="D36" s="63" t="str">
        <x:v>Kaliumsilikat</x:v>
      </x:c>
      <x:c r="E36" s="63" t="str">
        <x:v>Veg + Blüte</x:v>
      </x:c>
      <x:c r="F36" s="63" t="str">
        <x:v>Coco: ja</x:v>
      </x:c>
      <x:c r="G36" s="63" t="str">
        <x:v>2 ml/L</x:v>
      </x:c>
      <x:c r="H36" s="63" t="str">
        <x:v>A/B ONLY</x:v>
      </x:c>
      <x:c r="I36" s="63" t="str">
        <x:v>Ja</x:v>
      </x:c>
      <x:c r="J36" s="63" t="str">
        <x:v>K-Silikat; 0-0-0.4</x:v>
      </x:c>
      <x:c r="K36" s="63" t="str">
        <x:v>Alternative zu Hesilicio; nicht beide</x:v>
      </x:c>
      <x:c r="L36" s="35" t="str">
        <x:v>https://www.advancednutrients.com/de/products/rhino-skin/</x:v>
      </x:c>
    </x:row>
    <x:row r="37">
      <x:c r="A37" s="34" t="str">
        <x:v>Advanced Nutrients</x:v>
      </x:c>
      <x:c r="B37" s="63" t="str">
        <x:v>Sensizym</x:v>
      </x:c>
      <x:c r="C37" s="63" t="str">
        <x:v>Enzyme</x:v>
      </x:c>
      <x:c r="D37" s="63" t="str">
        <x:v>Enzym-Conditioner</x:v>
      </x:c>
      <x:c r="E37" s="63" t="str">
        <x:v>Veg + Blüte</x:v>
      </x:c>
      <x:c r="F37" s="63" t="str">
        <x:v>Coco: ja</x:v>
      </x:c>
      <x:c r="G37" s="63" t="str">
        <x:v>2 ml/L</x:v>
      </x:c>
      <x:c r="H37" s="63" t="str">
        <x:v>A/B ONLY</x:v>
      </x:c>
      <x:c r="I37" s="63" t="str">
        <x:v>Ja</x:v>
      </x:c>
      <x:c r="J37" s="63" t="str">
        <x:v>Xylanase/Cellulase/Beta-Glucanase</x:v>
      </x:c>
      <x:c r="K37" s="63" t="str">
        <x:v>Alternative zu PowerZyme; nicht beide im Reference</x:v>
      </x:c>
      <x:c r="L37" s="35" t="str">
        <x:v>https://www.advancednutrients.com/de/products/sensizym/</x:v>
      </x:c>
    </x:row>
    <x:row r="38">
      <x:c r="A38" s="34" t="str">
        <x:v>Advanced Nutrients</x:v>
      </x:c>
      <x:c r="B38" s="63" t="str">
        <x:v>Big Bud</x:v>
      </x:c>
      <x:c r="C38" s="63" t="str">
        <x:v>Bloom Booster</x:v>
      </x:c>
      <x:c r="D38" s="63" t="str">
        <x:v>PK-Bulker</x:v>
      </x:c>
      <x:c r="E38" s="63" t="str">
        <x:v>Blüte W2-5</x:v>
      </x:c>
      <x:c r="F38" s="63" t="str">
        <x:v>Coco: ja</x:v>
      </x:c>
      <x:c r="G38" s="63" t="str">
        <x:v>2 ml/L</x:v>
      </x:c>
      <x:c r="H38" s="63" t="str">
        <x:v>A/B BLOOM</x:v>
      </x:c>
      <x:c r="I38" s="63" t="str">
        <x:v>Ja</x:v>
      </x:c>
      <x:c r="J38" s="63" t="str">
        <x:v>PK-lastig</x:v>
      </x:c>
      <x:c r="K38" s="63" t="str">
        <x:v>Alternative zu HESI PK; nicht blind stacken</x:v>
      </x:c>
      <x:c r="L38" s="35" t="str">
        <x:v>https://www.advancednutrients.com/products/big-bud/</x:v>
      </x:c>
    </x:row>
    <x:row r="39">
      <x:c r="A39" s="34" t="str">
        <x:v>Advanced Nutrients</x:v>
      </x:c>
      <x:c r="B39" s="63" t="str">
        <x:v>Big Bud Coco</x:v>
      </x:c>
      <x:c r="C39" s="63" t="str">
        <x:v>Coco Bloom Booster</x:v>
      </x:c>
      <x:c r="D39" s="63" t="str">
        <x:v>PK + Ca/Mg/Fe</x:v>
      </x:c>
      <x:c r="E39" s="63" t="str">
        <x:v>Blüte W2-5</x:v>
      </x:c>
      <x:c r="F39" s="63" t="str">
        <x:v>Coco: ja</x:v>
      </x:c>
      <x:c r="G39" s="63" t="str">
        <x:v>2 ml/L</x:v>
      </x:c>
      <x:c r="H39" s="63" t="str">
        <x:v>A/B BLOOM</x:v>
      </x:c>
      <x:c r="I39" s="63" t="str">
        <x:v>Bedingt</x:v>
      </x:c>
      <x:c r="J39" s="63" t="str">
        <x:v>PK 0-4-4 + Ca/Mg/Fe</x:v>
      </x:c>
      <x:c r="K39" s="63" t="str">
        <x:v>Stärker redundant mit HESI Coco/CalMag/PK; Reserve für AN-Coco-Test</x:v>
      </x:c>
      <x:c r="L39" s="35" t="str">
        <x:v>https://www.advancednutrients.com/de/products/big-bud-coco/</x:v>
      </x:c>
    </x:row>
    <x:row r="40">
      <x:c r="A40" s="34" t="str">
        <x:v>Advanced Nutrients</x:v>
      </x:c>
      <x:c r="B40" s="63" t="str">
        <x:v>Bud Ignitor</x:v>
      </x:c>
      <x:c r="C40" s="63" t="str">
        <x:v>Bloom Booster</x:v>
      </x:c>
      <x:c r="D40" s="63" t="str">
        <x:v>Early PK/Kelp</x:v>
      </x:c>
      <x:c r="E40" s="63" t="str">
        <x:v>Blüte W1-2</x:v>
      </x:c>
      <x:c r="F40" s="63" t="str">
        <x:v>Coco: ja</x:v>
      </x:c>
      <x:c r="G40" s="63" t="str">
        <x:v>2 ml/L</x:v>
      </x:c>
      <x:c r="H40" s="63" t="str">
        <x:v>A/B ONLY</x:v>
      </x:c>
      <x:c r="I40" s="63" t="str">
        <x:v>Ja</x:v>
      </x:c>
      <x:c r="J40" s="63" t="str">
        <x:v>Frühblüte-PK + Kelp</x:v>
      </x:c>
      <x:c r="K40" s="63" t="str">
        <x:v>Nicht parallel mit frühem HESI PK/mehreren PK-Bulkern</x:v>
      </x:c>
      <x:c r="L40" s="35" t="str">
        <x:v>https://www.advancednutrients.com/de/products/bud-ignitor/</x:v>
      </x:c>
    </x:row>
    <x:row r="41">
      <x:c r="A41" s="34" t="str">
        <x:v>Advanced Nutrients</x:v>
      </x:c>
      <x:c r="B41" s="63" t="str">
        <x:v>Overdrive</x:v>
      </x:c>
      <x:c r="C41" s="63" t="str">
        <x:v>Bloom Finisher</x:v>
      </x:c>
      <x:c r="D41" s="63" t="str">
        <x:v>PK/Mg</x:v>
      </x:c>
      <x:c r="E41" s="63" t="str">
        <x:v>Blüte W6-7</x:v>
      </x:c>
      <x:c r="F41" s="63" t="str">
        <x:v>Coco: ja</x:v>
      </x:c>
      <x:c r="G41" s="63" t="str">
        <x:v>2 ml/L</x:v>
      </x:c>
      <x:c r="H41" s="63" t="str">
        <x:v>A/B ONLY</x:v>
      </x:c>
      <x:c r="I41" s="63" t="str">
        <x:v>Ja</x:v>
      </x:c>
      <x:c r="J41" s="63" t="str">
        <x:v>NPK 1-5-4, Mg</x:v>
      </x:c>
      <x:c r="K41" s="63" t="str">
        <x:v>Späte Alternative; nicht zusätzlich zu hohem HESI PK</x:v>
      </x:c>
      <x:c r="L41" s="35" t="str">
        <x:v>https://www.advancednutrients.com/de/products/overdrive/</x:v>
      </x:c>
    </x:row>
    <x:row r="42">
      <x:c r="A42" s="34" t="str">
        <x:v>Advanced Nutrients</x:v>
      </x:c>
      <x:c r="B42" s="63" t="str">
        <x:v>Hammerhead</x:v>
      </x:c>
      <x:c r="C42" s="63" t="str">
        <x:v>Bloom Booster</x:v>
      </x:c>
      <x:c r="D42" s="63" t="str">
        <x:v>PK</x:v>
      </x:c>
      <x:c r="E42" s="63" t="str">
        <x:v>Blüte</x:v>
      </x:c>
      <x:c r="F42" s="63" t="str">
        <x:v>Coco: ja</x:v>
      </x:c>
      <x:c r="G42" s="63" t="str">
        <x:v>Herstellerschema</x:v>
      </x:c>
      <x:c r="H42" s="63" t="str">
        <x:v>EXCLUDE/A-B</x:v>
      </x:c>
      <x:c r="I42" s="63" t="str">
        <x:v>Ja</x:v>
      </x:c>
      <x:c r="J42" s="63" t="str">
        <x:v>PK-Verhältnis 1:3 laut Hersteller</x:v>
      </x:c>
      <x:c r="K42" s="63" t="str">
        <x:v>Noch ein PK-Bulker; kein Bedarf neben PK/Big Bud</x:v>
      </x:c>
      <x:c r="L42" s="35" t="str">
        <x:v>https://www.advancednutrients.com/products/</x:v>
      </x:c>
    </x:row>
    <x:row r="43">
      <x:c r="A43" s="34" t="str">
        <x:v>Advanced Nutrients</x:v>
      </x:c>
      <x:c r="B43" s="63" t="str">
        <x:v>Bud Candy</x:v>
      </x:c>
      <x:c r="C43" s="63" t="str">
        <x:v>Carbohydrate</x:v>
      </x:c>
      <x:c r="D43" s="63" t="str">
        <x:v>Kohlenhydrate + Mg</x:v>
      </x:c>
      <x:c r="E43" s="63" t="str">
        <x:v>Veg/Blüte lt. Chart</x:v>
      </x:c>
      <x:c r="F43" s="63" t="str">
        <x:v>Coco: ja</x:v>
      </x:c>
      <x:c r="G43" s="63" t="str">
        <x:v>2 ml/L</x:v>
      </x:c>
      <x:c r="H43" s="63" t="str">
        <x:v>A/B ONLY</x:v>
      </x:c>
      <x:c r="I43" s="63" t="str">
        <x:v>Avoid tank</x:v>
      </x:c>
      <x:c r="J43" s="63" t="str">
        <x:v>Kohlenhydrate + Mg</x:v>
      </x:c>
      <x:c r="K43" s="63" t="str">
        <x:v>Mit HESI Boost/CarboLoad funktionell redundant; Mikroben/Biofilm beachten</x:v>
      </x:c>
      <x:c r="L43" s="35" t="str">
        <x:v>https://www.advancednutrients.com/products/</x:v>
      </x:c>
    </x:row>
    <x:row r="44">
      <x:c r="A44" s="34" t="str">
        <x:v>Advanced Nutrients</x:v>
      </x:c>
      <x:c r="B44" s="63" t="str">
        <x:v>CarboLoad</x:v>
      </x:c>
      <x:c r="C44" s="63" t="str">
        <x:v>Carbohydrate</x:v>
      </x:c>
      <x:c r="D44" s="63" t="str">
        <x:v>Kohlenhydrate</x:v>
      </x:c>
      <x:c r="E44" s="63" t="str">
        <x:v>Veg W1-4; Blüte W1-7</x:v>
      </x:c>
      <x:c r="F44" s="63" t="str">
        <x:v>Coco: ja</x:v>
      </x:c>
      <x:c r="G44" s="63" t="str">
        <x:v>2 ml/L</x:v>
      </x:c>
      <x:c r="H44" s="63" t="str">
        <x:v>EXCLUDE/A-B</x:v>
      </x:c>
      <x:c r="I44" s="63" t="str">
        <x:v>Avoid tank</x:v>
      </x:c>
      <x:c r="J44" s="63" t="str">
        <x:v>Glukose/Xylose, 0-0-0</x:v>
      </x:c>
      <x:c r="K44" s="63" t="str">
        <x:v>Bud Candy/HESI Boost ähnlich; keine 3 Zuckerprodukte</x:v>
      </x:c>
      <x:c r="L44" s="35" t="str">
        <x:v>https://www.advancednutrients.com/de/secret-menu/carboload/</x:v>
      </x:c>
    </x:row>
    <x:row r="45">
      <x:c r="A45" s="34" t="str">
        <x:v>Advanced Nutrients</x:v>
      </x:c>
      <x:c r="B45" s="63" t="str">
        <x:v>Flawless Finish</x:v>
      </x:c>
      <x:c r="C45" s="63" t="str">
        <x:v>Finish</x:v>
      </x:c>
      <x:c r="D45" s="63" t="str">
        <x:v>Chelat-/Finishlösung</x:v>
      </x:c>
      <x:c r="E45" s="63" t="str">
        <x:v>Flush</x:v>
      </x:c>
      <x:c r="F45" s="63" t="str">
        <x:v>Coco: ja</x:v>
      </x:c>
      <x:c r="G45" s="63" t="str">
        <x:v>2 ml/L</x:v>
      </x:c>
      <x:c r="H45" s="63" t="str">
        <x:v>A/B ONLY</x:v>
      </x:c>
      <x:c r="I45" s="63" t="str">
        <x:v>Ja</x:v>
      </x:c>
      <x:c r="J45" s="63" t="str">
        <x:v>Finishlösung, Mg-Sulfat/Chelate laut Hersteller</x:v>
      </x:c>
      <x:c r="K45" s="63" t="str">
        <x:v>Wissenschaftlicher Zusatznutzen ggü. sauberem Endregime nicht belegt</x:v>
      </x:c>
      <x:c r="L45" s="35" t="str">
        <x:v>https://www.advancednutrients.com/de/products/flawless-finish/</x:v>
      </x:c>
    </x:row>
    <x:row r="46">
      <x:c r="A46" s="34" t="str">
        <x:v>Advanced Nutrients</x:v>
      </x:c>
      <x:c r="B46" s="63" t="str">
        <x:v>Sensi Cal Mag Xtra</x:v>
      </x:c>
      <x:c r="C46" s="63" t="str">
        <x:v>CalMag</x:v>
      </x:c>
      <x:c r="D46" s="63" t="str">
        <x:v>Ca/Mg/Fe/Mn/Zn</x:v>
      </x:c>
      <x:c r="E46" s="63" t="str">
        <x:v>bei Mangel/Bedarf</x:v>
      </x:c>
      <x:c r="F46" s="63" t="str">
        <x:v>Coco: ja</x:v>
      </x:c>
      <x:c r="G46" s="63" t="str">
        <x:v>2 ml/L; ggf. nach 1 Woche</x:v>
      </x:c>
      <x:c r="H46" s="63" t="str">
        <x:v>CONDITIONAL ALT</x:v>
      </x:c>
      <x:c r="I46" s="63" t="str">
        <x:v>Ja</x:v>
      </x:c>
      <x:c r="J46" s="63" t="str">
        <x:v>NPK 4-0-0 + Chelate</x:v>
      </x:c>
      <x:c r="K46" s="63" t="str">
        <x:v>Alternative zu HESI CalMag, nicht zusammen standardmäßig</x:v>
      </x:c>
      <x:c r="L46" s="35" t="str">
        <x:v>https://www.advancednutrients.com/products/sensi-cal-mag-xtra/</x:v>
      </x:c>
    </x:row>
    <x:row r="47">
      <x:c r="A47" s="34" t="str">
        <x:v>Advanced Nutrients</x:v>
      </x:c>
      <x:c r="B47" s="63" t="str">
        <x:v>Revive</x:v>
      </x:c>
      <x:c r="C47" s="63" t="str">
        <x:v>First aid</x:v>
      </x:c>
      <x:c r="D47" s="63" t="str">
        <x:v>Ca/Mg/Fe + N</x:v>
      </x:c>
      <x:c r="E47" s="63" t="str">
        <x:v>Stress/Mangel</x:v>
      </x:c>
      <x:c r="F47" s="63" t="str">
        <x:v>Coco: ja</x:v>
      </x:c>
      <x:c r="G47" s="63" t="str">
        <x:v>Herstellerschema</x:v>
      </x:c>
      <x:c r="H47" s="63" t="str">
        <x:v>RESCUE ONLY</x:v>
      </x:c>
      <x:c r="I47" s="63" t="str">
        <x:v>Bedingt</x:v>
      </x:c>
      <x:c r="J47" s="63" t="str">
        <x:v>Ca/Mg/Fe + Urea-N</x:v>
      </x:c>
      <x:c r="K47" s="63" t="str">
        <x:v>Nicht prophylaktisch zusätzlich zu CalMag</x:v>
      </x:c>
      <x:c r="L47" s="35" t="str">
        <x:v>https://www.advancednutrients.com/products/</x:v>
      </x:c>
    </x:row>
    <x:row r="48">
      <x:c r="A48" s="34" t="str">
        <x:v>Advanced Nutrients</x:v>
      </x:c>
      <x:c r="B48" s="63" t="str">
        <x:v>Tasty Terpenes</x:v>
      </x:c>
      <x:c r="C48" s="63" t="str">
        <x:v>Biostimulant</x:v>
      </x:c>
      <x:c r="D48" s="63" t="str">
        <x:v>K/Kelp/Alfalfa</x:v>
      </x:c>
      <x:c r="E48" s="63" t="str">
        <x:v>Veg/Blüte</x:v>
      </x:c>
      <x:c r="F48" s="63" t="str">
        <x:v>Coco: ja</x:v>
      </x:c>
      <x:c r="G48" s="63" t="str">
        <x:v>Herstellerschema</x:v>
      </x:c>
      <x:c r="H48" s="63" t="str">
        <x:v>EXCLUDE/A-B</x:v>
      </x:c>
      <x:c r="I48" s="63" t="str">
        <x:v>Bedingt</x:v>
      </x:c>
      <x:c r="J48" s="63" t="str">
        <x:v>zusätzliche K- und organische Inputs</x:v>
      </x:c>
      <x:c r="K48" s="63" t="str">
        <x:v>Überlappt K/Boost/Carbo-Produkte</x:v>
      </x:c>
      <x:c r="L48" s="35" t="str">
        <x:v>https://www.advancednutrients.com/products/</x:v>
      </x:c>
    </x:row>
    <x:row r="49">
      <x:c r="A49" s="34" t="str">
        <x:v>Advanced Nutrients</x:v>
      </x:c>
      <x:c r="B49" s="63" t="str">
        <x:v>Bud Factor X</x:v>
      </x:c>
      <x:c r="C49" s="63" t="str">
        <x:v>Biostimulant</x:v>
      </x:c>
      <x:c r="D49" s="63" t="str">
        <x:v>Potency/Stress claims</x:v>
      </x:c>
      <x:c r="E49" s="63" t="str">
        <x:v>Blüte</x:v>
      </x:c>
      <x:c r="F49" s="63" t="str">
        <x:v>Coco: ja</x:v>
      </x:c>
      <x:c r="G49" s="63" t="str">
        <x:v>Herstellerschema</x:v>
      </x:c>
      <x:c r="H49" s="63" t="str">
        <x:v>EXCLUDE/A-B</x:v>
      </x:c>
      <x:c r="I49" s="63" t="str">
        <x:v>Bedingt</x:v>
      </x:c>
      <x:c r="J49" s="63" t="str">
        <x:v>Marketing-/Biostimulant-Funktion</x:v>
      </x:c>
      <x:c r="K49" s="63" t="str">
        <x:v>Keine Kernnotwendigkeit für reproduzierbares Reference-System</x:v>
      </x:c>
      <x:c r="L49" s="35" t="str">
        <x:v>https://www.advancednutrients.com/products/</x:v>
      </x:c>
    </x:row>
    <x:row r="50">
      <x:c r="A50" s="34" t="str">
        <x:v>Advanced Nutrients</x:v>
      </x:c>
      <x:c r="B50" s="63" t="str">
        <x:v>Flo &amp; Gro</x:v>
      </x:c>
      <x:c r="C50" s="63" t="str">
        <x:v>Sanitizer/Descaler</x:v>
      </x:c>
      <x:c r="D50" s="63" t="str">
        <x:v>Hypochlorous acid</x:v>
      </x:c>
      <x:c r="E50" s="63" t="str">
        <x:v>Systemreinigung</x:v>
      </x:c>
      <x:c r="F50" s="63" t="str">
        <x:v>Hydro/Coco-System</x:v>
      </x:c>
      <x:c r="G50" s="63" t="str">
        <x:v>nach Hersteller</x:v>
      </x:c>
      <x:c r="H50" s="63" t="str">
        <x:v>REGIONAL / CLEANING ONLY</x:v>
      </x:c>
      <x:c r="I50" s="63" t="str">
        <x:v>Separate Sanitizing-Phase; nicht mit lebenden Inokulanten</x:v>
      </x:c>
      <x:c r="J50" s="63" t="str">
        <x:v>HOCl-Reiniger</x:v>
      </x:c>
      <x:c r="K50" s="63" t="str">
        <x:v>HOCl-Reiniger; aktuell laut AN nur USA/Kanada. Nicht gleichzeitig mit lebenden Mikroben; Re-Inokulation zeitlich trennen.</x:v>
      </x:c>
      <x:c r="L50" s="35" t="str">
        <x:v>https://www.advancednutrients.com/de/products/flo-gro/</x:v>
      </x:c>
    </x:row>
    <x:row r="51">
      <x:c r="A51" s="34" t="str">
        <x:v>Advanced Nutrients</x:v>
      </x:c>
      <x:c r="B51" s="63" t="str">
        <x:v>Big Bud Powder</x:v>
      </x:c>
      <x:c r="C51" s="63" t="str">
        <x:v>Powder PK</x:v>
      </x:c>
      <x:c r="D51" s="63" t="str">
        <x:v>Bloom powder</x:v>
      </x:c>
      <x:c r="E51" s="63" t="str">
        <x:v>Blüte</x:v>
      </x:c>
      <x:c r="F51" s="63" t="str">
        <x:v>Hydro/Coco</x:v>
      </x:c>
      <x:c r="G51" s="63" t="str">
        <x:v>Herstellerschema</x:v>
      </x:c>
      <x:c r="H51" s="63" t="str">
        <x:v>EXCLUDE</x:v>
      </x:c>
      <x:c r="I51" s="63" t="str">
        <x:v>Ja</x:v>
      </x:c>
      <x:c r="J51" s="63" t="str">
        <x:v>PK-Pulver</x:v>
      </x:c>
      <x:c r="K51" s="63" t="str">
        <x:v>Alternative, nicht zusätzlich zu flüssigem Big Bud/PK</x:v>
      </x:c>
      <x:c r="L51" s="35" t="str">
        <x:v>https://www.advancednutrients.com/products/</x:v>
      </x:c>
    </x:row>
    <x:row r="52">
      <x:c r="A52" s="34" t="str">
        <x:v>Advanced Nutrients</x:v>
      </x:c>
      <x:c r="B52" s="63" t="str">
        <x:v>Bud Blood Powder</x:v>
      </x:c>
      <x:c r="C52" s="63" t="str">
        <x:v>Powder PK</x:v>
      </x:c>
      <x:c r="D52" s="63" t="str">
        <x:v>Early bloom powder</x:v>
      </x:c>
      <x:c r="E52" s="63" t="str">
        <x:v>Frühblüte</x:v>
      </x:c>
      <x:c r="F52" s="63" t="str">
        <x:v>Hydro/Coco</x:v>
      </x:c>
      <x:c r="G52" s="63" t="str">
        <x:v>Herstellerschema</x:v>
      </x:c>
      <x:c r="H52" s="63" t="str">
        <x:v>EXCLUDE</x:v>
      </x:c>
      <x:c r="I52" s="63" t="str">
        <x:v>Ja</x:v>
      </x:c>
      <x:c r="J52" s="63" t="str">
        <x:v>P/K-Pulver</x:v>
      </x:c>
      <x:c r="K52" s="63" t="str">
        <x:v>Alternative zu Bud Ignitor</x:v>
      </x:c>
      <x:c r="L52" s="35" t="str">
        <x:v>https://www.advancednutrients.com/products/</x:v>
      </x:c>
    </x:row>
    <x:row r="53">
      <x:c r="A53" s="34" t="str">
        <x:v>Advanced Nutrients</x:v>
      </x:c>
      <x:c r="B53" s="63" t="str">
        <x:v>OG Organics Ancient Earth</x:v>
      </x:c>
      <x:c r="C53" s="63" t="str">
        <x:v>Organic additive</x:v>
      </x:c>
      <x:c r="D53" s="63" t="str">
        <x:v>Huminsäuren</x:v>
      </x:c>
      <x:c r="E53" s="63" t="str">
        <x:v>Veg/Blüte</x:v>
      </x:c>
      <x:c r="F53" s="63" t="str">
        <x:v>Bio</x:v>
      </x:c>
      <x:c r="G53" s="63" t="str">
        <x:v>Herstellerschema</x:v>
      </x:c>
      <x:c r="H53" s="63" t="str">
        <x:v>EXCLUDE</x:v>
      </x:c>
      <x:c r="I53" s="63" t="str">
        <x:v>UKD Reference: vermeiden / organische Reservoirkomplexität</x:v>
      </x:c>
      <x:c r="J53" s="63" t="str">
        <x:v>Leonardit/Huminsäuren</x:v>
      </x:c>
      <x:c r="K53" s="63" t="str">
        <x:v>Nicht Reference; zusätzliche organische Last</x:v>
      </x:c>
      <x:c r="L53" s="35" t="str">
        <x:v>https://www.advancednutrients.com/products/</x:v>
      </x:c>
    </x:row>
    <x:row r="54">
      <x:c r="A54" s="34" t="str">
        <x:v>Advanced Nutrients</x:v>
      </x:c>
      <x:c r="B54" s="63" t="str">
        <x:v>OG Organics Big Bud</x:v>
      </x:c>
      <x:c r="C54" s="63" t="str">
        <x:v>Organic bloom</x:v>
      </x:c>
      <x:c r="D54" s="63" t="str">
        <x:v>organischer PK/Bloom</x:v>
      </x:c>
      <x:c r="E54" s="63" t="str">
        <x:v>Blüte</x:v>
      </x:c>
      <x:c r="F54" s="63" t="str">
        <x:v>Bio</x:v>
      </x:c>
      <x:c r="G54" s="63" t="str">
        <x:v>Herstellerschema</x:v>
      </x:c>
      <x:c r="H54" s="63" t="str">
        <x:v>EXCLUDE</x:v>
      </x:c>
      <x:c r="I54" s="63" t="str">
        <x:v>UKD Reference: vermeiden / organische Reservoirkomplexität</x:v>
      </x:c>
      <x:c r="J54" s="63" t="str">
        <x:v>Fischhydrolysat + PK + Ca/Mg/Fe/S</x:v>
      </x:c>
      <x:c r="K54" s="63" t="str">
        <x:v>Nicht im mineralischen UKD-Reference-Stack</x:v>
      </x:c>
      <x:c r="L54" s="35" t="str">
        <x:v>https://www.advancednutrients.com/products/</x:v>
      </x:c>
    </x:row>
    <x:row r="55">
      <x:c r="A55" s="34" t="str">
        <x:v>Advanced Nutrients</x:v>
      </x:c>
      <x:c r="B55" s="63" t="str">
        <x:v>Grandma Enggy's F-1</x:v>
      </x:c>
      <x:c r="C55" s="63" t="str">
        <x:v>Organic additive</x:v>
      </x:c>
      <x:c r="D55" s="63" t="str">
        <x:v>Huminsäuren</x:v>
      </x:c>
      <x:c r="E55" s="63" t="str">
        <x:v>Veg/Blüte</x:v>
      </x:c>
      <x:c r="F55" s="63" t="str">
        <x:v>Bio</x:v>
      </x:c>
      <x:c r="G55" s="63" t="str">
        <x:v>Herstellerschema</x:v>
      </x:c>
      <x:c r="H55" s="63" t="str">
        <x:v>EXCLUDE</x:v>
      </x:c>
      <x:c r="I55" s="63" t="str">
        <x:v>UKD Reference: vermeiden / organische Reservoirkomplexität</x:v>
      </x:c>
      <x:c r="J55" s="63" t="str">
        <x:v>Leonardit/Huminsäuren</x:v>
      </x:c>
      <x:c r="K55" s="63" t="str">
        <x:v>Nicht Reference</x:v>
      </x:c>
      <x:c r="L55" s="35" t="str">
        <x:v>https://www.advancednutrients.com/products/</x:v>
      </x:c>
    </x:row>
    <x:row r="56">
      <x:c r="A56" s="34" t="str">
        <x:v>Advanced Nutrients</x:v>
      </x:c>
      <x:c r="B56" s="63" t="str">
        <x:v>BigMike's OG Tea</x:v>
      </x:c>
      <x:c r="C56" s="63" t="str">
        <x:v>Organic additive</x:v>
      </x:c>
      <x:c r="D56" s="63" t="str">
        <x:v>Komposttee</x:v>
      </x:c>
      <x:c r="E56" s="63" t="str">
        <x:v>Veg/Blüte</x:v>
      </x:c>
      <x:c r="F56" s="63" t="str">
        <x:v>Bio</x:v>
      </x:c>
      <x:c r="G56" s="63" t="str">
        <x:v>Herstellerschema</x:v>
      </x:c>
      <x:c r="H56" s="63" t="str">
        <x:v>EXCLUDE</x:v>
      </x:c>
      <x:c r="I56" s="63" t="str">
        <x:v>UKD Reference: vermeiden / organische Reservoirkomplexität</x:v>
      </x:c>
      <x:c r="J56" s="63" t="str">
        <x:v>Alfalfa/Fisch/Wurm/Bat guano</x:v>
      </x:c>
      <x:c r="K56" s="63" t="str">
        <x:v>Hohes Biofilm-/Verstopfungsrisiko im UKD-Tank</x:v>
      </x:c>
      <x:c r="L56" s="35" t="str">
        <x:v>https://www.advancednutrients.com/products/</x:v>
      </x:c>
    </x:row>
    <x:row r="57">
      <x:c r="A57" s="34" t="str">
        <x:v>Advanced Nutrients</x:v>
      </x:c>
      <x:c r="B57" s="63" t="str">
        <x:v>Kushie Kush</x:v>
      </x:c>
      <x:c r="C57" s="63" t="str">
        <x:v>Secret PK</x:v>
      </x:c>
      <x:c r="D57" s="63" t="str">
        <x:v>Kush-spezifischer PK</x:v>
      </x:c>
      <x:c r="E57" s="63" t="str">
        <x:v>Blüte</x:v>
      </x:c>
      <x:c r="F57" s="63" t="str">
        <x:v>Coco: ja</x:v>
      </x:c>
      <x:c r="G57" s="63" t="str">
        <x:v>Herstellerschema</x:v>
      </x:c>
      <x:c r="H57" s="63" t="str">
        <x:v>EXCLUDE</x:v>
      </x:c>
      <x:c r="I57" s="63" t="str">
        <x:v>Ja</x:v>
      </x:c>
      <x:c r="J57" s="63" t="str">
        <x:v>PK Booster</x:v>
      </x:c>
      <x:c r="K57" s="63" t="str">
        <x:v>Nicht relevant für Double Grape/UKD Reference</x:v>
      </x:c>
      <x:c r="L57" s="35" t="str">
        <x:v>https://www.advancednutrients.com/de/secret-menu/</x:v>
      </x:c>
    </x:row>
    <x:row r="58">
      <x:c r="A58" s="34" t="str">
        <x:v>Advanced Nutrients</x:v>
      </x:c>
      <x:c r="B58" s="63" t="str">
        <x:v>pH Up</x:v>
      </x:c>
      <x:c r="C58" s="63" t="str">
        <x:v>pH-Regler</x:v>
      </x:c>
      <x:c r="D58" s="63" t="str">
        <x:v>KOH</x:v>
      </x:c>
      <x:c r="E58" s="63" t="str">
        <x:v>bei Bedarf</x:v>
      </x:c>
      <x:c r="F58" s="63" t="str">
        <x:v>Hydro/Coco</x:v>
      </x:c>
      <x:c r="G58" s="63" t="str">
        <x:v>kleine Mengen nach Messung</x:v>
      </x:c>
      <x:c r="H58" s="63" t="str">
        <x:v>TOOL</x:v>
      </x:c>
      <x:c r="I58" s="63" t="str">
        <x:v>Ja</x:v>
      </x:c>
      <x:c r="J58" s="63" t="str">
        <x:v>starke K-Basis; in Europa aktuell nicht verfügbar laut Hersteller</x:v>
      </x:c>
      <x:c r="K58" s="63" t="str">
        <x:v>Nur nach vollständigem Mischen; nicht mit pH Down hin-und-her titrieren</x:v>
      </x:c>
      <x:c r="L58" s="35" t="str">
        <x:v>https://www.advancednutrients.com/de/secret-menu/ph-up-ph-down/</x:v>
      </x:c>
    </x:row>
    <x:row r="59">
      <x:c r="A59" s="34" t="str">
        <x:v>Advanced Nutrients</x:v>
      </x:c>
      <x:c r="B59" s="63" t="str">
        <x:v>pH Down</x:v>
      </x:c>
      <x:c r="C59" s="63" t="str">
        <x:v>pH-Regler</x:v>
      </x:c>
      <x:c r="D59" s="63" t="str">
        <x:v>Phosphorsäure</x:v>
      </x:c>
      <x:c r="E59" s="63" t="str">
        <x:v>bei Bedarf</x:v>
      </x:c>
      <x:c r="F59" s="63" t="str">
        <x:v>Hydro/Coco</x:v>
      </x:c>
      <x:c r="G59" s="63" t="str">
        <x:v>kleine Mengen nach Messung</x:v>
      </x:c>
      <x:c r="H59" s="63" t="str">
        <x:v>TOOL</x:v>
      </x:c>
      <x:c r="I59" s="63" t="str">
        <x:v>Ja</x:v>
      </x:c>
      <x:c r="J59" s="63" t="str">
        <x:v>Phosphorsäure; in Europa aktuell nicht verfügbar laut Hersteller</x:v>
      </x:c>
      <x:c r="K59" s="63" t="str">
        <x:v>Nur nach vollständigem Mischen; trägt P bei</x:v>
      </x:c>
      <x:c r="L59" s="35" t="str">
        <x:v>https://www.advancednutrients.com/de/secret-menu/ph-up-ph-down/</x:v>
      </x:c>
    </x:row>
    <x:row r="60">
      <x:c r="A60" s="34" t="str">
        <x:v>Advanced Nutrients</x:v>
      </x:c>
      <x:c r="B60" s="63" t="str">
        <x:v>Power Up Grow &amp; Bloom</x:v>
      </x:c>
      <x:c r="C60" s="63" t="str">
        <x:v>Secret/Surfactant</x:v>
      </x:c>
      <x:c r="D60" s="63" t="str">
        <x:v>Surfactant für Pulversalze</x:v>
      </x:c>
      <x:c r="E60" s="63" t="str">
        <x:v>Veg/Blüte</x:v>
      </x:c>
      <x:c r="F60" s="63" t="str">
        <x:v>Hydro</x:v>
      </x:c>
      <x:c r="G60" s="63" t="str">
        <x:v>Herstellerschema</x:v>
      </x:c>
      <x:c r="H60" s="63" t="str">
        <x:v>EXCLUDE</x:v>
      </x:c>
      <x:c r="I60" s="63" t="str">
        <x:v>Ja</x:v>
      </x:c>
      <x:c r="J60" s="63" t="str">
        <x:v>für Powder-Salts</x:v>
      </x:c>
      <x:c r="K60" s="63" t="str">
        <x:v>Nicht im UKD HESI Conservative Plan</x:v>
      </x:c>
      <x:c r="L60" s="35" t="str">
        <x:v>https://www.advancednutrients.com/secret-menu/</x:v>
      </x:c>
    </x:row>
    <x:row r="61">
      <x:c r="A61" s="34" t="str">
        <x:v>Advanced Nutrients</x:v>
      </x:c>
      <x:c r="B61" s="63" t="str">
        <x:v>Coco Cultivator</x:v>
      </x:c>
      <x:c r="C61" s="63" t="str">
        <x:v>Substrat</x:v>
      </x:c>
      <x:c r="D61" s="63" t="str">
        <x:v>Coco-Medium</x:v>
      </x:c>
      <x:c r="E61" s="63" t="str">
        <x:v>gesamter Zyklus</x:v>
      </x:c>
      <x:c r="F61" s="63" t="str">
        <x:v>Coco</x:v>
      </x:c>
      <x:c r="G61" s="63" t="str">
        <x:v>n/a</x:v>
      </x:c>
      <x:c r="H61" s="63" t="str">
        <x:v>ALT MEDIUM</x:v>
      </x:c>
      <x:c r="I61" s="63" t="str">
        <x:v>n/a</x:v>
      </x:c>
      <x:c r="J61" s="63" t="str">
        <x:v>AN Coco; UK/Ireland laut Hersteller</x:v>
      </x:c>
      <x:c r="K61" s="63" t="str">
        <x:v>UGro Rhiza bleibt UKD-Reference</x:v>
      </x:c>
      <x:c r="L61" s="35" t="str">
        <x:v>https://www.advancednutrients.com/products/</x:v>
      </x:c>
    </x:row>
    <x:row r="62">
      <x:c r="A62" s="34" t="str">
        <x:v>Advanced Nutrients</x:v>
      </x:c>
      <x:c r="B62" s="63" t="str">
        <x:v>8th Gen CS2 Prime &amp; Push</x:v>
      </x:c>
      <x:c r="C62" s="63" t="str">
        <x:v>Commercial base</x:v>
      </x:c>
      <x:c r="D62" s="63" t="str">
        <x:v>Pulver-Vollbasis</x:v>
      </x:c>
      <x:c r="E62" s="63" t="str">
        <x:v>Veg/Blüte</x:v>
      </x:c>
      <x:c r="F62" s="63" t="str">
        <x:v>Hydro/Coco</x:v>
      </x:c>
      <x:c r="G62" s="63" t="str">
        <x:v>commercial feeding guide</x:v>
      </x:c>
      <x:c r="H62" s="63" t="str">
        <x:v>NOT DE REFERENCE</x:v>
      </x:c>
      <x:c r="I62" s="63" t="str">
        <x:v>Ja</x:v>
      </x:c>
      <x:c r="J62" s="63" t="str">
        <x:v>Prime 13-0-0; Push 0-11-24</x:v>
      </x:c>
      <x:c r="K62" s="63" t="str">
        <x:v>2026 kommerziell/US zuerst; nicht mit HESI als zweite Basis</x:v>
      </x:c>
      <x:c r="L62" s="35" t="str">
        <x:v>https://8thgeneration.advancednutrients.com/products/cs2/</x:v>
      </x:c>
    </x:row>
    <x:row r="63">
      <x:c r="A63" s="34" t="str">
        <x:v>Advanced Nutrients</x:v>
      </x:c>
      <x:c r="B63" s="63" t="str">
        <x:v>8th Gen BGR</x:v>
      </x:c>
      <x:c r="C63" s="63" t="str">
        <x:v>Commercial bloom</x:v>
      </x:c>
      <x:c r="D63" s="63" t="str">
        <x:v>Bloom booster</x:v>
      </x:c>
      <x:c r="E63" s="63" t="str">
        <x:v>Blüte</x:v>
      </x:c>
      <x:c r="F63" s="63" t="str">
        <x:v>Hydro/Coco</x:v>
      </x:c>
      <x:c r="G63" s="63" t="str">
        <x:v>commercial guide</x:v>
      </x:c>
      <x:c r="H63" s="63" t="str">
        <x:v>WATCHLIST</x:v>
      </x:c>
      <x:c r="I63" s="63" t="str">
        <x:v>Ja</x:v>
      </x:c>
      <x:c r="J63" s="63" t="str">
        <x:v>0-1-3; NanoCarb claim</x:v>
      </x:c>
      <x:c r="K63" s="63" t="str">
        <x:v>Neue Commercial-Line; nicht Reference ohne DE-Verfügbarkeit/A-B</x:v>
      </x:c>
      <x:c r="L63" s="35" t="str">
        <x:v>https://8thgeneration.advancednutrients.com/products/bgr/</x:v>
      </x:c>
    </x:row>
    <x:row r="64">
      <x:c r="A64" s="34" t="str">
        <x:v>Advanced Nutrients</x:v>
      </x:c>
      <x:c r="B64" s="63" t="str">
        <x:v>8th Gen RSA</x:v>
      </x:c>
      <x:c r="C64" s="63" t="str">
        <x:v>Commercial silica</x:v>
      </x:c>
      <x:c r="D64" s="63" t="str">
        <x:v>stabilisierte Silicic Acid</x:v>
      </x:c>
      <x:c r="E64" s="63" t="str">
        <x:v>Veg/Blüte</x:v>
      </x:c>
      <x:c r="F64" s="63" t="str">
        <x:v>Hydro/Coco</x:v>
      </x:c>
      <x:c r="G64" s="63" t="str">
        <x:v>commercial guide</x:v>
      </x:c>
      <x:c r="H64" s="63" t="str">
        <x:v>WATCHLIST</x:v>
      </x:c>
      <x:c r="I64" s="63" t="str">
        <x:v>Ja</x:v>
      </x:c>
      <x:c r="J64" s="63" t="str">
        <x:v>Silicic acid</x:v>
      </x:c>
      <x:c r="K64" s="63" t="str">
        <x:v>Alternative zu Hesilicio/Rhino, nicht zusätzlich</x:v>
      </x:c>
      <x:c r="L64" s="35" t="str">
        <x:v>https://8thgeneration.advancednutrients.com/products/rsa/</x:v>
      </x:c>
    </x:row>
    <x:row r="65">
      <x:c r="A65" s="34" t="str">
        <x:v>Advanced Nutrients</x:v>
      </x:c>
      <x:c r="B65" s="63" t="str">
        <x:v>8th Gen BFX</x:v>
      </x:c>
      <x:c r="C65" s="63" t="str">
        <x:v>Commercial biostim</x:v>
      </x:c>
      <x:c r="D65" s="63" t="str">
        <x:v>Mg + plant extract</x:v>
      </x:c>
      <x:c r="E65" s="63" t="str">
        <x:v>Veg/Blüte</x:v>
      </x:c>
      <x:c r="F65" s="63" t="str">
        <x:v>Hydro/Coco</x:v>
      </x:c>
      <x:c r="G65" s="63" t="str">
        <x:v>weekly, guide</x:v>
      </x:c>
      <x:c r="H65" s="63" t="str">
        <x:v>WATCHLIST</x:v>
      </x:c>
      <x:c r="I65" s="63" t="str">
        <x:v>Bedingt</x:v>
      </x:c>
      <x:c r="J65" s="63" t="str">
        <x:v>Mg + proprietärer Extrakt</x:v>
      </x:c>
      <x:c r="K65" s="63" t="str">
        <x:v>Neue Variable, vorerst nicht Reference</x:v>
      </x:c>
      <x:c r="L65" s="35" t="str">
        <x:v>https://8thgeneration.advancednutrients.com/products/bfx/</x:v>
      </x:c>
    </x:row>
    <x:row r="66">
      <x:c r="A66" s="34" t="str">
        <x:v>Advanced Nutrients</x:v>
      </x:c>
      <x:c r="B66" s="63" t="str">
        <x:v>8th Gen SB1</x:v>
      </x:c>
      <x:c r="C66" s="63" t="str">
        <x:v>Commercial flower</x:v>
      </x:c>
      <x:c r="D66" s="63" t="str">
        <x:v>fermentierter Zuckerrohr-Extrakt</x:v>
      </x:c>
      <x:c r="E66" s="63" t="str">
        <x:v>Blüte</x:v>
      </x:c>
      <x:c r="F66" s="63" t="str">
        <x:v>Hydro</x:v>
      </x:c>
      <x:c r="G66" s="63" t="str">
        <x:v>commercial guide</x:v>
      </x:c>
      <x:c r="H66" s="63" t="str">
        <x:v>WATCHLIST</x:v>
      </x:c>
      <x:c r="I66" s="63" t="str">
        <x:v>Bedingt</x:v>
      </x:c>
      <x:c r="J66" s="63" t="str">
        <x:v>NanoCarb/Phyto-Sacchara claims</x:v>
      </x:c>
      <x:c r="K66" s="63" t="str">
        <x:v>Überlappt Carbo/Boost-Funktion; nicht Reference</x:v>
      </x:c>
      <x:c r="L66" s="35" t="str">
        <x:v>https://8thgeneration.advancednutrients.com/products/sb1/</x:v>
      </x:c>
    </x:row>
    <x:row r="67">
      <x:c r="A67" s="34" t="str">
        <x:v>Advanced Nutrients</x:v>
      </x:c>
      <x:c r="B67" s="63" t="str">
        <x:v>pH Perfect Connoisseur Coco Grow &amp; Bloom</x:v>
      </x:c>
      <x:c r="C67" s="63" t="str">
        <x:v>pH Perfect Basis</x:v>
      </x:c>
      <x:c r="D67" s="63" t="str">
        <x:v>Premium Coco Vollbasis</x:v>
      </x:c>
      <x:c r="E67" s="63" t="str">
        <x:v>Veg/Blüte</x:v>
      </x:c>
      <x:c r="F67" s="63" t="str">
        <x:v>Coco: ja</x:v>
      </x:c>
      <x:c r="G67" s="63" t="str">
        <x:v>Grow A+B 1→4 ml/L; Bloom A+B 4 ml/L</x:v>
      </x:c>
      <x:c r="H67" s="63" t="str">
        <x:v>DISCONTINUED/ALT</x:v>
      </x:c>
      <x:c r="I67" s="63" t="str">
        <x:v>Ja</x:v>
      </x:c>
      <x:c r="J67" s="63" t="str">
        <x:v>Ca/Mg/Fe + Chelate; pH Perfect; 2026 regional nur Restbestand</x:v>
      </x:c>
      <x:c r="K67" s="63" t="str">
        <x:v>Nicht neu als UKD-Reference wählen; Sensi Coco oder HESI bevorzugen</x:v>
      </x:c>
      <x:c r="L67" s="35" t="str">
        <x:v>https://www.advancednutrients.com/de/products/ph-perfect-connoisseur-coco-grow-bloom/</x:v>
      </x:c>
    </x:row>
    <x:row r="68">
      <x:c r="A68" s="34" t="str">
        <x:v>Advanced Nutrients</x:v>
      </x:c>
      <x:c r="B68" s="63" t="str">
        <x:v>Sensi Professional Series WSP</x:v>
      </x:c>
      <x:c r="C68" s="63" t="str">
        <x:v>Commercial powder base</x:v>
      </x:c>
      <x:c r="D68" s="63" t="str">
        <x:v>4-Part Pulver-Vollbasis</x:v>
      </x:c>
      <x:c r="E68" s="63" t="str">
        <x:v>Veg/Blüte</x:v>
      </x:c>
      <x:c r="F68" s="63" t="str">
        <x:v>Hydro/Coco</x:v>
      </x:c>
      <x:c r="G68" s="63" t="str">
        <x:v>ehem. Herstellerschema</x:v>
      </x:c>
      <x:c r="H68" s="63" t="str">
        <x:v>DISCONTINUED 2026</x:v>
      </x:c>
      <x:c r="I68" s="63" t="str">
        <x:v>Ja</x:v>
      </x:c>
      <x:c r="J68" s="63" t="str">
        <x:v>April 2026 weltweit eingestellt</x:v>
      </x:c>
      <x:c r="K68" s="63" t="str">
        <x:v>Nicht neu einsetzen; Cultivator Series oder CS2 sind Nachfolger</x:v>
      </x:c>
      <x:c r="L68" s="35" t="str">
        <x:v>https://www.advancednutrients.com/de/articles/sensi-wsp-discontinued/</x:v>
      </x:c>
    </x:row>
    <x:row r="69">
      <x:c r="A69" s="34" t="str">
        <x:v>Advanced Nutrients</x:v>
      </x:c>
      <x:c r="B69" s="63" t="str">
        <x:v>8th Gen OVR</x:v>
      </x:c>
      <x:c r="C69" s="63" t="str">
        <x:v>Commercial finisher</x:v>
      </x:c>
      <x:c r="D69" s="63" t="str">
        <x:v>N-freier Finisher</x:v>
      </x:c>
      <x:c r="E69" s="63" t="str">
        <x:v>Finishing</x:v>
      </x:c>
      <x:c r="F69" s="63" t="str">
        <x:v>Hydro/Coco</x:v>
      </x:c>
      <x:c r="G69" s="63" t="str">
        <x:v>commercial guide</x:v>
      </x:c>
      <x:c r="H69" s="63" t="str">
        <x:v>WATCHLIST</x:v>
      </x:c>
      <x:c r="I69" s="63" t="str">
        <x:v>Ja</x:v>
      </x:c>
      <x:c r="J69" s="63" t="str">
        <x:v>Teil der 8th-Gen Elite Series; N-freie Finish-Formel laut Herstellerübersicht</x:v>
      </x:c>
      <x:c r="K69" s="63" t="str">
        <x:v>Nicht Reference; nur vollständiger 8th-Gen-A/B-Run</x:v>
      </x:c>
      <x:c r="L69" s="35" t="str">
        <x:v>https://8thgeneration.advancednutrients.com/de/</x:v>
      </x:c>
    </x:row>
    <x:row r="70">
      <x:c r="A70" s="34" t="str">
        <x:v>Advanced Nutrients</x:v>
      </x:c>
      <x:c r="B70" s="63" t="str">
        <x:v>Bigger Buds Tri-Pack</x:v>
      </x:c>
      <x:c r="C70" s="63" t="str">
        <x:v>EU Multi-Pack</x:v>
      </x:c>
      <x:c r="D70" s="63" t="str">
        <x:v>3-Stufen-Blütepaket</x:v>
      </x:c>
      <x:c r="E70" s="63" t="str">
        <x:v>Blüte</x:v>
      </x:c>
      <x:c r="F70" s="63" t="str">
        <x:v>Hydro/Coco</x:v>
      </x:c>
      <x:c r="G70" s="63" t="str">
        <x:v>Pack-Schema</x:v>
      </x:c>
      <x:c r="H70" s="63" t="str">
        <x:v>SYSTEM PACK/A-B</x:v>
      </x:c>
      <x:c r="I70" s="63" t="str">
        <x:v>nach Komponenten</x:v>
      </x:c>
      <x:c r="J70" s="63" t="str">
        <x:v>EU-Paket; bündelt Bloom-Technologien</x:v>
      </x:c>
      <x:c r="K70" s="63" t="str">
        <x:v>Als eigenes AN-Bloom-System testen, nicht zusätzlich HESI-PK maximieren</x:v>
      </x:c>
      <x:c r="L70" s="35" t="str">
        <x:v>https://www.advancednutrients.com/products/</x:v>
      </x:c>
    </x:row>
    <x:row r="71">
      <x:c r="A71" s="34" t="str">
        <x:v>Advanced Nutrients</x:v>
      </x:c>
      <x:c r="B71" s="63" t="str">
        <x:v>pH Perfect Bloom Tri-Pack</x:v>
      </x:c>
      <x:c r="C71" s="63" t="str">
        <x:v>EU Multi-Pack</x:v>
      </x:c>
      <x:c r="D71" s="63" t="str">
        <x:v>pH-Perfect/Bloom Paket</x:v>
      </x:c>
      <x:c r="E71" s="63" t="str">
        <x:v>Blüte</x:v>
      </x:c>
      <x:c r="F71" s="63" t="str">
        <x:v>Hydro/Coco</x:v>
      </x:c>
      <x:c r="G71" s="63" t="str">
        <x:v>Pack-Schema</x:v>
      </x:c>
      <x:c r="H71" s="63" t="str">
        <x:v>SYSTEM PACK/A-B</x:v>
      </x:c>
      <x:c r="I71" s="63" t="str">
        <x:v>nach Komponenten</x:v>
      </x:c>
      <x:c r="J71" s="63" t="str">
        <x:v>EU-Multi-Pack</x:v>
      </x:c>
      <x:c r="K71" s="63" t="str">
        <x:v>Nur mit klar definiertem Basis-/Bloom-Schema; keine Doppelbasis</x:v>
      </x:c>
      <x:c r="L71" s="35" t="str">
        <x:v>https://www.advancednutrients.com/products/</x:v>
      </x:c>
    </x:row>
    <x:row r="72">
      <x:c r="A72" s="34" t="str">
        <x:v>Advanced Nutrients</x:v>
      </x:c>
      <x:c r="B72" s="63" t="str">
        <x:v>Foliar Four-Pack</x:v>
      </x:c>
      <x:c r="C72" s="63" t="str">
        <x:v>EU Multi-Pack</x:v>
      </x:c>
      <x:c r="D72" s="63" t="str">
        <x:v>Blattanwendungs-Paket</x:v>
      </x:c>
      <x:c r="E72" s="63" t="str">
        <x:v>Veg/Blüte</x:v>
      </x:c>
      <x:c r="F72" s="63" t="str">
        <x:v>Foliar</x:v>
      </x:c>
      <x:c r="G72" s="63" t="str">
        <x:v>Pack-Schema</x:v>
      </x:c>
      <x:c r="H72" s="63" t="str">
        <x:v>EXCLUDE REFERENCE</x:v>
      </x:c>
      <x:c r="I72" s="63" t="str">
        <x:v>n/a</x:v>
      </x:c>
      <x:c r="J72" s="63" t="str">
        <x:v>EU-Multi-Pack für Foliar</x:v>
      </x:c>
      <x:c r="K72" s="63" t="str">
        <x:v>Für UKD Reference keine zusätzliche Foliar-Variable</x:v>
      </x:c>
      <x:c r="L72" s="35" t="str">
        <x:v>https://www.advancednutrients.com/products/</x:v>
      </x:c>
    </x:row>
    <x:row r="73">
      <x:c r="A73" s="36" t="str">
        <x:v>Advanced Nutrients</x:v>
      </x:c>
      <x:c r="B73" s="64" t="str">
        <x:v>Starter Kit Europe</x:v>
      </x:c>
      <x:c r="C73" s="64" t="str">
        <x:v>EU Starter Pack</x:v>
      </x:c>
      <x:c r="D73" s="64" t="str">
        <x:v>Systempaket</x:v>
      </x:c>
      <x:c r="E73" s="64" t="str">
        <x:v>gesamter Zyklus</x:v>
      </x:c>
      <x:c r="F73" s="64" t="str">
        <x:v>Hydro/Coco</x:v>
      </x:c>
      <x:c r="G73" s="64" t="str">
        <x:v>Pack-Schema</x:v>
      </x:c>
      <x:c r="H73" s="64" t="str">
        <x:v>ALT SYSTEM</x:v>
      </x:c>
      <x:c r="I73" s="64" t="str">
        <x:v>nach Komponenten</x:v>
      </x:c>
      <x:c r="J73" s="64" t="str">
        <x:v>enthält pH Perfect Sensi Grow/Bloom, Big Bud, Voodoo Juice u.a.</x:v>
      </x:c>
      <x:c r="K73" s="64" t="str">
        <x:v>Sinnvolle Full-AN Vergleichsarchitektur, aber nicht mit HESI-Basis verschmelzen</x:v>
      </x:c>
      <x:c r="L73" s="37" t="str">
        <x:v>https://www.advancednutrients.com/de/products/starter-kit-eu/</x:v>
      </x:c>
    </x:row>
    <x:row r="74">
      <x:c r="A74" s="253" t="str">
        <x:v>Athena</x:v>
      </x:c>
      <x:c r="B74" s="254" t="str">
        <x:v>Balance</x:v>
      </x:c>
      <x:c r="C74" s="254" t="str">
        <x:v>Water conditioner / pH+</x:v>
      </x:c>
      <x:c r="D74" s="254" t="str">
        <x:v>pH anheben + RO-Puffer + K-Silikat</x:v>
      </x:c>
      <x:c r="E74" s="254" t="str">
        <x:v>gesamter Zyklus nach Bedarf</x:v>
      </x:c>
      <x:c r="F74" s="254" t="str">
        <x:v>Coco/Erde/Hydro</x:v>
      </x:c>
      <x:c r="G74" s="254" t="str">
        <x:v>5–26 ml/10 L Händlerbereich; tatsächlich nach pH titrieren</x:v>
      </x:c>
      <x:c r="H74" s="254" t="str">
        <x:v>UKD CONDITIONAL CORE</x:v>
      </x:c>
      <x:c r="I74" s="254" t="str">
        <x:v>Ja/mineralisch</x:v>
      </x:c>
      <x:c r="J74" s="254" t="str">
        <x:v>Kaliumsilikat; pH+; liefert K und Si</x:v>
      </x:c>
      <x:c r="K74" s="254" t="str">
        <x:v>Vor Düngern ins Wasser. Ersetzt Standard-Hesilicio/Rhino Skin wenn genutzt.</x:v>
      </x:c>
      <x:c r="L74" s="255" t="str">
        <x:v>https://store.athenaag.com/balance/ ; https://www.growland.net/Athena-Balance-946-ml</x:v>
      </x:c>
    </x:row>
    <x:row r="76">
      <x:c r="A76" s="1406" t="str">
        <x:v>SCOPE-HINWEIS: Evaluierter UKD-relevanter Produktkatalog, kein Anspruch auf vollständige globale Hersteller-Inventarliste. 'Reservoirbewertung' ist teils UKD-Systemeinschätzung und nicht automatisch eine Herstellerfreigabe für Tropf-Blumat.</x:v>
      </x:c>
      <x:c r="B76" s="1407"/>
      <x:c r="C76" s="1407"/>
      <x:c r="D76" s="1407"/>
      <x:c r="E76" s="1407"/>
      <x:c r="F76" s="1407"/>
      <x:c r="G76" s="1407"/>
      <x:c r="H76" s="1407"/>
      <x:c r="I76" s="1407"/>
      <x:c r="J76" s="1407"/>
      <x:c r="K76" s="1407"/>
      <x:c r="L76" s="1408"/>
    </x:row>
  </x:sheetData>
  <x:mergeCells>
    <x:mergeCell ref="A76:L76"/>
  </x:mergeCells>
  <x:conditionalFormatting sqref="H2:H73">
    <x:cfRule type="expression" dxfId="20" priority="1">
      <x:formula>OR(H2="CORE",H2="CORE HYBRID",H2="REFERENCE")</x:formula>
    </x:cfRule>
    <x:cfRule type="expression" dxfId="21" priority="2">
      <x:formula>ISNUMBER(SEARCH("A/B",H2))</x:formula>
    </x:cfRule>
    <x:cfRule type="expression" dxfId="22" priority="3">
      <x:formula>ISNUMBER(SEARCH("EXCLUDE",H2))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105e43db884dfb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6" hidden="0" customWidth="1"/>
    <x:col min="3" max="3" width="50" hidden="0" customWidth="1"/>
    <x:col min="4" max="4" width="17" hidden="0" customWidth="1"/>
    <x:col min="5" max="5" width="52" hidden="0" customWidth="1"/>
    <x:col min="6" max="6" width="21" hidden="0" customWidth="1"/>
    <x:col min="7" max="7" width="62" hidden="0" customWidth="1"/>
  </x:cols>
  <x:sheetData>
    <x:row r="1">
      <x:c r="A1" s="14" t="str">
        <x:v>Interaktion</x:v>
      </x:c>
      <x:c r="B1" s="14" t="str">
        <x:v>Mechanismus / Befund</x:v>
      </x:c>
      <x:c r="C1" s="14" t="str">
        <x:v>Produkte betroffen</x:v>
      </x:c>
      <x:c r="D1" s="14" t="str">
        <x:v>UKD-Relevanz</x:v>
      </x:c>
      <x:c r="E1" s="14" t="str">
        <x:v>Regel</x:v>
      </x:c>
      <x:c r="F1" s="14" t="str">
        <x:v>Evidenz</x:v>
      </x:c>
      <x:c r="G1" s="14" t="str">
        <x:v>Quelle</x:v>
      </x:c>
    </x:row>
    <x:row r="2">
      <x:c r="A2" s="1154" t="str">
        <x:v>K/P ↑ ↔ Mg/Ca-Kontext</x:v>
      </x:c>
      <x:c r="B2" s="1204" t="str">
        <x:v>HESI warnt, dass K-Überschuss Ca/Mg-Mangelsymptome begünstigen kann; in einem Cannabis-NPK-Versuch sanken Blatt-Mg-Gehalte bei höherem P/K. Größenordnung ist cultivar-/systemabhängig.</x:v>
      </x:c>
      <x:c r="C2" s="1204" t="str">
        <x:v>PK13/14, Big Bud, Big Bud Coco, Bud Ignitor, Overdrive, Rhino Skin, Athena Balance, pH Up</x:v>
      </x:c>
      <x:c r="D2" s="1204" t="str">
        <x:v>Sehr hoch</x:v>
      </x:c>
      <x:c r="E2" s="1204" t="str">
        <x:v>Gesamt-K/P betrachten; Ca/Mg-Symptome nicht reflexartig mit mehr CalMag behandeln.</x:v>
      </x:c>
      <x:c r="F2" s="1204" t="str">
        <x:v>A + Hersteller</x:v>
      </x:c>
      <x:c r="G2" s="1205" t="str">
        <x:v>HESI PK13/14 + Frontiers 2024 NPK</x:v>
      </x:c>
    </x:row>
    <x:row r="3">
      <x:c r="A3" s="1156" t="str">
        <x:v>Mg ↑ → Ca/K-Aufnahme ↓</x:v>
      </x:c>
      <x:c r="B3" s="201" t="str">
        <x:v>Hohe Mg-Versorgung hemmte in der untersuchten Cannabis-Konfiguration Aufnahme/Translokation von Ca und K.</x:v>
      </x:c>
      <x:c r="C3" s="201" t="str">
        <x:v>HESI CalMag, Sensi Cal Mag Xtra, Big Bud Coco, Overdrive, Bud Candy</x:v>
      </x:c>
      <x:c r="D3" s="201" t="str">
        <x:v>Sehr hoch</x:v>
      </x:c>
      <x:c r="E3" s="201" t="str">
        <x:v>CalMag nur nach Wasseranalyse/Bedarf; zwei CalMag-Systeme nicht standardmäßig stapeln.</x:v>
      </x:c>
      <x:c r="F3" s="201" t="str">
        <x:v>A Primärliteratur</x:v>
      </x:c>
      <x:c r="G3" s="1193" t="str">
        <x:v>PubMed 37514290</x:v>
      </x:c>
    </x:row>
    <x:row r="4">
      <x:c r="A4" s="1156" t="str">
        <x:v>P/K ↑ → Blatt-Mg ↓</x:v>
      </x:c>
      <x:c r="B4" s="201" t="str">
        <x:v>Vegetativer Cannabis-RSM-Versuch: steigendes P und K senkte Mg-Konzentration in Blättern; nicht als universelle feste Antagonismusquote interpretieren.</x:v>
      </x:c>
      <x:c r="C4" s="201" t="str">
        <x:v>PK13/14, Big Bud, Bud Ignitor, Overdrive, pH Down</x:v>
      </x:c>
      <x:c r="D4" s="201" t="str">
        <x:v>Hoch</x:v>
      </x:c>
      <x:c r="E4" s="201" t="str">
        <x:v>PK nicht als universellen Qualitätshebel behandeln.</x:v>
      </x:c>
      <x:c r="F4" s="201" t="str">
        <x:v>A Primärliteratur</x:v>
      </x:c>
      <x:c r="G4" s="1193" t="str">
        <x:v>Frontiers 2024 NPK</x:v>
      </x:c>
    </x:row>
    <x:row r="5">
      <x:c r="A5" s="1156" t="str">
        <x:v>P-Überversorgung</x:v>
      </x:c>
      <x:c r="B5" s="201" t="str">
        <x:v>In den untersuchten Systemen steigerten höhere P-Angebote bzw. höhere Gesamt-EC Nährstoffakkumulation, aber nicht zuverlässig Blütenertrag oder Cannabinoide.</x:v>
      </x:c>
      <x:c r="C5" s="201" t="str">
        <x:v>PK-Booster; phosphorsäurebasiertes pH Down trägt zusätzlich P bei</x:v>
      </x:c>
      <x:c r="D5" s="201" t="str">
        <x:v>Sehr hoch</x:v>
      </x:c>
      <x:c r="E5" s="201" t="str">
        <x:v>Ein klar definiertes Bloom-PK-Regime; keine Booster-Kaskade.</x:v>
      </x:c>
      <x:c r="F5" s="201" t="str">
        <x:v>A Primärliteratur</x:v>
      </x:c>
      <x:c r="G5" s="1193" t="str">
        <x:v>Frontiers 2022 + 2025</x:v>
      </x:c>
    </x:row>
    <x:row r="6">
      <x:c r="A6" s="1156" t="str">
        <x:v>K-Angebot</x:v>
      </x:c>
      <x:c r="B6" s="201" t="str">
        <x:v>In einem untersuchten Blüteversuch reagierte der Ertrag im getesteten K-Bereich nicht signifikant auf mehr K; keine universelle K-Obergrenze daraus ableiten.</x:v>
      </x:c>
      <x:c r="C6" s="201" t="str">
        <x:v>PK13/14, Big Bud/BB Coco, Rhino Skin, Athena Balance, pH Up</x:v>
      </x:c>
      <x:c r="D6" s="201" t="str">
        <x:v>Hoch</x:v>
      </x:c>
      <x:c r="E6" s="201" t="str">
        <x:v>K-haltige Additive als Gesamt-K-Last betrachten.</x:v>
      </x:c>
      <x:c r="F6" s="201" t="str">
        <x:v>A Primärliteratur</x:v>
      </x:c>
      <x:c r="G6" s="1193" t="str">
        <x:v>Frontiers 2021</x:v>
      </x:c>
    </x:row>
    <x:row r="7">
      <x:c r="A7" s="1156" t="str">
        <x:v>Ca/Mg im Coco</x:v>
      </x:c>
      <x:c r="B7" s="201" t="str">
        <x:v>Coco-spezifische Basen können bereits Ca/Mg enthalten; Zusatzbedarf hängt von Wasser, Basis, Pflanzenzustand und Gesamtrezept ab.</x:v>
      </x:c>
      <x:c r="C7" s="201" t="str">
        <x:v>HESI Coco, Sensi Coco, Big Bud Coco, CalMag-Produkte</x:v>
      </x:c>
      <x:c r="D7" s="201" t="str">
        <x:v>Sehr hoch</x:v>
      </x:c>
      <x:c r="E7" s="201" t="str">
        <x:v>Wasserchemie zuerst erfassen: Ca, Mg und Alkalinität/HCO3 fehlen bei EC/pH allein.</x:v>
      </x:c>
      <x:c r="F7" s="201" t="str">
        <x:v>A Hersteller + Chemie</x:v>
      </x:c>
      <x:c r="G7" s="1193" t="str">
        <x:v>HESI Coco / AN Sensi Coco</x:v>
      </x:c>
    </x:row>
    <x:row r="8">
      <x:c r="A8" s="1156" t="str">
        <x:v>Silizium-Duplikation</x:v>
      </x:c>
      <x:c r="B8" s="201" t="str">
        <x:v>Athena Balance und Rhino Skin liefern Kaliumsilikat; Hesilicio ist eine alternative Siliziumquelle.</x:v>
      </x:c>
      <x:c r="C8" s="201" t="str">
        <x:v>Athena Balance, Hesilicio, Rhino Skin/RSA</x:v>
      </x:c>
      <x:c r="D8" s="201" t="str">
        <x:v>Hoch</x:v>
      </x:c>
      <x:c r="E8" s="201" t="str">
        <x:v>Im Reference genau eine Siliziumstrategie; Balance nur wenn pH-/Wasserfunktion tatsächlich gebraucht wird.</x:v>
      </x:c>
      <x:c r="F8" s="201" t="str">
        <x:v>A Hersteller + UKD-Inferenz</x:v>
      </x:c>
      <x:c r="G8" s="1193" t="str">
        <x:v>Athena / HESI / AN</x:v>
      </x:c>
    </x:row>
    <x:row r="9">
      <x:c r="A9" s="1156" t="str">
        <x:v>Enzym-Duplikation</x:v>
      </x:c>
      <x:c r="B9" s="201" t="str">
        <x:v>PowerZyme und Sensizym liegen in derselben funktionellen Enzym-/Medium-Conditioner-Klasse.</x:v>
      </x:c>
      <x:c r="C9" s="201" t="str">
        <x:v>PowerZyme + Sensizym</x:v>
      </x:c>
      <x:c r="D9" s="201" t="str">
        <x:v>Mittel</x:v>
      </x:c>
      <x:c r="E9" s="201" t="str">
        <x:v>Für interpretierbaren Reference-Run eines wählen.</x:v>
      </x:c>
      <x:c r="F9" s="201" t="str">
        <x:v>A Hersteller</x:v>
      </x:c>
      <x:c r="G9" s="1193" t="str">
        <x:v>HESI / AN</x:v>
      </x:c>
    </x:row>
    <x:row r="10">
      <x:c r="A10" s="1156" t="str">
        <x:v>Mikroben vs. HOCl</x:v>
      </x:c>
      <x:c r="B10" s="201" t="str">
        <x:v>Flo &amp; Gro ist Hypochlorsäure-Reiniger; gleichzeitige lebende Inokulation widerspricht dem Sanitizing-Ziel.</x:v>
      </x:c>
      <x:c r="C10" s="201" t="str">
        <x:v>Voodoo/Piranha/Tarantula vs Flo &amp; Gro</x:v>
      </x:c>
      <x:c r="D10" s="201" t="str">
        <x:v>Sehr hoch</x:v>
      </x:c>
      <x:c r="E10" s="201" t="str">
        <x:v>Sanitizing und Re-Inokulation zeitlich trennen; Flo &amp; Gro aktuell USA/Kanada.</x:v>
      </x:c>
      <x:c r="F10" s="201" t="str">
        <x:v>A Hersteller + mechanistische Inferenz</x:v>
      </x:c>
      <x:c r="G10" s="1193" t="str">
        <x:v>AN Flo &amp; Gro</x:v>
      </x:c>
    </x:row>
    <x:row r="11">
      <x:c r="A11" s="1156" t="str">
        <x:v>Kohlenhydrate + Mikroben + Reservoir</x:v>
      </x:c>
      <x:c r="B11" s="201" t="str">
        <x:v>Carbo-/organische Inputs erhöhen biologische Systemkomplexität; einzelne Praxisberichte zeigen Biofilm-/Schleimprobleme.</x:v>
      </x:c>
      <x:c r="C11" s="201" t="str">
        <x:v>Bud Candy, CarboLoad, HESI Boost + Mikroben</x:v>
      </x:c>
      <x:c r="D11" s="201" t="str">
        <x:v>Hoch</x:v>
      </x:c>
      <x:c r="E11" s="201" t="str">
        <x:v>Bei automatischer Indoor-Bewässerung System-/Herstellerfreigabe prüfen; stagnierende Lösungen vermeiden.</x:v>
      </x:c>
      <x:c r="F11" s="201" t="str">
        <x:v>C + Systeminferenz</x:v>
      </x:c>
      <x:c r="G11" s="1193" t="str">
        <x:v>Community + Systemhygiene</x:v>
      </x:c>
    </x:row>
    <x:row r="12">
      <x:c r="A12" s="1158" t="str">
        <x:v>EC ist Summenparameter</x:v>
      </x:c>
      <x:c r="B12" s="1194" t="str">
        <x:v>EC misst Gesamtleitfähigkeit, nicht die einzelnen Elementkonzentrationen. Höhere EC war in geprüften Cannabisversuchen nicht automatisch mit mehr Ertrag/Qualität verbunden.</x:v>
      </x:c>
      <x:c r="C12" s="1194" t="str">
        <x:v>alle Produkte; besonders Mehrfachstacks</x:v>
      </x:c>
      <x:c r="D12" s="1194" t="str">
        <x:v>Sehr hoch</x:v>
      </x:c>
      <x:c r="E12" s="1194" t="str">
        <x:v>EC + Rezept + Wasserchemie + Runoff/Rootzone + Symptome gemeinsam interpretieren.</x:v>
      </x:c>
      <x:c r="F12" s="1194" t="str">
        <x:v>A Primärliteratur</x:v>
      </x:c>
      <x:c r="G12" s="1195" t="str">
        <x:v>Frontiers 2025 + HESI TNT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5" hidden="0" customWidth="1"/>
    <x:col min="3" max="3" width="62" hidden="0" customWidth="1"/>
    <x:col min="4" max="4" width="56" hidden="0" customWidth="1"/>
    <x:col min="5" max="5" width="28" hidden="0" customWidth="1"/>
  </x:cols>
  <x:sheetData>
    <x:row r="1">
      <x:c r="A1" s="14" t="str">
        <x:v>Kombination</x:v>
      </x:c>
      <x:c r="B1" s="14" t="str">
        <x:v>Status</x:v>
      </x:c>
      <x:c r="C1" s="14" t="str">
        <x:v>Grund</x:v>
      </x:c>
      <x:c r="D1" s="14" t="str">
        <x:v>Besser</x:v>
      </x:c>
      <x:c r="E1" s="14" t="str">
        <x:v>Evidenz</x:v>
      </x:c>
    </x:row>
    <x:row r="2">
      <x:c r="A2" s="32" t="str">
        <x:v>HESI TNT + HESI Coco als zwei Vollbasen dauerhaft</x:v>
      </x:c>
      <x:c r="B2" s="62" t="str">
        <x:v>✖</x:v>
      </x:c>
      <x:c r="C2" s="62" t="str">
        <x:v>Phasenbasen; unnötige NPK-Duplikation</x:v>
      </x:c>
      <x:c r="D2" s="62" t="str">
        <x:v>TNT Veg → Coco ab klarer Transition</x:v>
      </x:c>
      <x:c r="E2" s="33" t="str">
        <x:v>Herstellerarchitektur</x:v>
      </x:c>
    </x:row>
    <x:row r="3">
      <x:c r="A3" s="34" t="str">
        <x:v>HESI TNT/Coco + pH Perfect Sensi Coco</x:v>
      </x:c>
      <x:c r="B3" s="63" t="str">
        <x:v>✖</x:v>
      </x:c>
      <x:c r="C3" s="63" t="str">
        <x:v>Zwei komplette Basisprogramme; pH-Perfect-Garantie bei Fremdprodukten entfällt</x:v>
      </x:c>
      <x:c r="D3" s="63" t="str">
        <x:v>Entweder HESI-System ODER AN-pH-Perfect-System</x:v>
      </x:c>
      <x:c r="E3" s="35" t="str">
        <x:v>AN FAQ</x:v>
      </x:c>
    </x:row>
    <x:row r="4">
      <x:c r="A4" s="34" t="str">
        <x:v>HESI PK13/14 + Big Bud/Big Bud Coco</x:v>
      </x:c>
      <x:c r="B4" s="63" t="str">
        <x:v>⚠/🧪</x:v>
      </x:c>
      <x:c r="C4" s="63" t="str">
        <x:v>PK-Duplikation; K/P-Überversorgung ohne gesicherten Qualitätsnutzen</x:v>
      </x:c>
      <x:c r="D4" s="63" t="str">
        <x:v>A/B: HESI-PK gegen AN-Bulker</x:v>
      </x:c>
      <x:c r="E4" s="35" t="str">
        <x:v>Wissenschaft + Hersteller</x:v>
      </x:c>
    </x:row>
    <x:row r="5">
      <x:c r="A5" s="34" t="str">
        <x:v>HESI PK13/14 + Bud Ignitor + Big Bud + Overdrive komplett</x:v>
      </x:c>
      <x:c r="B5" s="63" t="str">
        <x:v>✖ im Reference</x:v>
      </x:c>
      <x:c r="C5" s="63" t="str">
        <x:v>AN-3-Phasen-Bulker sind als eigenes System konzipiert; zusätzliches HESI-PK macht Gesamt-PK schwer interpretierbar</x:v>
      </x:c>
      <x:c r="D5" s="63" t="str">
        <x:v>Full-AN Sequenz ODER HESI-PK, nicht beide</x:v>
      </x:c>
      <x:c r="E5" s="35" t="str">
        <x:v>AN + Wissenschaft</x:v>
      </x:c>
    </x:row>
    <x:row r="6">
      <x:c r="A6" s="34" t="str">
        <x:v>HESI CalMag + Sensi Cal Mag Xtra</x:v>
      </x:c>
      <x:c r="B6" s="63" t="str">
        <x:v>R/✖</x:v>
      </x:c>
      <x:c r="C6" s="63" t="str">
        <x:v>Ca/Mg/Fe und N-Duplikation; hoher Mg kann Ca/K hemmen</x:v>
      </x:c>
      <x:c r="D6" s="63" t="str">
        <x:v>eins nach Wasserwerten wählen</x:v>
      </x:c>
      <x:c r="E6" s="35" t="str">
        <x:v>Cannabis Mg Studie</x:v>
      </x:c>
    </x:row>
    <x:row r="7">
      <x:c r="A7" s="34" t="str">
        <x:v>Hesilicio + Rhino Skin</x:v>
      </x:c>
      <x:c r="B7" s="63" t="str">
        <x:v>R</x:v>
      </x:c>
      <x:c r="C7" s="63" t="str">
        <x:v>zwei Siliziumquellen; Rhino bringt zusätzlich K</x:v>
      </x:c>
      <x:c r="D7" s="63" t="str">
        <x:v>eins wählen</x:v>
      </x:c>
      <x:c r="E7" s="35" t="str">
        <x:v>Hersteller</x:v>
      </x:c>
    </x:row>
    <x:row r="8">
      <x:c r="A8" s="34" t="str">
        <x:v>PowerZyme + Sensizym</x:v>
      </x:c>
      <x:c r="B8" s="63" t="str">
        <x:v>R</x:v>
      </x:c>
      <x:c r="C8" s="63" t="str">
        <x:v>gleiche Funktionsklasse Enzym-Conditioner</x:v>
      </x:c>
      <x:c r="D8" s="63" t="str">
        <x:v>eins wählen</x:v>
      </x:c>
      <x:c r="E8" s="35" t="str">
        <x:v>Hersteller</x:v>
      </x:c>
    </x:row>
    <x:row r="9">
      <x:c r="A9" s="34" t="str">
        <x:v>Voodoo + Piranha + Tarantula + UGro Rhiza im Reference</x:v>
      </x:c>
      <x:c r="B9" s="63" t="str">
        <x:v>🧪</x:v>
      </x:c>
      <x:c r="C9" s="63" t="str">
        <x:v>offiziell mischbar, aber starke biologische Redundanz und mehrere Variablen</x:v>
      </x:c>
      <x:c r="D9" s="63" t="str">
        <x:v>Rhiza + Voodoo; weitere Mikroben separat testen</x:v>
      </x:c>
      <x:c r="E9" s="35" t="str">
        <x:v>Hersteller + UKD Design</x:v>
      </x:c>
    </x:row>
    <x:row r="10">
      <x:c r="A10" s="34" t="str">
        <x:v>Voodoo Juice Plus + Voodoo/Piranha/Tarantula</x:v>
      </x:c>
      <x:c r="B10" s="63" t="str">
        <x:v>R/✖</x:v>
      </x:c>
      <x:c r="C10" s="63" t="str">
        <x:v>Plus bündelt die Mikrobenfamilien</x:v>
      </x:c>
      <x:c r="D10" s="63" t="str">
        <x:v>Plus ODER Einzelprodukte</x:v>
      </x:c>
      <x:c r="E10" s="35" t="str">
        <x:v>AN</x:v>
      </x:c>
    </x:row>
    <x:row r="11">
      <x:c r="A11" s="34" t="str">
        <x:v>Flo &amp; Gro + Voodoo/Piranha/Tarantula gleichzeitig</x:v>
      </x:c>
      <x:c r="B11" s="63" t="str">
        <x:v>✖</x:v>
      </x:c>
      <x:c r="C11" s="63" t="str">
        <x:v>HOCl-Reiniger vs lebende Inokulanten</x:v>
      </x:c>
      <x:c r="D11" s="63" t="str">
        <x:v>Sanitizing zeitlich getrennt von Inokulation</x:v>
      </x:c>
      <x:c r="E11" s="35" t="str">
        <x:v>mechanistische Inferenz</x:v>
      </x:c>
    </x:row>
    <x:row r="12">
      <x:c r="A12" s="34" t="str">
        <x:v>Bud Candy + CarboLoad + HESI Boost</x:v>
      </x:c>
      <x:c r="B12" s="63" t="str">
        <x:v>R/⚠</x:v>
      </x:c>
      <x:c r="C12" s="63" t="str">
        <x:v>Kohlenhydrat-/Extrakt-Überlappung; höhere Tanklast</x:v>
      </x:c>
      <x:c r="D12" s="63" t="str">
        <x:v>max. ein Carbo-/Boost-Konzept je A/B</x:v>
      </x:c>
      <x:c r="E12" s="35" t="str">
        <x:v>Hersteller + Praxis</x:v>
      </x:c>
    </x:row>
    <x:row r="13">
      <x:c r="A13" s="34" t="str">
        <x:v>pH Up + pH Down wechselseitig</x:v>
      </x:c>
      <x:c r="B13" s="63" t="str">
        <x:v>✖</x:v>
      </x:c>
      <x:c r="C13" s="63" t="str">
        <x:v>unnötige Salz-/P/K-Zufuhr und instabile Titration</x:v>
      </x:c>
      <x:c r="D13" s="63" t="str">
        <x:v>erst komplett mischen, messen, nur eine Richtung korrigieren</x:v>
      </x:c>
      <x:c r="E13" s="35" t="str">
        <x:v>AN pH-Anleitung</x:v>
      </x:c>
    </x:row>
    <x:row r="14">
      <x:c r="A14" s="34" t="str">
        <x:v>pH Perfect + routinemäßiges pH Up/Down</x:v>
      </x:c>
      <x:c r="B14" s="63" t="str">
        <x:v>⚠</x:v>
      </x:c>
      <x:c r="C14" s="63" t="str">
        <x:v>widerspricht Zweck des Systems; erst Ursache prüfen</x:v>
      </x:c>
      <x:c r="D14" s="63" t="str">
        <x:v>bei full-AN beobachten; bei Cross-brand keine pH-Perfect-Garantie</x:v>
      </x:c>
      <x:c r="E14" s="35" t="str">
        <x:v>AN</x:v>
      </x:c>
    </x:row>
    <x:row r="15">
      <x:c r="A15" s="36" t="str">
        <x:v>Organische OG-Produkte/Tea dauerhaft im Tropf-Blumat Tank</x:v>
      </x:c>
      <x:c r="B15" s="64" t="str">
        <x:v>✖ Reference</x:v>
      </x:c>
      <x:c r="C15" s="64" t="str">
        <x:v>hohe biologische/partikuläre Last, Wartungs-/Verstopfungsrisiko</x:v>
      </x:c>
      <x:c r="D15" s="64" t="str">
        <x:v>separates organisches System oder manuelle/frische Gaben</x:v>
      </x:c>
      <x:c r="E15" s="37" t="str">
        <x:v>Blumat + Produktart</x:v>
      </x:c>
    </x:row>
    <x:row r="17">
      <x:c r="A17" s="206" t="str">
        <x:v>Kombination</x:v>
      </x:c>
      <x:c r="B17" s="206" t="str">
        <x:v>Status</x:v>
      </x:c>
      <x:c r="C17" s="206" t="str">
        <x:v>Grund</x:v>
      </x:c>
      <x:c r="D17" s="206" t="str">
        <x:v>Besser</x:v>
      </x:c>
      <x:c r="E17" s="206" t="str">
        <x:v>Evidenz</x:v>
      </x:c>
    </x:row>
    <x:row r="18">
      <x:c r="A18" s="32" t="str">
        <x:v>Athena Balance + Rhino Skin</x:v>
      </x:c>
      <x:c r="B18" s="62" t="str">
        <x:v>R/✖ Reference</x:v>
      </x:c>
      <x:c r="C18" s="62" t="str">
        <x:v>beide liefern Silizium; beide bringen K in das System</x:v>
      </x:c>
      <x:c r="D18" s="62" t="str">
        <x:v>Balance als pH+/Si ODER Rhino Skin als Si, nicht Standard beide</x:v>
      </x:c>
      <x:c r="E18" s="33" t="str">
        <x:v>A + mechanistische Inferenz</x:v>
      </x:c>
    </x:row>
    <x:row r="19">
      <x:c r="A19" s="34" t="str">
        <x:v>Athena Balance + Hesilicio</x:v>
      </x:c>
      <x:c r="B19" s="201" t="str">
        <x:v>R/✖ Reference</x:v>
      </x:c>
      <x:c r="C19" s="201" t="str">
        <x:v>zwei Siliziumquellen ohne klaren Zusatznutzen</x:v>
      </x:c>
      <x:c r="D19" s="201" t="str">
        <x:v>eines wählen</x:v>
      </x:c>
      <x:c r="E19" s="35" t="str">
        <x:v>A + mechanistische Inferenz</x:v>
      </x:c>
    </x:row>
    <x:row r="20">
      <x:c r="A20" s="34" t="str">
        <x:v>Athena Balance + pH Up</x:v>
      </x:c>
      <x:c r="B20" s="201" t="str">
        <x:v>R/✖</x:v>
      </x:c>
      <x:c r="C20" s="201" t="str">
        <x:v>beide erhöhen pH; Balance bereits pH+</x:v>
      </x:c>
      <x:c r="D20" s="201" t="str">
        <x:v>Balance titrieren; pH Up nicht parallel</x:v>
      </x:c>
      <x:c r="E20" s="35" t="str">
        <x:v>A</x:v>
      </x:c>
    </x:row>
    <x:row r="21">
      <x:c r="A21" s="34" t="str">
        <x:v>Athena Balance Konzentrat + pH Down direkt</x:v>
      </x:c>
      <x:c r="B21" s="201" t="str">
        <x:v>✖</x:v>
      </x:c>
      <x:c r="C21" s="201" t="str">
        <x:v>hochbasische Silikatlösung vs Säure; lokale Extrem-pH/Ausfällungsrisiken</x:v>
      </x:c>
      <x:c r="D21" s="201" t="str">
        <x:v>Balance im Wasser verdünnen; pH Down nur finalen Endmix korrigieren</x:v>
      </x:c>
      <x:c r="E21" s="35" t="str">
        <x:v>A + chemische Inferenz</x:v>
      </x:c>
    </x:row>
    <x:row r="22">
      <x:c r="A22" s="34" t="str">
        <x:v>Athena Balance + PK Vollstack</x:v>
      </x:c>
      <x:c r="B22" s="201" t="str">
        <x:v>⚠</x:v>
      </x:c>
      <x:c r="C22" s="201" t="str">
        <x:v>Balance trägt K bei; zusätzliche PK-Quellen erhöhen K-Gesamtlast</x:v>
      </x:c>
      <x:c r="D22" s="201" t="str">
        <x:v>einen PK-Pfad wählen, EC/Gewebe-/Symptomdaten beachten</x:v>
      </x:c>
      <x:c r="E22" s="35" t="str">
        <x:v>A + Cannabis-Nährstoffliteratur</x:v>
      </x:c>
    </x:row>
    <x:row r="23">
      <x:c r="A23" s="34" t="str">
        <x:v>UKD HESI Conservative + alle 13 Grand-Master-Produkte Vollstärke</x:v>
      </x:c>
      <x:c r="B23" s="201" t="str">
        <x:v>✖ Reference</x:v>
      </x:c>
      <x:c r="C23" s="201" t="str">
        <x:v>massive Funktions-/PK-/Silizium-/Biostim-Redundanz</x:v>
      </x:c>
      <x:c r="D23" s="201" t="str">
        <x:v>Grand-Master-Produkte als einzelne A/B-Module</x:v>
      </x:c>
      <x:c r="E23" s="35" t="str">
        <x:v>B + UKD Methodik</x:v>
      </x:c>
    </x:row>
    <x:row r="24">
      <x:c r="A24" s="36" t="str">
        <x:v>Athena Balance + Grand-Master Rhino Skin</x:v>
      </x:c>
      <x:c r="B24" s="64" t="str">
        <x:v>✖</x:v>
      </x:c>
      <x:c r="C24" s="64" t="str">
        <x:v>spezifische Grand-Master-Siliziumduplikation</x:v>
      </x:c>
      <x:c r="D24" s="64" t="str">
        <x:v>Rhino Skin im GM-Hybrid automatisch AUS</x:v>
      </x:c>
      <x:c r="E24" s="37" t="str">
        <x:v>A + UKD</x:v>
      </x:c>
    </x:row>
    <x:row r="26">
      <x:c r="A26" s="1526" t="str">
        <x:v>Audit-Ergänzung</x:v>
      </x:c>
      <x:c r="B26" s="1526" t="str">
        <x:v>Status</x:v>
      </x:c>
      <x:c r="C26" s="1526" t="str">
        <x:v>Grund</x:v>
      </x:c>
      <x:c r="D26" s="1526" t="str">
        <x:v>Besser</x:v>
      </x:c>
      <x:c r="E26" s="1526" t="str">
        <x:v>Evidenz</x:v>
      </x:c>
    </x:row>
    <x:row r="27">
      <x:c r="A27" s="1154" t="str">
        <x:v>Tropf-Blumat als Indoor-Reference</x:v>
      </x:c>
      <x:c r="B27" s="1204" t="str">
        <x:v>✖</x:v>
      </x:c>
      <x:c r="C27" s="1204" t="str">
        <x:v>Hersteller erklärt ausdrücklich: nicht im Innenbereich verwenden</x:v>
      </x:c>
      <x:c r="D27" s="1204" t="str">
        <x:v>manuell oder indoor-freigegebene Automation</x:v>
      </x:c>
      <x:c r="E27" s="1205" t="str">
        <x:v>A Hersteller</x:v>
      </x:c>
    </x:row>
    <x:row r="28">
      <x:c r="A28" s="1156" t="str">
        <x:v>Athena Balance nur nach Ausgangs-pH dosieren</x:v>
      </x:c>
      <x:c r="B28" s="201" t="str">
        <x:v>✖</x:v>
      </x:c>
      <x:c r="C28" s="201" t="str">
        <x:v>pH allein beschreibt Pufferkapazität/Alkalinität nicht</x:v>
      </x:c>
      <x:c r="D28" s="201" t="str">
        <x:v>HCO3/Alkalinität + Ca/Mg + Testbatch erfassen</x:v>
      </x:c>
      <x:c r="E28" s="1193" t="str">
        <x:v>Chemie/UKD</x:v>
      </x:c>
    </x:row>
    <x:row r="29">
      <x:c r="A29" s="1156" t="str">
        <x:v>Starre Kalender-Blüte für Autos</x:v>
      </x:c>
      <x:c r="B29" s="201" t="str">
        <x:v>✖</x:v>
      </x:c>
      <x:c r="C29" s="201" t="str">
        <x:v>phänotypische Blüteeinleitung variiert</x:v>
      </x:c>
      <x:c r="D29" s="201" t="str">
        <x:v>Blüte-Trigger in Run_Config setzen</x:v>
      </x:c>
      <x:c r="E29" s="1193" t="str">
        <x:v>UKD Methodik</x:v>
      </x:c>
    </x:row>
    <x:row r="30">
      <x:c r="A30" s="1158" t="str">
        <x:v>g/W als primäre Effizienzkennzahl</x:v>
      </x:c>
      <x:c r="B30" s="1194" t="str">
        <x:v>⚠</x:v>
      </x:c>
      <x:c r="C30" s="1194" t="str">
        <x:v>Watt variiert über den Zyklus</x:v>
      </x:c>
      <x:c r="D30" s="1194" t="str">
        <x:v>g/kWh Licht als Hauptkennzahl</x:v>
      </x:c>
      <x:c r="E30" s="1195" t="str">
        <x:v>Engineering</x:v>
      </x:c>
    </x:row>
  </x:sheetData>
  <x:conditionalFormatting sqref="B2:B15">
    <x:cfRule type="expression" dxfId="23" priority="1">
      <x:formula>ISNUMBER(SEARCH("✖",B2))</x:formula>
    </x:cfRule>
    <x:cfRule type="expression" dxfId="24" priority="2">
      <x:formula>ISNUMBER(SEARCH("🧪",B2))</x:formula>
    </x:cfRule>
    <x:cfRule type="expression" dxfId="25" priority="3">
      <x:formula>ISNUMBER(SEARCH("R",B2))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70" hidden="0" customWidth="1"/>
    <x:col min="4" max="4" width="56" hidden="0" customWidth="1"/>
    <x:col min="5" max="5" width="18" hidden="0" customWidth="1"/>
    <x:col min="6" max="6" width="72" hidden="0" customWidth="1"/>
  </x:cols>
  <x:sheetData>
    <x:row r="1">
      <x:c r="A1" s="14" t="str">
        <x:v>Thema</x:v>
      </x:c>
      <x:c r="B1" s="14" t="str">
        <x:v>Herstellerposition</x:v>
      </x:c>
      <x:c r="C1" s="14" t="str">
        <x:v>Community-/Praxisberichte (nicht professionelle Primärdaten)</x:v>
      </x:c>
      <x:c r="D1" s="14" t="str">
        <x:v>Bewertung für UKD</x:v>
      </x:c>
      <x:c r="E1" s="14" t="str">
        <x:v>Evidenz</x:v>
      </x:c>
      <x:c r="F1" s="14" t="str">
        <x:v>Quelle</x:v>
      </x:c>
    </x:row>
    <x:row r="2">
      <x:c r="A2" s="1154" t="str">
        <x:v>HESI Coco Dosis</x:v>
      </x:c>
      <x:c r="B2" s="1204" t="str">
        <x:v>5 ml/L bei jedem Gießen laut Hersteller</x:v>
      </x:c>
      <x:c r="C2" s="1204" t="str">
        <x:v>Einzelne/kleine Grower.ch-Stichprobe berichtet häufig niedrigeren Einstieg und gute Performance, aber auch abweichende Erfahrungen.</x:v>
      </x:c>
      <x:c r="D2" s="1204" t="str">
        <x:v>Herstellerdosis und UKD-Plan klar trennen; Pflanze/EC/Wasserchemie steuern.</x:v>
      </x:c>
      <x:c r="E2" s="1204" t="str">
        <x:v>C / qualitative Community</x:v>
      </x:c>
      <x:c r="F2" s="1205" t="str">
        <x:v>Grower.ch Threads</x:v>
      </x:c>
    </x:row>
    <x:row r="3">
      <x:c r="A3" s="1156" t="str">
        <x:v>AN pH Perfect Basis allein</x:v>
      </x:c>
      <x:c r="B3" s="201" t="str">
        <x:v>Hersteller bewirbt automatische pH-Stabilisierung im abgestimmten System</x:v>
      </x:c>
      <x:c r="C3" s="201" t="str">
        <x:v>Communityberichte reichen von stabil bis deutlicher Drift, besonders bei RO/Reservoir/Additiven.</x:v>
      </x:c>
      <x:c r="D3" s="201" t="str">
        <x:v>Trotz pH Perfect dokumentieren; Community ist kein Wirksamkeitsnachweis.</x:v>
      </x:c>
      <x:c r="E3" s="201" t="str">
        <x:v>C / qualitative Community</x:v>
      </x:c>
      <x:c r="F3" s="1193" t="str">
        <x:v>Grower.ch Threads</x:v>
      </x:c>
    </x:row>
    <x:row r="4">
      <x:c r="A4" s="1156" t="str">
        <x:v>AN Full Stack</x:v>
      </x:c>
      <x:c r="B4" s="201" t="str">
        <x:v>Herstellerprodukte sind systemisch kombinierbar</x:v>
      </x:c>
      <x:c r="C4" s="201" t="str">
        <x:v>Ein dokumentierter Fall berichtet starken pH-Abfall mit mehreren Additiven; andere Nutzer berichten Erfolg.</x:v>
      </x:c>
      <x:c r="D4" s="201" t="str">
        <x:v>Kompatibel ≠ optimal; Vollstack nicht aus Einzelbericht positiv/negativ verallgemeinern.</x:v>
      </x:c>
      <x:c r="E4" s="201" t="str">
        <x:v>C</x:v>
      </x:c>
      <x:c r="F4" s="1193" t="str">
        <x:v>Grower.ch Einzelthread</x:v>
      </x:c>
    </x:row>
    <x:row r="5">
      <x:c r="A5" s="1156" t="str">
        <x:v>AN Additive im Reservoir</x:v>
      </x:c>
      <x:c r="B5" s="201" t="str">
        <x:v>mehrere Produkte für hydro/drip beworben</x:v>
      </x:c>
      <x:c r="C5" s="201" t="str">
        <x:v>Rollitup-Einzelfall berichtet Schleim bei komplexer Additivlösung.</x:v>
      </x:c>
      <x:c r="D5" s="201" t="str">
        <x:v>Für UKD als Warnsignal, nicht als allgemeiner Kausalbeweis behandeln.</x:v>
      </x:c>
      <x:c r="E5" s="201" t="str">
        <x:v>C</x:v>
      </x:c>
      <x:c r="F5" s="1193" t="str">
        <x:v>Rollitup Einzelthread</x:v>
      </x:c>
    </x:row>
    <x:row r="6">
      <x:c r="A6" s="1156" t="str">
        <x:v>AN Produktzufriedenheit</x:v>
      </x:c>
      <x:c r="B6" s="201" t="str">
        <x:v>Hersteller-Marketing positiv</x:v>
      </x:c>
      <x:c r="C6" s="201" t="str">
        <x:v>GrowDiaries zeigt hohe selbstberichtete Ratings und breite Nutzung.</x:v>
      </x:c>
      <x:c r="D6" s="201" t="str">
        <x:v>Deskriptiv/selektionsverzerrt; kein kontrollierter Produktvergleich.</x:v>
      </x:c>
      <x:c r="E6" s="201" t="str">
        <x:v>C deskriptiv</x:v>
      </x:c>
      <x:c r="F6" s="1193" t="str">
        <x:v>GrowDiaries</x:v>
      </x:c>
    </x:row>
    <x:row r="7">
      <x:c r="A7" s="1156" t="str">
        <x:v>HESI+AN Hybrid</x:v>
      </x:c>
      <x:c r="B7" s="201" t="str">
        <x:v>AN erlaubt viele Additive mit Konkurrenzbasen, pH Perfect-Garantie kann entfallen</x:v>
      </x:c>
      <x:c r="C7" s="201" t="str">
        <x:v>Community reduziert Mischsysteme häufig, aber ohne standardisierte Dosis.</x:v>
      </x:c>
      <x:c r="D7" s="201" t="str">
        <x:v>Keine validierte universelle Hybrid-Dosis; jeden Zusatz isoliert pilotieren.</x:v>
      </x:c>
      <x:c r="E7" s="201" t="str">
        <x:v>C</x:v>
      </x:c>
      <x:c r="F7" s="1193" t="str">
        <x:v>Communityfragen</x:v>
      </x:c>
    </x:row>
    <x:row r="8">
      <x:c r="A8" s="1156" t="str">
        <x:v>pH Perfect + Fremdprodukte</x:v>
      </x:c>
      <x:c r="B8" s="201" t="str">
        <x:v>AN: pH-Perfect-Wurzelzonen-pH bei Fremdprodukten nicht garantiert</x:v>
      </x:c>
      <x:c r="C8" s="201" t="str">
        <x:v>Praxis ist variabel.</x:v>
      </x:c>
      <x:c r="D8" s="201" t="str">
        <x:v>HESI+AN Hybrid = aktives pH-Monitoring.</x:v>
      </x:c>
      <x:c r="E8" s="201" t="str">
        <x:v>A Hersteller + C Praxis</x:v>
      </x:c>
      <x:c r="F8" s="1193" t="str">
        <x:v>AN pH FAQ</x:v>
      </x:c>
    </x:row>
    <x:row r="9">
      <x:c r="A9" s="1158" t="str">
        <x:v>PK-Booster-Kaskade</x:v>
      </x:c>
      <x:c r="B9" s="1194" t="str">
        <x:v>AN sieht phasenspezifische Produkte vor</x:v>
      </x:c>
      <x:c r="C9" s="1194" t="str">
        <x:v>Community nutzt Sequenzen; Primärliteratur stützt keinen pauschalen Vorteil von P/EC-Überversorgung.</x:v>
      </x:c>
      <x:c r="D9" s="1194" t="str">
        <x:v>Full-AN-Sequenz ≠ Freibrief für zusätzlichen HESI-PK-Stack.</x:v>
      </x:c>
      <x:c r="E9" s="1194" t="str">
        <x:v>A Primärliteratur + C Praxis</x:v>
      </x:c>
      <x:c r="F9" s="1195" t="str">
        <x:v>AN + Frontiers 2025</x:v>
      </x:c>
    </x:row>
    <x:row r="11">
      <x:c r="A11" s="206" t="str">
        <x:v>Thema</x:v>
      </x:c>
      <x:c r="B11" s="206" t="str">
        <x:v>Herstellerposition</x:v>
      </x:c>
      <x:c r="C11" s="206" t="str">
        <x:v>Praxisbefund</x:v>
      </x:c>
      <x:c r="D11" s="206" t="str">
        <x:v>UKD Konsequenz</x:v>
      </x:c>
      <x:c r="E11" s="206" t="str">
        <x:v>Evidenz</x:v>
      </x:c>
      <x:c r="F11" s="206" t="str">
        <x:v>Quelle</x:v>
      </x:c>
    </x:row>
    <x:row r="12">
      <x:c r="A12" s="1154" t="str">
        <x:v>Athena Balance</x:v>
      </x:c>
      <x:c r="B12" s="1204" t="str">
        <x:v>vor Dünger; pH anheben/puffern, besonders bei RO/weichem Wasser</x:v>
      </x:c>
      <x:c r="C12" s="1204" t="str">
        <x:v>keine belastbare Cross-brand-HESI-Vergleichsstudie gefunden</x:v>
      </x:c>
      <x:c r="D12" s="1204" t="str">
        <x:v>bedarfsabhängiges Water-Conditioning; Testbatch dokumentieren</x:v>
      </x:c>
      <x:c r="E12" s="1204" t="str">
        <x:v>A Hersteller + Unsicherheit</x:v>
      </x:c>
      <x:c r="F12" s="1205" t="str">
        <x:v>Athena</x:v>
      </x:c>
    </x:row>
    <x:row r="13">
      <x:c r="A13" s="1156" t="str">
        <x:v>Grand Master Vollstack</x:v>
      </x:c>
      <x:c r="B13" s="201" t="str">
        <x:v>klassisches Händler-Level kumuliert 13 Additive</x:v>
      </x:c>
      <x:c r="C13" s="201" t="str">
        <x:v>Community berichtet teils reduzierte Dosierungen/hohe EC; keine standardisierte Evidenzbasis</x:v>
      </x:c>
      <x:c r="D13" s="201" t="str">
        <x:v>keine validierte pauschale 25–50%-Regel. Hybrid-Einstieg ist explorativ und muss datenbasiert bleiben.</x:v>
      </x:c>
      <x:c r="E13" s="201" t="str">
        <x:v>C + UKD-Inferenz</x:v>
      </x:c>
      <x:c r="F13" s="1193" t="str">
        <x:v>Rollitup/Grower-Communities</x:v>
      </x:c>
    </x:row>
    <x:row r="14">
      <x:c r="A14" s="1156" t="str">
        <x:v>Grand Master auf Autos</x:v>
      </x:c>
      <x:c r="B14" s="201" t="str">
        <x:v>Herstellercharts sind phasenbezogen, nicht spezifisch für diese UKD-Auto</x:v>
      </x:c>
      <x:c r="C14" s="201" t="str">
        <x:v>Community bevorzugt häufig konservative, triggerbasierte Anpassungen</x:v>
      </x:c>
      <x:c r="D14" s="201" t="str">
        <x:v>Preflower/Budlets und Messwerte statt starrer Kalenderübertragung.</x:v>
      </x:c>
      <x:c r="E14" s="201" t="str">
        <x:v>C</x:v>
      </x:c>
      <x:c r="F14" s="1193" t="str">
        <x:v>GrowDiaries Community</x:v>
      </x:c>
    </x:row>
    <x:row r="15">
      <x:c r="A15" s="1156" t="str">
        <x:v>Rhino Skin + Balance</x:v>
      </x:c>
      <x:c r="B15" s="201" t="str">
        <x:v>beide liefern Kaliumsilikat/Siliziumfunktion</x:v>
      </x:c>
      <x:c r="C15" s="201" t="str">
        <x:v>keine kontrollierte Evidenz für Standardduplikation</x:v>
      </x:c>
      <x:c r="D15" s="201" t="str">
        <x:v>Rhino Skin im Balance-Reference-Stack aus; A/B nur bewusst.</x:v>
      </x:c>
      <x:c r="E15" s="201" t="str">
        <x:v>A Hersteller + Inferenz</x:v>
      </x:c>
      <x:c r="F15" s="1193" t="str">
        <x:v>AN + Athena</x:v>
      </x:c>
    </x:row>
    <x:row r="16">
      <x:c r="A16" s="1158" t="str">
        <x:v>Tasty Terpenes</x:v>
      </x:c>
      <x:c r="B16" s="1194" t="str">
        <x:v>AN führt Tasty Terpenes als aktuelles Produkt; ältere Nirvana-Bezüge müssen produktspezifisch verifiziert werden</x:v>
      </x:c>
      <x:c r="C16" s="1194" t="str">
        <x:v>Legacy-Erfahrungsberichte können nur mit identischer Formulierung übertragen werden</x:v>
      </x:c>
      <x:c r="D16" s="1194" t="str">
        <x:v>keine pauschale 1:1-Historienaussage ohne aktuelle Herstellerbestätigung.</x:v>
      </x:c>
      <x:c r="E16" s="1194" t="str">
        <x:v>A/C</x:v>
      </x:c>
      <x:c r="F16" s="1195" t="str">
        <x:v>AN</x:v>
      </x:c>
    </x:row>
    <x:row r="17">
      <x:c r="A17"/>
      <x:c r="B17"/>
      <x:c r="C17"/>
      <x:c r="D17"/>
      <x:c r="E17"/>
      <x:c r="F17"/>
    </x:row>
    <x:row r="18">
      <x:c r="A18" s="1725" t="str">
        <x:v>Deep Research: GACP/GMP = Pflicht für privaten Homegrow</x:v>
      </x:c>
      <x:c r="B18" s="60" t="str">
        <x:v>Externes Research-Synthesis enthielt Scope-Vermischung zwischen Medizinal-/Gewerbeanbau und privatem Eigenanbau.</x:v>
      </x:c>
      <x:c r="C18" s="60" t="str">
        <x:v>REJECTED für UKD-Privatsetup.</x:v>
      </x:c>
      <x:c r="D18" s="60" t="str">
        <x:v>KCanG §§3,9,10 sind die operative Rechtsbasis; keine pauschale Lizenzpflicht für erlaubten privaten Eigenanbau.</x:v>
      </x:c>
      <x:c r="E18" s="60" t="str">
        <x:v>A Gesetz</x:v>
      </x:c>
      <x:c r="F18" s="60" t="str">
        <x:v>https://www.gesetze-im-internet.de/kcang/</x:v>
      </x:c>
    </x:row>
    <x:row r="19">
      <x:c r="A19" s="1725" t="str">
        <x:v>Deep Research: feste RH-Optima 40–60% Veg / 40–50% Blüte</x:v>
      </x:c>
      <x:c r="B19" s="60" t="str">
        <x:v>2025 Studie zeigt Schaden bei extrem hoher RH 78–98% vs 37–58%, bezeichnet Low-RH-Gruppe aber nicht als Optimum.</x:v>
      </x:c>
      <x:c r="C19" s="60" t="str">
        <x:v>REJECTED als universelle Zielrange.</x:v>
      </x:c>
      <x:c r="D19" s="60" t="str">
        <x:v>UKD-Klima als Arbeitskurve + VPD/Schimmel-/Kondensationskontrolle; keine Scheingenauigkeit.</x:v>
      </x:c>
      <x:c r="E19" s="60" t="str">
        <x:v>A Primärliteratur</x:v>
      </x:c>
      <x:c r="F19" s="60" t="str">
        <x:v>https://www.frontiersin.org/journals/plant-science/articles/10.3389/fpls.2025.1678142/full</x:v>
      </x:c>
    </x:row>
    <x:row r="20">
      <x:c r="A20" s="1725" t="str">
        <x:v>Deep Research: 212–283 mg N/L als Cannabis-Optimum</x:v>
      </x:c>
      <x:c r="B20" s="60" t="str">
        <x:v>Caplan 2017 untersuchte EIN organisches Flüssigdüngersystem in zwei coir-basierten organischen Substraten und eine Sorte.</x:v>
      </x:c>
      <x:c r="C20" s="60" t="str">
        <x:v>REJECTED als direkter HESI-/Mineral-Coco-Sollwert.</x:v>
      </x:c>
      <x:c r="D20" s="60" t="str">
        <x:v>Nur kontextspezifische Literatur; UKD steuert über Herstellerlabel, EC, Wasserchemie und Pflanzenreaktion.</x:v>
      </x:c>
      <x:c r="E20" s="60" t="str">
        <x:v>A Primärstudie, eingeschränkte Übertragbarkeit</x:v>
      </x:c>
      <x:c r="F20" s="60" t="str">
        <x:v>https://doi.org/10.21273/HORTSCI12401-17</x:v>
      </x:c>
    </x:row>
    <x:row r="21">
      <x:c r="A21" s="1725" t="str">
        <x:v>Deep Research: 12/12-Blüte als Standard für dieses Autoflower-Setup</x:v>
      </x:c>
      <x:c r="B21" s="60" t="str">
        <x:v>Autoflowering Cannabis ist photoperiod-insensitiv; photoperiodische 12h-Studien sind nicht direkt übertragbar.</x:v>
      </x:c>
      <x:c r="C21" s="60" t="str">
        <x:v>REJECTED für operative Auto-Steuerung.</x:v>
      </x:c>
      <x:c r="D21" s="60" t="str">
        <x:v>18 h bleibt UKD-Arbeitsannahme, nicht bewiesenes Optimum.</x:v>
      </x:c>
      <x:c r="E21" s="60" t="str">
        <x:v>A Primärliteratur</x:v>
      </x:c>
      <x:c r="F21" s="60" t="str">
        <x:v>https://pubmed.ncbi.nlm.nih.gov/42168298/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60" hidden="0" customWidth="1"/>
  </x:cols>
  <x:sheetData>
    <x:row r="1">
      <x:c r="A1" s="14" t="str">
        <x:v>Thema</x:v>
      </x:c>
      <x:c r="B1" s="14" t="str">
        <x:v>Stand 2026</x:v>
      </x:c>
      <x:c r="C1" s="14" t="str">
        <x:v>UKD Regel</x:v>
      </x:c>
      <x:c r="D1" s="14" t="str">
        <x:v>Trigger</x:v>
      </x:c>
      <x:c r="E1" s="14" t="str">
        <x:v>Aktion</x:v>
      </x:c>
      <x:c r="F1" s="14" t="str">
        <x:v>Quelle</x:v>
      </x:c>
    </x:row>
    <x:row r="2">
      <x:c r="A2" s="1154" t="str">
        <x:v>Privater Eigenanbau</x:v>
      </x:c>
      <x:c r="B2" s="1204" t="str">
        <x:v>Für Volljährige am Wohnsitz/gewöhnlichen Aufenthalt bis zu drei Cannabispflanzen gleichzeitig erlaubt; keine pauschale vorherige Anbaulizenz nach KCanG §9 für diesen privaten Rahmen.</x:v>
      </x:c>
      <x:c r="C2" s="1204" t="str">
        <x:v>Reference = 1 Pflanze</x:v>
      </x:c>
      <x:c r="D2" s="1204" t="str">
        <x:v>vor Keimung/neuem Run</x:v>
      </x:c>
      <x:c r="E2" s="1204" t="str">
        <x:v>Volljährigkeit, Ort und Pflanzenzahl prüfen/protokollieren</x:v>
      </x:c>
      <x:c r="F2" s="1205" t="str">
        <x:v>KCanG §§3,9</x:v>
      </x:c>
    </x:row>
    <x:row r="3">
      <x:c r="A3" s="1156" t="str">
        <x:v>Pflanzenzahl</x:v>
      </x:c>
      <x:c r="B3" s="201" t="str">
        <x:v>max. 3 lebende Cannabispflanzen gleichzeitig je erwachsener Person am Wohnsitz/gewöhnlichen Aufenthalt</x:v>
      </x:c>
      <x:c r="C3" s="201" t="str">
        <x:v>Reference = 1 Pflanze</x:v>
      </x:c>
      <x:c r="D3" s="201" t="str">
        <x:v>vor Keimung/neuem Run</x:v>
      </x:c>
      <x:c r="E3" s="201" t="str">
        <x:v>Pflanzenzahl protokollieren</x:v>
      </x:c>
      <x:c r="F3" s="1193" t="str">
        <x:v>KCanG §§3,9</x:v>
      </x:c>
    </x:row>
    <x:row r="4">
      <x:c r="A4" s="1156" t="str">
        <x:v>Besitz am Wohnsitz</x:v>
      </x:c>
      <x:c r="B4" s="201" t="str">
        <x:v>bis 50 g Cannabis bezogen auf Trockengewicht</x:v>
      </x:c>
      <x:c r="C4" s="201" t="str">
        <x:v>Dry-weight-/Bestandslog</x:v>
      </x:c>
      <x:c r="D4" s="201" t="str">
        <x:v>nach Trocknung</x:v>
      </x:c>
      <x:c r="E4" s="201" t="str">
        <x:v>geltende Besitzgrenze prüfen und einhalten</x:v>
      </x:c>
      <x:c r="F4" s="1193" t="str">
        <x:v>KCanG §3</x:v>
      </x:c>
    </x:row>
    <x:row r="5">
      <x:c r="A5" s="1156" t="str">
        <x:v>Weitergabe</x:v>
      </x:c>
      <x:c r="B5" s="201" t="str">
        <x:v>Cannabis aus privatem Eigenanbau darf nicht an Dritte weitergegeben werden</x:v>
      </x:c>
      <x:c r="C5" s="201" t="str">
        <x:v>keine Weitergabe</x:v>
      </x:c>
      <x:c r="D5" s="201" t="str">
        <x:v>jederzeit</x:v>
      </x:c>
      <x:c r="E5" s="201" t="str">
        <x:v>Zugriff kontrollieren</x:v>
      </x:c>
      <x:c r="F5" s="1193" t="str">
        <x:v>KCanG §9</x:v>
      </x:c>
    </x:row>
    <x:row r="6">
      <x:c r="A6" s="1156" t="str">
        <x:v>Zugriffsschutz</x:v>
      </x:c>
      <x:c r="B6" s="201" t="str">
        <x:v>Cannabis und Vermehrungsmaterial vor Zugriff Dritter, insbesondere Kindern/Jugendlichen schützen</x:v>
      </x:c>
      <x:c r="C6" s="201" t="str">
        <x:v>gesicherter Bereich</x:v>
      </x:c>
      <x:c r="D6" s="201" t="str">
        <x:v>jederzeit</x:v>
      </x:c>
      <x:c r="E6" s="201" t="str">
        <x:v>Access Check</x:v>
      </x:c>
      <x:c r="F6" s="1193" t="str">
        <x:v>KCanG §10</x:v>
      </x:c>
    </x:row>
    <x:row r="7">
      <x:c r="A7" s="1158" t="str">
        <x:v>Elektrik/Wasser</x:v>
      </x:c>
      <x:c r="B7" s="1194" t="str">
        <x:v>RCD/FI-Schutz und trockene, geeignete Elektroinstallation; Wasserpfade und Steckverbindungen räumlich trennen</x:v>
      </x:c>
      <x:c r="C7" s="1194" t="str">
        <x:v>keine Netzteile/Mehrfachsteckdosen im möglichen Leckpfad</x:v>
      </x:c>
      <x:c r="D7" s="1194" t="str">
        <x:v>Leck/Feuchte</x:v>
      </x:c>
      <x:c r="E7" s="1194" t="str">
        <x:v>Strom sicher trennen; Elektroarbeiten fachgerecht ausführen</x:v>
      </x:c>
      <x:c r="F7" s="1195" t="str">
        <x:v>UKD Engineering / VDE-konservativ</x:v>
      </x:c>
    </x:row>
    <x:row r="8">
      <x:c r="A8" s="60" t="str">
        <x:v>Tropf-Blumat Indoor</x:v>
      </x:c>
      <x:c r="B8" s="60" t="str">
        <x:v>Hersteller: Tropf-Blumat für Pflanzen im Außenbereich; FAQ: nicht im Innenbereich verwenden</x:v>
      </x:c>
      <x:c r="C8" s="60" t="str">
        <x:v>NICHT UKD-REFERENCE</x:v>
      </x:c>
      <x:c r="D8" s="60" t="str">
        <x:v>Planung</x:v>
      </x:c>
      <x:c r="E8" s="60" t="str">
        <x:v>manuell oder indoor-freigegebene Automation verwenden</x:v>
      </x:c>
      <x:c r="F8" s="60" t="str">
        <x:v>Blumat offizielle FAQ/Produktseite</x:v>
      </x:c>
    </x:row>
    <x:row r="9">
      <x:c r="A9" s="60" t="str">
        <x:v>Freshness / Rechtsstand</x:v>
      </x:c>
      <x:c r="B9" s="60" t="str">
        <x:v>2026-08-08</x:v>
      </x:c>
      <x:c r="C9" s="60" t="str">
        <x:v>Bei jedem Release gegen amtliche Normfassung prüfen.</x:v>
      </x:c>
      <x:c r="D9" s="60" t="str">
        <x:v>Release Gate</x:v>
      </x:c>
      <x:c r="E9" s="60" t="str">
        <x:v>Wenn geändert: Rechtsmodul blockieren bis Review abgeschlossen.</x:v>
      </x:c>
      <x:c r="F9" s="60" t="str">
        <x:v>https://www.gesetze-im-internet.de/kcang/</x:v>
      </x:c>
    </x:row>
    <x:row r="10">
      <x:c r="A10" s="60" t="str">
        <x:v>Evidenzregel</x:v>
      </x:c>
      <x:c r="B10" s="60" t="str">
        <x:v>Primärquelle schlägt Deep-Research-Synthese / Shop / Community.</x:v>
      </x:c>
      <x:c r="C10" s="60" t="str">
        <x:v>Keine Sekundärquelle darf Rechts- oder Herstellerstatus überschreiben.</x:v>
      </x:c>
      <x:c r="D10" s="60" t="str">
        <x:v>immer</x:v>
      </x:c>
      <x:c r="E10" s="60" t="str">
        <x:v>Konflikt als BLOCK/CONDITIONAL ausweisen, nicht still interpolieren.</x:v>
      </x:c>
      <x:c r="F10" s="60" t="str">
        <x:v>UKD v6 Audit method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85" hidden="0" customWidth="1"/>
    <x:col min="4" max="4" width="55" hidden="0" customWidth="1"/>
  </x:cols>
  <x:sheetData>
    <x:row r="1">
      <x:c r="A1" s="790" t="str">
        <x:v>Klasse</x:v>
      </x:c>
      <x:c r="B1" s="790" t="str">
        <x:v>Quelle</x:v>
      </x:c>
      <x:c r="C1" s="790" t="str">
        <x:v>URL</x:v>
      </x:c>
      <x:c r="D1" s="790" t="str">
        <x:v>Verwendung</x:v>
      </x:c>
    </x:row>
    <x:row r="2">
      <x:c r="A2" s="32" t="str">
        <x:v>A Hersteller</x:v>
      </x:c>
      <x:c r="B2" s="62" t="str">
        <x:v>HESI Produktkatalog</x:v>
      </x:c>
      <x:c r="C2" s="62" t="str">
        <x:v>https://hesi.nl/de/PRODUKTE</x:v>
      </x:c>
      <x:c r="D2" s="33" t="str">
        <x:v>aktueller Produktumfang</x:v>
      </x:c>
    </x:row>
    <x:row r="3">
      <x:c r="A3" s="34" t="str">
        <x:v>A Hersteller</x:v>
      </x:c>
      <x:c r="B3" s="63" t="str">
        <x:v>HESI Coco</x:v>
      </x:c>
      <x:c r="C3" s="63" t="str">
        <x:v>https://hesi.nl/de/COCO</x:v>
      </x:c>
      <x:c r="D3" s="35" t="str">
        <x:v>Coco NPK, Ca/Mg, Dosis, pH</x:v>
      </x:c>
    </x:row>
    <x:row r="4">
      <x:c r="A4" s="34" t="str">
        <x:v>A Hersteller</x:v>
      </x:c>
      <x:c r="B4" s="63" t="str">
        <x:v>HESI PK 13/14</x:v>
      </x:c>
      <x:c r="C4" s="63" t="str">
        <x:v>https://hesi.nl/de/PK-13-14</x:v>
      </x:c>
      <x:c r="D4" s="35" t="str">
        <x:v>PK-Dosis; K↔Ca/Mg-Hinweis</x:v>
      </x:c>
    </x:row>
    <x:row r="5">
      <x:c r="A5" s="34" t="str">
        <x:v>A Hersteller</x:v>
      </x:c>
      <x:c r="B5" s="63" t="str">
        <x:v>HESI CalMag</x:v>
      </x:c>
      <x:c r="C5" s="63" t="str">
        <x:v>https://hesi.nl/de/CalMag</x:v>
      </x:c>
      <x:c r="D5" s="35" t="str">
        <x:v>Wasser-EC-Ziel und Zusammensetzung</x:v>
      </x:c>
    </x:row>
    <x:row r="6">
      <x:c r="A6" s="34" t="str">
        <x:v>A Hersteller</x:v>
      </x:c>
      <x:c r="B6" s="63" t="str">
        <x:v>HESI Wurzel Complex</x:v>
      </x:c>
      <x:c r="C6" s="63" t="str">
        <x:v>https://hesi.nl/de/Wurzel-Complex</x:v>
      </x:c>
      <x:c r="D6" s="35" t="str">
        <x:v>Dosis/Kompatibilität</x:v>
      </x:c>
    </x:row>
    <x:row r="7">
      <x:c r="A7" s="34" t="str">
        <x:v>A Hersteller</x:v>
      </x:c>
      <x:c r="B7" s="63" t="str">
        <x:v>HESI PowerZyme</x:v>
      </x:c>
      <x:c r="C7" s="63" t="str">
        <x:v>https://hesi.nl/de/PowerZyme</x:v>
      </x:c>
      <x:c r="D7" s="35" t="str">
        <x:v>Enzyme/Dosis</x:v>
      </x:c>
    </x:row>
    <x:row r="8">
      <x:c r="A8" s="34" t="str">
        <x:v>A Hersteller</x:v>
      </x:c>
      <x:c r="B8" s="63" t="str">
        <x:v>HESI Hesilicio</x:v>
      </x:c>
      <x:c r="C8" s="63" t="str">
        <x:v>https://hesi.nl/de/Hesilicio</x:v>
      </x:c>
      <x:c r="D8" s="35" t="str">
        <x:v>Orthosilicic acid/Dosis</x:v>
      </x:c>
    </x:row>
    <x:row r="9">
      <x:c r="A9" s="34" t="str">
        <x:v>A Hersteller</x:v>
      </x:c>
      <x:c r="B9" s="63" t="str">
        <x:v>Advanced Nutrients All Products</x:v>
      </x:c>
      <x:c r="C9" s="63" t="str">
        <x:v>https://www.advancednutrients.com/products/</x:v>
      </x:c>
      <x:c r="D9" s="35" t="str">
        <x:v>aktueller Produktumfang</x:v>
      </x:c>
    </x:row>
    <x:row r="10">
      <x:c r="A10" s="34" t="str">
        <x:v>A Hersteller</x:v>
      </x:c>
      <x:c r="B10" s="63" t="str">
        <x:v>AN pH Up/Down + FAQ</x:v>
      </x:c>
      <x:c r="C10" s="63" t="str">
        <x:v>https://www.advancednutrients.com/de/secret-menu/ph-up-ph-down/</x:v>
      </x:c>
      <x:c r="D10" s="35" t="str">
        <x:v>pH-Chemie; Cross-brand-Warnung</x:v>
      </x:c>
    </x:row>
    <x:row r="11">
      <x:c r="A11" s="34" t="str">
        <x:v>A Hersteller</x:v>
      </x:c>
      <x:c r="B11" s="63" t="str">
        <x:v>AN pH Perfect Sensi Coco</x:v>
      </x:c>
      <x:c r="C11" s="63" t="str">
        <x:v>https://www.advancednutrients.com/de/products/ph-perfect-sensi-coco-grow-bloom/</x:v>
      </x:c>
      <x:c r="D11" s="35" t="str">
        <x:v>Coco Basis/pH Perfect</x:v>
      </x:c>
    </x:row>
    <x:row r="12">
      <x:c r="A12" s="34" t="str">
        <x:v>A Hersteller</x:v>
      </x:c>
      <x:c r="B12" s="63" t="str">
        <x:v>AN Voodoo Juice</x:v>
      </x:c>
      <x:c r="C12" s="63" t="str">
        <x:v>https://www.advancednutrients.com/de/products/voodoo-juice/</x:v>
      </x:c>
      <x:c r="D12" s="35" t="str">
        <x:v>Mikrobenfenster 2 ml/L</x:v>
      </x:c>
    </x:row>
    <x:row r="13">
      <x:c r="A13" s="34" t="str">
        <x:v>A Hersteller</x:v>
      </x:c>
      <x:c r="B13" s="63" t="str">
        <x:v>AN Piranha</x:v>
      </x:c>
      <x:c r="C13" s="63" t="str">
        <x:v>https://www.advancednutrients.com/de/products/piranha/</x:v>
      </x:c>
      <x:c r="D13" s="35" t="str">
        <x:v>Pilze/Mikrobenfenster</x:v>
      </x:c>
    </x:row>
    <x:row r="14">
      <x:c r="A14" s="34" t="str">
        <x:v>A Hersteller</x:v>
      </x:c>
      <x:c r="B14" s="63" t="str">
        <x:v>AN Tarantula</x:v>
      </x:c>
      <x:c r="C14" s="63" t="str">
        <x:v>https://www.advancednutrients.com/de/products/tarantula/</x:v>
      </x:c>
      <x:c r="D14" s="35" t="str">
        <x:v>Bakterien/Mikrobenfenster</x:v>
      </x:c>
    </x:row>
    <x:row r="15">
      <x:c r="A15" s="34" t="str">
        <x:v>A Hersteller</x:v>
      </x:c>
      <x:c r="B15" s="63" t="str">
        <x:v>AN Big Bud</x:v>
      </x:c>
      <x:c r="C15" s="63" t="str">
        <x:v>https://www.advancednutrients.com/products/big-bud/</x:v>
      </x:c>
      <x:c r="D15" s="35" t="str">
        <x:v>Blüte W2-5 2 ml/L</x:v>
      </x:c>
    </x:row>
    <x:row r="16">
      <x:c r="A16" s="34" t="str">
        <x:v>A Hersteller</x:v>
      </x:c>
      <x:c r="B16" s="63" t="str">
        <x:v>AN Big Bud Coco</x:v>
      </x:c>
      <x:c r="C16" s="63" t="str">
        <x:v>https://www.advancednutrients.com/de/products/big-bud-coco/</x:v>
      </x:c>
      <x:c r="D16" s="35" t="str">
        <x:v>PK + Ca/Mg/Fe</x:v>
      </x:c>
    </x:row>
    <x:row r="17">
      <x:c r="A17" s="34" t="str">
        <x:v>A Hersteller</x:v>
      </x:c>
      <x:c r="B17" s="63" t="str">
        <x:v>AN B-52</x:v>
      </x:c>
      <x:c r="C17" s="63" t="str">
        <x:v>https://www.advancednutrients.com/de/products/b-52/</x:v>
      </x:c>
      <x:c r="D17" s="35" t="str">
        <x:v>Vitamin/Kelp/Humin-Fenster</x:v>
      </x:c>
    </x:row>
    <x:row r="18">
      <x:c r="A18" s="34" t="str">
        <x:v>A Hersteller</x:v>
      </x:c>
      <x:c r="B18" s="63" t="str">
        <x:v>AN Rhino Skin</x:v>
      </x:c>
      <x:c r="C18" s="63" t="str">
        <x:v>https://www.advancednutrients.com/de/products/rhino-skin/</x:v>
      </x:c>
      <x:c r="D18" s="35" t="str">
        <x:v>Kaliumsilikat</x:v>
      </x:c>
    </x:row>
    <x:row r="19">
      <x:c r="A19" s="34" t="str">
        <x:v>A Hersteller</x:v>
      </x:c>
      <x:c r="B19" s="63" t="str">
        <x:v>AN Sensizym</x:v>
      </x:c>
      <x:c r="C19" s="63" t="str">
        <x:v>https://www.advancednutrients.com/de/products/sensizym/</x:v>
      </x:c>
      <x:c r="D19" s="35" t="str">
        <x:v>Enzyme</x:v>
      </x:c>
    </x:row>
    <x:row r="20">
      <x:c r="A20" s="34" t="str">
        <x:v>A Wissenschaft</x:v>
      </x:c>
      <x:c r="B20" s="63" t="str">
        <x:v>Cockson et al. 2024 / Frontiers</x:v>
      </x:c>
      <x:c r="C20" s="63" t="str">
        <x:v>https://www.frontiersin.org/journals/plant-science/articles/10.3389/fpls.2024.1501484/full</x:v>
      </x:c>
      <x:c r="D20" s="35" t="str">
        <x:v>NPK-Interaktionen; P/K→Mg</x:v>
      </x:c>
    </x:row>
    <x:row r="21">
      <x:c r="A21" s="34" t="str">
        <x:v>A Wissenschaft</x:v>
      </x:c>
      <x:c r="B21" s="63" t="str">
        <x:v>Saloner et al. 2023 / Mg Cannabis</x:v>
      </x:c>
      <x:c r="C21" s="63" t="str">
        <x:v>https://pubmed.ncbi.nlm.nih.gov/37514290/</x:v>
      </x:c>
      <x:c r="D21" s="35" t="str">
        <x:v>Mg↔Ca/K Konkurrenz</x:v>
      </x:c>
    </x:row>
    <x:row r="22">
      <x:c r="A22" s="34" t="str">
        <x:v>A Wissenschaft</x:v>
      </x:c>
      <x:c r="B22" s="63" t="str">
        <x:v>Westmoreland &amp; Bugbee 2022</x:v>
      </x:c>
      <x:c r="C22" s="63" t="str">
        <x:v>https://www.frontiersin.org/journals/plant-science/articles/10.3389/fpls.2022.1015652/full</x:v>
      </x:c>
      <x:c r="D22" s="35" t="str">
        <x:v>P-Überversorgung</x:v>
      </x:c>
    </x:row>
    <x:row r="23">
      <x:c r="A23" s="34" t="str">
        <x:v>A Wissenschaft</x:v>
      </x:c>
      <x:c r="B23" s="63" t="str">
        <x:v>Hershkowitz et al. 2025</x:v>
      </x:c>
      <x:c r="C23" s="63" t="str">
        <x:v>https://www.frontiersin.org/journals/plant-science/articles/10.3389/fpls.2025.1433985/full</x:v>
      </x:c>
      <x:c r="D23" s="35" t="str">
        <x:v>EC/P hoch ≠ mehr Ertrag/Qualität</x:v>
      </x:c>
    </x:row>
    <x:row r="24">
      <x:c r="A24" s="34" t="str">
        <x:v>A Wissenschaft</x:v>
      </x:c>
      <x:c r="B24" s="63" t="str">
        <x:v>Bevan et al. 2021</x:v>
      </x:c>
      <x:c r="C24" s="63" t="str">
        <x:v>https://www.frontiersin.org/journals/plant-science/articles/10.3389/fpls.2021.764103/full</x:v>
      </x:c>
      <x:c r="D24" s="35" t="str">
        <x:v>Blüte NPK; K-Reaktion</x:v>
      </x:c>
    </x:row>
    <x:row r="25">
      <x:c r="A25" s="34" t="str">
        <x:v>B Community</x:v>
      </x:c>
      <x:c r="B25" s="63" t="str">
        <x:v>Grower.ch HESI Coco</x:v>
      </x:c>
      <x:c r="C25" s="63" t="str">
        <x:v>https://www.grower.ch/forum/threads/hesi-duenger-fuer-coco.155701/</x:v>
      </x:c>
      <x:c r="D25" s="35" t="str">
        <x:v>Praxisskalierung/Dosis/pH</x:v>
      </x:c>
    </x:row>
    <x:row r="26">
      <x:c r="A26" s="34" t="str">
        <x:v>B Community</x:v>
      </x:c>
      <x:c r="B26" s="63" t="str">
        <x:v>Grower.ch AN pH Drift</x:v>
      </x:c>
      <x:c r="C26" s="63" t="str">
        <x:v>https://www.grower.ch/forum/threads/advanced-nutrients-ph-wert-instabil.143518/</x:v>
      </x:c>
      <x:c r="D26" s="35" t="str">
        <x:v>Full-stack pH Drift</x:v>
      </x:c>
    </x:row>
    <x:row r="27">
      <x:c r="A27" s="34" t="str">
        <x:v>B Community</x:v>
      </x:c>
      <x:c r="B27" s="63" t="str">
        <x:v>Grower.ch pH Stabilität 2025</x:v>
      </x:c>
      <x:c r="C27" s="63" t="str">
        <x:v>https://www.grower.ch/forum/threads/ph-stabilster-duenger.185789/</x:v>
      </x:c>
      <x:c r="D27" s="35" t="str">
        <x:v>RO/pH-Perfect Drift Berichte</x:v>
      </x:c>
    </x:row>
    <x:row r="28">
      <x:c r="A28" s="34" t="str">
        <x:v>B/C Community</x:v>
      </x:c>
      <x:c r="B28" s="63" t="str">
        <x:v>Rollitup Reservoir</x:v>
      </x:c>
      <x:c r="C28" s="63" t="str">
        <x:v>https://www.rollitup.org/t/reservoir-is-getting-muddy-advanced-nutrients-additives.1041450/</x:v>
      </x:c>
      <x:c r="D28" s="35" t="str">
        <x:v>Schleim/Reservoir-Risiko</x:v>
      </x:c>
    </x:row>
    <x:row r="29">
      <x:c r="A29" s="34" t="str">
        <x:v>B Deskriptiv</x:v>
      </x:c>
      <x:c r="B29" s="63" t="str">
        <x:v>GrowDiaries Big Bud Coco</x:v>
      </x:c>
      <x:c r="C29" s="63" t="str">
        <x:v>https://growdiaries.com/seedbank/advanced-nutrients/big-bud-coco</x:v>
      </x:c>
      <x:c r="D29" s="35" t="str">
        <x:v>breite Nutzerbasis, keine Kausalität</x:v>
      </x:c>
    </x:row>
    <x:row r="30">
      <x:c r="A30" s="34" t="str">
        <x:v>A Hersteller</x:v>
      </x:c>
      <x:c r="B30" s="63" t="str">
        <x:v>Blumat FAQ</x:v>
      </x:c>
      <x:c r="C30" s="63" t="str">
        <x:v>https://www.blumat.com/de/faq/tropf-blumat</x:v>
      </x:c>
      <x:c r="D30" s="35" t="str">
        <x:v>Dünger in Leitungen: Kristallisation/Reinigung</x:v>
      </x:c>
    </x:row>
    <x:row r="31">
      <x:c r="A31" s="34" t="str">
        <x:v>A Hersteller</x:v>
      </x:c>
      <x:c r="B31" s="63" t="str">
        <x:v>AN 8th Generation</x:v>
      </x:c>
      <x:c r="C31" s="63" t="str">
        <x:v>https://8thgeneration.advancednutrients.com/</x:v>
      </x:c>
      <x:c r="D31" s="35" t="str">
        <x:v>Commercial Line 2026</x:v>
      </x:c>
    </x:row>
    <x:row r="32">
      <x:c r="A32" s="34"/>
      <x:c r="B32" s="63"/>
      <x:c r="C32" s="63"/>
      <x:c r="D32" s="35"/>
    </x:row>
    <x:row r="33">
      <x:c r="A33" s="34" t="str">
        <x:v>A Hersteller</x:v>
      </x:c>
      <x:c r="B33" s="63" t="str">
        <x:v>HESI Coco 2026</x:v>
      </x:c>
      <x:c r="C33" s="63" t="str">
        <x:v>https://hesi.nl/de/COCO</x:v>
      </x:c>
      <x:c r="D33" s="35" t="str">
        <x:v>50 ml/10L, pH 5.8–6.2, Ca/Mg</x:v>
      </x:c>
    </x:row>
    <x:row r="34">
      <x:c r="A34" s="34" t="str">
        <x:v>A Hersteller</x:v>
      </x:c>
      <x:c r="B34" s="63" t="str">
        <x:v>HESI TNT Complex</x:v>
      </x:c>
      <x:c r="C34" s="63" t="str">
        <x:v>https://hesi.nl/de/TNT-COMPLEX</x:v>
      </x:c>
      <x:c r="D34" s="35" t="str">
        <x:v>50 ml/10L; halb bei jungen Pflanzen</x:v>
      </x:c>
    </x:row>
    <x:row r="35">
      <x:c r="A35" s="34" t="str">
        <x:v>A Hersteller</x:v>
      </x:c>
      <x:c r="B35" s="63" t="str">
        <x:v>HESI Wurzel Complex</x:v>
      </x:c>
      <x:c r="C35" s="63" t="str">
        <x:v>https://hesi.nl/de/Wurzel-Complex</x:v>
      </x:c>
      <x:c r="D35" s="35" t="str">
        <x:v>50 ml/10L; halbe Langzeitdosis</x:v>
      </x:c>
    </x:row>
    <x:row r="36">
      <x:c r="A36" s="34" t="str">
        <x:v>A Hersteller</x:v>
      </x:c>
      <x:c r="B36" s="63" t="str">
        <x:v>HESI Boost</x:v>
      </x:c>
      <x:c r="C36" s="63" t="str">
        <x:v>https://hesi.nl/de/Boost</x:v>
      </x:c>
      <x:c r="D36" s="35" t="str">
        <x:v>20 ml/10L</x:v>
      </x:c>
    </x:row>
    <x:row r="37">
      <x:c r="A37" s="34" t="str">
        <x:v>A Hersteller</x:v>
      </x:c>
      <x:c r="B37" s="63" t="str">
        <x:v>HESI Hesilicio</x:v>
      </x:c>
      <x:c r="C37" s="63" t="str">
        <x:v>https://hesi.nl/de/Hesilicio</x:v>
      </x:c>
      <x:c r="D37" s="35" t="str">
        <x:v>0.5 ml/L, ~1×/W</x:v>
      </x:c>
    </x:row>
    <x:row r="38">
      <x:c r="A38" s="34" t="str">
        <x:v>A Hersteller</x:v>
      </x:c>
      <x:c r="B38" s="63" t="str">
        <x:v>HESI PK13/14</x:v>
      </x:c>
      <x:c r="C38" s="63" t="str">
        <x:v>https://hesi.nl/de/PK-13-14</x:v>
      </x:c>
      <x:c r="D38" s="35" t="str">
        <x:v>0.25–1.5 ml/L; K↔Ca/Mg Warnung</x:v>
      </x:c>
    </x:row>
    <x:row r="39">
      <x:c r="A39" s="34" t="str">
        <x:v>A Hersteller</x:v>
      </x:c>
      <x:c r="B39" s="63" t="str">
        <x:v>HESI CalMag</x:v>
      </x:c>
      <x:c r="C39" s="63" t="str">
        <x:v>https://hesi.nl/de/CalMag</x:v>
      </x:c>
      <x:c r="D39" s="35" t="str">
        <x:v>RO/Softwater bis EC 0.4–0.5</x:v>
      </x:c>
    </x:row>
    <x:row r="40">
      <x:c r="A40" s="34" t="str">
        <x:v>A Hersteller</x:v>
      </x:c>
      <x:c r="B40" s="63" t="str">
        <x:v>AN Sensi Coco pH Perfect</x:v>
      </x:c>
      <x:c r="C40" s="63" t="str">
        <x:v>https://www.advancednutrients.com/de/products/ph-perfect-sensi-coco-grow-bloom/</x:v>
      </x:c>
      <x:c r="D40" s="35" t="str">
        <x:v>Grow A/B 1→4 ml/L; Bloom 4 ml/L</x:v>
      </x:c>
    </x:row>
    <x:row r="41">
      <x:c r="A41" s="34" t="str">
        <x:v>A Hersteller</x:v>
      </x:c>
      <x:c r="B41" s="63" t="str">
        <x:v>AN Voodoo Juice</x:v>
      </x:c>
      <x:c r="C41" s="63" t="str">
        <x:v>https://www.advancednutrients.com/de/products/voodoo-juice/</x:v>
      </x:c>
      <x:c r="D41" s="35" t="str">
        <x:v>2 ml/L Veg W1–2 + Bloom W1–2</x:v>
      </x:c>
    </x:row>
    <x:row r="42">
      <x:c r="A42" s="34" t="str">
        <x:v>A Hersteller</x:v>
      </x:c>
      <x:c r="B42" s="63" t="str">
        <x:v>AN Piranha</x:v>
      </x:c>
      <x:c r="C42" s="63" t="str">
        <x:v>https://www.advancednutrients.com/de/products/piranha/</x:v>
      </x:c>
      <x:c r="D42" s="35" t="str">
        <x:v>2 ml/L Veg/Bloom W1–2</x:v>
      </x:c>
    </x:row>
    <x:row r="43">
      <x:c r="A43" s="34" t="str">
        <x:v>A Hersteller</x:v>
      </x:c>
      <x:c r="B43" s="63" t="str">
        <x:v>AN Tarantula</x:v>
      </x:c>
      <x:c r="C43" s="63" t="str">
        <x:v>https://www.advancednutrients.com/de/products/tarantula/</x:v>
      </x:c>
      <x:c r="D43" s="35" t="str">
        <x:v>2 ml/L Veg/Bloom W1–2</x:v>
      </x:c>
    </x:row>
    <x:row r="44">
      <x:c r="A44" s="34" t="str">
        <x:v>A Hersteller</x:v>
      </x:c>
      <x:c r="B44" s="63" t="str">
        <x:v>AN Big Bud</x:v>
      </x:c>
      <x:c r="C44" s="63" t="str">
        <x:v>https://www.advancednutrients.com/de/products/big-bud/</x:v>
      </x:c>
      <x:c r="D44" s="35" t="str">
        <x:v>2 ml/L Bloom W2–5</x:v>
      </x:c>
    </x:row>
    <x:row r="45">
      <x:c r="A45" s="34" t="str">
        <x:v>A Hersteller</x:v>
      </x:c>
      <x:c r="B45" s="63" t="str">
        <x:v>AN Overdrive</x:v>
      </x:c>
      <x:c r="C45" s="63" t="str">
        <x:v>https://www.advancednutrients.com/de/products/overdrive/</x:v>
      </x:c>
      <x:c r="D45" s="35" t="str">
        <x:v>2 ml/L Bloom W6–7</x:v>
      </x:c>
    </x:row>
    <x:row r="46">
      <x:c r="A46" s="34" t="str">
        <x:v>A Hersteller</x:v>
      </x:c>
      <x:c r="B46" s="63" t="str">
        <x:v>AN pH Up/Down + FAQ</x:v>
      </x:c>
      <x:c r="C46" s="63" t="str">
        <x:v>https://www.advancednutrients.com/de/secret-menu/ph-up-ph-down/</x:v>
      </x:c>
      <x:c r="D46" s="35" t="str">
        <x:v>KOH / Phosphorsäure; Cross-brand pH Perfect nicht garantiert</x:v>
      </x:c>
    </x:row>
    <x:row r="47">
      <x:c r="A47" s="34" t="str">
        <x:v>A Hersteller</x:v>
      </x:c>
      <x:c r="B47" s="63" t="str">
        <x:v>Blumat FAQ</x:v>
      </x:c>
      <x:c r="C47" s="63" t="str">
        <x:v>https://blumat.com/de/faq</x:v>
      </x:c>
      <x:c r="D47" s="35" t="str">
        <x:v>bedarfsgerechte Bewässerung; Flüssigdünger kann Leitungen kristallisieren</x:v>
      </x:c>
    </x:row>
    <x:row r="48">
      <x:c r="A48" s="34" t="str">
        <x:v>A Hersteller</x:v>
      </x:c>
      <x:c r="B48" s="63" t="str">
        <x:v>Blumat Indoor Warnung</x:v>
      </x:c>
      <x:c r="C48" s="63" t="str">
        <x:v>https://www.blumat.com/de/app/what-should-i-do-if</x:v>
      </x:c>
      <x:c r="D48" s="35" t="str">
        <x:v>Tropf-Blumat vom Hersteller darf laut Hersteller nicht im Innenbereich verwendet werden</x:v>
      </x:c>
    </x:row>
    <x:row r="49">
      <x:c r="A49" s="34" t="str">
        <x:v>A Gesetz</x:v>
      </x:c>
      <x:c r="B49" s="63" t="str">
        <x:v>KCanG §3</x:v>
      </x:c>
      <x:c r="C49" s="63" t="str">
        <x:v>https://www.gesetze-im-internet.de/kcang/__3.html</x:v>
      </x:c>
      <x:c r="D49" s="35" t="str">
        <x:v>50 g am Wohnsitz; bis 3 lebende Pflanzen</x:v>
      </x:c>
    </x:row>
    <x:row r="50">
      <x:c r="A50" s="36" t="str">
        <x:v>A Gesetz</x:v>
      </x:c>
      <x:c r="B50" s="64" t="str">
        <x:v>KCanG §9</x:v>
      </x:c>
      <x:c r="C50" s="64" t="str">
        <x:v>https://www.gesetze-im-internet.de/kcang/__9.html</x:v>
      </x:c>
      <x:c r="D50" s="37" t="str">
        <x:v>privater Eigenanbau max. 3 Pflanzen; keine Weitergabe</x:v>
      </x:c>
    </x:row>
    <x:row r="51">
      <x:c r="A51"/>
      <x:c r="B51"/>
      <x:c r="C51"/>
      <x:c r="D51"/>
    </x:row>
    <x:row r="52">
      <x:c r="A52" s="32" t="str">
        <x:v>A Hersteller</x:v>
      </x:c>
      <x:c r="B52" s="62" t="str">
        <x:v>Athena Balance</x:v>
      </x:c>
      <x:c r="C52" s="62" t="str">
        <x:v>https://store.athenaag.com/balance/</x:v>
      </x:c>
      <x:c r="D52" s="33" t="str">
        <x:v>pH+ / RO-Puffer / sedimentfrei / vor Düngern</x:v>
      </x:c>
    </x:row>
    <x:row r="53">
      <x:c r="A53" s="34" t="str">
        <x:v>A Hersteller</x:v>
      </x:c>
      <x:c r="B53" s="201" t="str">
        <x:v>Athena Water Conditioners</x:v>
      </x:c>
      <x:c r="C53" s="201" t="str">
        <x:v>https://www.athenaag.com/water-conditioners</x:v>
      </x:c>
      <x:c r="D53" s="35" t="str">
        <x:v>Balance vor Düngern; K-Silikat</x:v>
      </x:c>
    </x:row>
    <x:row r="54">
      <x:c r="A54" s="34" t="str">
        <x:v>B Händler</x:v>
      </x:c>
      <x:c r="B54" s="201" t="str">
        <x:v>Growland Athena Balance</x:v>
      </x:c>
      <x:c r="C54" s="201" t="str">
        <x:v>https://www.growland.net/Athena-Balance-946-ml</x:v>
      </x:c>
      <x:c r="D54" s="35" t="str">
        <x:v>DE-Produkt; 5–26 ml/10 L, pH-abhängig</x:v>
      </x:c>
    </x:row>
    <x:row r="55">
      <x:c r="A55" s="34" t="str">
        <x:v>A Hersteller</x:v>
      </x:c>
      <x:c r="B55" s="201" t="str">
        <x:v>AN Feeding Charts</x:v>
      </x:c>
      <x:c r="C55" s="201" t="str">
        <x:v>https://www.advancednutrients.com/de/feeding/</x:v>
      </x:c>
      <x:c r="D55" s="35" t="str">
        <x:v>2026 aktuelle Feeding-Chart-Struktur</x:v>
      </x:c>
    </x:row>
    <x:row r="56">
      <x:c r="A56" s="34" t="str">
        <x:v>B Händler</x:v>
      </x:c>
      <x:c r="B56" s="201" t="str">
        <x:v>AN Grand Master Set</x:v>
      </x:c>
      <x:c r="C56" s="201" t="str">
        <x:v>https://www.grow-shop24.de/advanced-nutrients-grand-master-grower-level-set</x:v>
      </x:c>
      <x:c r="D56" s="35" t="str">
        <x:v>klassisches kumulatives 13-Produkt-Set in DE</x:v>
      </x:c>
    </x:row>
    <x:row r="57">
      <x:c r="A57" s="34" t="str">
        <x:v>A Hersteller</x:v>
      </x:c>
      <x:c r="B57" s="201" t="str">
        <x:v>AN Bud Ignitor</x:v>
      </x:c>
      <x:c r="C57" s="201" t="str">
        <x:v>https://www.advancednutrients.com/de/products/bud-ignitor/</x:v>
      </x:c>
      <x:c r="D57" s="35" t="str">
        <x:v>2 ml/L B1–2</x:v>
      </x:c>
    </x:row>
    <x:row r="58">
      <x:c r="A58" s="34" t="str">
        <x:v>A Hersteller</x:v>
      </x:c>
      <x:c r="B58" s="201" t="str">
        <x:v>AN Big Bud</x:v>
      </x:c>
      <x:c r="C58" s="201" t="str">
        <x:v>https://www.advancednutrients.com/de/products/big-bud/</x:v>
      </x:c>
      <x:c r="D58" s="35" t="str">
        <x:v>2 ml/L B2–5</x:v>
      </x:c>
    </x:row>
    <x:row r="59">
      <x:c r="A59" s="34" t="str">
        <x:v>A Hersteller</x:v>
      </x:c>
      <x:c r="B59" s="201" t="str">
        <x:v>AN Overdrive</x:v>
      </x:c>
      <x:c r="C59" s="201" t="str">
        <x:v>https://www.advancednutrients.com/de/products/overdrive/</x:v>
      </x:c>
      <x:c r="D59" s="35" t="str">
        <x:v>2 ml/L B6–7</x:v>
      </x:c>
    </x:row>
    <x:row r="60">
      <x:c r="A60" s="34" t="str">
        <x:v>A Hersteller</x:v>
      </x:c>
      <x:c r="B60" s="201" t="str">
        <x:v>AN B-52</x:v>
      </x:c>
      <x:c r="C60" s="201" t="str">
        <x:v>https://www.advancednutrients.com/de/products/b-52/</x:v>
      </x:c>
      <x:c r="D60" s="35" t="str">
        <x:v>2 ml/L G1–4; B3–7</x:v>
      </x:c>
    </x:row>
    <x:row r="61">
      <x:c r="A61" s="34" t="str">
        <x:v>A Hersteller</x:v>
      </x:c>
      <x:c r="B61" s="201" t="str">
        <x:v>AN Bud Candy</x:v>
      </x:c>
      <x:c r="C61" s="201" t="str">
        <x:v>https://www.advancednutrients.com/de/products/bud-candy/</x:v>
      </x:c>
      <x:c r="D61" s="35" t="str">
        <x:v>2 ml/L G1–4; B1–7</x:v>
      </x:c>
    </x:row>
    <x:row r="62">
      <x:c r="A62" s="34" t="str">
        <x:v>A Hersteller</x:v>
      </x:c>
      <x:c r="B62" s="201" t="str">
        <x:v>AN Piranha</x:v>
      </x:c>
      <x:c r="C62" s="201" t="str">
        <x:v>https://www.advancednutrients.com/de/products/piranha/</x:v>
      </x:c>
      <x:c r="D62" s="35" t="str">
        <x:v>2 ml/L G1–2; B1–2</x:v>
      </x:c>
    </x:row>
    <x:row r="63">
      <x:c r="A63" s="34" t="str">
        <x:v>A Hersteller</x:v>
      </x:c>
      <x:c r="B63" s="201" t="str">
        <x:v>AN Tarantula</x:v>
      </x:c>
      <x:c r="C63" s="201" t="str">
        <x:v>https://www.advancednutrients.com/de/products/tarantula/</x:v>
      </x:c>
      <x:c r="D63" s="35" t="str">
        <x:v>2 ml/L G1–2; B1–2</x:v>
      </x:c>
    </x:row>
    <x:row r="64">
      <x:c r="A64" s="34" t="str">
        <x:v>A Hersteller</x:v>
      </x:c>
      <x:c r="B64" s="201" t="str">
        <x:v>AN Sensizym</x:v>
      </x:c>
      <x:c r="C64" s="201" t="str">
        <x:v>https://www.advancednutrients.com/de/products/sensizym/</x:v>
      </x:c>
      <x:c r="D64" s="35" t="str">
        <x:v>2 ml/L G1–4; B1–7</x:v>
      </x:c>
    </x:row>
    <x:row r="65">
      <x:c r="A65" s="34" t="str">
        <x:v>A Hersteller</x:v>
      </x:c>
      <x:c r="B65" s="201" t="str">
        <x:v>AN Tasty Terpenes</x:v>
      </x:c>
      <x:c r="C65" s="201" t="str">
        <x:v>https://www.advancednutrients.com/de/products/tasty-terpenes/</x:v>
      </x:c>
      <x:c r="D65" s="35" t="str">
        <x:v>Tasty Terpenes: aktuelles AN-Produkt; Legacy-Nirvana-Bezüge nur nach versionsspezifischer Verifikation. Label-Fenster separat nach aktuellem Feeding Chart prüfen.</x:v>
      </x:c>
    </x:row>
    <x:row r="66">
      <x:c r="A66" s="34" t="str">
        <x:v>A Hersteller</x:v>
      </x:c>
      <x:c r="B66" s="201" t="str">
        <x:v>AN Rhino Skin</x:v>
      </x:c>
      <x:c r="C66" s="201" t="str">
        <x:v>https://www.advancednutrients.com/de/products/rhino-skin/</x:v>
      </x:c>
      <x:c r="D66" s="35" t="str">
        <x:v>K-Silikat 2 ml/L; Grand-Master-Zusatz</x:v>
      </x:c>
    </x:row>
    <x:row r="67">
      <x:c r="A67" s="34" t="str">
        <x:v>A Hersteller</x:v>
      </x:c>
      <x:c r="B67" s="201" t="str">
        <x:v>AN Bud Factor X</x:v>
      </x:c>
      <x:c r="C67" s="201" t="str">
        <x:v>https://www.advancednutrients.com/products/bud-factor-x/</x:v>
      </x:c>
      <x:c r="D67" s="35" t="str">
        <x:v>2 ml/L; G2–4/B1–7</x:v>
      </x:c>
    </x:row>
    <x:row r="68">
      <x:c r="A68" s="34" t="str">
        <x:v>A Hersteller</x:v>
      </x:c>
      <x:c r="B68" s="201" t="str">
        <x:v>AN Flawless Finish</x:v>
      </x:c>
      <x:c r="C68" s="201" t="str">
        <x:v>https://www.advancednutrients.com/de/products/flawless-finish/</x:v>
      </x:c>
      <x:c r="D68" s="35" t="str">
        <x:v>2 ml/L Flush</x:v>
      </x:c>
    </x:row>
    <x:row r="69">
      <x:c r="A69" s="34" t="str">
        <x:v>B Community</x:v>
      </x:c>
      <x:c r="B69" s="201" t="str">
        <x:v>Grower.ch AN Sensi Dosierung</x:v>
      </x:c>
      <x:c r="C69" s="201" t="str">
        <x:v>https://www.grower.ch/forum/threads/advanced-nutrients-sensi-base-dosierung.58755/</x:v>
      </x:c>
      <x:c r="D69" s="35" t="str">
        <x:v>Praxis: reduzierte Dosierung/EC-Steuerung</x:v>
      </x:c>
    </x:row>
    <x:row r="70">
      <x:c r="A70" s="34" t="str">
        <x:v>C Community</x:v>
      </x:c>
      <x:c r="B70" s="201" t="str">
        <x:v>GrowDiaries Auto GM Stack</x:v>
      </x:c>
      <x:c r="C70" s="201" t="str">
        <x:v>https://growdiaries.com/grow-questions/72152-autoflowers-nutrients-feeding-plan</x:v>
      </x:c>
      <x:c r="D70" s="35" t="str">
        <x:v>Auto-Vollstack als zu komplex/zu stark kritisiert</x:v>
      </x:c>
    </x:row>
    <x:row r="71">
      <x:c r="A71" s="36" t="str">
        <x:v>B Community</x:v>
      </x:c>
      <x:c r="B71" s="64" t="str">
        <x:v>Rollitup AN chart EC</x:v>
      </x:c>
      <x:c r="C71" s="64" t="str">
        <x:v>https://www.rollitup.org/t/advanced-nutrients-feeding-chart-chaos.974475/</x:v>
      </x:c>
      <x:c r="D71" s="37" t="str">
        <x:v>wiederkehrende hohe EC bei Vollschema</x:v>
      </x:c>
    </x:row>
    <x:row r="72">
      <x:c r="A72"/>
      <x:c r="B72"/>
      <x:c r="C72"/>
      <x:c r="D72"/>
    </x:row>
    <x:row r="73">
      <x:c r="A73" s="1154" t="str">
        <x:v>A Hersteller</x:v>
      </x:c>
      <x:c r="B73" s="1204" t="str">
        <x:v>Blumat Indoor-Verbot</x:v>
      </x:c>
      <x:c r="C73" s="1204" t="str">
        <x:v>https://www.blumat.com/de/app/what-should-i-do-if</x:v>
      </x:c>
      <x:c r="D73" s="1205" t="str">
        <x:v>Tropf-Blumat darf laut Hersteller nicht im Innenbereich verwendet werden</x:v>
      </x:c>
    </x:row>
    <x:row r="74">
      <x:c r="A74" s="1156" t="str">
        <x:v>A Hersteller</x:v>
      </x:c>
      <x:c r="B74" s="201" t="str">
        <x:v>Blumat FAQ</x:v>
      </x:c>
      <x:c r="C74" s="201" t="str">
        <x:v>https://www.blumat.com/de/faq</x:v>
      </x:c>
      <x:c r="D74" s="1193" t="str">
        <x:v>reagiert auf Bodenfeuchte; Flüssigdünger möglich, Kristallisation in Leitungen über Zeit</x:v>
      </x:c>
    </x:row>
    <x:row r="75">
      <x:c r="A75" s="1156" t="str">
        <x:v>A Hersteller</x:v>
      </x:c>
      <x:c r="B75" s="201" t="str">
        <x:v>Advanced Nutrients Flo &amp; Gro</x:v>
      </x:c>
      <x:c r="C75" s="201" t="str">
        <x:v>https://www.advancednutrients.com/de/products/flo-gro/</x:v>
      </x:c>
      <x:c r="D75" s="1193" t="str">
        <x:v>HOCl; aktuell nur USA/Kanada</x:v>
      </x:c>
    </x:row>
    <x:row r="76">
      <x:c r="A76" s="1156" t="str">
        <x:v>A Hersteller</x:v>
      </x:c>
      <x:c r="B76" s="201" t="str">
        <x:v>HESI TNT Complex</x:v>
      </x:c>
      <x:c r="C76" s="201" t="str">
        <x:v>https://hesi.nl/de/TNT-COMPLEX</x:v>
      </x:c>
      <x:c r="D76" s="1193" t="str">
        <x:v>Saatreserven; junge Pflanzen halbe Dosis</x:v>
      </x:c>
    </x:row>
    <x:row r="77">
      <x:c r="A77" s="1156" t="str">
        <x:v>A Hersteller</x:v>
      </x:c>
      <x:c r="B77" s="201" t="str">
        <x:v>HESI Coco</x:v>
      </x:c>
      <x:c r="C77" s="201" t="str">
        <x:v>https://hesi.nl/de/COCO</x:v>
      </x:c>
      <x:c r="D77" s="1193" t="str">
        <x:v>5.8–6.2 pH; Basisdaten</x:v>
      </x:c>
    </x:row>
    <x:row r="78">
      <x:c r="A78" s="1156" t="str">
        <x:v>A Hersteller</x:v>
      </x:c>
      <x:c r="B78" s="201" t="str">
        <x:v>Athena Balance</x:v>
      </x:c>
      <x:c r="C78" s="201" t="str">
        <x:v>https://store.athenaag.com/balance/</x:v>
      </x:c>
      <x:c r="D78" s="1193" t="str">
        <x:v>pH anheben, RO puffern, Kaliumsilikat, vor Dünger</x:v>
      </x:c>
    </x:row>
    <x:row r="79">
      <x:c r="A79" s="1156" t="str">
        <x:v>A Primärliteratur</x:v>
      </x:c>
      <x:c r="B79" s="201" t="str">
        <x:v>Cannabis NPK interactions</x:v>
      </x:c>
      <x:c r="C79" s="201" t="str">
        <x:v>https://www.frontiersin.org/journals/plant-science/articles/10.3389/fpls.2024.1501484/full</x:v>
      </x:c>
      <x:c r="D79" s="1193" t="str">
        <x:v>P/K–Mg Zusammenhang im untersuchten System</x:v>
      </x:c>
    </x:row>
    <x:row r="80">
      <x:c r="A80" s="1156" t="str">
        <x:v>A Primärliteratur</x:v>
      </x:c>
      <x:c r="B80" s="201" t="str">
        <x:v>Cannabis Mg nutrition</x:v>
      </x:c>
      <x:c r="C80" s="201" t="str">
        <x:v>https://pubmed.ncbi.nlm.nih.gov/37514290/</x:v>
      </x:c>
      <x:c r="D80" s="1193" t="str">
        <x:v>hohes Mg beeinflusst Ca/K-Aufnahme</x:v>
      </x:c>
    </x:row>
    <x:row r="81">
      <x:c r="A81" s="1156" t="str">
        <x:v>A Primärliteratur</x:v>
      </x:c>
      <x:c r="B81" s="201" t="str">
        <x:v>Cannabis P response</x:v>
      </x:c>
      <x:c r="C81" s="201" t="str">
        <x:v>https://www.frontiersin.org/journals/plant-science/articles/10.3389/fpls.2022.1015652/full</x:v>
      </x:c>
      <x:c r="D81" s="1193" t="str">
        <x:v>höheres P nicht automatisch mehr Yield/Quality</x:v>
      </x:c>
    </x:row>
    <x:row r="82">
      <x:c r="A82" s="1156" t="str">
        <x:v>A Primärliteratur</x:v>
      </x:c>
      <x:c r="B82" s="201" t="str">
        <x:v>Cannabis EC/P 2025</x:v>
      </x:c>
      <x:c r="C82" s="201" t="str">
        <x:v>https://www.frontiersin.org/journals/plant-science/articles/10.3389/fpls.2025.1433985/full</x:v>
      </x:c>
      <x:c r="D82" s="1193" t="str">
        <x:v>höhere EC/P nicht automatisch mehr Yield/Cannabinoide</x:v>
      </x:c>
    </x:row>
    <x:row r="83">
      <x:c r="A83" s="1156" t="str">
        <x:v>A Primärliteratur</x:v>
      </x:c>
      <x:c r="B83" s="201" t="str">
        <x:v>Cannabis light intensity</x:v>
      </x:c>
      <x:c r="C83" s="201" t="str">
        <x:v>https://pubmed.ncbi.nlm.nih.gov/34046049/</x:v>
      </x:c>
      <x:c r="D83" s="1193" t="str">
        <x:v>Ertrag vs PPFD; überwiegend photoperiodischer Kontext</x:v>
      </x:c>
    </x:row>
    <x:row r="84">
      <x:c r="A84" s="1156" t="str">
        <x:v>Review/Primär</x:v>
      </x:c>
      <x:c r="B84" s="201" t="str">
        <x:v>Cannabis drying / water activity</x:v>
      </x:c>
      <x:c r="C84" s="201" t="str">
        <x:v>https://pmc.ncbi.nlm.nih.gov/</x:v>
      </x:c>
      <x:c r="D84" s="1193" t="str">
        <x:v>Trocknungsendpunkte nicht vollständig standardisiert; aw als relevante Kenngröße</x:v>
      </x:c>
    </x:row>
    <x:row r="85">
      <x:c r="A85" s="1156" t="str">
        <x:v>A Hersteller</x:v>
      </x:c>
      <x:c r="B85" s="201" t="str">
        <x:v>Mephisto Double Grape</x:v>
      </x:c>
      <x:c r="C85" s="201" t="str">
        <x:v>https://eu.mephistogenetics.com/products/double-grape</x:v>
      </x:c>
      <x:c r="D85" s="1193" t="str">
        <x:v>F7, 55–80 cm, 70–80 Tage</x:v>
      </x:c>
    </x:row>
    <x:row r="86">
      <x:c r="A86" s="1158" t="str">
        <x:v>A Hersteller</x:v>
      </x:c>
      <x:c r="B86" s="1194" t="str">
        <x:v>Fast Buds Banana Purple Punch RF3</x:v>
      </x:c>
      <x:c r="C86" s="1194" t="str">
        <x:v>https://2fast4buds.com/de/seeds/banana-purple-punch-auto</x:v>
      </x:c>
      <x:c r="D86" s="1195" t="str">
        <x:v>aktuelle RF3-Version, 80–150 cm, 8–9 Wochen</x:v>
      </x:c>
    </x:row>
    <x:row r="87">
      <x:c r="A87" s="60" t="str">
        <x:v>A Gesetz</x:v>
      </x:c>
      <x:c r="B87" s="60" t="str">
        <x:v>KCanG §3 Besitz</x:v>
      </x:c>
      <x:c r="C87" s="60" t="str">
        <x:v>https://www.gesetze-im-internet.de/kcang/__3.html</x:v>
      </x:c>
      <x:c r="D87" s="60" t="str">
        <x:v>50 g am Wohnsitz/gewöhnlichen Aufenthalt; bis zu drei lebende Pflanzen</x:v>
      </x:c>
    </x:row>
    <x:row r="88">
      <x:c r="A88" s="60" t="str">
        <x:v>A Gesetz</x:v>
      </x:c>
      <x:c r="B88" s="60" t="str">
        <x:v>KCanG §9 Privater Eigenanbau</x:v>
      </x:c>
      <x:c r="C88" s="60" t="str">
        <x:v>https://www.gesetze-im-internet.de/kcang/__9.html</x:v>
      </x:c>
      <x:c r="D88" s="60" t="str">
        <x:v>Volljährige: privater Eigenanbau von insgesamt nicht mehr als drei Pflanzen gleichzeitig; keine Weitergabe</x:v>
      </x:c>
    </x:row>
    <x:row r="89">
      <x:c r="A89" s="60" t="str">
        <x:v>A Gesetz</x:v>
      </x:c>
      <x:c r="B89" s="60" t="str">
        <x:v>KCanG §10 Zugriffsschutz</x:v>
      </x:c>
      <x:c r="C89" s="60" t="str">
        <x:v>https://www.gesetze-im-internet.de/kcang/BJNR06D0B0024.html</x:v>
      </x:c>
      <x:c r="D89" s="60" t="str">
        <x:v>geeignete Schutzmaßnahmen vor Dritten, insbesondere Kindern/Jugendlichen</x:v>
      </x:c>
    </x:row>
    <x:row r="90">
      <x:c r="A90" s="60" t="str">
        <x:v>A Hersteller</x:v>
      </x:c>
      <x:c r="B90" s="60" t="str">
        <x:v>Blumat bestimmungsgemäße Verwendung</x:v>
      </x:c>
      <x:c r="C90" s="60" t="str">
        <x:v>https://blumat.com/de/tropf-blumat</x:v>
      </x:c>
      <x:c r="D90" s="60" t="str">
        <x:v>Tropf-Blumat: Tröpfchenbewässerung für Pflanzen im Außenbereich</x:v>
      </x:c>
    </x:row>
    <x:row r="91">
      <x:c r="A91" s="60" t="str">
        <x:v>A Hersteller</x:v>
      </x:c>
      <x:c r="B91" s="60" t="str">
        <x:v>Athena Balance 2026</x:v>
      </x:c>
      <x:c r="C91" s="60" t="str">
        <x:v>https://store.athenaag.com/balance/</x:v>
      </x:c>
      <x:c r="D91" s="60" t="str">
        <x:v>RO-Puffer/pH-Anhebung; keine universelle Application Rate auf Produktseite; nicht für elektronische Dosiersysteme empfohlen</x:v>
      </x:c>
    </x:row>
    <x:row r="92">
      <x:c r="A92" s="60" t="str">
        <x:v>A Hersteller</x:v>
      </x:c>
      <x:c r="B92" s="60" t="str">
        <x:v>Athena Water Conditioners</x:v>
      </x:c>
      <x:c r="C92" s="60" t="str">
        <x:v>https://www.athenaag.com/water-conditioners</x:v>
      </x:c>
      <x:c r="D92" s="60" t="str">
        <x:v>Balance vor Dünger; Blended Balance aus löslichem Kaliumsilikat</x:v>
      </x:c>
    </x:row>
    <x:row r="93">
      <x:c r="A93" s="60" t="str">
        <x:v>A Hersteller</x:v>
      </x:c>
      <x:c r="B93" s="60" t="str">
        <x:v>AN Voodoo Juice 2026</x:v>
      </x:c>
      <x:c r="C93" s="60" t="str">
        <x:v>https://www.advancednutrients.com/de/products/voodoo-juice/</x:v>
      </x:c>
      <x:c r="D93" s="60" t="str">
        <x:v>2 ml/L Woche 1–2 Wachstum und Blüte; Coco/Hydro beworben</x:v>
      </x:c>
    </x:row>
    <x:row r="94">
      <x:c r="A94" s="60" t="str">
        <x:v>A Primärliteratur</x:v>
      </x:c>
      <x:c r="B94" s="60" t="str">
        <x:v>Cannabis RH 2025</x:v>
      </x:c>
      <x:c r="C94" s="60" t="str">
        <x:v>https://www.frontiersin.org/journals/plant-science/articles/10.3389/fpls.2025.1678142/full</x:v>
      </x:c>
      <x:c r="D94" s="60" t="str">
        <x:v>78–98% RH schadete in einem CBD-dominanten Klon; 37–58% Kontrolle ausdrücklich nicht als Optimum</x:v>
      </x:c>
    </x:row>
    <x:row r="95">
      <x:c r="A95" s="60" t="str">
        <x:v>A Primärliteratur</x:v>
      </x:c>
      <x:c r="B95" s="60" t="str">
        <x:v>Autoflower flowering genetics 2026</x:v>
      </x:c>
      <x:c r="C95" s="60" t="str">
        <x:v>https://pubmed.ncbi.nlm.nih.gov/42168298/</x:v>
      </x:c>
      <x:c r="D95" s="60" t="str">
        <x:v>autoflowering accessions phenotypically/genetically consistent with photoperiod insensitivity</x:v>
      </x:c>
    </x:row>
    <x:row r="96">
      <x:c r="A96" s="60" t="str">
        <x:v>A Primärliteratur</x:v>
      </x:c>
      <x:c r="B96" s="60" t="str">
        <x:v>Preharvest flushing 2024</x:v>
      </x:c>
      <x:c r="C96" s="60" t="str">
        <x:v>https://doi.org/10.1016/j.indcrop.2024.119157</x:v>
      </x:c>
      <x:c r="D96" s="60" t="str">
        <x:v>Flushing vs continued nutrition: überwiegend geringe/cultivarabhängige Effekte; keine universelle Qualitätsgarantie</x:v>
      </x:c>
    </x:row>
    <x:row r="97">
      <x:c r="A97" s="60" t="str">
        <x:v>A Primärliteratur</x:v>
      </x:c>
      <x:c r="B97" s="60" t="str">
        <x:v>Organic coir N-rate context 2017</x:v>
      </x:c>
      <x:c r="C97" s="60" t="str">
        <x:v>https://doi.org/10.21273/HORTSCI12401-17</x:v>
      </x:c>
      <x:c r="D97" s="60" t="str">
        <x:v>212–261/283 mg N/L gilt für konkrete organische Formulierung/Substrate/Cultivar; nicht universell übertragen</x:v>
      </x:c>
    </x:row>
    <x:row r="98">
      <x:c r="A98" t="str">
        <x:v>Audit metadata</x:v>
      </x:c>
      <x:c r="B98" t="str">
        <x:v>Primary-source freshness</x:v>
      </x:c>
      <x:c r="C98" t="str">
        <x:v>2026-08-08</x:v>
      </x:c>
      <x:c r="D98" t="str">
        <x:v>Law/manufacturer pages rechecked during v6 evidence audit.</x:v>
      </x:c>
    </x:row>
    <x:row r="99">
      <x:c r="A99" t="str">
        <x:v>Method</x:v>
      </x:c>
      <x:c r="B99" t="str">
        <x:v>Conflict resolution</x:v>
      </x:c>
      <x:c r="C99" t="str">
        <x:v>Primary law/manufacturer/peer-reviewed literature &gt; secondary synthesis &gt; community experience</x:v>
      </x:c>
      <x:c r="D99" t="str">
        <x:v>Community evidence is used for failure-mode discovery, not as canonical dosing authority.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5" hidden="0" customWidth="1"/>
  </x:cols>
  <x:sheetData>
    <x:row r="1">
      <x:c r="A1" s="1214" t="str">
        <x:v>UKD Masterplan — Bedienung, Evidenz und Grenzen</x:v>
      </x:c>
      <x:c r="B1" s="1214"/>
      <x:c r="C1" s="1214"/>
      <x:c r="D1" s="1214"/>
      <x:c r="E1" s="1214"/>
      <x:c r="F1" s="1214"/>
      <x:c r="G1" s="1214"/>
      <x:c r="H1" s="1214"/>
    </x:row>
    <x:row r="3">
      <x:c r="A3" s="1416" t="str">
        <x:v>Punkt</x:v>
      </x:c>
      <x:c r="B3" s="1417" t="str">
        <x:v>AUDITIERTE REGEL</x:v>
      </x:c>
    </x:row>
    <x:row r="4">
      <x:c r="A4" s="1191" t="str">
        <x:v>1</x:v>
      </x:c>
      <x:c r="B4" s="1192" t="str">
        <x:v>Der Plan ist ein Start-/Regelrahmen, keine Ertrags-, Labor- oder Optimierungs-Garantie.</x:v>
      </x:c>
    </x:row>
    <x:row r="5">
      <x:c r="A5" s="1156" t="str">
        <x:v>2</x:v>
      </x:c>
      <x:c r="B5" s="1193" t="str">
        <x:v>PPFD/DLI, Blattzustand, Temperatur, Wasseraufnahme, Input-/Runoff-EC, pH und Wasserchemie haben Vorrang vor Watt, Lampenabstand und ml/L.</x:v>
      </x:c>
    </x:row>
    <x:row r="6">
      <x:c r="A6" s="1156" t="str">
        <x:v>3</x:v>
      </x:c>
      <x:c r="B6" s="1193" t="str">
        <x:v>Nährstoffstart und Blüte-Trigger werden in 01_Run_Config gesetzt; Fütterungsfenster folgen diesen Triggern. Klima/Licht bleiben eine konservative Plantrajektorie.</x:v>
      </x:c>
    </x:row>
    <x:row r="7">
      <x:c r="A7" s="1156" t="str">
        <x:v>4</x:v>
      </x:c>
      <x:c r="B7" s="1193" t="str">
        <x:v>Leaf-VPD wird aus Lufttemperatur, LF und konfigurierbarem Blatt-ΔT geschätzt. IR-Blatttemperatur ist besser als eine feste ΔT-Annahme.</x:v>
      </x:c>
    </x:row>
    <x:row r="8">
      <x:c r="A8" s="1156" t="str">
        <x:v>5</x:v>
      </x:c>
      <x:c r="B8" s="1193" t="str">
        <x:v>Athena Balance ist pH+ / Water Conditioner / Kaliumsilikat. Sie ist kein pH-Down und kein pH-Perfect-Additiv.</x:v>
      </x:c>
    </x:row>
    <x:row r="9">
      <x:c r="A9" s="1156" t="str">
        <x:v>6</x:v>
      </x:c>
      <x:c r="B9" s="1193" t="str">
        <x:v>pH Perfect ist eine Eigenschaft abgestimmter AN-Basislinien. Bei Fremdprodukten ist die Hersteller-pH-Garantie nicht gegeben.</x:v>
      </x:c>
    </x:row>
    <x:row r="10">
      <x:c r="A10" s="1156" t="str">
        <x:v>7</x:v>
      </x:c>
      <x:c r="B10" s="1193" t="str">
        <x:v>Tropf-Blumat ist vom Hersteller nicht für Innenräume freigegeben und deshalb nicht mehr UKD-Reference. Blatt 09 ist Risiko-/Legacy-Dokumentation.</x:v>
      </x:c>
    </x:row>
    <x:row r="11">
      <x:c r="A11" s="1156" t="str">
        <x:v>8</x:v>
      </x:c>
      <x:c r="B11" s="1193" t="str">
        <x:v>Communityberichte sind C-Evidenz/qualitative Praxis, außer eine reproduzierbare unabhängige Datenbasis liegt tatsächlich vor.</x:v>
      </x:c>
    </x:row>
    <x:row r="12">
      <x:c r="A12" s="1156" t="str">
        <x:v>9</x:v>
      </x:c>
      <x:c r="B12" s="1193" t="str">
        <x:v>K/P/Ca/Mg-Wechselwirkungen sind cultivar- und systemabhängig; keine Antagonismusregel als starre universelle Dosierformel verwenden.</x:v>
      </x:c>
    </x:row>
    <x:row r="13">
      <x:c r="A13" s="1156" t="str">
        <x:v>10</x:v>
      </x:c>
      <x:c r="B13" s="1193" t="str">
        <x:v>Grand-Master-Hybrid-Dosen sind nicht wissenschaftlich validiert. Ein Zusatz pro A/B-Pilot, keine Vollstack-Kaskade im Reference-Run.</x:v>
      </x:c>
    </x:row>
    <x:row r="14">
      <x:c r="A14" s="1156" t="str">
        <x:v>11</x:v>
      </x:c>
      <x:c r="B14" s="1193" t="str">
        <x:v>Seed-grown Autoflower-A/B-Runs sind N-of-1-/Quasi-Experimente; dieselbe Sorte bedeutet nicht denselben Genotyp.</x:v>
      </x:c>
    </x:row>
    <x:row r="15">
      <x:c r="A15" s="1158" t="str">
        <x:v>12</x:v>
      </x:c>
      <x:c r="B15" s="1195" t="str">
        <x:v>Energieeffizienz wird bevorzugt als g/kWh Licht dokumentiert, nicht nur als g/W Maximalleistung.</x:v>
      </x:c>
    </x:row>
    <x:row r="17">
      <x:c r="A17" s="1487" t="str">
        <x:v>Audit-Korrektur</x:v>
      </x:c>
      <x:c r="B17" s="1488" t="str">
        <x:v>Bedeutung</x:v>
      </x:c>
    </x:row>
    <x:row r="18">
      <x:c r="A18" s="1191" t="str">
        <x:v>Athena Balance</x:v>
      </x:c>
      <x:c r="B18" s="1192" t="str">
        <x:v>Dosis ist wasser-/pH-abhängig; bei aktivem Balance sind Hesilicio/Rhino Skin nicht Standard.</x:v>
      </x:c>
    </x:row>
    <x:row r="19">
      <x:c r="A19" s="1156" t="str">
        <x:v>Wasserchemie</x:v>
      </x:c>
      <x:c r="B19" s="1193" t="str">
        <x:v>Ca, Mg und HCO3/Alkalinität wurden als fehlende Kerninputs ergänzt; pH und EC allein reichen nicht.</x:v>
      </x:c>
    </x:row>
    <x:row r="20">
      <x:c r="A20" s="1156" t="str">
        <x:v>pH Down</x:v>
      </x:c>
      <x:c r="B20" s="1193" t="str">
        <x:v>erst final nach komplettem Nährstoffmix, nur wenn End-pH zu hoch; Konzentration/Produkt bestimmen tatsächliche Dosis.</x:v>
      </x:c>
    </x:row>
    <x:row r="21">
      <x:c r="A21" s="1156" t="str">
        <x:v>Grand Master</x:v>
      </x:c>
      <x:c r="B21" s="1193" t="str">
        <x:v>alle 13 klassischen Produkte bleiben dokumentiert, aber der alte Levelname ist Händler-/Legacy-Taxonomie, keine wissenschaftliche Qualitätsstufe.</x:v>
      </x:c>
    </x:row>
    <x:row r="22">
      <x:c r="A22" s="1156" t="str">
        <x:v>Biologischer Trigger</x:v>
      </x:c>
      <x:c r="B22" s="1193" t="str">
        <x:v>Bloommodule werden relativ zum konfigurierten Blüte-Trigger geführt.</x:v>
      </x:c>
    </x:row>
    <x:row r="23">
      <x:c r="A23" s="1156" t="str">
        <x:v>VPD</x:v>
      </x:c>
      <x:c r="B23" s="1193" t="str">
        <x:v>frühere harte VPD-Werte waren ohne Blatt-ΔT-Annahme unvollständig; jetzt als Leaf-VPD est. berechnet.</x:v>
      </x:c>
    </x:row>
    <x:row r="24">
      <x:c r="A24" s="1156" t="str">
        <x:v>Trocknung</x:v>
      </x:c>
      <x:c r="B24" s="1193" t="str">
        <x:v>18–20°C/55–60% LF ist Praxisrahmen, kein universelles Optimum; water activity (aw) wurde als besserer Endpunkt ergänzt.</x:v>
      </x:c>
    </x:row>
    <x:row r="25">
      <x:c r="A25" s="1158" t="str">
        <x:v>Auditstatus</x:v>
      </x:c>
      <x:c r="B25" s="1195" t="str">
        <x:v>Details und jede wesentliche Korrektur: 26_Audit_Report.</x:v>
      </x:c>
    </x:row>
    <x:row r="27">
      <x:c r="A27" s="1650" t="str">
        <x:v>Zusatz-Audit</x:v>
      </x:c>
      <x:c r="B27" s="1650" t="str">
        <x:v>Korrektur</x:v>
      </x:c>
    </x:row>
    <x:row r="28">
      <x:c r="A28" s="1154" t="str">
        <x:v>HESI Planmodus</x:v>
      </x:c>
      <x:c r="B28" s="1205" t="str">
        <x:v>Der operative Stack heißt jetzt 'UKD HESI Conservative'. TNT/Coco/PowerZyme/Boost verwenden teils bewusst reduzierte Dosis-/Cadencewerte gegenüber dem HESI-Label.</x:v>
      </x:c>
    </x:row>
    <x:row r="29">
      <x:c r="A29" s="1156" t="str">
        <x:v>PowerZyme / Boost</x:v>
      </x:c>
      <x:c r="B29" s="1193" t="str">
        <x:v>Hersteller: PowerZyme 2 ml/L durchgängig; Boost 2 ml/L regelmäßig/fortlaufend in der Blüte. UKD-Wochenfeeds sind ein unvalidierter konservativer Pilot.</x:v>
      </x:c>
    </x:row>
    <x:row r="30">
      <x:c r="A30" s="1158" t="str">
        <x:v>Automation</x:v>
      </x:c>
      <x:c r="B30" s="1195" t="str">
        <x:v>Alle alten operativen Blumat-Verweise wurden auf generische Bewässerung/indoor-freigegebene Automation bereinigt.</x:v>
      </x:c>
    </x:row>
    <x:row r="31">
      <x:c r="A31" s="60"/>
      <x:c r="B31" s="60"/>
    </x:row>
    <x:row r="32">
      <x:c r="A32" s="60" t="str">
        <x:v>v6 Research-Integration</x:v>
      </x:c>
      <x:c r="B32" s="60" t="str">
        <x:v>Korrektur</x:v>
      </x:c>
    </x:row>
    <x:row r="33">
      <x:c r="A33" s="60" t="str">
        <x:v>Operative Zahlen</x:v>
      </x:c>
      <x:c r="B33" s="60" t="str">
        <x:v>pH 5.9, EC-Kurve, PPFD/DLI und Liter/Tag sind UKD-Arbeitswerte. Herstellerlabel, wissenschaftliche Bereiche und UKD-Heuristiken bleiben getrennt.</x:v>
      </x:c>
    </x:row>
    <x:row r="34">
      <x:c r="A34" s="60" t="str">
        <x:v>Bewässerungs-Liter</x:v>
      </x:c>
      <x:c r="B34" s="60" t="str">
        <x:v>Alle Literangaben sind Start-/Beobachtungsbänder, nicht zu erzwingende Dosen. Substratfeuchte/Topfmasse, Pflanze und Diagnose-Drain haben Vorrang.</x:v>
      </x:c>
    </x:row>
    <x:row r="35">
      <x:c r="A35" s="60" t="str">
        <x:v>Athena Balance</x:v>
      </x:c>
      <x:c r="B35" s="60" t="str">
        <x:v>Default AUS. Kein fester offizieller ml/L-Kalenderwert; bei unbekannter Wasserchemie wird die operative Mix-Dosis fail-closed auf 0 gesetzt.</x:v>
      </x:c>
    </x:row>
    <x:row r="36">
      <x:c r="A36" s="60" t="str">
        <x:v>Deep Research</x:v>
      </x:c>
      <x:c r="B36" s="60" t="str">
        <x:v>Synthesis-Ergebnisse werden nicht blind importiert. Falsche Lizenzpflicht, universelle RH-Zielbereiche, universelle N-mg/L-Optima und 12/12-Übertragung auf Autoflower wurden verworfen.</x:v>
      </x:c>
    </x:row>
    <x:row r="37">
      <x:c r="A37" s="60" t="str">
        <x:v>Recht</x:v>
      </x:c>
      <x:c r="B37" s="60" t="str">
        <x:v>Für privaten Eigenanbau im hier dokumentierten Rahmen gilt KCanG §§3,9,10; medizinisch-gewerbliche GACP/GMP-Regeln sind kein pauschaler Homegrow-Pflichtenblock.</x:v>
      </x:c>
    </x:row>
    <x:row r="38">
      <x:c r="A38" t="str">
        <x:v>Fail-closed rule</x:v>
      </x:c>
      <x:c r="B38" t="str">
        <x:v>Unknown water chemistry, contradictory sources, unsupported product rates or invalid trigger order may never silently produce a positive dosing instruction.</x:v>
      </x:c>
    </x:row>
    <x:row r="39">
      <x:c r="A39" t="str">
        <x:v>User-entered values</x:v>
      </x:c>
      <x:c r="B39" t="str">
        <x:v>Inputs are hypotheses/configuration, not validated facts. A user entry never promotes itself to an evidence-backed recommendation.</x:v>
      </x:c>
    </x:row>
    <x:row r="40">
      <x:c r="A40" t="str">
        <x:v>Community experience</x:v>
      </x:c>
      <x:c r="B40" t="str">
        <x:v>Used to identify recurring practical failure modes and usability hazards; cannot override law, manufacturer restrictions or stronger experimental evidence.</x:v>
      </x:c>
    </x:row>
    <x:row r="41">
      <x:c r="A41" t="str">
        <x:v>Source freshness</x:v>
      </x:c>
      <x:c r="B41" t="str">
        <x:v>Legal/manufacturer-dependent claims carry a review date and must be revalidated when a new release is built.</x:v>
      </x:c>
    </x:row>
  </x:sheetData>
  <x:mergeCells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5" hidden="0" customWidth="1"/>
    <x:col min="10" max="10" width="65" hidden="0" customWidth="1"/>
  </x:cols>
  <x:sheetData>
    <x:row r="1">
      <x:c r="A1" s="1269" t="str">
        <x:v>ATHENA BALANCE — measured pH/water conditioning; no fixed calendar dose</x:v>
      </x:c>
      <x:c r="B1" s="1269" t="str">
        <x:v>ATHENA BALANCE — measured pH/water conditioning; no fixed calendar dose</x:v>
      </x:c>
      <x:c r="C1" s="1269" t="str">
        <x:v>ATHENA BALANCE — measured pH/water conditioning; no fixed calendar dose</x:v>
      </x:c>
      <x:c r="D1" s="1269" t="str">
        <x:v>ATHENA BALANCE — measured pH/water conditioning; no fixed calendar dose</x:v>
      </x:c>
      <x:c r="E1" s="1269" t="str">
        <x:v>ATHENA BALANCE — measured pH/water conditioning; no fixed calendar dose</x:v>
      </x:c>
      <x:c r="F1" s="1269" t="str">
        <x:v>ATHENA BALANCE — measured pH/water conditioning; no fixed calendar dose</x:v>
      </x:c>
      <x:c r="G1" s="1269" t="str">
        <x:v>ATHENA BALANCE — measured pH/water conditioning; no fixed calendar dose</x:v>
      </x:c>
      <x:c r="H1" s="1269" t="str">
        <x:v>ATHENA BALANCE — measured pH/water conditioning; no fixed calendar dose</x:v>
      </x:c>
      <x:c r="I1" s="1269" t="str">
        <x:v>ATHENA BALANCE — measured pH/water conditioning; no fixed calendar dose</x:v>
      </x:c>
      <x:c r="J1" s="1269" t="str">
        <x:v>ATHENA BALANCE — measured pH/water conditioning; no fixed calendar dose</x:v>
      </x:c>
    </x:row>
    <x:row r="3">
      <x:c r="A3" s="1487" t="str">
        <x:v>Aspekt</x:v>
      </x:c>
      <x:c r="B3" s="1489" t="str">
        <x:v>Fakt</x:v>
      </x:c>
      <x:c r="C3" s="1489" t="str">
        <x:v>UKD Bedeutung</x:v>
      </x:c>
      <x:c r="D3" s="1489" t="str">
        <x:v>Mit HESI</x:v>
      </x:c>
      <x:c r="E3" s="1489" t="str">
        <x:v>Mit Balance</x:v>
      </x:c>
      <x:c r="F3" s="1489" t="str">
        <x:v>Mit pH Down</x:v>
      </x:c>
      <x:c r="G3" s="1489" t="str">
        <x:v>Mit PK</x:v>
      </x:c>
      <x:c r="H3" s="1489" t="str">
        <x:v>Reservoir-Hinweis</x:v>
      </x:c>
      <x:c r="I3" s="1489" t="str">
        <x:v>Evidenz</x:v>
      </x:c>
      <x:c r="J3" s="1488" t="str">
        <x:v>Quelle</x:v>
      </x:c>
    </x:row>
    <x:row r="4">
      <x:c r="A4" s="1191" t="str">
        <x:v>Funktion</x:v>
      </x:c>
      <x:c r="B4" s="62" t="str">
        <x:v>pH anheben und RO/weiches Wasser puffern</x:v>
      </x:c>
      <x:c r="C4" s="62" t="str">
        <x:v>kein pH-Down; keine automatische Zwei-Richtungs-Regelung</x:v>
      </x:c>
      <x:c r="D4" s="62" t="str">
        <x:v>mechanistisch nutzbar, Cross-brand nicht offiziell validiert</x:v>
      </x:c>
      <x:c r="E4" s="62" t="str">
        <x:v>—</x:v>
      </x:c>
      <x:c r="F4" s="62" t="str">
        <x:v>sequentiell möglich</x:v>
      </x:c>
      <x:c r="G4" s="62" t="str">
        <x:v>K-Last berücksichtigen</x:v>
      </x:c>
      <x:c r="H4" s="62" t="str">
        <x:v>Hersteller: sedimentfrei; mechanische Dosiersysteme (Dosatron) kompatibel; für elektronische Dosiersysteme (Netafim) nicht empfohlen.</x:v>
      </x:c>
      <x:c r="I4" s="62" t="str">
        <x:v>A Hersteller</x:v>
      </x:c>
      <x:c r="J4" s="1192" t="str">
        <x:v>https://store.athenaag.com/balance/</x:v>
      </x:c>
    </x:row>
    <x:row r="5">
      <x:c r="A5" s="1156" t="str">
        <x:v>Chemie</x:v>
      </x:c>
      <x:c r="B5" s="201" t="str">
        <x:v>Kaliumsilikat</x:v>
      </x:c>
      <x:c r="C5" s="201" t="str">
        <x:v>liefert zugleich K + Silizium</x:v>
      </x:c>
      <x:c r="D5" s="201" t="str">
        <x:v>HESI PK/Boost Gesamt-K beachten</x:v>
      </x:c>
      <x:c r="E5" s="201" t="str">
        <x:v>—</x:v>
      </x:c>
      <x:c r="F5" s="201" t="str">
        <x:v>nicht als Konzentrate direkt mischen</x:v>
      </x:c>
      <x:c r="G5" s="201" t="str">
        <x:v>PK-Stack konservativ</x:v>
      </x:c>
      <x:c r="H5" s="201" t="str">
        <x:v>klar/mineralisch</x:v>
      </x:c>
      <x:c r="I5" s="201" t="str">
        <x:v>A</x:v>
      </x:c>
      <x:c r="J5" s="1193" t="str">
        <x:v>https://www.athenaag.com/water-conditioners</x:v>
      </x:c>
    </x:row>
    <x:row r="6">
      <x:c r="A6" s="1156" t="str">
        <x:v>Mischreihenfolge</x:v>
      </x:c>
      <x:c r="B6" s="201" t="str">
        <x:v>Balance vor Düngern ins Wasser</x:v>
      </x:c>
      <x:c r="C6" s="201" t="str">
        <x:v>zuerst Wasser puffern, dann Nährstoffe</x:v>
      </x:c>
      <x:c r="D6" s="201" t="str">
        <x:v>JA, aber immer verdünnt</x:v>
      </x:c>
      <x:c r="E6" s="201" t="str">
        <x:v>—</x:v>
      </x:c>
      <x:c r="F6" s="201" t="str">
        <x:v>pH Down erst am Ende</x:v>
      </x:c>
      <x:c r="G6" s="201" t="str">
        <x:v>PK erst nach Basis/Support</x:v>
      </x:c>
      <x:c r="H6" s="201" t="str">
        <x:v>gut löslich; saubere Leitungen trotzdem überwachen</x:v>
      </x:c>
      <x:c r="I6" s="201" t="str">
        <x:v>A</x:v>
      </x:c>
      <x:c r="J6" s="1193" t="str">
        <x:v>https://www.athenaag.com/water-conditioners</x:v>
      </x:c>
    </x:row>
    <x:row r="7">
      <x:c r="A7" s="1156" t="str">
        <x:v>Dosierung</x:v>
      </x:c>
      <x:c r="B7" s="201" t="str">
        <x:v>Offizielle Athena-Produktseite nennt keinen universellen ml/L-Anwendungswert; dosieren nach benötigter pH-Anhebung.</x:v>
      </x:c>
      <x:c r="C7" s="201" t="str">
        <x:v>Händlerbereiche sind nur Sekundärreferenz und NICHT operative Canonical-Dosis.</x:v>
      </x:c>
      <x:c r="D7" s="201" t="str">
        <x:v>nur Testbatch/Cross-brand überwacht</x:v>
      </x:c>
      <x:c r="E7" s="201" t="str">
        <x:v>—</x:v>
      </x:c>
      <x:c r="F7" s="201" t="str">
        <x:v>Endmix entscheidet</x:v>
      </x:c>
      <x:c r="G7" s="201" t="str">
        <x:v>keine feste Kombidosis</x:v>
      </x:c>
      <x:c r="H7" s="201" t="str">
        <x:v>Batch dokumentieren; bei unbekannter Wasserchemie Default 0</x:v>
      </x:c>
      <x:c r="I7" s="201" t="str">
        <x:v>A Hersteller</x:v>
      </x:c>
      <x:c r="J7" s="1193" t="str">
        <x:v>https://store.athenaag.com/balance/</x:v>
      </x:c>
    </x:row>
    <x:row r="8">
      <x:c r="A8" s="1156" t="str">
        <x:v>Ziel-pH Coco</x:v>
      </x:c>
      <x:c r="B8" s="201" t="str">
        <x:v>HESI Coco nennt 5.8–6.2; Athena Balance selbst ist ein pH-anhebender Water Conditioner</x:v>
      </x:c>
      <x:c r="C8" s="201" t="str">
        <x:v>UKD-Endmix 5.8–6.2 als HESI-Coco-Arbeitsband; 5.9 ist nur Setpoint.</x:v>
      </x:c>
      <x:c r="D8" s="201" t="str">
        <x:v>passend, falls Balance benötigt wird</x:v>
      </x:c>
      <x:c r="E8" s="201" t="str">
        <x:v>—</x:v>
      </x:c>
      <x:c r="F8" s="201" t="str">
        <x:v>nur falls final &gt; Ziel</x:v>
      </x:c>
      <x:c r="G8" s="201" t="str">
        <x:v>—</x:v>
      </x:c>
      <x:c r="H8" s="201" t="str">
        <x:v>—</x:v>
      </x:c>
      <x:c r="I8" s="201" t="str">
        <x:v>A Hersteller</x:v>
      </x:c>
      <x:c r="J8" s="1193" t="str">
        <x:v>HESI Coco + Athena Balance</x:v>
      </x:c>
    </x:row>
    <x:row r="9">
      <x:c r="A9" s="1156" t="str">
        <x:v>RO/weiches Wasser</x:v>
      </x:c>
      <x:c r="B9" s="201" t="str">
        <x:v>Balance besonders dafür vorgesehen</x:v>
      </x:c>
      <x:c r="C9" s="201" t="str">
        <x:v>höchster Nutzen</x:v>
      </x:c>
      <x:c r="D9" s="201" t="str">
        <x:v>ja</x:v>
      </x:c>
      <x:c r="E9" s="201" t="str">
        <x:v>—</x:v>
      </x:c>
      <x:c r="F9" s="201" t="str">
        <x:v>oft weniger Nachkorrektur nötig</x:v>
      </x:c>
      <x:c r="G9" s="201" t="str">
        <x:v>—</x:v>
      </x:c>
      <x:c r="H9" s="201" t="str">
        <x:v>geeignet</x:v>
      </x:c>
      <x:c r="I9" s="201" t="str">
        <x:v>A</x:v>
      </x:c>
      <x:c r="J9" s="1193" t="str">
        <x:v>https://store.athenaag.com/balance/</x:v>
      </x:c>
    </x:row>
    <x:row r="10">
      <x:c r="A10" s="1156" t="str">
        <x:v>Hartes/alkalisches Wasser</x:v>
      </x:c>
      <x:c r="B10" s="201" t="str">
        <x:v>Balance hebt pH weiter an</x:v>
      </x:c>
      <x:c r="C10" s="201" t="str">
        <x:v>möglicherweise NICHT verwenden</x:v>
      </x:c>
      <x:c r="D10" s="201" t="str">
        <x:v>erst Testbatch</x:v>
      </x:c>
      <x:c r="E10" s="201" t="str">
        <x:v>—</x:v>
      </x:c>
      <x:c r="F10" s="201" t="str">
        <x:v>pH Down kann Hauptregler sein</x:v>
      </x:c>
      <x:c r="G10" s="201" t="str">
        <x:v>—</x:v>
      </x:c>
      <x:c r="H10" s="201" t="str">
        <x:v>—</x:v>
      </x:c>
      <x:c r="I10" s="201" t="str">
        <x:v>UKD-Inferenz</x:v>
      </x:c>
      <x:c r="J10" s="1193" t="str">
        <x:v>Wasseranalyse erforderlich</x:v>
      </x:c>
    </x:row>
    <x:row r="11">
      <x:c r="A11" s="1156" t="str">
        <x:v>Rhino Skin</x:v>
      </x:c>
      <x:c r="B11" s="201" t="str">
        <x:v>AN Kaliumsilikat, 2 ml/L Label</x:v>
      </x:c>
      <x:c r="C11" s="201" t="str">
        <x:v>mit Balance funktionell redundant</x:v>
      </x:c>
      <x:c r="D11" s="201" t="str">
        <x:v>nicht Standard</x:v>
      </x:c>
      <x:c r="E11" s="201" t="str">
        <x:v>NICHT gemeinsam als Standard</x:v>
      </x:c>
      <x:c r="F11" s="201" t="str">
        <x:v>—</x:v>
      </x:c>
      <x:c r="G11" s="201" t="str">
        <x:v>zusätzliche K-Last</x:v>
      </x:c>
      <x:c r="H11" s="201" t="str">
        <x:v>—</x:v>
      </x:c>
      <x:c r="I11" s="201" t="str">
        <x:v>A + Inferenz</x:v>
      </x:c>
      <x:c r="J11" s="1193" t="str">
        <x:v>https://www.advancednutrients.com/de/products/rhino-skin/</x:v>
      </x:c>
    </x:row>
    <x:row r="12">
      <x:c r="A12" s="1156" t="str">
        <x:v>Hesilicio</x:v>
      </x:c>
      <x:c r="B12" s="201" t="str">
        <x:v>HESI Siliziumprodukt</x:v>
      </x:c>
      <x:c r="C12" s="201" t="str">
        <x:v>mit Balance redundant</x:v>
      </x:c>
      <x:c r="D12" s="201" t="str">
        <x:v>Alternative</x:v>
      </x:c>
      <x:c r="E12" s="201" t="str">
        <x:v>NICHT gemeinsam als Standard</x:v>
      </x:c>
      <x:c r="F12" s="201" t="str">
        <x:v>—</x:v>
      </x:c>
      <x:c r="G12" s="201" t="str">
        <x:v>—</x:v>
      </x:c>
      <x:c r="H12" s="201" t="str">
        <x:v>—</x:v>
      </x:c>
      <x:c r="I12" s="201" t="str">
        <x:v>A + Inferenz</x:v>
      </x:c>
      <x:c r="J12" s="1193" t="str">
        <x:v>https://hesi.nl/de/Hesilicio</x:v>
      </x:c>
    </x:row>
    <x:row r="13">
      <x:c r="A13" s="1158" t="str">
        <x:v>pH Perfect</x:v>
      </x:c>
      <x:c r="B13" s="1194" t="str">
        <x:v>AN-Basis-Technologie</x:v>
      </x:c>
      <x:c r="C13" s="1194" t="str">
        <x:v>nicht Bestandteil von Athena Balance</x:v>
      </x:c>
      <x:c r="D13" s="1194" t="str">
        <x:v>irrelevant im HESI-Reference</x:v>
      </x:c>
      <x:c r="E13" s="1194" t="str">
        <x:v>—</x:v>
      </x:c>
      <x:c r="F13" s="1194" t="str">
        <x:v>—</x:v>
      </x:c>
      <x:c r="G13" s="1194" t="str">
        <x:v>—</x:v>
      </x:c>
      <x:c r="H13" s="1194" t="str">
        <x:v>—</x:v>
      </x:c>
      <x:c r="I13" s="1194" t="str">
        <x:v>A</x:v>
      </x:c>
      <x:c r="J13" s="1195" t="str">
        <x:v>https://www.advancednutrients.com/de/products/</x:v>
      </x:c>
    </x:row>
    <x:row r="16">
      <x:c r="A16" s="1211" t="str">
        <x:v>pH-Entscheidungsbaum</x:v>
      </x:c>
      <x:c r="B16" s="1211" t="str">
        <x:v>Bedingung</x:v>
      </x:c>
      <x:c r="C16" s="1211" t="str">
        <x:v>Athena Balance</x:v>
      </x:c>
      <x:c r="D16" s="1211" t="str">
        <x:v>pH Down</x:v>
      </x:c>
      <x:c r="E16" s="1211" t="str">
        <x:v>Silizium-Zusatz</x:v>
      </x:c>
      <x:c r="F16" s="1211" t="str">
        <x:v>Aktion</x:v>
      </x:c>
    </x:row>
    <x:row r="17">
      <x:c r="A17" s="32" t="str">
        <x:v>1</x:v>
      </x:c>
      <x:c r="B17" s="62" t="str">
        <x:v>RO/weich + Baseline-Endmix mit HESI &lt;5.8 + Source-pH/Ca/Mg/HCO3 gemessen</x:v>
      </x:c>
      <x:c r="C17" s="62" t="str">
        <x:v>JA, vorsichtig im NÄCHSTEN Testbatch titrieren</x:v>
      </x:c>
      <x:c r="D17" s="62" t="str">
        <x:v>nur falls später final &gt; Ziel</x:v>
      </x:c>
      <x:c r="E17" s="62" t="str">
        <x:v>NEIN</x:v>
      </x:c>
      <x:c r="F17" s="33" t="str">
        <x:v>Balance vor Dünger; Endmix messen</x:v>
      </x:c>
      <x:c r="G17" s="60"/>
      <x:c r="H17" s="60"/>
      <x:c r="I17" s="60"/>
      <x:c r="J17" s="60"/>
    </x:row>
    <x:row r="18">
      <x:c r="A18" s="34" t="str">
        <x:v>2</x:v>
      </x:c>
      <x:c r="B18" s="201" t="str">
        <x:v>Leitungswasser + Endmix bereits 5.8–6.2</x:v>
      </x:c>
      <x:c r="C18" s="201" t="str">
        <x:v>NEIN</x:v>
      </x:c>
      <x:c r="D18" s="201" t="str">
        <x:v>NEIN</x:v>
      </x:c>
      <x:c r="E18" s="201" t="str">
        <x:v>optional Hesilicio ODER Rhino Skin</x:v>
      </x:c>
      <x:c r="F18" s="35" t="str">
        <x:v>keine pH-Chemie nur aus Gewohnheit</x:v>
      </x:c>
      <x:c r="G18" s="60"/>
      <x:c r="H18" s="60"/>
      <x:c r="I18" s="60"/>
      <x:c r="J18" s="60"/>
    </x:row>
    <x:row r="19">
      <x:c r="A19" s="34" t="str">
        <x:v>3</x:v>
      </x:c>
      <x:c r="B19" s="201" t="str">
        <x:v>Leitungswasser + Endmix &gt;6.2</x:v>
      </x:c>
      <x:c r="C19" s="201" t="str">
        <x:v>NEIN</x:v>
      </x:c>
      <x:c r="D19" s="201" t="str">
        <x:v>JA, nach vollständigem Mix</x:v>
      </x:c>
      <x:c r="E19" s="201" t="str">
        <x:v>optional separate Si-Quelle</x:v>
      </x:c>
      <x:c r="F19" s="35" t="str">
        <x:v>Balance würde in falsche Richtung wirken</x:v>
      </x:c>
      <x:c r="G19" s="60"/>
      <x:c r="H19" s="60"/>
      <x:c r="I19" s="60"/>
      <x:c r="J19" s="60"/>
    </x:row>
    <x:row r="20">
      <x:c r="A20" s="34" t="str">
        <x:v>4</x:v>
      </x:c>
      <x:c r="B20" s="201" t="str">
        <x:v>Endmix &lt;5.8, aber Wasserchemie unbekannt</x:v>
      </x:c>
      <x:c r="C20" s="201" t="str">
        <x:v>BLOCK</x:v>
      </x:c>
      <x:c r="D20" s="201" t="str">
        <x:v>NEIN</x:v>
      </x:c>
      <x:c r="E20" s="201" t="str">
        <x:v>NEIN</x:v>
      </x:c>
      <x:c r="F20" s="35" t="str">
        <x:v>erst Wasserwerte/Baseline reproduzieren; keine Blind-Titration</x:v>
      </x:c>
      <x:c r="G20" s="60"/>
      <x:c r="H20" s="60"/>
      <x:c r="I20" s="60"/>
      <x:c r="J20" s="60"/>
    </x:row>
    <x:row r="21">
      <x:c r="A21" s="36" t="str">
        <x:v>5</x:v>
      </x:c>
      <x:c r="B21" s="64" t="str">
        <x:v>Balance nötig + Grand Master</x:v>
      </x:c>
      <x:c r="C21" s="64" t="str">
        <x:v>JA, Testbatch</x:v>
      </x:c>
      <x:c r="D21" s="64" t="str">
        <x:v>nur falls Endmix &gt; Ziel</x:v>
      </x:c>
      <x:c r="E21" s="64" t="str">
        <x:v>Rhino Skin AUS</x:v>
      </x:c>
      <x:c r="F21" s="37" t="str">
        <x:v>K-/PK-Belastung konservativer halten</x:v>
      </x:c>
      <x:c r="G21" s="60"/>
      <x:c r="H21" s="60"/>
      <x:c r="I21" s="60"/>
      <x:c r="J21" s="60"/>
    </x:row>
    <x:row r="23">
      <x:c r="A23" s="1496" t="str">
        <x:v>AUDIT v6: Balance ist kein Kalender-Additiv. Offizielle Athena-Seite beschreibt pH-/RO-Conditioning, aber keine universelle ml/L-Dosis. UKD setzt bei unbekannter Wasserchemie fail-closed 0 ml/L und verlangt Baseline-Testbatch + Messwerte.</x:v>
      </x:c>
      <x:c r="B23" s="1497"/>
      <x:c r="C23" s="1497"/>
      <x:c r="D23" s="1497"/>
      <x:c r="E23" s="1497"/>
      <x:c r="F23" s="1497"/>
      <x:c r="G23" s="1497"/>
      <x:c r="H23" s="1497"/>
      <x:c r="I23" s="1497"/>
      <x:c r="J23" s="1498"/>
    </x:row>
    <x:row r="24">
      <x:c r="A24" s="1499"/>
      <x:c r="B24" s="1500"/>
      <x:c r="C24" s="1500"/>
      <x:c r="D24" s="1500"/>
      <x:c r="E24" s="1500"/>
      <x:c r="F24" s="1500"/>
      <x:c r="G24" s="1500"/>
      <x:c r="H24" s="1500"/>
      <x:c r="I24" s="1500"/>
      <x:c r="J24" s="1501"/>
    </x:row>
  </x:sheetData>
  <x:mergeCells>
    <x:mergeCell ref="A1:J1"/>
    <x:mergeCell ref="A23:J24"/>
  </x:mergeCells>
  <x:conditionalFormatting sqref="A17:F21">
    <x:cfRule type="expression" dxfId="53" priority="1">
      <x:formula>$C17="JA"</x:formula>
    </x:cfRule>
    <x:cfRule type="expression" dxfId="54" priority="2">
      <x:formula>$C17="NEIN"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  <x:col min="9" max="9" width="29" hidden="0" customWidth="1"/>
    <x:col min="10" max="10" width="29" hidden="0" customWidth="1"/>
    <x:col min="11" max="11" width="21" hidden="0" customWidth="1"/>
    <x:col min="12" max="12" width="39" hidden="0" customWidth="1"/>
    <x:col min="13" max="13" width="39" hidden="0" customWidth="1"/>
    <x:col min="14" max="14" width="39" hidden="0" customWidth="1"/>
    <x:col min="15" max="15" width="14" hidden="0" customWidth="1"/>
    <x:col min="16" max="16" width="60" hidden="0" customWidth="1"/>
    <x:col min="17" max="17" width="49" hidden="0" customWidth="1"/>
  </x:cols>
  <x:sheetData>
    <x:row r="1">
      <x:c r="A1" s="1271" t="str">
        <x:v>ADVANCED NUTRIENTS — klassisches GRAND MASTER GROWER LEVEL (kumulativ) + UKD-HESI/ATHENA-Empfehlung</x:v>
      </x:c>
      <x:c r="B1" s="1271"/>
      <x:c r="C1" s="1271"/>
      <x:c r="D1" s="1271"/>
      <x:c r="E1" s="1271"/>
      <x:c r="F1" s="1271"/>
      <x:c r="G1" s="1271"/>
      <x:c r="H1" s="1271"/>
      <x:c r="I1" s="1271"/>
      <x:c r="J1" s="1271"/>
      <x:c r="K1" s="1271"/>
      <x:c r="L1" s="1271"/>
      <x:c r="M1" s="1271"/>
      <x:c r="N1" s="1271"/>
      <x:c r="O1" s="1271"/>
      <x:c r="P1" s="1271"/>
      <x:c r="Q1" s="1271"/>
    </x:row>
    <x:row r="3">
      <x:c r="A3" s="1213" t="str">
        <x:v>Level</x:v>
      </x:c>
      <x:c r="B3" s="1213" t="str">
        <x:v>Produkt 2026</x:v>
      </x:c>
      <x:c r="C3" s="1213" t="str">
        <x:v>Funktion</x:v>
      </x:c>
      <x:c r="D3" s="1213" t="str">
        <x:v>Label Grow</x:v>
      </x:c>
      <x:c r="E3" s="1213" t="str">
        <x:v>Label Bloom</x:v>
      </x:c>
      <x:c r="F3" s="1213" t="str">
        <x:v>Labeldosis</x:v>
      </x:c>
      <x:c r="G3" s="1213" t="str">
        <x:v>UKD Hybrid</x:v>
      </x:c>
      <x:c r="H3" s="1213" t="str">
        <x:v>Explorativer Hybrid-Einstieg (NICHT validiert)</x:v>
      </x:c>
      <x:c r="I3" s="1213" t="str">
        <x:v>Mit HESI</x:v>
      </x:c>
      <x:c r="J3" s="1213" t="str">
        <x:v>Mit Athena Balance</x:v>
      </x:c>
      <x:c r="K3" s="1213" t="str">
        <x:v>Reservoir/Manual</x:v>
      </x:c>
      <x:c r="L3" s="1213" t="str">
        <x:v>Redundanz/Interaktion</x:v>
      </x:c>
      <x:c r="M3" s="1213" t="str">
        <x:v>Wann im Auto-Run</x:v>
      </x:c>
      <x:c r="N3" s="1213" t="str">
        <x:v>Was gleichzeitig AUS</x:v>
      </x:c>
      <x:c r="O3" s="1213" t="str">
        <x:v>Evidenz</x:v>
      </x:c>
      <x:c r="P3" s="1213" t="str">
        <x:v>Aktuelle Quelle</x:v>
      </x:c>
      <x:c r="Q3" s="1213" t="str">
        <x:v>Kommentar</x:v>
      </x:c>
    </x:row>
    <x:row r="4">
      <x:c r="A4" s="1502" t="str">
        <x:v>Hobbyist</x:v>
      </x:c>
      <x:c r="B4" s="1503" t="str">
        <x:v>Voodoo Juice</x:v>
      </x:c>
      <x:c r="C4" s="1503" t="str">
        <x:v>Bacillus/Wurzel</x:v>
      </x:c>
      <x:c r="D4" s="1503" t="str">
        <x:v>G1–G2</x:v>
      </x:c>
      <x:c r="E4" s="1503" t="str">
        <x:v>B1–B2</x:v>
      </x:c>
      <x:c r="F4" s="1503" t="str">
        <x:v>2 ml/L</x:v>
      </x:c>
      <x:c r="G4" s="1503" t="str">
        <x:v>JA – definiert</x:v>
      </x:c>
      <x:c r="H4" s="1503" t="str">
        <x:v>1–2 ml/L als UKD-Frischgabe; 2 ml/L = Herstellerlabel</x:v>
      </x:c>
      <x:c r="I4" s="1503" t="str">
        <x:v>kompatibel; Wurzel Complex nicht zwangsläufig gleiche Gießgabe</x:v>
      </x:c>
      <x:c r="J4" s="1503" t="str">
        <x:v>JA; Balance zuerst</x:v>
      </x:c>
      <x:c r="K4" s="1503" t="str">
        <x:v>Frisch/Manual</x:v>
      </x:c>
      <x:c r="L4" s="1503" t="str">
        <x:v>Piranha/Tarantula erweitern Mikrobenspektrum</x:v>
      </x:c>
      <x:c r="M4" s="1503" t="str">
        <x:v>D4/11 + B1/B2 nach Preflower</x:v>
      </x:c>
      <x:c r="N4" s="1503" t="str">
        <x:v>keine Desinfektionsmittel/HOCl gleichzeitig</x:v>
      </x:c>
      <x:c r="O4" s="1503" t="str">
        <x:v>A Label + UKD-Inferenz</x:v>
      </x:c>
      <x:c r="P4" s="1503" t="str">
        <x:v>https://www.advancednutrients.com/de/products/voodoo-juice/</x:v>
      </x:c>
      <x:c r="Q4" s="1504" t="str">
        <x:v>Reference-AN-Additiv im HESI-Hybrid.</x:v>
      </x:c>
    </x:row>
    <x:row r="5">
      <x:c r="A5" s="1505" t="str">
        <x:v>Hobbyist</x:v>
      </x:c>
      <x:c r="B5" s="1276" t="str">
        <x:v>Big Bud</x:v>
      </x:c>
      <x:c r="C5" s="1276" t="str">
        <x:v>PK/Bloom bulker</x:v>
      </x:c>
      <x:c r="D5" s="1276" t="str">
        <x:v>—</x:v>
      </x:c>
      <x:c r="E5" s="1276" t="str">
        <x:v>B2–B5</x:v>
      </x:c>
      <x:c r="F5" s="1276" t="str">
        <x:v>2 ml/L</x:v>
      </x:c>
      <x:c r="G5" s="1276" t="str">
        <x:v>A/B STATT HESI PK</x:v>
      </x:c>
      <x:c r="H5" s="1276" t="str">
        <x:v>keine validierte HESI-Hybrid-Dosis; konservativer isolierter Pilot unter Labeldosis</x:v>
      </x:c>
      <x:c r="I5" s="1276" t="str">
        <x:v>JA, aber Gesamt-P/K beachten</x:v>
      </x:c>
      <x:c r="J5" s="1276" t="str">
        <x:v>⚠ zusätzliche K-Last</x:v>
      </x:c>
      <x:c r="K5" s="1276" t="str">
        <x:v>Manual/Wochenfeed</x:v>
      </x:c>
      <x:c r="L5" s="1276" t="str">
        <x:v>HESI PK13/14, Big Bud Coco, Overdrive phasenbezogen</x:v>
      </x:c>
      <x:c r="M5" s="1276" t="str">
        <x:v>B2–B5 nach sichtbarer Blütenbildung</x:v>
      </x:c>
      <x:c r="N5" s="1276" t="str">
        <x:v>HESI PK im selben A/B-Fenster</x:v>
      </x:c>
      <x:c r="O5" s="1276" t="str">
        <x:v>A Label + C/UKD-Inferenz</x:v>
      </x:c>
      <x:c r="P5" s="1276" t="str">
        <x:v>https://www.advancednutrients.com/de/products/big-bud/</x:v>
      </x:c>
      <x:c r="Q5" s="1506" t="str">
        <x:v>Label 2 ml/L; UKD-Startdosis ist konservative Inferenz für 140-W-Auto-Hybrid.</x:v>
      </x:c>
    </x:row>
    <x:row r="6">
      <x:c r="A6" s="1505" t="str">
        <x:v>Hobbyist</x:v>
      </x:c>
      <x:c r="B6" s="1276" t="str">
        <x:v>B-52</x:v>
      </x:c>
      <x:c r="C6" s="1276" t="str">
        <x:v>B-Vitamine/Kelp/Huminsäure</x:v>
      </x:c>
      <x:c r="D6" s="1276" t="str">
        <x:v>G1–G4</x:v>
      </x:c>
      <x:c r="E6" s="1276" t="str">
        <x:v>B3–B7</x:v>
      </x:c>
      <x:c r="F6" s="1276" t="str">
        <x:v>2 ml/L</x:v>
      </x:c>
      <x:c r="G6" s="1276" t="str">
        <x:v>OPTION / A-B</x:v>
      </x:c>
      <x:c r="H6" s="1276" t="str">
        <x:v>keine validierte HESI-Hybrid-Dosis; konservativer isolierter Pilot unter Labeldosis</x:v>
      </x:c>
      <x:c r="I6" s="1276" t="str">
        <x:v>JA</x:v>
      </x:c>
      <x:c r="J6" s="1276" t="str">
        <x:v>JA; keine direkte Konzentratmischung</x:v>
      </x:c>
      <x:c r="K6" s="1276" t="str">
        <x:v>Manual bevorzugt</x:v>
      </x:c>
      <x:c r="L6" s="1276" t="str">
        <x:v>SuperVit/Wurzel Complex/HESI Boost/Tasty teilweise funktionell überlappend</x:v>
      </x:c>
      <x:c r="M6" s="1276" t="str">
        <x:v>Veg oder B3–B6, nicht zwingend beides</x:v>
      </x:c>
      <x:c r="N6" s="1276" t="str">
        <x:v>bei Test SuperVit/Boost konstant niedrig oder weglassen</x:v>
      </x:c>
      <x:c r="O6" s="1276" t="str">
        <x:v>A Label + C/UKD-Inferenz</x:v>
      </x:c>
      <x:c r="P6" s="1276" t="str">
        <x:v>https://www.advancednutrients.com/de/products/b-52/</x:v>
      </x:c>
      <x:c r="Q6" s="1506" t="str">
        <x:v>Nicht notwendig für Reference.</x:v>
      </x:c>
    </x:row>
    <x:row r="7">
      <x:c r="A7" s="1505" t="str">
        <x:v>Hobbyist</x:v>
      </x:c>
      <x:c r="B7" s="1276" t="str">
        <x:v>Overdrive</x:v>
      </x:c>
      <x:c r="C7" s="1276" t="str">
        <x:v>Late PK + Mg</x:v>
      </x:c>
      <x:c r="D7" s="1276" t="str">
        <x:v>—</x:v>
      </x:c>
      <x:c r="E7" s="1276" t="str">
        <x:v>B6–B7</x:v>
      </x:c>
      <x:c r="F7" s="1276" t="str">
        <x:v>2 ml/L</x:v>
      </x:c>
      <x:c r="G7" s="1276" t="str">
        <x:v>A/B STATT spätem HESI PK</x:v>
      </x:c>
      <x:c r="H7" s="1276" t="str">
        <x:v>keine validierte HESI-Hybrid-Dosis; konservativer isolierter Pilot unter Labeldosis</x:v>
      </x:c>
      <x:c r="I7" s="1276" t="str">
        <x:v>JA, aber Gesamt-P/K/Mg beachten</x:v>
      </x:c>
      <x:c r="J7" s="1276" t="str">
        <x:v>⚠ Balance liefert K</x:v>
      </x:c>
      <x:c r="K7" s="1276" t="str">
        <x:v>Manual</x:v>
      </x:c>
      <x:c r="L7" s="1276" t="str">
        <x:v>HESI PK; Mg-Last mit CalMag beachten</x:v>
      </x:c>
      <x:c r="M7" s="1276" t="str">
        <x:v>letzte 2 aktiven Blütewochen, nicht blind nach Tag</x:v>
      </x:c>
      <x:c r="N7" s="1276" t="str">
        <x:v>HESI PK im selben Fenster</x:v>
      </x:c>
      <x:c r="O7" s="1276" t="str">
        <x:v>A Label + C/UKD-Inferenz</x:v>
      </x:c>
      <x:c r="P7" s="1276" t="str">
        <x:v>https://www.advancednutrients.com/de/products/overdrive/</x:v>
      </x:c>
      <x:c r="Q7" s="1506" t="str">
        <x:v>Nicht mit Big Bud gleichzeitig als Voll-PK-Kaskade im HESI-Test.</x:v>
      </x:c>
    </x:row>
    <x:row r="8">
      <x:c r="A8" s="1507" t="str">
        <x:v>Expert</x:v>
      </x:c>
      <x:c r="B8" s="1278" t="str">
        <x:v>Piranha</x:v>
      </x:c>
      <x:c r="C8" s="1278" t="str">
        <x:v>Mykorrhiza/Pilze</x:v>
      </x:c>
      <x:c r="D8" s="1278" t="str">
        <x:v>G1–G2</x:v>
      </x:c>
      <x:c r="E8" s="1278" t="str">
        <x:v>B1–B2</x:v>
      </x:c>
      <x:c r="F8" s="1278" t="str">
        <x:v>2 ml/L</x:v>
      </x:c>
      <x:c r="G8" s="1278" t="str">
        <x:v>A/B ONLY</x:v>
      </x:c>
      <x:c r="H8" s="1278" t="str">
        <x:v>keine validierte HESI-Hybrid-Dosis; konservativer isolierter Pilot unter Labeldosis</x:v>
      </x:c>
      <x:c r="I8" s="1278" t="str">
        <x:v>JA</x:v>
      </x:c>
      <x:c r="J8" s="1278" t="str">
        <x:v>JA; Balance zuerst</x:v>
      </x:c>
      <x:c r="K8" s="1278" t="str">
        <x:v>Frisch/Manual</x:v>
      </x:c>
      <x:c r="L8" s="1278" t="str">
        <x:v>UGro Rhiza enthält bereits Pilzkomponente; starke Redundanz</x:v>
      </x:c>
      <x:c r="M8" s="1278" t="str">
        <x:v>nur eigener Mikrobenvergleich</x:v>
      </x:c>
      <x:c r="N8" s="1278" t="str">
        <x:v>keine HOCl-/Sanitizer-Gabe</x:v>
      </x:c>
      <x:c r="O8" s="1278" t="str">
        <x:v>A Label + C/UKD-Inferenz</x:v>
      </x:c>
      <x:c r="P8" s="1278" t="str">
        <x:v>https://www.advancednutrients.com/de/products/piranha/</x:v>
      </x:c>
      <x:c r="Q8" s="1508" t="str">
        <x:v>Reference=0 wegen Rhiza.</x:v>
      </x:c>
    </x:row>
    <x:row r="9">
      <x:c r="A9" s="1507" t="str">
        <x:v>Expert</x:v>
      </x:c>
      <x:c r="B9" s="1278" t="str">
        <x:v>Bud Candy</x:v>
      </x:c>
      <x:c r="C9" s="1278" t="str">
        <x:v>Carbohydrate + Mg</x:v>
      </x:c>
      <x:c r="D9" s="1278" t="str">
        <x:v>G1–G4</x:v>
      </x:c>
      <x:c r="E9" s="1278" t="str">
        <x:v>B1–B7</x:v>
      </x:c>
      <x:c r="F9" s="1278" t="str">
        <x:v>2 ml/L</x:v>
      </x:c>
      <x:c r="G9" s="1278" t="str">
        <x:v>A/B ONLY</x:v>
      </x:c>
      <x:c r="H9" s="1278" t="str">
        <x:v>keine validierte HESI-Hybrid-Dosis; konservativer isolierter Pilot unter Labeldosis</x:v>
      </x:c>
      <x:c r="I9" s="1278" t="str">
        <x:v>JA</x:v>
      </x:c>
      <x:c r="J9" s="1278" t="str">
        <x:v>JA; K/Mg-Gesamtbild beachten</x:v>
      </x:c>
      <x:c r="K9" s="1278" t="str">
        <x:v>NICHT im warmen Dauertank bevorzugt</x:v>
      </x:c>
      <x:c r="L9" s="1278" t="str">
        <x:v>HESI Boost/Tasty/CarboLoad funktionell überlappend; Biofilmkomplexität</x:v>
      </x:c>
      <x:c r="M9" s="1278" t="str">
        <x:v>spätere Veg oder Blüte; UKD bevorzugt B3–B6</x:v>
      </x:c>
      <x:c r="N9" s="1278" t="str">
        <x:v>HESI Boost/Tasty nicht gleichzeitig maximieren</x:v>
      </x:c>
      <x:c r="O9" s="1278" t="str">
        <x:v>A Label + C/UKD-Inferenz</x:v>
      </x:c>
      <x:c r="P9" s="1278" t="str">
        <x:v>https://www.advancednutrients.com/de/products/bud-candy/</x:v>
      </x:c>
      <x:c r="Q9" s="1508" t="str">
        <x:v>Hersteller drip-safe; UKD-Tankwarnung ist Systemvorsicht.</x:v>
      </x:c>
    </x:row>
    <x:row r="10">
      <x:c r="A10" s="1507" t="str">
        <x:v>Expert</x:v>
      </x:c>
      <x:c r="B10" s="1278" t="str">
        <x:v>Flawless Finish</x:v>
      </x:c>
      <x:c r="C10" s="1278" t="str">
        <x:v>Finish/Chelat</x:v>
      </x:c>
      <x:c r="D10" s="1278" t="str">
        <x:v>—</x:v>
      </x:c>
      <x:c r="E10" s="1278" t="str">
        <x:v>Flush</x:v>
      </x:c>
      <x:c r="F10" s="1278" t="str">
        <x:v>2 ml/L</x:v>
      </x:c>
      <x:c r="G10" s="1278" t="str">
        <x:v>NICHT Reference; optional Endtest</x:v>
      </x:c>
      <x:c r="H10" s="1278" t="str">
        <x:v>nur separater Test; 2 ml/L = Herstellerlabel</x:v>
      </x:c>
      <x:c r="I10" s="1278" t="str">
        <x:v>technisch kompatibel</x:v>
      </x:c>
      <x:c r="J10" s="1278" t="str">
        <x:v>Balance normalerweise AUS</x:v>
      </x:c>
      <x:c r="K10" s="1278" t="str">
        <x:v>separate Endlösung</x:v>
      </x:c>
      <x:c r="L10" s="1278" t="str">
        <x:v>ersetzt normale Endfütterung; unabhängiger Nutzen gegenüber sauberem Taper unklar</x:v>
      </x:c>
      <x:c r="M10" s="1278" t="str">
        <x:v>nur bei tatsächlicher Reife</x:v>
      </x:c>
      <x:c r="N10" s="1278" t="str">
        <x:v>Basis/PK/Booster im Finishfenster</x:v>
      </x:c>
      <x:c r="O10" s="1278" t="str">
        <x:v>A Label + D Claim</x:v>
      </x:c>
      <x:c r="P10" s="1278" t="str">
        <x:v>https://www.advancednutrients.com/de/products/flawless-finish/</x:v>
      </x:c>
      <x:c r="Q10" s="1508" t="str">
        <x:v>Hersteller-Wirkclaims nicht als unabhängigen Nachweis behandeln.</x:v>
      </x:c>
    </x:row>
    <x:row r="11">
      <x:c r="A11" s="1509" t="str">
        <x:v>Professional</x:v>
      </x:c>
      <x:c r="B11" s="1280" t="str">
        <x:v>Tarantula</x:v>
      </x:c>
      <x:c r="C11" s="1280" t="str">
        <x:v>Bakterien/Wurzel</x:v>
      </x:c>
      <x:c r="D11" s="1280" t="str">
        <x:v>G1–G2</x:v>
      </x:c>
      <x:c r="E11" s="1280" t="str">
        <x:v>B1–B2</x:v>
      </x:c>
      <x:c r="F11" s="1280" t="str">
        <x:v>2 ml/L</x:v>
      </x:c>
      <x:c r="G11" s="1280" t="str">
        <x:v>A/B ONLY</x:v>
      </x:c>
      <x:c r="H11" s="1280" t="str">
        <x:v>keine validierte HESI-Hybrid-Dosis; konservativer isolierter Pilot unter Labeldosis</x:v>
      </x:c>
      <x:c r="I11" s="1280" t="str">
        <x:v>JA</x:v>
      </x:c>
      <x:c r="J11" s="1280" t="str">
        <x:v>JA; Balance zuerst</x:v>
      </x:c>
      <x:c r="K11" s="1280" t="str">
        <x:v>Frisch/Manual</x:v>
      </x:c>
      <x:c r="L11" s="1280" t="str">
        <x:v>Voodoo/Piranha zusätzliche biologische Komplexität</x:v>
      </x:c>
      <x:c r="M11" s="1280" t="str">
        <x:v>nur eigener Mikrobenvergleich</x:v>
      </x:c>
      <x:c r="N11" s="1280" t="str">
        <x:v>keine HOCl-/Sanitizer-Gabe</x:v>
      </x:c>
      <x:c r="O11" s="1280" t="str">
        <x:v>A Label + C/UKD-Inferenz</x:v>
      </x:c>
      <x:c r="P11" s="1280" t="str">
        <x:v>https://www.advancednutrients.com/de/products/tarantula/</x:v>
      </x:c>
      <x:c r="Q11" s="1510" t="str">
        <x:v>Reference nur Voodoo.</x:v>
      </x:c>
    </x:row>
    <x:row r="12">
      <x:c r="A12" s="1509" t="str">
        <x:v>Professional</x:v>
      </x:c>
      <x:c r="B12" s="1280" t="str">
        <x:v>Tasty Terpenes (Legacy-Bezug: Nirvana nur nach Formulierungsprüfung)</x:v>
      </x:c>
      <x:c r="C12" s="1280" t="str">
        <x:v>Kelp/Alfalfa/K</x:v>
      </x:c>
      <x:c r="D12" s="1280" t="str">
        <x:v>G1–G4</x:v>
      </x:c>
      <x:c r="E12" s="1280" t="str">
        <x:v>B3–B7</x:v>
      </x:c>
      <x:c r="F12" s="1280" t="str">
        <x:v>2 ml/L</x:v>
      </x:c>
      <x:c r="G12" s="1280" t="str">
        <x:v>A/B ONLY</x:v>
      </x:c>
      <x:c r="H12" s="1280" t="str">
        <x:v>keine validierte HESI-Hybrid-Dosis; konservativer isolierter Pilot unter Labeldosis</x:v>
      </x:c>
      <x:c r="I12" s="1280" t="str">
        <x:v>JA</x:v>
      </x:c>
      <x:c r="J12" s="1280" t="str">
        <x:v>⚠ Balance liefert ebenfalls K</x:v>
      </x:c>
      <x:c r="K12" s="1280" t="str">
        <x:v>Manual</x:v>
      </x:c>
      <x:c r="L12" s="1280" t="str">
        <x:v>HESI Boost/B-52/Bud Candy überlappen Biostim/K/Carbo-Funktion</x:v>
      </x:c>
      <x:c r="M12" s="1280" t="str">
        <x:v>eher B3–B6</x:v>
      </x:c>
      <x:c r="N12" s="1280" t="str">
        <x:v>Boost/B-52/Bud Candy nicht alle maximieren</x:v>
      </x:c>
      <x:c r="O12" s="1280" t="str">
        <x:v>A Label + C/UKD-Inferenz</x:v>
      </x:c>
      <x:c r="P12" s="1280" t="str">
        <x:v>https://www.advancednutrients.com/de/products/tasty-terpenes/</x:v>
      </x:c>
      <x:c r="Q12" s="1510" t="str">
        <x:v>Aktuelles Produkt 2026: Tasty Terpenes. Ältere Nirvana-Erfahrungen nur übertragen, wenn die konkrete Formulierung/Version nachweislich übereinstimmt.</x:v>
      </x:c>
    </x:row>
    <x:row r="13">
      <x:c r="A13" s="1509" t="str">
        <x:v>Professional</x:v>
      </x:c>
      <x:c r="B13" s="1280" t="str">
        <x:v>Sensizym</x:v>
      </x:c>
      <x:c r="C13" s="1280" t="str">
        <x:v>Enzyme</x:v>
      </x:c>
      <x:c r="D13" s="1280" t="str">
        <x:v>G1–G4</x:v>
      </x:c>
      <x:c r="E13" s="1280" t="str">
        <x:v>B1–B7</x:v>
      </x:c>
      <x:c r="F13" s="1280" t="str">
        <x:v>2 ml/L</x:v>
      </x:c>
      <x:c r="G13" s="1280" t="str">
        <x:v>ALTERNATIVE zu PowerZyme</x:v>
      </x:c>
      <x:c r="H13" s="1280" t="str">
        <x:v>wenn als PowerZyme-Ersatz: konservativer Pilot; 2 ml/L = Label</x:v>
      </x:c>
      <x:c r="I13" s="1280" t="str">
        <x:v>JA</x:v>
      </x:c>
      <x:c r="J13" s="1280" t="str">
        <x:v>JA</x:v>
      </x:c>
      <x:c r="K13" s="1280" t="str">
        <x:v>Tank möglich, UKD lieber Wochenfeed</x:v>
      </x:c>
      <x:c r="L13" s="1280" t="str">
        <x:v>PowerZyme funktionell redundant</x:v>
      </x:c>
      <x:c r="M13" s="1280" t="str">
        <x:v>ganzer Zyklus wenn als Ersatz gewählt</x:v>
      </x:c>
      <x:c r="N13" s="1280" t="str">
        <x:v>PowerZyme AUS</x:v>
      </x:c>
      <x:c r="O13" s="1280" t="str">
        <x:v>A Label + UKD-Inferenz</x:v>
      </x:c>
      <x:c r="P13" s="1280" t="str">
        <x:v>https://www.advancednutrients.com/de/products/sensizym/</x:v>
      </x:c>
      <x:c r="Q13" s="1510" t="str">
        <x:v>Sauberer A/B-Vergleich möglich.</x:v>
      </x:c>
    </x:row>
    <x:row r="14">
      <x:c r="A14" s="1511" t="str">
        <x:v>Grand Master</x:v>
      </x:c>
      <x:c r="B14" s="1283" t="str">
        <x:v>Bud Ignitor</x:v>
      </x:c>
      <x:c r="C14" s="1283" t="str">
        <x:v>Early-bloom PK + kelp</x:v>
      </x:c>
      <x:c r="D14" s="1283" t="str">
        <x:v>—</x:v>
      </x:c>
      <x:c r="E14" s="1283" t="str">
        <x:v>B1–B2</x:v>
      </x:c>
      <x:c r="F14" s="1283" t="str">
        <x:v>2 ml/L</x:v>
      </x:c>
      <x:c r="G14" s="1283" t="str">
        <x:v>A/B ONLY</x:v>
      </x:c>
      <x:c r="H14" s="1283" t="str">
        <x:v>keine validierte HESI-Hybrid-Dosis; konservativer isolierter Pilot unter Labeldosis</x:v>
      </x:c>
      <x:c r="I14" s="1283" t="str">
        <x:v>JA, Gesamt-P/K beachten</x:v>
      </x:c>
      <x:c r="J14" s="1283" t="str">
        <x:v>⚠ Balance liefert K</x:v>
      </x:c>
      <x:c r="K14" s="1283" t="str">
        <x:v>Manual</x:v>
      </x:c>
      <x:c r="L14" s="1283" t="str">
        <x:v>früher PK-Impuls; nicht mit zusätzlichem HESI-PK</x:v>
      </x:c>
      <x:c r="M14" s="1283" t="str">
        <x:v>ab klarer Preflower/Budlets, nicht nur Kalendertag</x:v>
      </x:c>
      <x:c r="N14" s="1283" t="str">
        <x:v>HESI PK; andere Early-PK-Bulker</x:v>
      </x:c>
      <x:c r="O14" s="1283" t="str">
        <x:v>A Label + C/UKD-Inferenz</x:v>
      </x:c>
      <x:c r="P14" s="1283" t="str">
        <x:v>https://www.advancednutrients.com/de/products/bud-ignitor/</x:v>
      </x:c>
      <x:c r="Q14" s="1512" t="str">
        <x:v>Für Autos biologischen Trigger verwenden.</x:v>
      </x:c>
    </x:row>
    <x:row r="15">
      <x:c r="A15" s="1511" t="str">
        <x:v>Grand Master</x:v>
      </x:c>
      <x:c r="B15" s="1283" t="str">
        <x:v>Rhino Skin</x:v>
      </x:c>
      <x:c r="C15" s="1283" t="str">
        <x:v>Kaliumsilikat</x:v>
      </x:c>
      <x:c r="D15" s="1283" t="str">
        <x:v>G1–G4</x:v>
      </x:c>
      <x:c r="E15" s="1283" t="str">
        <x:v>B1–B7</x:v>
      </x:c>
      <x:c r="F15" s="1283" t="str">
        <x:v>2 ml/L</x:v>
      </x:c>
      <x:c r="G15" s="1283" t="str">
        <x:v>NEIN wenn Athena Balance aktiv</x:v>
      </x:c>
      <x:c r="H15" s="1283" t="str">
        <x:v>0 mit Athena Balance; ohne Balance nur isolierter A/B-Pilot</x:v>
      </x:c>
      <x:c r="I15" s="1283" t="str">
        <x:v>JA</x:v>
      </x:c>
      <x:c r="J15" s="1283" t="str">
        <x:v>✖ REDUNDANT mit Balance</x:v>
      </x:c>
      <x:c r="K15" s="1283" t="str">
        <x:v>Tank möglich</x:v>
      </x:c>
      <x:c r="L15" s="1283" t="str">
        <x:v>Athena Balance/Hesilicio = Siliziumduplikation; zusätzliche K-Last</x:v>
      </x:c>
      <x:c r="M15" s="1283" t="str">
        <x:v>nur als Alternative zu Balance, nicht zusätzlich</x:v>
      </x:c>
      <x:c r="N15" s="1283" t="str">
        <x:v>Athena Balance/Hesilicio</x:v>
      </x:c>
      <x:c r="O15" s="1283" t="str">
        <x:v>A Label + UKD-Inferenz</x:v>
      </x:c>
      <x:c r="P15" s="1283" t="str">
        <x:v>https://www.advancednutrients.com/de/products/rhino-skin/</x:v>
      </x:c>
      <x:c r="Q15" s="1512" t="str">
        <x:v>Wichtigste Änderung durch Athena Balance.</x:v>
      </x:c>
    </x:row>
    <x:row r="16">
      <x:c r="A16" s="1513" t="str">
        <x:v>Grand Master</x:v>
      </x:c>
      <x:c r="B16" s="1514" t="str">
        <x:v>Bud Factor X</x:v>
      </x:c>
      <x:c r="C16" s="1514" t="str">
        <x:v>Biostimulanz/Harz-Claim</x:v>
      </x:c>
      <x:c r="D16" s="1514" t="str">
        <x:v>G2–G4</x:v>
      </x:c>
      <x:c r="E16" s="1514" t="str">
        <x:v>B1–B7</x:v>
      </x:c>
      <x:c r="F16" s="1514" t="str">
        <x:v>2 ml/L</x:v>
      </x:c>
      <x:c r="G16" s="1514" t="str">
        <x:v>A/B ONLY</x:v>
      </x:c>
      <x:c r="H16" s="1514" t="str">
        <x:v>keine validierte HESI-Hybrid-Dosis; konservativer isolierter Pilot unter Labeldosis</x:v>
      </x:c>
      <x:c r="I16" s="1514" t="str">
        <x:v>JA</x:v>
      </x:c>
      <x:c r="J16" s="1514" t="str">
        <x:v>JA</x:v>
      </x:c>
      <x:c r="K16" s="1514" t="str">
        <x:v>Manual bevorzugt</x:v>
      </x:c>
      <x:c r="L16" s="1514" t="str">
        <x:v>keine starke NPK-Duplikation, aber zusätzliche Variable/Marketingclaims</x:v>
      </x:c>
      <x:c r="M16" s="1514" t="str">
        <x:v>B1–B6 wenn eigener Test</x:v>
      </x:c>
      <x:c r="N16" s="1514" t="str">
        <x:v>keine zweite neue Biostim-Variable</x:v>
      </x:c>
      <x:c r="O16" s="1514" t="str">
        <x:v>A Label + C/UKD-Inferenz</x:v>
      </x:c>
      <x:c r="P16" s="1514" t="str">
        <x:v>https://www.advancednutrients.com/products/bud-factor-x/</x:v>
      </x:c>
      <x:c r="Q16" s="1515" t="str">
        <x:v>Herstellerclaim ≠ unabhängiger Wirksamkeitsnachweis.</x:v>
      </x:c>
    </x:row>
    <x:row r="19">
      <x:c r="A19" s="1211" t="str">
        <x:v>Produkt</x:v>
      </x:c>
      <x:c r="B19" s="1211" t="str">
        <x:v>G1</x:v>
      </x:c>
      <x:c r="C19" s="1211" t="str">
        <x:v>G2</x:v>
      </x:c>
      <x:c r="D19" s="1211" t="str">
        <x:v>G3</x:v>
      </x:c>
      <x:c r="E19" s="1211" t="str">
        <x:v>G4</x:v>
      </x:c>
      <x:c r="F19" s="1211" t="str">
        <x:v>B1</x:v>
      </x:c>
      <x:c r="G19" s="1211" t="str">
        <x:v>B2</x:v>
      </x:c>
      <x:c r="H19" s="1211" t="str">
        <x:v>B3</x:v>
      </x:c>
      <x:c r="I19" s="1211" t="str">
        <x:v>B4</x:v>
      </x:c>
      <x:c r="J19" s="1211" t="str">
        <x:v>B5</x:v>
      </x:c>
      <x:c r="K19" s="1211" t="str">
        <x:v>B6</x:v>
      </x:c>
      <x:c r="L19" s="1211" t="str">
        <x:v>B7</x:v>
      </x:c>
      <x:c r="M19" s="1211" t="str">
        <x:v>Flush</x:v>
      </x:c>
      <x:c r="N19" s="1211" t="str">
        <x:v>UKD Hybrid-Kernentscheidung</x:v>
      </x:c>
    </x:row>
    <x:row r="20">
      <x:c r="A20" s="32" t="str">
        <x:v>Voodoo Juice</x:v>
      </x:c>
      <x:c r="B20" s="266" t="n">
        <x:v>2</x:v>
      </x:c>
      <x:c r="C20" s="266" t="n">
        <x:v>2</x:v>
      </x:c>
      <x:c r="D20" s="266" t="n">
        <x:v>0</x:v>
      </x:c>
      <x:c r="E20" s="266" t="n">
        <x:v>0</x:v>
      </x:c>
      <x:c r="F20" s="266" t="n">
        <x:v>2</x:v>
      </x:c>
      <x:c r="G20" s="266" t="n">
        <x:v>2</x:v>
      </x:c>
      <x:c r="H20" s="266" t="n">
        <x:v>0</x:v>
      </x:c>
      <x:c r="I20" s="266" t="n">
        <x:v>0</x:v>
      </x:c>
      <x:c r="J20" s="266" t="n">
        <x:v>0</x:v>
      </x:c>
      <x:c r="K20" s="266" t="n">
        <x:v>0</x:v>
      </x:c>
      <x:c r="L20" s="266" t="n">
        <x:v>0</x:v>
      </x:c>
      <x:c r="M20" s="266" t="n">
        <x:v>0</x:v>
      </x:c>
      <x:c r="N20" s="33" t="str">
        <x:v>JA – frühe Frischgaben</x:v>
      </x:c>
    </x:row>
    <x:row r="21">
      <x:c r="A21" s="34" t="str">
        <x:v>Big Bud</x:v>
      </x:c>
      <x:c r="B21" s="267" t="n">
        <x:v>0</x:v>
      </x:c>
      <x:c r="C21" s="267" t="n">
        <x:v>0</x:v>
      </x:c>
      <x:c r="D21" s="267" t="n">
        <x:v>0</x:v>
      </x:c>
      <x:c r="E21" s="267" t="n">
        <x:v>0</x:v>
      </x:c>
      <x:c r="F21" s="267" t="n">
        <x:v>0</x:v>
      </x:c>
      <x:c r="G21" s="267" t="n">
        <x:v>2</x:v>
      </x:c>
      <x:c r="H21" s="267" t="n">
        <x:v>2</x:v>
      </x:c>
      <x:c r="I21" s="267" t="n">
        <x:v>2</x:v>
      </x:c>
      <x:c r="J21" s="267" t="n">
        <x:v>2</x:v>
      </x:c>
      <x:c r="K21" s="267" t="n">
        <x:v>0</x:v>
      </x:c>
      <x:c r="L21" s="267" t="n">
        <x:v>0</x:v>
      </x:c>
      <x:c r="M21" s="267" t="n">
        <x:v>0</x:v>
      </x:c>
      <x:c r="N21" s="35" t="str">
        <x:v>A/B statt HESI PK</x:v>
      </x:c>
    </x:row>
    <x:row r="22">
      <x:c r="A22" s="34" t="str">
        <x:v>B-52</x:v>
      </x:c>
      <x:c r="B22" s="267" t="n">
        <x:v>2</x:v>
      </x:c>
      <x:c r="C22" s="267" t="n">
        <x:v>2</x:v>
      </x:c>
      <x:c r="D22" s="267" t="n">
        <x:v>2</x:v>
      </x:c>
      <x:c r="E22" s="267" t="n">
        <x:v>2</x:v>
      </x:c>
      <x:c r="F22" s="267" t="n">
        <x:v>0</x:v>
      </x:c>
      <x:c r="G22" s="267" t="n">
        <x:v>0</x:v>
      </x:c>
      <x:c r="H22" s="267" t="n">
        <x:v>2</x:v>
      </x:c>
      <x:c r="I22" s="267" t="n">
        <x:v>2</x:v>
      </x:c>
      <x:c r="J22" s="267" t="n">
        <x:v>2</x:v>
      </x:c>
      <x:c r="K22" s="267" t="n">
        <x:v>2</x:v>
      </x:c>
      <x:c r="L22" s="267" t="n">
        <x:v>2</x:v>
      </x:c>
      <x:c r="M22" s="267" t="n">
        <x:v>0</x:v>
      </x:c>
      <x:c r="N22" s="35" t="str">
        <x:v>optional; nicht alle Biostims stapeln</x:v>
      </x:c>
    </x:row>
    <x:row r="23">
      <x:c r="A23" s="34" t="str">
        <x:v>Overdrive</x:v>
      </x:c>
      <x:c r="B23" s="267" t="n">
        <x:v>0</x:v>
      </x:c>
      <x:c r="C23" s="267" t="n">
        <x:v>0</x:v>
      </x:c>
      <x:c r="D23" s="267" t="n">
        <x:v>0</x:v>
      </x:c>
      <x:c r="E23" s="267" t="n">
        <x:v>0</x:v>
      </x:c>
      <x:c r="F23" s="267" t="n">
        <x:v>0</x:v>
      </x:c>
      <x:c r="G23" s="267" t="n">
        <x:v>0</x:v>
      </x:c>
      <x:c r="H23" s="267" t="n">
        <x:v>0</x:v>
      </x:c>
      <x:c r="I23" s="267" t="n">
        <x:v>0</x:v>
      </x:c>
      <x:c r="J23" s="267" t="n">
        <x:v>0</x:v>
      </x:c>
      <x:c r="K23" s="267" t="n">
        <x:v>2</x:v>
      </x:c>
      <x:c r="L23" s="267" t="n">
        <x:v>2</x:v>
      </x:c>
      <x:c r="M23" s="267" t="n">
        <x:v>0</x:v>
      </x:c>
      <x:c r="N23" s="35" t="str">
        <x:v>A/B statt spätem HESI PK</x:v>
      </x:c>
    </x:row>
    <x:row r="24">
      <x:c r="A24" s="34" t="str">
        <x:v>Piranha</x:v>
      </x:c>
      <x:c r="B24" s="267" t="n">
        <x:v>2</x:v>
      </x:c>
      <x:c r="C24" s="267" t="n">
        <x:v>2</x:v>
      </x:c>
      <x:c r="D24" s="267" t="n">
        <x:v>0</x:v>
      </x:c>
      <x:c r="E24" s="267" t="n">
        <x:v>0</x:v>
      </x:c>
      <x:c r="F24" s="267" t="n">
        <x:v>2</x:v>
      </x:c>
      <x:c r="G24" s="267" t="n">
        <x:v>2</x:v>
      </x:c>
      <x:c r="H24" s="267" t="n">
        <x:v>0</x:v>
      </x:c>
      <x:c r="I24" s="267" t="n">
        <x:v>0</x:v>
      </x:c>
      <x:c r="J24" s="267" t="n">
        <x:v>0</x:v>
      </x:c>
      <x:c r="K24" s="267" t="n">
        <x:v>0</x:v>
      </x:c>
      <x:c r="L24" s="267" t="n">
        <x:v>0</x:v>
      </x:c>
      <x:c r="M24" s="267" t="n">
        <x:v>0</x:v>
      </x:c>
      <x:c r="N24" s="35" t="str">
        <x:v>A/B; Rhiza-Redundanz</x:v>
      </x:c>
    </x:row>
    <x:row r="25">
      <x:c r="A25" s="34" t="str">
        <x:v>Bud Candy</x:v>
      </x:c>
      <x:c r="B25" s="267" t="n">
        <x:v>2</x:v>
      </x:c>
      <x:c r="C25" s="267" t="n">
        <x:v>2</x:v>
      </x:c>
      <x:c r="D25" s="267" t="n">
        <x:v>2</x:v>
      </x:c>
      <x:c r="E25" s="267" t="n">
        <x:v>2</x:v>
      </x:c>
      <x:c r="F25" s="267" t="n">
        <x:v>2</x:v>
      </x:c>
      <x:c r="G25" s="267" t="n">
        <x:v>2</x:v>
      </x:c>
      <x:c r="H25" s="267" t="n">
        <x:v>2</x:v>
      </x:c>
      <x:c r="I25" s="267" t="n">
        <x:v>2</x:v>
      </x:c>
      <x:c r="J25" s="267" t="n">
        <x:v>2</x:v>
      </x:c>
      <x:c r="K25" s="267" t="n">
        <x:v>2</x:v>
      </x:c>
      <x:c r="L25" s="267" t="n">
        <x:v>2</x:v>
      </x:c>
      <x:c r="M25" s="267" t="n">
        <x:v>0</x:v>
      </x:c>
      <x:c r="N25" s="35" t="str">
        <x:v>A/B; Tank vorsichtig</x:v>
      </x:c>
    </x:row>
    <x:row r="26">
      <x:c r="A26" s="34" t="str">
        <x:v>Flawless Finish</x:v>
      </x:c>
      <x:c r="B26" s="267" t="n">
        <x:v>0</x:v>
      </x:c>
      <x:c r="C26" s="267" t="n">
        <x:v>0</x:v>
      </x:c>
      <x:c r="D26" s="267" t="n">
        <x:v>0</x:v>
      </x:c>
      <x:c r="E26" s="267" t="n">
        <x:v>0</x:v>
      </x:c>
      <x:c r="F26" s="267" t="n">
        <x:v>0</x:v>
      </x:c>
      <x:c r="G26" s="267" t="n">
        <x:v>0</x:v>
      </x:c>
      <x:c r="H26" s="267" t="n">
        <x:v>0</x:v>
      </x:c>
      <x:c r="I26" s="267" t="n">
        <x:v>0</x:v>
      </x:c>
      <x:c r="J26" s="267" t="n">
        <x:v>0</x:v>
      </x:c>
      <x:c r="K26" s="267" t="n">
        <x:v>0</x:v>
      </x:c>
      <x:c r="L26" s="267" t="n">
        <x:v>0</x:v>
      </x:c>
      <x:c r="M26" s="267" t="n">
        <x:v>2</x:v>
      </x:c>
      <x:c r="N26" s="35" t="str">
        <x:v>optional Finaltest</x:v>
      </x:c>
    </x:row>
    <x:row r="27">
      <x:c r="A27" s="34" t="str">
        <x:v>Tarantula</x:v>
      </x:c>
      <x:c r="B27" s="267" t="n">
        <x:v>2</x:v>
      </x:c>
      <x:c r="C27" s="267" t="n">
        <x:v>2</x:v>
      </x:c>
      <x:c r="D27" s="267" t="n">
        <x:v>0</x:v>
      </x:c>
      <x:c r="E27" s="267" t="n">
        <x:v>0</x:v>
      </x:c>
      <x:c r="F27" s="267" t="n">
        <x:v>2</x:v>
      </x:c>
      <x:c r="G27" s="267" t="n">
        <x:v>2</x:v>
      </x:c>
      <x:c r="H27" s="267" t="n">
        <x:v>0</x:v>
      </x:c>
      <x:c r="I27" s="267" t="n">
        <x:v>0</x:v>
      </x:c>
      <x:c r="J27" s="267" t="n">
        <x:v>0</x:v>
      </x:c>
      <x:c r="K27" s="267" t="n">
        <x:v>0</x:v>
      </x:c>
      <x:c r="L27" s="267" t="n">
        <x:v>0</x:v>
      </x:c>
      <x:c r="M27" s="267" t="n">
        <x:v>0</x:v>
      </x:c>
      <x:c r="N27" s="35" t="str">
        <x:v>A/B</x:v>
      </x:c>
    </x:row>
    <x:row r="28">
      <x:c r="A28" s="34" t="str">
        <x:v>Tasty Terpenes</x:v>
      </x:c>
      <x:c r="B28" s="267" t="n">
        <x:v>2</x:v>
      </x:c>
      <x:c r="C28" s="267" t="n">
        <x:v>2</x:v>
      </x:c>
      <x:c r="D28" s="267" t="n">
        <x:v>2</x:v>
      </x:c>
      <x:c r="E28" s="267" t="n">
        <x:v>2</x:v>
      </x:c>
      <x:c r="F28" s="267" t="n">
        <x:v>0</x:v>
      </x:c>
      <x:c r="G28" s="267" t="n">
        <x:v>0</x:v>
      </x:c>
      <x:c r="H28" s="267" t="n">
        <x:v>2</x:v>
      </x:c>
      <x:c r="I28" s="267" t="n">
        <x:v>2</x:v>
      </x:c>
      <x:c r="J28" s="267" t="n">
        <x:v>2</x:v>
      </x:c>
      <x:c r="K28" s="267" t="n">
        <x:v>2</x:v>
      </x:c>
      <x:c r="L28" s="267" t="n">
        <x:v>2</x:v>
      </x:c>
      <x:c r="M28" s="267" t="n">
        <x:v>0</x:v>
      </x:c>
      <x:c r="N28" s="35" t="str">
        <x:v>A/B; K-/Boost-Overlap</x:v>
      </x:c>
    </x:row>
    <x:row r="29">
      <x:c r="A29" s="34" t="str">
        <x:v>Sensizym</x:v>
      </x:c>
      <x:c r="B29" s="267" t="n">
        <x:v>2</x:v>
      </x:c>
      <x:c r="C29" s="267" t="n">
        <x:v>2</x:v>
      </x:c>
      <x:c r="D29" s="267" t="n">
        <x:v>2</x:v>
      </x:c>
      <x:c r="E29" s="267" t="n">
        <x:v>2</x:v>
      </x:c>
      <x:c r="F29" s="267" t="n">
        <x:v>2</x:v>
      </x:c>
      <x:c r="G29" s="267" t="n">
        <x:v>2</x:v>
      </x:c>
      <x:c r="H29" s="267" t="n">
        <x:v>2</x:v>
      </x:c>
      <x:c r="I29" s="267" t="n">
        <x:v>2</x:v>
      </x:c>
      <x:c r="J29" s="267" t="n">
        <x:v>2</x:v>
      </x:c>
      <x:c r="K29" s="267" t="n">
        <x:v>2</x:v>
      </x:c>
      <x:c r="L29" s="267" t="n">
        <x:v>2</x:v>
      </x:c>
      <x:c r="M29" s="267" t="n">
        <x:v>0</x:v>
      </x:c>
      <x:c r="N29" s="35" t="str">
        <x:v>statt PowerZyme</x:v>
      </x:c>
    </x:row>
    <x:row r="30">
      <x:c r="A30" s="34" t="str">
        <x:v>Bud Ignitor</x:v>
      </x:c>
      <x:c r="B30" s="267" t="n">
        <x:v>0</x:v>
      </x:c>
      <x:c r="C30" s="267" t="n">
        <x:v>0</x:v>
      </x:c>
      <x:c r="D30" s="267" t="n">
        <x:v>0</x:v>
      </x:c>
      <x:c r="E30" s="267" t="n">
        <x:v>0</x:v>
      </x:c>
      <x:c r="F30" s="267" t="n">
        <x:v>2</x:v>
      </x:c>
      <x:c r="G30" s="267" t="n">
        <x:v>2</x:v>
      </x:c>
      <x:c r="H30" s="267" t="n">
        <x:v>0</x:v>
      </x:c>
      <x:c r="I30" s="267" t="n">
        <x:v>0</x:v>
      </x:c>
      <x:c r="J30" s="267" t="n">
        <x:v>0</x:v>
      </x:c>
      <x:c r="K30" s="267" t="n">
        <x:v>0</x:v>
      </x:c>
      <x:c r="L30" s="267" t="n">
        <x:v>0</x:v>
      </x:c>
      <x:c r="M30" s="267" t="n">
        <x:v>0</x:v>
      </x:c>
      <x:c r="N30" s="35" t="str">
        <x:v>A/B Early Bloom</x:v>
      </x:c>
    </x:row>
    <x:row r="31">
      <x:c r="A31" s="34" t="str">
        <x:v>Rhino Skin</x:v>
      </x:c>
      <x:c r="B31" s="267" t="n">
        <x:v>2</x:v>
      </x:c>
      <x:c r="C31" s="267" t="n">
        <x:v>2</x:v>
      </x:c>
      <x:c r="D31" s="267" t="n">
        <x:v>2</x:v>
      </x:c>
      <x:c r="E31" s="267" t="n">
        <x:v>2</x:v>
      </x:c>
      <x:c r="F31" s="267" t="n">
        <x:v>2</x:v>
      </x:c>
      <x:c r="G31" s="267" t="n">
        <x:v>2</x:v>
      </x:c>
      <x:c r="H31" s="267" t="n">
        <x:v>2</x:v>
      </x:c>
      <x:c r="I31" s="267" t="n">
        <x:v>2</x:v>
      </x:c>
      <x:c r="J31" s="267" t="n">
        <x:v>2</x:v>
      </x:c>
      <x:c r="K31" s="267" t="n">
        <x:v>2</x:v>
      </x:c>
      <x:c r="L31" s="267" t="n">
        <x:v>2</x:v>
      </x:c>
      <x:c r="M31" s="267" t="n">
        <x:v>0</x:v>
      </x:c>
      <x:c r="N31" s="35" t="str">
        <x:v>AUS mit Athena Balance</x:v>
      </x:c>
    </x:row>
    <x:row r="32">
      <x:c r="A32" s="36" t="str">
        <x:v>Bud Factor X</x:v>
      </x:c>
      <x:c r="B32" s="268" t="n">
        <x:v>0</x:v>
      </x:c>
      <x:c r="C32" s="268" t="n">
        <x:v>2</x:v>
      </x:c>
      <x:c r="D32" s="268" t="n">
        <x:v>2</x:v>
      </x:c>
      <x:c r="E32" s="268" t="n">
        <x:v>2</x:v>
      </x:c>
      <x:c r="F32" s="268" t="n">
        <x:v>2</x:v>
      </x:c>
      <x:c r="G32" s="268" t="n">
        <x:v>2</x:v>
      </x:c>
      <x:c r="H32" s="268" t="n">
        <x:v>2</x:v>
      </x:c>
      <x:c r="I32" s="268" t="n">
        <x:v>2</x:v>
      </x:c>
      <x:c r="J32" s="268" t="n">
        <x:v>2</x:v>
      </x:c>
      <x:c r="K32" s="268" t="n">
        <x:v>2</x:v>
      </x:c>
      <x:c r="L32" s="268" t="n">
        <x:v>2</x:v>
      </x:c>
      <x:c r="M32" s="268" t="n">
        <x:v>0</x:v>
      </x:c>
      <x:c r="N32" s="37" t="str">
        <x:v>A/B only</x:v>
      </x:c>
    </x:row>
    <x:row r="35">
      <x:c r="A35" s="790" t="str">
        <x:v>Grand-Master-Einordnung 2026</x:v>
      </x:c>
      <x:c r="B35" s="790" t="str">
        <x:v>Befund</x:v>
      </x:c>
      <x:c r="C35" s="790" t="str">
        <x:v>UKD Schluss</x:v>
      </x:c>
      <x:c r="D35" s="790" t="str">
        <x:v>Evidenz</x:v>
      </x:c>
      <x:c r="E35" s="790" t="str">
        <x:v>Quelle</x:v>
      </x:c>
      <x:c r="F35" s="790" t="str">
        <x:v>Hinweis</x:v>
      </x:c>
    </x:row>
    <x:row r="36">
      <x:c r="A36" s="32" t="str">
        <x:v>Klassischer Level</x:v>
      </x:c>
      <x:c r="B36" s="62" t="str">
        <x:v>Händler führen Hobbyist→Expert→Professional→Grand Master weiter; Grand Master ist kumulativ</x:v>
      </x:c>
      <x:c r="C36" s="62" t="str">
        <x:v>alle 13 im Workbook, aber nicht als Zwangsstack</x:v>
      </x:c>
      <x:c r="D36" s="62" t="str">
        <x:v>B</x:v>
      </x:c>
      <x:c r="E36" s="62" t="str">
        <x:v>https://www.grow-shop24.de/advanced-nutrients-grand-master-grower-level-set</x:v>
      </x:c>
      <x:c r="F36" s="33" t="str">
        <x:v>aktuelles deutsches Händlerangebot</x:v>
      </x:c>
    </x:row>
    <x:row r="37">
      <x:c r="A37" s="34" t="str">
        <x:v>Aktuelle AN-Struktur</x:v>
      </x:c>
      <x:c r="B37" s="201" t="str">
        <x:v>AN-Website 2026 organisiert primär nach Produktklassen/Feed-Charts/Recipes</x:v>
      </x:c>
      <x:c r="C37" s="201" t="str">
        <x:v>Level-Taxonomie nicht als aktuelle wissenschaftliche Hierarchie behandeln</x:v>
      </x:c>
      <x:c r="D37" s="201" t="str">
        <x:v>A</x:v>
      </x:c>
      <x:c r="E37" s="201" t="str">
        <x:v>https://www.advancednutrients.com/de/feeding/</x:v>
      </x:c>
      <x:c r="F37" s="35" t="str">
        <x:v>Hersteller</x:v>
      </x:c>
    </x:row>
    <x:row r="38">
      <x:c r="A38" s="1154" t="str">
        <x:v>Praxis Full Stack</x:v>
      </x:c>
      <x:c r="B38" s="1204" t="str">
        <x:v>Communityberichte nennen sowohl erfolgreiche Nutzung als auch hohe EC/Komplexität</x:v>
      </x:c>
      <x:c r="C38" s="1204" t="str">
        <x:v>keine pauschale 25–50%-Regel als validierte Dosis verwenden</x:v>
      </x:c>
      <x:c r="D38" s="1204" t="str">
        <x:v>C</x:v>
      </x:c>
      <x:c r="E38" s="1204" t="str">
        <x:v>Communityquellen</x:v>
      </x:c>
      <x:c r="F38" s="1205" t="str">
        <x:v>qualitative Praxis, keine Dosierungsstudie</x:v>
      </x:c>
    </x:row>
    <x:row r="39">
      <x:c r="A39" s="1156" t="str">
        <x:v>Auto-spezifisch</x:v>
      </x:c>
      <x:c r="B39" s="201" t="str">
        <x:v>Herstellerchart ist phasenbezogen; UKD-Auto kann andere Zeitachse haben</x:v>
      </x:c>
      <x:c r="C39" s="201" t="str">
        <x:v>Bloom-Trigger und Pflanzenreaktion über starrem Kalender</x:v>
      </x:c>
      <x:c r="D39" s="201" t="str">
        <x:v>C/UKD</x:v>
      </x:c>
      <x:c r="E39" s="201" t="str">
        <x:v>Community + Methodik</x:v>
      </x:c>
      <x:c r="F39" s="1193" t="str">
        <x:v>keine Auto-spezifische Herstellervalidierung für HESI-Hybrid</x:v>
      </x:c>
    </x:row>
    <x:row r="40">
      <x:c r="A40" s="1158" t="str">
        <x:v>Referenzdesign</x:v>
      </x:c>
      <x:c r="B40" s="1194" t="str">
        <x:v>jede zusätzliche Flasche ist eine zusätzliche Variable</x:v>
      </x:c>
      <x:c r="C40" s="1194" t="str">
        <x:v>Reference minimal; Grand-Master-Produkte einzeln/repliziert testen</x:v>
      </x:c>
      <x:c r="D40" s="1194" t="str">
        <x:v>UKD Methodik</x:v>
      </x:c>
      <x:c r="E40" s="1194" t="str">
        <x:v>—</x:v>
      </x:c>
      <x:c r="F40" s="1195" t="str">
        <x:v>Reproduzierbarkeit &gt; Flaschenanzahl</x:v>
      </x:c>
    </x:row>
  </x:sheetData>
  <x:mergeCells>
    <x:mergeCell ref="A1:Q1"/>
  </x:mergeCells>
  <x:conditionalFormatting sqref="B20:M32">
    <x:cfRule type="expression" dxfId="32" priority="5">
      <x:formula>B20=2</x:formula>
    </x:cfRule>
    <x:cfRule type="expression" dxfId="33" priority="6">
      <x:formula>B20=0</x:formula>
    </x:cfRule>
  </x:conditionalFormatting>
  <x:conditionalFormatting sqref="G4:G16">
    <x:cfRule type="expression" dxfId="55" priority="7">
      <x:formula>ISNUMBER(SEARCH("JA",G4))</x:formula>
    </x:cfRule>
    <x:cfRule type="expression" dxfId="56" priority="8">
      <x:formula>ISNUMBER(SEARCH("A/B",G4))</x:formula>
    </x:cfRule>
    <x:cfRule type="expression" dxfId="57" priority="9">
      <x:formula>ISNUMBER(SEARCH("NEIN",G4))</x:formula>
    </x:cfRule>
    <x:cfRule type="expression" dxfId="58" priority="10">
      <x:formula>ISNUMBER(SEARCH("ALTERNATIVE",G4))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48" hidden="0" customWidth="1"/>
    <x:col min="5" max="5" width="48" hidden="0" customWidth="1"/>
    <x:col min="6" max="6" width="48" hidden="0" customWidth="1"/>
    <x:col min="7" max="7" width="23" hidden="0" customWidth="1"/>
    <x:col min="8" max="8" width="11" hidden="0" customWidth="1"/>
    <x:col min="9" max="9" width="39" hidden="0" customWidth="1"/>
    <x:col min="10" max="10" width="9" hidden="0" customWidth="1"/>
    <x:col min="12" max="12" width="22" hidden="0" customWidth="1"/>
    <x:col min="13" max="13" width="12" hidden="0" customWidth="1"/>
    <x:col min="14" max="14" width="32" hidden="0" customWidth="1"/>
  </x:cols>
  <x:sheetData>
    <x:row r="1">
      <x:c r="A1" s="1528" t="str">
        <x:v>UKD v6 · FORENSISCHER CONTENT-/WORKBOOK-AUDIT — FINDINGS &amp; KORREKTUREN</x:v>
      </x:c>
      <x:c r="B1" s="1528" t="str">
        <x:v>UKD v6 · FORENSISCHER CONTENT-/WORKBOOK-AUDIT — FINDINGS &amp; KORREKTUREN</x:v>
      </x:c>
      <x:c r="C1" s="1528" t="str">
        <x:v>UKD v6 · FORENSISCHER CONTENT-/WORKBOOK-AUDIT — FINDINGS &amp; KORREKTUREN</x:v>
      </x:c>
      <x:c r="D1" s="1528" t="str">
        <x:v>UKD v6 · FORENSISCHER CONTENT-/WORKBOOK-AUDIT — FINDINGS &amp; KORREKTUREN</x:v>
      </x:c>
      <x:c r="E1" s="1528" t="str">
        <x:v>UKD v6 · FORENSISCHER CONTENT-/WORKBOOK-AUDIT — FINDINGS &amp; KORREKTUREN</x:v>
      </x:c>
      <x:c r="F1" s="1528" t="str">
        <x:v>UKD v6 · FORENSISCHER CONTENT-/WORKBOOK-AUDIT — FINDINGS &amp; KORREKTUREN</x:v>
      </x:c>
      <x:c r="G1" s="1528" t="str">
        <x:v>UKD v6 · FORENSISCHER CONTENT-/WORKBOOK-AUDIT — FINDINGS &amp; KORREKTUREN</x:v>
      </x:c>
      <x:c r="H1" s="1528" t="str">
        <x:v>UKD v6 · FORENSISCHER CONTENT-/WORKBOOK-AUDIT — FINDINGS &amp; KORREKTUREN</x:v>
      </x:c>
      <x:c r="I1" s="1528" t="str">
        <x:v>UKD v6 · FORENSISCHER CONTENT-/WORKBOOK-AUDIT — FINDINGS &amp; KORREKTUREN</x:v>
      </x:c>
      <x:c r="J1" s="1528" t="str">
        <x:v>UKD v6 · FORENSISCHER CONTENT-/WORKBOOK-AUDIT — FINDINGS &amp; KORREKTUREN</x:v>
      </x:c>
      <x:c r="K1" t="str">
        <x:v>UKD v6 · FORENSISCHER CONTENT-/WORKBOOK-AUDIT — FINDINGS &amp; KORREKTUREN</x:v>
      </x:c>
      <x:c r="L1" t="str">
        <x:v>UKD v6 · FORENSISCHER CONTENT-/WORKBOOK-AUDIT — FINDINGS &amp; KORREKTUREN</x:v>
      </x:c>
      <x:c r="M1" t="str">
        <x:v>UKD v6 · FORENSISCHER CONTENT-/WORKBOOK-AUDIT — FINDINGS &amp; KORREKTUREN</x:v>
      </x:c>
      <x:c r="N1" t="str">
        <x:v>UKD v6 · FORENSISCHER CONTENT-/WORKBOOK-AUDIT — FINDINGS &amp; KORREKTUREN</x:v>
      </x:c>
    </x:row>
    <x:row r="3">
      <x:c r="A3" s="1460" t="str">
        <x:v>ID</x:v>
      </x:c>
      <x:c r="B3" s="1460" t="str">
        <x:v>Schwere</x:v>
      </x:c>
      <x:c r="C3" s="1460" t="str">
        <x:v>Blatt/Bereich</x:v>
      </x:c>
      <x:c r="D3" s="1460" t="str">
        <x:v>Fund</x:v>
      </x:c>
      <x:c r="E3" s="1460" t="str">
        <x:v>Risiko</x:v>
      </x:c>
      <x:c r="F3" s="1460" t="str">
        <x:v>Korrektur v4</x:v>
      </x:c>
      <x:c r="G3" s="1460" t="str">
        <x:v>Evidenz</x:v>
      </x:c>
      <x:c r="H3" s="1460" t="str">
        <x:v>Status</x:v>
      </x:c>
      <x:c r="I3" s="1460" t="str">
        <x:v>Restunsicherheit</x:v>
      </x:c>
      <x:c r="J3" s="1460" t="str">
        <x:v>Priorität</x:v>
      </x:c>
      <x:c r="L3" s="1460" t="str">
        <x:v>Audit Summary</x:v>
      </x:c>
      <x:c r="M3" s="1460" t="str">
        <x:v>Wert</x:v>
      </x:c>
      <x:c r="N3" s="1460" t="str">
        <x:v>Kommentar</x:v>
      </x:c>
    </x:row>
    <x:row r="4">
      <x:c r="A4" s="1154" t="str">
        <x:v>A01</x:v>
      </x:c>
      <x:c r="B4" s="1204" t="str">
        <x:v>KRITISCH</x:v>
      </x:c>
      <x:c r="C4" s="1204" t="str">
        <x:v>09 / Dashboard / README</x:v>
      </x:c>
      <x:c r="D4" s="1204" t="str">
        <x:v>Tropf-Blumat wurde trotz ausdrücklichem Hersteller-Innenraumverbot weiter als operatives Reference-System behandelt.</x:v>
      </x:c>
      <x:c r="E4" s="1204" t="str">
        <x:v>Wasser-/Sachschaden; Widerspruch Herstellerstatus</x:v>
      </x:c>
      <x:c r="F4" s="1204" t="str">
        <x:v>Reference auf manuell/indoor-freigegeben geändert; Blumat nur Legacy/Risiko.</x:v>
      </x:c>
      <x:c r="G4" s="1204" t="str">
        <x:v>A Hersteller</x:v>
      </x:c>
      <x:c r="H4" s="1204" t="str">
        <x:v>FIXED</x:v>
      </x:c>
      <x:c r="I4" s="1204" t="str">
        <x:v>Kein spezifisches Alternativesystem ausgewählt</x:v>
      </x:c>
      <x:c r="J4" s="1205" t="str">
        <x:v>P0</x:v>
      </x:c>
      <x:c r="L4" s="1154" t="str">
        <x:v>Ausgangsblätter geprüft</x:v>
      </x:c>
      <x:c r="M4" s="1204" t="n">
        <x:v>26</x:v>
      </x:c>
      <x:c r="N4" s="1205" t="str">
        <x:v>vollständige Ausgangsmappe; Auditbericht ist zusätzliches 27. Blatt</x:v>
      </x:c>
    </x:row>
    <x:row r="5">
      <x:c r="A5" s="1156" t="str">
        <x:v>A02</x:v>
      </x:c>
      <x:c r="B5" s="201" t="str">
        <x:v>HOCH</x:v>
      </x:c>
      <x:c r="C5" s="201" t="str">
        <x:v>05_Mix_Calculator B4</x:v>
      </x:c>
      <x:c r="D5" s="201" t="str">
        <x:v>Mischer stand auf Tag 28, Run_Config auf Tag 0.</x:v>
      </x:c>
      <x:c r="E5" s="201" t="str">
        <x:v>falscher Feed zur aktuellen Phase</x:v>
      </x:c>
      <x:c r="F5" s="201" t="str">
        <x:v>B4 an Run_Config B5 gekoppelt.</x:v>
      </x:c>
      <x:c r="G5" s="201" t="str">
        <x:v>intern</x:v>
      </x:c>
      <x:c r="H5" s="201" t="str">
        <x:v>FIXED</x:v>
      </x:c>
      <x:c r="I5" s="201" t="str">
        <x:v>—</x:v>
      </x:c>
      <x:c r="J5" s="1193" t="str">
        <x:v>P0</x:v>
      </x:c>
      <x:c r="L5" s="1156" t="str">
        <x:v>Findings</x:v>
      </x:c>
      <x:c r="M5" s="201" t="n">
        <x:v>46</x:v>
      </x:c>
      <x:c r="N5" s="1193" t="str">
        <x:v>wesentliche dokumentierte Funde</x:v>
      </x:c>
    </x:row>
    <x:row r="6">
      <x:c r="A6" s="1156" t="str">
        <x:v>A03</x:v>
      </x:c>
      <x:c r="B6" s="201" t="str">
        <x:v>HOCH</x:v>
      </x:c>
      <x:c r="C6" s="201" t="str">
        <x:v>05 vs 01</x:v>
      </x:c>
      <x:c r="D6" s="201" t="str">
        <x:v>Athena/CalMag/GM/pH-Down waren doppelte Eingaben.</x:v>
      </x:c>
      <x:c r="E6" s="201" t="str">
        <x:v>driftende Single-Source-of-Truth</x:v>
      </x:c>
      <x:c r="F6" s="201" t="str">
        <x:v>Mix übernimmt Config; Batchvolumen bleibt lokale Eingabe.</x:v>
      </x:c>
      <x:c r="G6" s="201" t="str">
        <x:v>intern</x:v>
      </x:c>
      <x:c r="H6" s="201" t="str">
        <x:v>FIXED</x:v>
      </x:c>
      <x:c r="I6" s="201" t="str">
        <x:v>—</x:v>
      </x:c>
      <x:c r="J6" s="1193" t="str">
        <x:v>P0</x:v>
      </x:c>
      <x:c r="L6" s="1156" t="str">
        <x:v>Kritisch</x:v>
      </x:c>
      <x:c r="M6" s="201" t="n">
        <x:v>1</x:v>
      </x:c>
      <x:c r="N6" s="1193" t="str">
        <x:v>Blumat Reference-Konflikt</x:v>
      </x:c>
    </x:row>
    <x:row r="7">
      <x:c r="A7" s="1156" t="str">
        <x:v>A04</x:v>
      </x:c>
      <x:c r="B7" s="201" t="str">
        <x:v>HOCH</x:v>
      </x:c>
      <x:c r="C7" s="201" t="str">
        <x:v>02 Z</x:v>
      </x:c>
      <x:c r="D7" s="201" t="str">
        <x:v>Hesilicio wurde kalenderfest dosiert, obwohl Athena Balance Default-Si sein kann.</x:v>
      </x:c>
      <x:c r="E7" s="201" t="str">
        <x:v>Si/K-Duplikation</x:v>
      </x:c>
      <x:c r="F7" s="201" t="str">
        <x:v>Hesilicio nur bei expliziter Alternative in Config.</x:v>
      </x:c>
      <x:c r="G7" s="201" t="str">
        <x:v>Hersteller + Logik</x:v>
      </x:c>
      <x:c r="H7" s="201" t="str">
        <x:v>FIXED</x:v>
      </x:c>
      <x:c r="I7" s="201" t="str">
        <x:v>—</x:v>
      </x:c>
      <x:c r="J7" s="1193" t="str">
        <x:v>P0</x:v>
      </x:c>
      <x:c r="L7" s="1156" t="str">
        <x:v>Hoch</x:v>
      </x:c>
      <x:c r="M7" s="201" t="n">
        <x:v>20</x:v>
      </x:c>
      <x:c r="N7" s="1193" t="str">
        <x:v>operative/wissenschaftliche Risiken</x:v>
      </x:c>
    </x:row>
    <x:row r="8">
      <x:c r="A8" s="1156" t="str">
        <x:v>A05</x:v>
      </x:c>
      <x:c r="B8" s="201" t="str">
        <x:v>HOCH</x:v>
      </x:c>
      <x:c r="C8" s="201" t="str">
        <x:v>02 / README</x:v>
      </x:c>
      <x:c r="D8" s="201" t="str">
        <x:v>Blüte-Trigger war textlich gefordert, Fütterung aber kalenderhart.</x:v>
      </x:c>
      <x:c r="E8" s="201" t="str">
        <x:v>Auto-Phänologie vs. Feed widersprüchlich</x:v>
      </x:c>
      <x:c r="F8" s="201" t="str">
        <x:v>Blüte-Trigger als Eingabe; Basis/Boost/PK/Voodoo/AN-Fenster triggerrelativ.</x:v>
      </x:c>
      <x:c r="G8" s="201" t="str">
        <x:v>intern/Herstellerphasen</x:v>
      </x:c>
      <x:c r="H8" s="201" t="str">
        <x:v>FIXED</x:v>
      </x:c>
      <x:c r="I8" s="201" t="str">
        <x:v>Klima bleibt Plantrajektorie</x:v>
      </x:c>
      <x:c r="J8" s="1193" t="str">
        <x:v>P0</x:v>
      </x:c>
      <x:c r="L8" s="1156" t="str">
        <x:v>Mittel</x:v>
      </x:c>
      <x:c r="M8" s="201" t="n">
        <x:v>22</x:v>
      </x:c>
      <x:c r="N8" s="1193" t="str">
        <x:v>Logik/Evidenz/Querverweise</x:v>
      </x:c>
    </x:row>
    <x:row r="9">
      <x:c r="A9" s="1156" t="str">
        <x:v>A06</x:v>
      </x:c>
      <x:c r="B9" s="201" t="str">
        <x:v>HOCH</x:v>
      </x:c>
      <x:c r="C9" s="201" t="str">
        <x:v>02</x:v>
      </x:c>
      <x:c r="D9" s="201" t="str">
        <x:v>TNT startete automatisch Tag 4 ohne expliziten Sämlings-Trigger.</x:v>
      </x:c>
      <x:c r="E9" s="201" t="str">
        <x:v>zu frühe/zu starre Versorgung</x:v>
      </x:c>
      <x:c r="F9" s="201" t="str">
        <x:v>Nährstoffstart als Config-Eingabe; HESI-Saatreservehinweis dokumentiert.</x:v>
      </x:c>
      <x:c r="G9" s="201" t="str">
        <x:v>A Hersteller</x:v>
      </x:c>
      <x:c r="H9" s="201" t="str">
        <x:v>FIXED</x:v>
      </x:c>
      <x:c r="I9" s="201" t="str">
        <x:v>Default Tag4 bleibt Planannahme</x:v>
      </x:c>
      <x:c r="J9" s="1193" t="str">
        <x:v>P1</x:v>
      </x:c>
      <x:c r="L9" s="1156" t="str">
        <x:v>Niedrig</x:v>
      </x:c>
      <x:c r="M9" s="201" t="n">
        <x:v>3</x:v>
      </x:c>
      <x:c r="N9" s="1193" t="str">
        <x:v>Scope/Vollständigkeit</x:v>
      </x:c>
    </x:row>
    <x:row r="10">
      <x:c r="A10" s="1156" t="str">
        <x:v>A07</x:v>
      </x:c>
      <x:c r="B10" s="201" t="str">
        <x:v>MITTEL</x:v>
      </x:c>
      <x:c r="C10" s="201" t="str">
        <x:v>04 vs 02</x:v>
      </x:c>
      <x:c r="D10" s="201" t="str">
        <x:v>Monatsgrenzen 0–30/31–60 widersprachen Formel 0–29/30–59.</x:v>
      </x:c>
      <x:c r="E10" s="201" t="str">
        <x:v>Reporting inkonsistent</x:v>
      </x:c>
      <x:c r="F10" s="201" t="str">
        <x:v>04 auf 0–29/30–59/60–80 korrigiert.</x:v>
      </x:c>
      <x:c r="G10" s="201" t="str">
        <x:v>intern</x:v>
      </x:c>
      <x:c r="H10" s="201" t="str">
        <x:v>FIXED</x:v>
      </x:c>
      <x:c r="I10" s="201" t="str">
        <x:v>—</x:v>
      </x:c>
      <x:c r="J10" s="1193" t="str">
        <x:v>P1</x:v>
      </x:c>
      <x:c r="L10" s="1158" t="str">
        <x:v>Formelfehler vor Patch</x:v>
      </x:c>
      <x:c r="M10" s="1194" t="n">
        <x:v>0</x:v>
      </x:c>
      <x:c r="N10" s="1195" t="str">
        <x:v>keine #REF/#DIV0 etc.</x:v>
      </x:c>
    </x:row>
    <x:row r="11">
      <x:c r="A11" s="1156" t="str">
        <x:v>A08</x:v>
      </x:c>
      <x:c r="B11" s="201" t="str">
        <x:v>HOCH</x:v>
      </x:c>
      <x:c r="C11" s="201" t="str">
        <x:v>02 vs 03</x:v>
      </x:c>
      <x:c r="D11" s="201" t="str">
        <x:v>Tag 77–80 Daily blieb 500 PPFD/105W, Weekly W12 sagte 450/90.</x:v>
      </x:c>
      <x:c r="E11" s="201" t="str">
        <x:v>operative Sollwertkollision</x:v>
      </x:c>
      <x:c r="F11" s="201" t="str">
        <x:v>Daily 77–80 auf W12-Taper korrigiert; Climate ergänzt.</x:v>
      </x:c>
      <x:c r="G11" s="201" t="str">
        <x:v>intern</x:v>
      </x:c>
      <x:c r="H11" s="201" t="str">
        <x:v>FIXED</x:v>
      </x:c>
      <x:c r="I11" s="201" t="str">
        <x:v>Taper ist Plan, nicht nachgewiesenes Optimum</x:v>
      </x:c>
      <x:c r="J11" s="1193" t="str">
        <x:v>P1</x:v>
      </x:c>
    </x:row>
    <x:row r="12">
      <x:c r="A12" s="1156" t="str">
        <x:v>A09</x:v>
      </x:c>
      <x:c r="B12" s="201" t="str">
        <x:v>HOCH</x:v>
      </x:c>
      <x:c r="C12" s="201" t="str">
        <x:v>O / Climate</x:v>
      </x:c>
      <x:c r="D12" s="201" t="str">
        <x:v>VPD-Zahlen hatten keine explizite Blatt-Temperaturannahme.</x:v>
      </x:c>
      <x:c r="E12" s="201" t="str">
        <x:v>physiologisch unvollständige Kennzahl</x:v>
      </x:c>
      <x:c r="F12" s="201" t="str">
        <x:v>Leaf-VPD mathematisch aus Air T/RH + konfigurierbarem Leaf ΔT; Air-VPD ergänzt.</x:v>
      </x:c>
      <x:c r="G12" s="201" t="str">
        <x:v>Physik</x:v>
      </x:c>
      <x:c r="H12" s="201" t="str">
        <x:v>FIXED</x:v>
      </x:c>
      <x:c r="I12" s="201" t="str">
        <x:v>IR-Blatttemp vorzuziehen</x:v>
      </x:c>
      <x:c r="J12" s="1193" t="str">
        <x:v>P0</x:v>
      </x:c>
    </x:row>
    <x:row r="13">
      <x:c r="A13" s="1156" t="str">
        <x:v>A10</x:v>
      </x:c>
      <x:c r="B13" s="201" t="str">
        <x:v>HOCH</x:v>
      </x:c>
      <x:c r="C13" s="201" t="str">
        <x:v>12_Daily_Log</x:v>
      </x:c>
      <x:c r="D13" s="201" t="str">
        <x:v>Zukünftige, leere Zeilen standen auf OK.</x:v>
      </x:c>
      <x:c r="E13" s="201" t="str">
        <x:v>falsches Sicherheits-/QA-Signal</x:v>
      </x:c>
      <x:c r="F13" s="201" t="str">
        <x:v>Default OFFEN; Gesamtstatus aus Daten/Warnflags berechnet.</x:v>
      </x:c>
      <x:c r="G13" s="201" t="str">
        <x:v>intern</x:v>
      </x:c>
      <x:c r="H13" s="201" t="str">
        <x:v>FIXED</x:v>
      </x:c>
      <x:c r="I13" s="201" t="str">
        <x:v>—</x:v>
      </x:c>
      <x:c r="J13" s="1193" t="str">
        <x:v>P0</x:v>
      </x:c>
    </x:row>
    <x:row r="14">
      <x:c r="A14" s="1156" t="str">
        <x:v>A11</x:v>
      </x:c>
      <x:c r="B14" s="201" t="str">
        <x:v>HOCH</x:v>
      </x:c>
      <x:c r="C14" s="201" t="str">
        <x:v>08_Hybrid_AB</x:v>
      </x:c>
      <x:c r="D14" s="201" t="str">
        <x:v>Seed-grown Auto-Runs wurden wie kontrollierte kausale A/B-Tests beschrieben.</x:v>
      </x:c>
      <x:c r="E14" s="201" t="str">
        <x:v>wissenschaftliche Überinterpretation</x:v>
      </x:c>
      <x:c r="F14" s="201" t="str">
        <x:v>N-of-1/Quasi-Experiment explizit; Seedlot/Replikation/Confounder ergänzt.</x:v>
      </x:c>
      <x:c r="G14" s="201" t="str">
        <x:v>Methodik</x:v>
      </x:c>
      <x:c r="H14" s="201" t="str">
        <x:v>FIXED</x:v>
      </x:c>
      <x:c r="I14" s="201" t="str">
        <x:v>echte Replikation weiterhin nötig</x:v>
      </x:c>
      <x:c r="J14" s="1193" t="str">
        <x:v>P0</x:v>
      </x:c>
    </x:row>
    <x:row r="15">
      <x:c r="A15" s="1156" t="str">
        <x:v>A12</x:v>
      </x:c>
      <x:c r="B15" s="201" t="str">
        <x:v>MITTEL</x:v>
      </x:c>
      <x:c r="C15" s="201" t="str">
        <x:v>08 / 14</x:v>
      </x:c>
      <x:c r="D15" s="201" t="str">
        <x:v>g/W als Effizienzmetrik trotz variabler Wattkurve.</x:v>
      </x:c>
      <x:c r="E15" s="201" t="str">
        <x:v>Energieeffizienz verzerrt</x:v>
      </x:c>
      <x:c r="F15" s="201" t="str">
        <x:v>kWh/Tag + kumulative Licht-kWh; g/kWh als Hauptmetrik.</x:v>
      </x:c>
      <x:c r="G15" s="201" t="str">
        <x:v>Engineering</x:v>
      </x:c>
      <x:c r="H15" s="201" t="str">
        <x:v>FIXED</x:v>
      </x:c>
      <x:c r="I15" s="201" t="str">
        <x:v>sonstige Geräteenergie noch nicht integriert</x:v>
      </x:c>
      <x:c r="J15" s="1193" t="str">
        <x:v>P1</x:v>
      </x:c>
    </x:row>
    <x:row r="16">
      <x:c r="A16" s="1156" t="str">
        <x:v>A13</x:v>
      </x:c>
      <x:c r="B16" s="201" t="str">
        <x:v>HOCH</x:v>
      </x:c>
      <x:c r="C16" s="201" t="str">
        <x:v>24_Athena</x:v>
      </x:c>
      <x:c r="D16" s="201" t="str">
        <x:v>Ziel-pH 5.8–6.2 wurde Athena zugeschrieben, obwohl es sauberer HESI-Coco-Referenz ist.</x:v>
      </x:c>
      <x:c r="E16" s="201" t="str">
        <x:v>Quellenfehlattribution</x:v>
      </x:c>
      <x:c r="F16" s="201" t="str">
        <x:v>Attribution getrennt: HESI pH-Ziel; Athena = pH+ Conditioner.</x:v>
      </x:c>
      <x:c r="G16" s="201" t="str">
        <x:v>A Hersteller</x:v>
      </x:c>
      <x:c r="H16" s="201" t="str">
        <x:v>FIXED</x:v>
      </x:c>
      <x:c r="I16" s="201" t="str">
        <x:v>Wasserchemie entscheidet Balance-Bedarf</x:v>
      </x:c>
      <x:c r="J16" s="1193" t="str">
        <x:v>P1</x:v>
      </x:c>
    </x:row>
    <x:row r="17">
      <x:c r="A17" s="1156" t="str">
        <x:v>A14</x:v>
      </x:c>
      <x:c r="B17" s="201" t="str">
        <x:v>HOCH</x:v>
      </x:c>
      <x:c r="C17" s="201" t="str">
        <x:v>01 / 24</x:v>
      </x:c>
      <x:c r="D17" s="201" t="str">
        <x:v>Wasserchemie hatte nur Typ/EC, keine Ca/Mg/Alkalinität.</x:v>
      </x:c>
      <x:c r="E17" s="201" t="str">
        <x:v>CalMag-/Balance-Entscheidungen unterbestimmt</x:v>
      </x:c>
      <x:c r="F17" s="201" t="str">
        <x:v>Ca, Mg, HCO3/Alkalinität und source-pH ergänzt.</x:v>
      </x:c>
      <x:c r="G17" s="201" t="str">
        <x:v>Chemie</x:v>
      </x:c>
      <x:c r="H17" s="201" t="str">
        <x:v>FIXED</x:v>
      </x:c>
      <x:c r="I17" s="201" t="str">
        <x:v>Nutzerwerte noch unbekannt</x:v>
      </x:c>
      <x:c r="J17" s="1193" t="str">
        <x:v>P0</x:v>
      </x:c>
    </x:row>
    <x:row r="18">
      <x:c r="A18" s="1156" t="str">
        <x:v>A15</x:v>
      </x:c>
      <x:c r="B18" s="201" t="str">
        <x:v>MITTEL</x:v>
      </x:c>
      <x:c r="C18" s="201" t="str">
        <x:v>07 pHPerfect</x:v>
      </x:c>
      <x:c r="D18" s="201" t="str">
        <x:v>Cross-brand-Warnung war mit unscharfer Produktquelle verknüpft.</x:v>
      </x:c>
      <x:c r="E18" s="201" t="str">
        <x:v>Quellengüte</x:v>
      </x:c>
      <x:c r="F18" s="201" t="str">
        <x:v>in README/Sources auf AN FAQ/pH-Systemlogik konsolidiert.</x:v>
      </x:c>
      <x:c r="G18" s="201" t="str">
        <x:v>A Hersteller</x:v>
      </x:c>
      <x:c r="H18" s="201" t="str">
        <x:v>FIXED</x:v>
      </x:c>
      <x:c r="I18" s="201" t="str">
        <x:v>—</x:v>
      </x:c>
      <x:c r="J18" s="1193" t="str">
        <x:v>P2</x:v>
      </x:c>
    </x:row>
    <x:row r="19">
      <x:c r="A19" s="1156" t="str">
        <x:v>A16</x:v>
      </x:c>
      <x:c r="B19" s="201" t="str">
        <x:v>HOCH</x:v>
      </x:c>
      <x:c r="C19" s="201" t="str">
        <x:v>25 GM</x:v>
      </x:c>
      <x:c r="D19" s="201" t="str">
        <x:v>0.5–1 ml/L Hybridstart wirkte wie validierte allgemeine Empfehlung.</x:v>
      </x:c>
      <x:c r="E19" s="201" t="str">
        <x:v>Scheingenauigkeit</x:v>
      </x:c>
      <x:c r="F19" s="201" t="str">
        <x:v>Spalte als explorativ/nicht validiert markiert; universelle 25–50%-Regel entfernt.</x:v>
      </x:c>
      <x:c r="G19" s="201" t="str">
        <x:v>A Label + C/UKD</x:v>
      </x:c>
      <x:c r="H19" s="201" t="str">
        <x:v>FIXED</x:v>
      </x:c>
      <x:c r="I19" s="201" t="str">
        <x:v>keine kontrollierte HESI-Hybrid-Dosisstudie</x:v>
      </x:c>
      <x:c r="J19" s="1193" t="str">
        <x:v>P0</x:v>
      </x:c>
    </x:row>
    <x:row r="20">
      <x:c r="A20" s="1156" t="str">
        <x:v>A17</x:v>
      </x:c>
      <x:c r="B20" s="201" t="str">
        <x:v>MITTEL</x:v>
      </x:c>
      <x:c r="C20" s="201" t="str">
        <x:v>20 Praxis</x:v>
      </x:c>
      <x:c r="D20" s="201" t="str">
        <x:v>Einzelthreads wurden teils als B/wiederkehrende Profi-Erfahrung gewertet.</x:v>
      </x:c>
      <x:c r="E20" s="201" t="str">
        <x:v>Evidenzinflation</x:v>
      </x:c>
      <x:c r="F20" s="201" t="str">
        <x:v>Community überwiegend C/qualitativ; 'Profi' aus Header entfernt.</x:v>
      </x:c>
      <x:c r="G20" s="201" t="str">
        <x:v>Evidenzaudit</x:v>
      </x:c>
      <x:c r="H20" s="201" t="str">
        <x:v>FIXED</x:v>
      </x:c>
      <x:c r="I20" s="201" t="str">
        <x:v>Community bleibt selection-biased</x:v>
      </x:c>
      <x:c r="J20" s="1193" t="str">
        <x:v>P1</x:v>
      </x:c>
    </x:row>
    <x:row r="21">
      <x:c r="A21" s="1156" t="str">
        <x:v>A18</x:v>
      </x:c>
      <x:c r="B21" s="201" t="str">
        <x:v>MITTEL</x:v>
      </x:c>
      <x:c r="C21" s="201" t="str">
        <x:v>18 Mineral</x:v>
      </x:c>
      <x:c r="D21" s="201" t="str">
        <x:v>K↔Ca/Mg-Aussage war zu universal formuliert.</x:v>
      </x:c>
      <x:c r="E21" s="201" t="str">
        <x:v>Überverallgemeinerung</x:v>
      </x:c>
      <x:c r="F21" s="201" t="str">
        <x:v>cultivar-/systemabhängige Formulierung und Studienkontext ergänzt.</x:v>
      </x:c>
      <x:c r="G21" s="201" t="str">
        <x:v>A Primärliteratur</x:v>
      </x:c>
      <x:c r="H21" s="201" t="str">
        <x:v>FIXED</x:v>
      </x:c>
      <x:c r="I21" s="201" t="str">
        <x:v>Elementppm im echten Stack unbekannt</x:v>
      </x:c>
      <x:c r="J21" s="1193" t="str">
        <x:v>P1</x:v>
      </x:c>
    </x:row>
    <x:row r="22">
      <x:c r="A22" s="1156" t="str">
        <x:v>A19</x:v>
      </x:c>
      <x:c r="B22" s="201" t="str">
        <x:v>MITTEL</x:v>
      </x:c>
      <x:c r="C22" s="201" t="str">
        <x:v>10 Licht</x:v>
      </x:c>
      <x:c r="D22" s="201" t="str">
        <x:v>625 PPFD/18h konnte wie 'Optimum' gelesen werden.</x:v>
      </x:c>
      <x:c r="E22" s="201" t="str">
        <x:v>Übertragung 12h-Studien auf Autos</x:v>
      </x:c>
      <x:c r="F22" s="201" t="str">
        <x:v>als konservative UKD-Arbeitsobergrenze, nicht Optimum, gekennzeichnet.</x:v>
      </x:c>
      <x:c r="G22" s="201" t="str">
        <x:v>A Primärliteratur + Inferenz</x:v>
      </x:c>
      <x:c r="H22" s="201" t="str">
        <x:v>FIXED</x:v>
      </x:c>
      <x:c r="I22" s="201" t="str">
        <x:v>Auto-spezifische Optimumdaten begrenzt</x:v>
      </x:c>
      <x:c r="J22" s="1193" t="str">
        <x:v>P1</x:v>
      </x:c>
    </x:row>
    <x:row r="23">
      <x:c r="A23" s="1156" t="str">
        <x:v>A20</x:v>
      </x:c>
      <x:c r="B23" s="201" t="str">
        <x:v>MITTEL</x:v>
      </x:c>
      <x:c r="C23" s="201" t="str">
        <x:v>10 PPFD map</x:v>
      </x:c>
      <x:c r="D23" s="201" t="str">
        <x:v>9-Punkt-Mapping hatte keine Eingabefelder/QA-Metriken.</x:v>
      </x:c>
      <x:c r="E23" s="201" t="str">
        <x:v>nicht operativ reproduzierbar</x:v>
      </x:c>
      <x:c r="F23" s="201" t="str">
        <x:v>Istfelder, Mittel/Min/Max, min/avg, CV ergänzt.</x:v>
      </x:c>
      <x:c r="G23" s="201" t="str">
        <x:v>Engineering</x:v>
      </x:c>
      <x:c r="H23" s="201" t="str">
        <x:v>FIXED</x:v>
      </x:c>
      <x:c r="I23" s="201" t="str">
        <x:v>CV≤15% = UKD-Heuristik</x:v>
      </x:c>
      <x:c r="J23" s="1193" t="str">
        <x:v>P1</x:v>
      </x:c>
    </x:row>
    <x:row r="24">
      <x:c r="A24" s="1156" t="str">
        <x:v>A21</x:v>
      </x:c>
      <x:c r="B24" s="201" t="str">
        <x:v>MITTEL</x:v>
      </x:c>
      <x:c r="C24" s="201" t="str">
        <x:v>14 Dry</x:v>
      </x:c>
      <x:c r="D24" s="201" t="str">
        <x:v>18–20°C/55–60% wirkte wie universelles Trocknungsoptimum.</x:v>
      </x:c>
      <x:c r="E24" s="201" t="str">
        <x:v>Nachernte-Scheingenauigkeit</x:v>
      </x:c>
      <x:c r="F24" s="201" t="str">
        <x:v>Praxisrahmen + water activity 0.55–0.65 + Unsicherheit ergänzt.</x:v>
      </x:c>
      <x:c r="G24" s="201" t="str">
        <x:v>Review/Primär</x:v>
      </x:c>
      <x:c r="H24" s="201" t="str">
        <x:v>FIXED</x:v>
      </x:c>
      <x:c r="I24" s="201" t="str">
        <x:v>cultivarabhängig</x:v>
      </x:c>
      <x:c r="J24" s="1193" t="str">
        <x:v>P1</x:v>
      </x:c>
    </x:row>
    <x:row r="25">
      <x:c r="A25" s="1156" t="str">
        <x:v>A22</x:v>
      </x:c>
      <x:c r="B25" s="201" t="str">
        <x:v>HOCH</x:v>
      </x:c>
      <x:c r="C25" s="201" t="str">
        <x:v>15 Strains</x:v>
      </x:c>
      <x:c r="D25" s="201" t="str">
        <x:v>Banana Purple Punch war nicht auf aktuelle RF3-Daten/Höhe 80–150 cm aktualisiert.</x:v>
      </x:c>
      <x:c r="E25" s="201" t="str">
        <x:v>Zelthöhenrisiko unterschätzt</x:v>
      </x:c>
      <x:c r="F25" s="201" t="str">
        <x:v>RF3 aktualisiert; UKD-Fit abgewertet; Stretchwarnung.</x:v>
      </x:c>
      <x:c r="G25" s="201" t="str">
        <x:v>A Breeder</x:v>
      </x:c>
      <x:c r="H25" s="201" t="str">
        <x:v>FIXED</x:v>
      </x:c>
      <x:c r="I25" s="201" t="str">
        <x:v>Breederwerte keine Garantie</x:v>
      </x:c>
      <x:c r="J25" s="1193" t="str">
        <x:v>P1</x:v>
      </x:c>
    </x:row>
    <x:row r="26">
      <x:c r="A26" s="1156" t="str">
        <x:v>A23</x:v>
      </x:c>
      <x:c r="B26" s="201" t="str">
        <x:v>MITTEL</x:v>
      </x:c>
      <x:c r="C26" s="201" t="str">
        <x:v>15 Strains</x:v>
      </x:c>
      <x:c r="D26" s="201" t="str">
        <x:v>Auto Cinderella Jack Höhen-/Trainingstext war zu vage.</x:v>
      </x:c>
      <x:c r="E26" s="201" t="str">
        <x:v>Planungsunsicherheit</x:v>
      </x:c>
      <x:c r="F26" s="201" t="str">
        <x:v>typische Größenordnung + konservativeres Training eingetragen.</x:v>
      </x:c>
      <x:c r="G26" s="201" t="str">
        <x:v>A Breeder</x:v>
      </x:c>
      <x:c r="H26" s="201" t="str">
        <x:v>FIXED</x:v>
      </x:c>
      <x:c r="I26" s="201" t="str">
        <x:v>Phänotypstreuung bleibt</x:v>
      </x:c>
      <x:c r="J26" s="1193" t="str">
        <x:v>P2</x:v>
      </x:c>
    </x:row>
    <x:row r="27">
      <x:c r="A27" s="1156" t="str">
        <x:v>A24</x:v>
      </x:c>
      <x:c r="B27" s="201" t="str">
        <x:v>NIEDRIG</x:v>
      </x:c>
      <x:c r="C27" s="201" t="str">
        <x:v>15 Strains</x:v>
      </x:c>
      <x:c r="D27" s="201" t="str">
        <x:v>Extrem kompakte moderne Referenzoption fehlte.</x:v>
      </x:c>
      <x:c r="E27" s="201" t="str">
        <x:v>Auswahllücke</x:v>
      </x:c>
      <x:c r="F27" s="201" t="str">
        <x:v>Mephisto 24 Carat F7 ergänzt.</x:v>
      </x:c>
      <x:c r="G27" s="201" t="str">
        <x:v>A Breeder</x:v>
      </x:c>
      <x:c r="H27" s="201" t="str">
        <x:v>FIXED</x:v>
      </x:c>
      <x:c r="I27" s="201" t="str">
        <x:v>nur Kandidat, kein Muss</x:v>
      </x:c>
      <x:c r="J27" s="1193" t="str">
        <x:v>P3</x:v>
      </x:c>
    </x:row>
    <x:row r="28">
      <x:c r="A28" s="1156" t="str">
        <x:v>A25</x:v>
      </x:c>
      <x:c r="B28" s="201" t="str">
        <x:v>MITTEL</x:v>
      </x:c>
      <x:c r="C28" s="201" t="str">
        <x:v>17 Products</x:v>
      </x:c>
      <x:c r="D28" s="201" t="str">
        <x:v>'Alle Produkte' implizierte vollständige globale Inventarliste.</x:v>
      </x:c>
      <x:c r="E28" s="201" t="str">
        <x:v>Scope-Überclaim</x:v>
      </x:c>
      <x:c r="F28" s="201" t="str">
        <x:v>Scope-Hinweis: UKD-relevant/evaluiert, keine globale Vollständigkeitsgarantie.</x:v>
      </x:c>
      <x:c r="G28" s="201" t="str">
        <x:v>Katalogaudit</x:v>
      </x:c>
      <x:c r="H28" s="201" t="str">
        <x:v>FIXED</x:v>
      </x:c>
      <x:c r="I28" s="201" t="str">
        <x:v>Herstellerportfolio ändert sich</x:v>
      </x:c>
      <x:c r="J28" s="1193" t="str">
        <x:v>P2</x:v>
      </x:c>
    </x:row>
    <x:row r="29">
      <x:c r="A29" s="1156" t="str">
        <x:v>A26</x:v>
      </x:c>
      <x:c r="B29" s="201" t="str">
        <x:v>HOCH</x:v>
      </x:c>
      <x:c r="C29" s="201" t="str">
        <x:v>17 Flo &amp; Gro</x:v>
      </x:c>
      <x:c r="D29" s="201" t="str">
        <x:v>Regionale Verfügbarkeit fehlte/war missverständlich.</x:v>
      </x:c>
      <x:c r="E29" s="201" t="str">
        <x:v>Beschaffungs-/Einsatzfehler</x:v>
      </x:c>
      <x:c r="F29" s="201" t="str">
        <x:v>USA/Kanada-only 2026 markiert; Sanitizing vs Mikroben getrennt.</x:v>
      </x:c>
      <x:c r="G29" s="201" t="str">
        <x:v>A Hersteller</x:v>
      </x:c>
      <x:c r="H29" s="201" t="str">
        <x:v>FIXED</x:v>
      </x:c>
      <x:c r="I29" s="201" t="str">
        <x:v>Region kann sich ändern</x:v>
      </x:c>
      <x:c r="J29" s="1193" t="str">
        <x:v>P1</x:v>
      </x:c>
    </x:row>
    <x:row r="30">
      <x:c r="A30" s="1156" t="str">
        <x:v>A27</x:v>
      </x:c>
      <x:c r="B30" s="201" t="str">
        <x:v>MITTEL</x:v>
      </x:c>
      <x:c r="C30" s="201" t="str">
        <x:v>17 Reservoir</x:v>
      </x:c>
      <x:c r="D30" s="201" t="str">
        <x:v>Spalte klang nach offizieller Blumat-Freigabe.</x:v>
      </x:c>
      <x:c r="E30" s="201" t="str">
        <x:v>semantische Fehlinterpretation</x:v>
      </x:c>
      <x:c r="F30" s="201" t="str">
        <x:v>in UKD Reservoir-/Automationsbewertung umbenannt; Scope-Hinweis ergänzt.</x:v>
      </x:c>
      <x:c r="G30" s="201" t="str">
        <x:v>intern</x:v>
      </x:c>
      <x:c r="H30" s="201" t="str">
        <x:v>FIXED</x:v>
      </x:c>
      <x:c r="I30" s="201" t="str">
        <x:v>produktspezifische Automationsfreigaben variieren</x:v>
      </x:c>
      <x:c r="J30" s="1193" t="str">
        <x:v>P1</x:v>
      </x:c>
    </x:row>
    <x:row r="31">
      <x:c r="A31" s="1156" t="str">
        <x:v>A28</x:v>
      </x:c>
      <x:c r="B31" s="201" t="str">
        <x:v>MITTEL</x:v>
      </x:c>
      <x:c r="C31" s="201" t="str">
        <x:v>09 Runoff EC</x:v>
      </x:c>
      <x:c r="D31" s="201" t="str">
        <x:v>+0.3–0.4 mS/cm stand wie universelle harte Grenze.</x:v>
      </x:c>
      <x:c r="E31" s="201" t="str">
        <x:v>Scheingenauigkeit</x:v>
      </x:c>
      <x:c r="F31" s="201" t="str">
        <x:v>als UKD-Interventionsheuristik und wiederholte Messung gekennzeichnet.</x:v>
      </x:c>
      <x:c r="G31" s="201" t="str">
        <x:v>UKD Heuristik</x:v>
      </x:c>
      <x:c r="H31" s="201" t="str">
        <x:v>FIXED</x:v>
      </x:c>
      <x:c r="I31" s="201" t="str">
        <x:v>Sampling beeinflusst Runoff EC</x:v>
      </x:c>
      <x:c r="J31" s="1193" t="str">
        <x:v>P1</x:v>
      </x:c>
    </x:row>
    <x:row r="32">
      <x:c r="A32" s="1156" t="str">
        <x:v>A29</x:v>
      </x:c>
      <x:c r="B32" s="201" t="str">
        <x:v>MITTEL</x:v>
      </x:c>
      <x:c r="C32" s="201" t="str">
        <x:v>25 GM Levels</x:v>
      </x:c>
      <x:c r="D32" s="201" t="str">
        <x:v>Grand Master konnte wie aktuelle wissenschaftliche Herstellerhierarchie wirken.</x:v>
      </x:c>
      <x:c r="E32" s="201" t="str">
        <x:v>Marketing-/Legacy-Taxonomie</x:v>
      </x:c>
      <x:c r="F32" s="201" t="str">
        <x:v>als Händler-/Legacy-Level getrennt von aktueller AN Produkt/Feeding-Struktur.</x:v>
      </x:c>
      <x:c r="G32" s="201" t="str">
        <x:v>A/B</x:v>
      </x:c>
      <x:c r="H32" s="201" t="str">
        <x:v>FIXED</x:v>
      </x:c>
      <x:c r="I32" s="201" t="str">
        <x:v>Händlerangebote ändern sich</x:v>
      </x:c>
      <x:c r="J32" s="1193" t="str">
        <x:v>P2</x:v>
      </x:c>
    </x:row>
    <x:row r="33">
      <x:c r="A33" s="1156" t="str">
        <x:v>A30</x:v>
      </x:c>
      <x:c r="B33" s="201" t="str">
        <x:v>MITTEL</x:v>
      </x:c>
      <x:c r="C33" s="201" t="str">
        <x:v>20 Tasty Terpenes</x:v>
      </x:c>
      <x:c r="D33" s="201" t="str">
        <x:v>1:1 Nirvana-Umbenennung zu absolut formuliert.</x:v>
      </x:c>
      <x:c r="E33" s="201" t="str">
        <x:v>historische Übertragung unsicher</x:v>
      </x:c>
      <x:c r="F33" s="201" t="str">
        <x:v>Legacy-Berichte nur bei verifizierter identischer Formulierung übertragbar.</x:v>
      </x:c>
      <x:c r="G33" s="201" t="str">
        <x:v>A/C</x:v>
      </x:c>
      <x:c r="H33" s="201" t="str">
        <x:v>FIXED</x:v>
      </x:c>
      <x:c r="I33" s="201" t="str">
        <x:v>Formulierungs-Historie nicht vollständig unabhängig geprüft</x:v>
      </x:c>
      <x:c r="J33" s="1193" t="str">
        <x:v>P2</x:v>
      </x:c>
    </x:row>
    <x:row r="34">
      <x:c r="A34" s="1156" t="str">
        <x:v>A31</x:v>
      </x:c>
      <x:c r="B34" s="201" t="str">
        <x:v>MITTEL</x:v>
      </x:c>
      <x:c r="C34" s="201" t="str">
        <x:v>21 Legal</x:v>
      </x:c>
      <x:c r="D34" s="201" t="str">
        <x:v>Blumat-Sicherheitsmaßnahmen konnten wie Freigabe wirken.</x:v>
      </x:c>
      <x:c r="E34" s="201" t="str">
        <x:v>Safety framing</x:v>
      </x:c>
      <x:c r="F34" s="201" t="str">
        <x:v>klar: Maßnahmen ändern Herstellerverbot nicht.</x:v>
      </x:c>
      <x:c r="G34" s="201" t="str">
        <x:v>A Hersteller</x:v>
      </x:c>
      <x:c r="H34" s="201" t="str">
        <x:v>FIXED</x:v>
      </x:c>
      <x:c r="I34" s="201" t="str">
        <x:v>—</x:v>
      </x:c>
      <x:c r="J34" s="1193" t="str">
        <x:v>P0</x:v>
      </x:c>
    </x:row>
    <x:row r="35">
      <x:c r="A35" s="1156" t="str">
        <x:v>A32</x:v>
      </x:c>
      <x:c r="B35" s="201" t="str">
        <x:v>MITTEL</x:v>
      </x:c>
      <x:c r="C35" s="201" t="str">
        <x:v>Dashboard</x:v>
      </x:c>
      <x:c r="D35" s="201" t="str">
        <x:v>Log-Status, VPD und Bewässerungsstatus spiegelten alte Annahmen.</x:v>
      </x:c>
      <x:c r="E35" s="201" t="str">
        <x:v>Operator-Fehlinformation</x:v>
      </x:c>
      <x:c r="F35" s="201" t="str">
        <x:v>Dashboard auf OFFEN/Leaf-VPD/manuell-indoor-rated aktualisiert.</x:v>
      </x:c>
      <x:c r="G35" s="201" t="str">
        <x:v>intern</x:v>
      </x:c>
      <x:c r="H35" s="201" t="str">
        <x:v>FIXED</x:v>
      </x:c>
      <x:c r="I35" s="201" t="str">
        <x:v>—</x:v>
      </x:c>
      <x:c r="J35" s="1193" t="str">
        <x:v>P0</x:v>
      </x:c>
    </x:row>
    <x:row r="36">
      <x:c r="A36" s="1156" t="str">
        <x:v>A33</x:v>
      </x:c>
      <x:c r="B36" s="201" t="str">
        <x:v>MITTEL</x:v>
      </x:c>
      <x:c r="C36" s="201" t="str">
        <x:v>02/03</x:v>
      </x:c>
      <x:c r="D36" s="201" t="str">
        <x:v>Weekly und Daily Werte haben unterschiedliche Granularität.</x:v>
      </x:c>
      <x:c r="E36" s="201" t="str">
        <x:v>scheinbare Widersprüche</x:v>
      </x:c>
      <x:c r="F36" s="201" t="str">
        <x:v>Daily als authoritative; Weekly explizit Summary/Richtwert.</x:v>
      </x:c>
      <x:c r="G36" s="201" t="str">
        <x:v>intern</x:v>
      </x:c>
      <x:c r="H36" s="201" t="str">
        <x:v>FIXED</x:v>
      </x:c>
      <x:c r="I36" s="201" t="str">
        <x:v>—</x:v>
      </x:c>
      <x:c r="J36" s="1193" t="str">
        <x:v>P2</x:v>
      </x:c>
    </x:row>
    <x:row r="37">
      <x:c r="A37" s="1156" t="str">
        <x:v>A34</x:v>
      </x:c>
      <x:c r="B37" s="201" t="str">
        <x:v>MITTEL</x:v>
      </x:c>
      <x:c r="C37" s="201" t="str">
        <x:v>02/25</x:v>
      </x:c>
      <x:c r="D37" s="201" t="str">
        <x:v>Grand-Master-Fenster waren absolut datumsbasiert.</x:v>
      </x:c>
      <x:c r="E37" s="201" t="str">
        <x:v>Auto-Phänologie widersprüchlich</x:v>
      </x:c>
      <x:c r="F37" s="201" t="str">
        <x:v>GM Phase aus Blüte-Trigger abgeleitet.</x:v>
      </x:c>
      <x:c r="G37" s="201" t="str">
        <x:v>Herstellerphase + UKD</x:v>
      </x:c>
      <x:c r="H37" s="201" t="str">
        <x:v>FIXED</x:v>
      </x:c>
      <x:c r="I37" s="201" t="str">
        <x:v>Herstellerchart nicht HESI-Hybrid-validiert</x:v>
      </x:c>
      <x:c r="J37" s="1193" t="str">
        <x:v>P1</x:v>
      </x:c>
    </x:row>
    <x:row r="38">
      <x:c r="A38" s="1158" t="str">
        <x:v>A35</x:v>
      </x:c>
      <x:c r="B38" s="1194" t="str">
        <x:v>NIEDRIG</x:v>
      </x:c>
      <x:c r="C38" s="1194" t="str">
        <x:v>Sources</x:v>
      </x:c>
      <x:c r="D38" s="1194" t="str">
        <x:v>Audit-relevante Primärquellen fehlten zentral.</x:v>
      </x:c>
      <x:c r="E38" s="1194" t="str">
        <x:v>Nachvollziehbarkeit</x:v>
      </x:c>
      <x:c r="F38" s="1194" t="str">
        <x:v>Source-Liste um Blumat, Athena, Licht, Nutrient, aktuelle Genetik ergänzt.</x:v>
      </x:c>
      <x:c r="G38" s="1194" t="str">
        <x:v>Quellenaudit</x:v>
      </x:c>
      <x:c r="H38" s="1194" t="str">
        <x:v>FIXED</x:v>
      </x:c>
      <x:c r="I38" s="1194" t="str">
        <x:v>Webstände können später wechseln</x:v>
      </x:c>
      <x:c r="J38" s="1195" t="str">
        <x:v>P3</x:v>
      </x:c>
    </x:row>
    <x:row r="39">
      <x:c r="A39" s="1154" t="str">
        <x:v>A36</x:v>
      </x:c>
      <x:c r="B39" s="1204" t="str">
        <x:v>HOCH</x:v>
      </x:c>
      <x:c r="C39" s="1204" t="str">
        <x:v>02 / 06 HESI</x:v>
      </x:c>
      <x:c r="D39" s="1204" t="str">
        <x:v>Reduzierte UKD-Dosen/Cadences waren stellenweise als 'Reference' lesbar.</x:v>
      </x:c>
      <x:c r="E39" s="1204" t="str">
        <x:v>Herstellerdaten und Eigenplan wurden semantisch vermischt.</x:v>
      </x:c>
      <x:c r="F39" s="1204" t="str">
        <x:v>Planmodus in 'UKD HESI Conservative' umbenannt; Herstellerlabel vs UKD Custom Plan getrennt.</x:v>
      </x:c>
      <x:c r="G39" s="1204" t="str">
        <x:v>A Hersteller + UKD</x:v>
      </x:c>
      <x:c r="H39" s="1204" t="str">
        <x:v>FIXED</x:v>
      </x:c>
      <x:c r="I39" s="1204" t="str">
        <x:v>keine kontrollierte Studie zur UKD-Reduktion</x:v>
      </x:c>
      <x:c r="J39" s="1205" t="str">
        <x:v>P0</x:v>
      </x:c>
    </x:row>
    <x:row r="40">
      <x:c r="A40" s="1156" t="str">
        <x:v>A37</x:v>
      </x:c>
      <x:c r="B40" s="201" t="str">
        <x:v>HOCH</x:v>
      </x:c>
      <x:c r="C40" s="201" t="str">
        <x:v>06 PowerZyme/Boost</x:v>
      </x:c>
      <x:c r="D40" s="201" t="str">
        <x:v>PowerZyme wurde wöchentlich statt Hersteller 'durchgängig'; Boost wöchentlich statt 'regelmäßig/fortlaufend' geplant.</x:v>
      </x:c>
      <x:c r="E40" s="201" t="str">
        <x:v>mögliche Unterdosierung bzw. falsche Herstellerzuschreibung</x:v>
      </x:c>
      <x:c r="F40" s="201" t="str">
        <x:v>Cadence als bewusste unvalidierte UKD-Reduktion gekennzeichnet.</x:v>
      </x:c>
      <x:c r="G40" s="201" t="str">
        <x:v>A HESI</x:v>
      </x:c>
      <x:c r="H40" s="201" t="str">
        <x:v>FIXED</x:v>
      </x:c>
      <x:c r="I40" s="201" t="str">
        <x:v>optimaler Hybrid-Cadence unbekannt</x:v>
      </x:c>
      <x:c r="J40" s="1193" t="str">
        <x:v>P1</x:v>
      </x:c>
    </x:row>
    <x:row r="41">
      <x:c r="A41" s="1158" t="str">
        <x:v>A38</x:v>
      </x:c>
      <x:c r="B41" s="1194" t="str">
        <x:v>MITTEL</x:v>
      </x:c>
      <x:c r="C41" s="1194" t="str">
        <x:v>01/02/05/17</x:v>
      </x:c>
      <x:c r="D41" s="1194" t="str">
        <x:v>Restliche operative Blumat-Wörter blieben nach Systemwechsel in QA/Mix/Monatsplan.</x:v>
      </x:c>
      <x:c r="E41" s="1194" t="str">
        <x:v>kognitive Inkonsistenz</x:v>
      </x:c>
      <x:c r="F41" s="1194" t="str">
        <x:v>operative Texte auf Bewässerung/Reservoir/indoor-freigegeben bereinigt; Legacy-Blatt behält Blumat bewusst.</x:v>
      </x:c>
      <x:c r="G41" s="1194" t="str">
        <x:v>intern</x:v>
      </x:c>
      <x:c r="H41" s="1194" t="str">
        <x:v>FIXED</x:v>
      </x:c>
      <x:c r="I41" s="1194" t="str">
        <x:v>Legacy-/Quellenblätter nennen Blumat weiterhin absichtlich</x:v>
      </x:c>
      <x:c r="J41" s="1195" t="str">
        <x:v>P1</x:v>
      </x:c>
    </x:row>
    <x:row r="42">
      <x:c r="A42" s="1154" t="str">
        <x:v>A39</x:v>
      </x:c>
      <x:c r="B42" s="1204" t="str">
        <x:v>HOCH</x:v>
      </x:c>
      <x:c r="C42" s="1204" t="str">
        <x:v>01 B18 / Daily</x:v>
      </x:c>
      <x:c r="D42" s="1204" t="str">
        <x:v>Stack-Dropdown bot Full AN/Hybrid an, war aber kein aktiver Systemschalter; Daily blieb HESI.</x:v>
      </x:c>
      <x:c r="E42" s="1204" t="str">
        <x:v>stille Fehlbedienung</x:v>
      </x:c>
      <x:c r="F42" s="1204" t="str">
        <x:v>operativen Modus auf UKD HESI Conservative fixiert; Alternativen als Vergleichsblätter.</x:v>
      </x:c>
      <x:c r="G42" s="1204" t="str">
        <x:v>intern</x:v>
      </x:c>
      <x:c r="H42" s="1204" t="str">
        <x:v>FIXED</x:v>
      </x:c>
      <x:c r="I42" s="1204" t="str">
        <x:v>Multi-Stack-Engine bewusst nicht implementiert</x:v>
      </x:c>
      <x:c r="J42" s="1205" t="str">
        <x:v>P0</x:v>
      </x:c>
    </x:row>
    <x:row r="43">
      <x:c r="A43" s="1156" t="str">
        <x:v>A40</x:v>
      </x:c>
      <x:c r="B43" s="201" t="str">
        <x:v>HOCH</x:v>
      </x:c>
      <x:c r="C43" s="201" t="str">
        <x:v>12_Daily_Log Y</x:v>
      </x:c>
      <x:c r="D43" s="201" t="str">
        <x:v>Teilweise ausgefülltes Log konnte trotz OFFENer Pflichtchecks auf OK springen.</x:v>
      </x:c>
      <x:c r="E43" s="201" t="str">
        <x:v>falsches QA-Signal</x:v>
      </x:c>
      <x:c r="F43" s="201" t="str">
        <x:v>OFFEN dominiert, bis Bewässerung/Geruch/Pest bewertet sind.</x:v>
      </x:c>
      <x:c r="G43" s="201" t="str">
        <x:v>intern</x:v>
      </x:c>
      <x:c r="H43" s="201" t="str">
        <x:v>FIXED</x:v>
      </x:c>
      <x:c r="I43" s="201" t="str">
        <x:v>N/A nur sachlich begründet</x:v>
      </x:c>
      <x:c r="J43" s="1193" t="str">
        <x:v>P0</x:v>
      </x:c>
    </x:row>
    <x:row r="44">
      <x:c r="A44" s="1156" t="str">
        <x:v>A41</x:v>
      </x:c>
      <x:c r="B44" s="201" t="str">
        <x:v>HOCH</x:v>
      </x:c>
      <x:c r="C44" s="201" t="str">
        <x:v>02 AM/AJ</x:v>
      </x:c>
      <x:c r="D44" s="201" t="str">
        <x:v>Bloom-Wochenformel konnte zellähnliche Textliterale beim Fill-down verschieben.</x:v>
      </x:c>
      <x:c r="E44" s="201" t="str">
        <x:v>falsche Bloom-/GM-Anzeige</x:v>
      </x:c>
      <x:c r="F44" s="201" t="str">
        <x:v>B-Woche wird ohne B1/B7-Literal konstruiert; Entscheidungen nutzen numerische Bloom-Tage.</x:v>
      </x:c>
      <x:c r="G44" s="201" t="str">
        <x:v>Spreadsheet Forensics</x:v>
      </x:c>
      <x:c r="H44" s="201" t="str">
        <x:v>FIXED</x:v>
      </x:c>
      <x:c r="I44" s="201" t="str">
        <x:v>Engine-spezifisch</x:v>
      </x:c>
      <x:c r="J44" s="1193" t="str">
        <x:v>P0</x:v>
      </x:c>
    </x:row>
    <x:row r="45">
      <x:c r="A45" s="1156" t="str">
        <x:v>A42</x:v>
      </x:c>
      <x:c r="B45" s="201" t="str">
        <x:v>NIEDRIG</x:v>
      </x:c>
      <x:c r="C45" s="201" t="str">
        <x:v>01 B7</x:v>
      </x:c>
      <x:c r="D45" s="201" t="str">
        <x:v>„Ziel-Zyklus Tage 80“ war bei Tag-0-Zählung semantisch missverständlich.</x:v>
      </x:c>
      <x:c r="E45" s="201" t="str">
        <x:v>Zählkonfusion</x:v>
      </x:c>
      <x:c r="F45" s="201" t="str">
        <x:v>in Plan-Endtag (Tag 0 = Start) umbenannt.</x:v>
      </x:c>
      <x:c r="G45" s="201" t="str">
        <x:v>intern</x:v>
      </x:c>
      <x:c r="H45" s="201" t="str">
        <x:v>FIXED</x:v>
      </x:c>
      <x:c r="I45" s="201" t="str">
        <x:v>Breederdauer bleibt Bereich</x:v>
      </x:c>
      <x:c r="J45" s="1193" t="str">
        <x:v>P3</x:v>
      </x:c>
    </x:row>
    <x:row r="46">
      <x:c r="A46" s="1156" t="str">
        <x:v>A43</x:v>
      </x:c>
      <x:c r="B46" s="201" t="str">
        <x:v>MITTEL</x:v>
      </x:c>
      <x:c r="C46" s="201" t="str">
        <x:v>02 E/F</x:v>
      </x:c>
      <x:c r="D46" s="201" t="str">
        <x:v>Planphase blieb kalenderhart, während Feed triggerbasiert war.</x:v>
      </x:c>
      <x:c r="E46" s="201" t="str">
        <x:v>Phase/Feed konnten kollidieren</x:v>
      </x:c>
      <x:c r="F46" s="201" t="str">
        <x:v>Phase/Tagesziel jetzt vom Blüte-Trigger abgeleitet.</x:v>
      </x:c>
      <x:c r="G46" s="201" t="str">
        <x:v>intern</x:v>
      </x:c>
      <x:c r="H46" s="201" t="str">
        <x:v>FIXED</x:v>
      </x:c>
      <x:c r="I46" s="201" t="str">
        <x:v>Licht/Klima bleiben Plantrajektorie</x:v>
      </x:c>
      <x:c r="J46" s="1193" t="str">
        <x:v>P1</x:v>
      </x:c>
    </x:row>
    <x:row r="47">
      <x:c r="A47" s="1158" t="str">
        <x:v>A44</x:v>
      </x:c>
      <x:c r="B47" s="1194" t="str">
        <x:v>MITTEL</x:v>
      </x:c>
      <x:c r="C47" s="1194" t="str">
        <x:v>02 / 14</x:v>
      </x:c>
      <x:c r="D47" s="1194" t="str">
        <x:v>CalMag/Athena/pH-down nicht numerisch im Daily; g/kWh nur textlich.</x:v>
      </x:c>
      <x:c r="E47" s="1194" t="str">
        <x:v>Rückverfolgung unvollständig</x:v>
      </x:c>
      <x:c r="F47" s="1194" t="str">
        <x:v>AQ–AS und Energie-KPI ergänzt.</x:v>
      </x:c>
      <x:c r="G47" s="1194" t="str">
        <x:v>Engineering</x:v>
      </x:c>
      <x:c r="H47" s="1194" t="str">
        <x:v>FIXED</x:v>
      </x:c>
      <x:c r="I47" s="1194" t="str">
        <x:v>Gesamtstrom ohne Lüfter</x:v>
      </x:c>
      <x:c r="J47" s="1195" t="str">
        <x:v>P1</x:v>
      </x:c>
    </x:row>
    <x:row r="48">
      <x:c r="A48" t="str">
        <x:v>A45</x:v>
      </x:c>
      <x:c r="B48" t="str">
        <x:v>HOCH</x:v>
      </x:c>
      <x:c r="C48" t="str">
        <x:v>02 E/AD/AK/AM</x:v>
      </x:c>
      <x:c r="D48" t="str">
        <x:v>Fill-down behandelte Textliterale wie B1/B7+ als relative Zellreferenzen.</x:v>
      </x:c>
      <x:c r="E48" t="str">
        <x:v>falsche Anzeige und Entscheidungszweige</x:v>
      </x:c>
      <x:c r="F48" t="str">
        <x:v>B-Woche via CHAR/TEXT; Bedingungen numerisch.</x:v>
      </x:c>
      <x:c r="G48" t="str">
        <x:v>Spreadsheet Forensics</x:v>
      </x:c>
      <x:c r="H48" t="str">
        <x:v>FIXED</x:v>
      </x:c>
      <x:c r="I48" t="str">
        <x:v>zellähnliche Literale künftig vermeiden</x:v>
      </x:c>
      <x:c r="J48" t="str">
        <x:v>P0</x:v>
      </x:c>
    </x:row>
    <x:row r="49">
      <x:c r="A49" t="str">
        <x:v>A46</x:v>
      </x:c>
      <x:c r="B49" t="str">
        <x:v>MITTEL</x:v>
      </x:c>
      <x:c r="C49" t="str">
        <x:v>20 / 22 / 25 Tasty Terpenes</x:v>
      </x:c>
      <x:c r="D49" t="str">
        <x:v>Audit hatte die 1:1-Nirvana-Behauptung in der Praxistabelle bereits relativiert, während Grand-Master-/Quellentext sie noch absolut wiederholte.</x:v>
      </x:c>
      <x:c r="E49" t="str">
        <x:v>interne Evidenz- und Versionsinkonsistenz</x:v>
      </x:c>
      <x:c r="F49" t="str">
        <x:v>Legacy-Bezug überall auf versionsspezifische Formulierungsprüfung konditioniert; keine pauschale 1:1-Übertragung.</x:v>
      </x:c>
      <x:c r="G49" t="str">
        <x:v>A/C Evidenzaudit</x:v>
      </x:c>
      <x:c r="H49" t="str">
        <x:v>FIXED</x:v>
      </x:c>
      <x:c r="I49" t="str">
        <x:v>historische Rezepturversionen nicht vollständig unabhängig rekonstruiert</x:v>
      </x:c>
      <x:c r="J49" t="str">
        <x:v>P1</x:v>
      </x:c>
    </x:row>
    <x:row r="50">
      <x:c r="A50" s="60" t="str">
        <x:v>A47</x:v>
      </x:c>
      <x:c r="B50" s="60" t="str">
        <x:v>KRITISCH</x:v>
      </x:c>
      <x:c r="C50" s="60" t="str">
        <x:v>Deep Research / 21 Legal</x:v>
      </x:c>
      <x:c r="D50" s="60" t="str">
        <x:v>Research-Synthese behauptete sinngemäß eine pauschale Erlaubnispflicht für privaten Anbau.</x:v>
      </x:c>
      <x:c r="E50" s="60" t="str">
        <x:v>Nutzer könnte legales KCanG-Privatregime falsch verstehen.</x:v>
      </x:c>
      <x:c r="F50" s="60" t="str">
        <x:v>Verworfen; KCanG §§3,9,10 als Primärquelle. Privater Eigenanbau bis 3 Pflanzen für Volljährige am Wohnsitz/gewöhnlichen Aufenthalt im gesetzlichen Rahmen.</x:v>
      </x:c>
      <x:c r="G50" s="60" t="str">
        <x:v>A Gesetz</x:v>
      </x:c>
      <x:c r="H50" s="60" t="str">
        <x:v>FIXED</x:v>
      </x:c>
      <x:c r="I50" s="60" t="str">
        <x:v>Gesetz kann künftig geändert werden; Freshness prüfen.</x:v>
      </x:c>
      <x:c r="J50" s="60" t="str">
        <x:v>P0</x:v>
      </x:c>
      <x:c r="K50" s="60"/>
      <x:c r="L50" s="60"/>
      <x:c r="M50" s="60"/>
      <x:c r="N50" s="60"/>
    </x:row>
    <x:row r="51">
      <x:c r="A51" s="60" t="str">
        <x:v>A48</x:v>
      </x:c>
      <x:c r="B51" s="60" t="str">
        <x:v>HOCH</x:v>
      </x:c>
      <x:c r="C51" s="60" t="str">
        <x:v>Deep Research / 10 Climate</x:v>
      </x:c>
      <x:c r="D51" s="60" t="str">
        <x:v>37–58% Kontroll-RH aus einer 2025-Studie wurde zu universellen 40–60/40–50%-Optima verallgemeinert.</x:v>
      </x:c>
      <x:c r="E51" s="60" t="str">
        <x:v>Scheingenauigkeit; falsche Klimaentscheidungen.</x:v>
      </x:c>
      <x:c r="F51" s="60" t="str">
        <x:v>Studiengrenzen explizit gemacht: 78–98% extreme RH war schädlich; 37–58% war Kontrolle, ausdrücklich kein bewiesenes Optimum.</x:v>
      </x:c>
      <x:c r="G51" s="60" t="str">
        <x:v>A Primärliteratur</x:v>
      </x:c>
      <x:c r="H51" s="60" t="str">
        <x:v>FIXED</x:v>
      </x:c>
      <x:c r="I51" s="60" t="str">
        <x:v>nur ein CBD-dominanter Klon; keine Auto-Optimumstudie.</x:v>
      </x:c>
      <x:c r="J51" s="60" t="str">
        <x:v>P0</x:v>
      </x:c>
      <x:c r="K51" s="60"/>
      <x:c r="L51" s="60"/>
      <x:c r="M51" s="60"/>
      <x:c r="N51" s="60"/>
    </x:row>
    <x:row r="52">
      <x:c r="A52" s="60" t="str">
        <x:v>A49</x:v>
      </x:c>
      <x:c r="B52" s="60" t="str">
        <x:v>HOCH</x:v>
      </x:c>
      <x:c r="C52" s="60" t="str">
        <x:v>Deep Research / Nutrition</x:v>
      </x:c>
      <x:c r="D52" s="60" t="str">
        <x:v>212–283 mg N/L aus Caplan 2017 wurde als allgemeines Cannabis-N-Ziel interpretiert.</x:v>
      </x:c>
      <x:c r="E52" s="60" t="str">
        <x:v>Falsche Übertragung auf mineralisches HESI-Coco/Autoflower.</x:v>
      </x:c>
      <x:c r="F52" s="60" t="str">
        <x:v>Als kontextspezifisch verworfen; konkrete organische Formulierung, zwei coir-basierte organische Substrate, ein Cultivar.</x:v>
      </x:c>
      <x:c r="G52" s="60" t="str">
        <x:v>A Primärstudie</x:v>
      </x:c>
      <x:c r="H52" s="60" t="str">
        <x:v>FIXED</x:v>
      </x:c>
      <x:c r="I52" s="60" t="str">
        <x:v>Nährstoffoptima bleiben system-/cultivarabhängig.</x:v>
      </x:c>
      <x:c r="J52" s="60" t="str">
        <x:v>P0</x:v>
      </x:c>
      <x:c r="K52" s="60"/>
      <x:c r="L52" s="60"/>
      <x:c r="M52" s="60"/>
      <x:c r="N52" s="60"/>
    </x:row>
    <x:row r="53">
      <x:c r="A53" s="60" t="str">
        <x:v>A50</x:v>
      </x:c>
      <x:c r="B53" s="60" t="str">
        <x:v>HOCH</x:v>
      </x:c>
      <x:c r="C53" s="60" t="str">
        <x:v>Deep Research / Photoperiod</x:v>
      </x:c>
      <x:c r="D53" s="60" t="str">
        <x:v>12/12-Blüte wurde als Standardempfehlung in ein Autoflower-Projekt getragen.</x:v>
      </x:c>
      <x:c r="E53" s="60" t="str">
        <x:v>Auto könnte unnötig DLI verlieren; biologischer Scope-Fehler.</x:v>
      </x:c>
      <x:c r="F53" s="60" t="str">
        <x:v>Autoflower-Photoperiodinsensitivität dokumentiert; 18h bleibt UKD-Arbeitsannahme, nicht bewiesenes Optimum.</x:v>
      </x:c>
      <x:c r="G53" s="60" t="str">
        <x:v>A Primärliteratur</x:v>
      </x:c>
      <x:c r="H53" s="60" t="str">
        <x:v>FIXED</x:v>
      </x:c>
      <x:c r="I53" s="60" t="str">
        <x:v>keine robuste 18/20/24h-Optimumstudie für Double Grape/Setup.</x:v>
      </x:c>
      <x:c r="J53" s="60" t="str">
        <x:v>P1</x:v>
      </x:c>
      <x:c r="K53" s="60"/>
      <x:c r="L53" s="60"/>
      <x:c r="M53" s="60"/>
      <x:c r="N53" s="60"/>
    </x:row>
    <x:row r="54">
      <x:c r="A54" s="60" t="str">
        <x:v>A51</x:v>
      </x:c>
      <x:c r="B54" s="60" t="str">
        <x:v>HOCH</x:v>
      </x:c>
      <x:c r="C54" s="60" t="str">
        <x:v>02 P/V</x:v>
      </x:c>
      <x:c r="D54" s="60" t="str">
        <x:v>Pre-bloom EC- und Basisdosisformeln verwendeten teils absolute Run-Tage statt Abstand zum konfigurierten Nährstoffstart.</x:v>
      </x:c>
      <x:c r="E54" s="60" t="str">
        <x:v>Ändern von Nährstoffstart hätte EC/Dosis nicht sauber mitverschoben.</x:v>
      </x:c>
      <x:c r="F54" s="60" t="str">
        <x:v>Formeln triggerrelativ auf B32 umgebaut.</x:v>
      </x:c>
      <x:c r="G54" s="60" t="str">
        <x:v>Spreadsheet Forensics</x:v>
      </x:c>
      <x:c r="H54" s="60" t="str">
        <x:v>FIXED</x:v>
      </x:c>
      <x:c r="I54" s="60" t="str">
        <x:v>Defaultkurve bleibt UKD-Heuristik.</x:v>
      </x:c>
      <x:c r="J54" s="60" t="str">
        <x:v>P0</x:v>
      </x:c>
      <x:c r="K54" s="60"/>
      <x:c r="L54" s="60"/>
      <x:c r="M54" s="60"/>
      <x:c r="N54" s="60"/>
    </x:row>
    <x:row r="55">
      <x:c r="A55" s="60" t="str">
        <x:v>A52</x:v>
      </x:c>
      <x:c r="B55" s="60" t="str">
        <x:v>HOCH</x:v>
      </x:c>
      <x:c r="C55" s="60" t="str">
        <x:v>02/03/09/Dashboard</x:v>
      </x:c>
      <x:c r="D55" s="60" t="str">
        <x:v>Liter/Tag-Min/Max konnten als zu erzwingende Bewässerungsdosis gelesen werden.</x:v>
      </x:c>
      <x:c r="E55" s="60" t="str">
        <x:v>Über-/Unterbewässerung durch falsche Präzision.</x:v>
      </x:c>
      <x:c r="F55" s="60" t="str">
        <x:v>Überall als Start-/Beobachtungsband markiert; Stop-Regel: Band nie erzwingen, Pflanze/Topfmasse/Feuchte/Diagnose-Drain priorisieren.</x:v>
      </x:c>
      <x:c r="G55" s="60" t="str">
        <x:v>UKD Safety + horticultural principle</x:v>
      </x:c>
      <x:c r="H55" s="60" t="str">
        <x:v>FIXED</x:v>
      </x:c>
      <x:c r="I55" s="60" t="str">
        <x:v>Bandwerte selbst sind weiterhin Setup-Heuristik.</x:v>
      </x:c>
      <x:c r="J55" s="60" t="str">
        <x:v>P0</x:v>
      </x:c>
      <x:c r="K55" s="60"/>
      <x:c r="L55" s="60"/>
      <x:c r="M55" s="60"/>
      <x:c r="N55" s="60"/>
    </x:row>
    <x:row r="56">
      <x:c r="A56" s="60" t="str">
        <x:v>A53</x:v>
      </x:c>
      <x:c r="B56" s="60" t="str">
        <x:v>HOCH</x:v>
      </x:c>
      <x:c r="C56" s="60" t="str">
        <x:v>24 / 05 Athena Balance</x:v>
      </x:c>
      <x:c r="D56" s="60" t="str">
        <x:v>Händlerbereich 0.5–2.6 ml/L konnte wie canonical Athena-Dosis erscheinen; offizielle Produktseite nennt keine universelle Application Rate.</x:v>
      </x:c>
      <x:c r="E56" s="60" t="str">
        <x:v>Blinddosierung/pH-Ping-Pong/K-Silikat-Fehlanwendung.</x:v>
      </x:c>
      <x:c r="F56" s="60" t="str">
        <x:v>Offizielle Herstellerposition priorisiert; Default AUS, unbekannte Wasserchemie blockiert operative Dosis, Testbatch erforderlich.</x:v>
      </x:c>
      <x:c r="G56" s="60" t="str">
        <x:v>A Hersteller</x:v>
      </x:c>
      <x:c r="H56" s="60" t="str">
        <x:v>FIXED</x:v>
      </x:c>
      <x:c r="I56" s="60" t="str">
        <x:v>Cross-brand HESI+Athena bleibt unvalidiert.</x:v>
      </x:c>
      <x:c r="J56" s="60" t="str">
        <x:v>P0</x:v>
      </x:c>
      <x:c r="K56" s="60"/>
      <x:c r="L56" s="60"/>
      <x:c r="M56" s="60"/>
      <x:c r="N56" s="60"/>
    </x:row>
    <x:row r="57">
      <x:c r="A57" s="60" t="str">
        <x:v>A54</x:v>
      </x:c>
      <x:c r="B57" s="60" t="str">
        <x:v>MITTEL</x:v>
      </x:c>
      <x:c r="C57" s="60" t="str">
        <x:v>02/01 pH</x:v>
      </x:c>
      <x:c r="D57" s="60" t="str">
        <x:v>Exakter pH 5.9 konnte als naturgesetzliches Optimum gelesen werden.</x:v>
      </x:c>
      <x:c r="E57" s="60" t="str">
        <x:v>unnötiges pH-Jagen trotz Messunsicherheit.</x:v>
      </x:c>
      <x:c r="F57" s="60" t="str">
        <x:v>5.9 als UKD-Arbeitssetpoint innerhalb HESI-Coco-Herstellerband 5.8–6.2 gekennzeichnet.</x:v>
      </x:c>
      <x:c r="G57" s="60" t="str">
        <x:v>A Hersteller + UKD</x:v>
      </x:c>
      <x:c r="H57" s="60" t="str">
        <x:v>FIXED</x:v>
      </x:c>
      <x:c r="I57" s="60" t="str">
        <x:v>Substrat/root-zone pH ≠ Tank-pH.</x:v>
      </x:c>
      <x:c r="J57" s="60" t="str">
        <x:v>P1</x:v>
      </x:c>
      <x:c r="K57" s="60"/>
      <x:c r="L57" s="60"/>
      <x:c r="M57" s="60"/>
      <x:c r="N57" s="60"/>
    </x:row>
    <x:row r="58">
      <x:c r="A58" s="60" t="str">
        <x:v>A55</x:v>
      </x:c>
      <x:c r="B58" s="60" t="str">
        <x:v>MITTEL</x:v>
      </x:c>
      <x:c r="C58" s="60" t="str">
        <x:v>06/14 Finish</x:v>
      </x:c>
      <x:c r="D58" s="60" t="str">
        <x:v>HESI PK-Label fordert letzte Woche reines Wasser; UKD hatte zugleich 'kein Routineflush' ohne expliziten Quellenkonflikt.</x:v>
      </x:c>
      <x:c r="E58" s="60" t="str">
        <x:v>Herstellerlabel und UKD-Inferenz wurden vermischt.</x:v>
      </x:c>
      <x:c r="F58" s="60" t="str">
        <x:v>Konflikt offen ausgewiesen: Label-compliant Finish optional; unabhängige 2024 Studie zeigt überwiegend kleine/cultivarabhängige Effekte.</x:v>
      </x:c>
      <x:c r="G58" s="60" t="str">
        <x:v>A Hersteller + A Primärliteratur</x:v>
      </x:c>
      <x:c r="H58" s="60" t="str">
        <x:v>FIXED</x:v>
      </x:c>
      <x:c r="I58" s="60" t="str">
        <x:v>Studienergebnisse nicht universal; Umwelt-/Inputeinsparung separat bewerten.</x:v>
      </x:c>
      <x:c r="J58" s="60" t="str">
        <x:v>P1</x:v>
      </x:c>
      <x:c r="K58" s="60"/>
      <x:c r="L58" s="60"/>
      <x:c r="M58" s="60"/>
      <x:c r="N58" s="60"/>
    </x:row>
  </x:sheetData>
  <x:mergeCells>
    <x:mergeCell ref="A1:J1"/>
  </x:mergeCells>
  <x:conditionalFormatting sqref="B4:B38">
    <x:cfRule type="expression" dxfId="69" priority="1">
      <x:formula>B4="KRITISCH"</x:formula>
    </x:cfRule>
    <x:cfRule type="expression" dxfId="70" priority="2">
      <x:formula>B4="HOCH"</x:formula>
    </x:cfRule>
    <x:cfRule type="expression" dxfId="71" priority="3">
      <x:formula>B4="MITTEL"</x:formula>
    </x:cfRule>
    <x:cfRule type="expression" dxfId="72" priority="4">
      <x:formula>B4="NIEDRIG"</x:formula>
    </x:cfRule>
  </x:conditionalFormatting>
  <x:conditionalFormatting sqref="H4:H38">
    <x:cfRule type="expression" dxfId="73" priority="5">
      <x:formula>H4="FIXED"</x:formula>
    </x:cfRule>
  </x:conditionalFormatting>
  <x:conditionalFormatting sqref="B39:B41">
    <x:cfRule type="expression" dxfId="74" priority="6">
      <x:formula>B39="HOCH"</x:formula>
    </x:cfRule>
    <x:cfRule type="expression" dxfId="75" priority="7">
      <x:formula>B39="MITTEL"</x:formula>
    </x:cfRule>
  </x:conditionalFormatting>
  <x:conditionalFormatting sqref="H39:H41">
    <x:cfRule type="expression" dxfId="76" priority="8">
      <x:formula>H39="FIXED"</x:formula>
    </x:cfRule>
  </x:conditionalFormatting>
  <x:conditionalFormatting sqref="B42:B47">
    <x:cfRule type="expression" dxfId="77" priority="9">
      <x:formula>B42="HOCH"</x:formula>
    </x:cfRule>
    <x:cfRule type="expression" dxfId="78" priority="10">
      <x:formula>B42="MITTEL"</x:formula>
    </x:cfRule>
    <x:cfRule type="expression" dxfId="79" priority="11">
      <x:formula>B42="NIEDRIG"</x:formula>
    </x:cfRule>
  </x:conditionalFormatting>
  <x:conditionalFormatting sqref="H42:H47">
    <x:cfRule type="expression" dxfId="80" priority="12">
      <x:formula>H42="FIXED"</x:formula>
    </x:cfRule>
  </x:conditionalFormatting>
  <x:pageMargins left="0.7" right="0.7" top="0.75" bottom="0.75" header="0.3" footer="0.3"/>
</x:worksheet>
</file>