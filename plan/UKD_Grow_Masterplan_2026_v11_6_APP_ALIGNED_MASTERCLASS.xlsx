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116e1df43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6ac37297298c4c58"/>
    <x:sheet xmlns:r="http://schemas.openxmlformats.org/officeDocument/2006/relationships" name="01_Run_Config" sheetId="2" r:id="R2e65a3e0466a49e8"/>
    <x:sheet xmlns:r="http://schemas.openxmlformats.org/officeDocument/2006/relationships" name="02_Daily_Master" sheetId="3" r:id="Rf499b469a6ca444c"/>
    <x:sheet xmlns:r="http://schemas.openxmlformats.org/officeDocument/2006/relationships" name="03_Weekly_Master" sheetId="4" r:id="R66123f7939c040ca"/>
    <x:sheet xmlns:r="http://schemas.openxmlformats.org/officeDocument/2006/relationships" name="04_Monthly_Master" sheetId="5" r:id="R9746db6bd5364783"/>
    <x:sheet xmlns:r="http://schemas.openxmlformats.org/officeDocument/2006/relationships" name="05_Mix_Calculator" sheetId="6" r:id="Rfec0ebb536f644b3"/>
    <x:sheet xmlns:r="http://schemas.openxmlformats.org/officeDocument/2006/relationships" name="06_HESI_Reference" sheetId="7" r:id="Re92e040541404af2"/>
    <x:sheet xmlns:r="http://schemas.openxmlformats.org/officeDocument/2006/relationships" name="07_AN_pHPerfect" sheetId="8" r:id="Raa9a7e051bd14264"/>
    <x:sheet xmlns:r="http://schemas.openxmlformats.org/officeDocument/2006/relationships" name="08_Hybrid_AB" sheetId="9" r:id="R9507546b5ef841ea"/>
    <x:sheet xmlns:r="http://schemas.openxmlformats.org/officeDocument/2006/relationships" name="09_Irrigation_Blumat" sheetId="10" r:id="Rcf7c52161c3b4799"/>
    <x:sheet xmlns:r="http://schemas.openxmlformats.org/officeDocument/2006/relationships" name="10_Climate_Light" sheetId="11" r:id="R71887dc3e9654d94"/>
    <x:sheet xmlns:r="http://schemas.openxmlformats.org/officeDocument/2006/relationships" name="11_Training_Canopy" sheetId="12" r:id="Rc660589077424a2c"/>
    <x:sheet xmlns:r="http://schemas.openxmlformats.org/officeDocument/2006/relationships" name="12_Daily_Log" sheetId="13" r:id="R1c5dbd7b583d4bb5"/>
    <x:sheet xmlns:r="http://schemas.openxmlformats.org/officeDocument/2006/relationships" name="13_Diagnostics" sheetId="14" r:id="R0d93cbbc1a8f4211"/>
    <x:sheet xmlns:r="http://schemas.openxmlformats.org/officeDocument/2006/relationships" name="14_Harvest_Dry" sheetId="15" r:id="Rbd7a758fdf8f4140"/>
    <x:sheet xmlns:r="http://schemas.openxmlformats.org/officeDocument/2006/relationships" name="15_Strains" sheetId="16" r:id="R67fdd93b117f4ff1"/>
    <x:sheet xmlns:r="http://schemas.openxmlformats.org/officeDocument/2006/relationships" name="16_Compatibility" sheetId="17" r:id="R9d558c0c2d5c447b"/>
    <x:sheet xmlns:r="http://schemas.openxmlformats.org/officeDocument/2006/relationships" name="17_All_Products" sheetId="18" r:id="R3321cc99bb904a2b"/>
    <x:sheet xmlns:r="http://schemas.openxmlformats.org/officeDocument/2006/relationships" name="18_Mineral_Interactions" sheetId="19" r:id="Rcb0ec531e5524475"/>
    <x:sheet xmlns:r="http://schemas.openxmlformats.org/officeDocument/2006/relationships" name="19_Do_Not_Stack" sheetId="20" r:id="R391024df7b3c4c61"/>
    <x:sheet xmlns:r="http://schemas.openxmlformats.org/officeDocument/2006/relationships" name="20_Practice_Evidence" sheetId="21" r:id="R325b9d152b104bc4"/>
    <x:sheet xmlns:r="http://schemas.openxmlformats.org/officeDocument/2006/relationships" name="21_Legal_Safety" sheetId="22" r:id="R97a1b7f287724015"/>
    <x:sheet xmlns:r="http://schemas.openxmlformats.org/officeDocument/2006/relationships" name="22_Sources" sheetId="23" r:id="R0ae8d21ad9534dba"/>
    <x:sheet xmlns:r="http://schemas.openxmlformats.org/officeDocument/2006/relationships" name="23_README" sheetId="24" r:id="R86f543d0392a4f45"/>
    <x:sheet xmlns:r="http://schemas.openxmlformats.org/officeDocument/2006/relationships" name="24_Athena_Balance" sheetId="25" r:id="R95800740318c4bab"/>
    <x:sheet xmlns:r="http://schemas.openxmlformats.org/officeDocument/2006/relationships" name="25_AN_GrandMaster" sheetId="26" r:id="Re04aaf7341d44556"/>
    <x:sheet xmlns:r="http://schemas.openxmlformats.org/officeDocument/2006/relationships" name="26_Audit_Report" sheetId="27" r:id="Rab55042cd9024dfc"/>
    <x:sheet xmlns:r="http://schemas.openxmlformats.org/officeDocument/2006/relationships" name="27_HESI_AN_Hybrid" sheetId="28" r:id="Rd3329cdea0114202"/>
    <x:sheet xmlns:r="http://schemas.openxmlformats.org/officeDocument/2006/relationships" name="28_Current_Inventory" sheetId="29" r:id="R27e1c009faec4ba4"/>
    <x:sheet xmlns:r="http://schemas.openxmlformats.org/officeDocument/2006/relationships" name="29_GOAL_PROBLEM" sheetId="30" r:id="R02ccb8516cb147d2"/>
    <x:sheet xmlns:r="http://schemas.openxmlformats.org/officeDocument/2006/relationships" name="30_APP_UX_PLAN" sheetId="31" r:id="R6e79ff306ed24120"/>
    <x:sheet xmlns:r="http://schemas.openxmlformats.org/officeDocument/2006/relationships" name="31_FEED_SCHEMA" sheetId="32" r:id="R6eb81b353ee34a6e"/>
    <x:sheet xmlns:r="http://schemas.openxmlformats.org/officeDocument/2006/relationships" name="32_GLOSSARY_STATES" sheetId="33" r:id="R86879e7f1c04464e"/>
    <x:sheet xmlns:r="http://schemas.openxmlformats.org/officeDocument/2006/relationships" name="33_RELEASE_GATES" sheetId="34" r:id="R21aa71064ab14e92"/>
    <x:sheet xmlns:r="http://schemas.openxmlformats.org/officeDocument/2006/relationships" name="34_CONTEXT_HELP_MAP" sheetId="35" r:id="Ref6c2aade27b4798"/>
    <x:sheet xmlns:r="http://schemas.openxmlformats.org/officeDocument/2006/relationships" name="35_SECTION_GUIDE" sheetId="36" r:id="R46833a35ba7c4694"/>
    <x:sheet xmlns:r="http://schemas.openxmlformats.org/officeDocument/2006/relationships" name="36_TODAY_OPERATOR" sheetId="37" r:id="R7a3fd16024ab4d71"/>
    <x:sheet xmlns:r="http://schemas.openxmlformats.org/officeDocument/2006/relationships" name="37_SETUP_OPERATOR" sheetId="38" r:id="R6c20f4d6069c4baf"/>
    <x:sheet xmlns:r="http://schemas.openxmlformats.org/officeDocument/2006/relationships" name="38_MIX_OPERATOR" sheetId="39" r:id="Rb12400fdfffd44b0"/>
    <x:sheet xmlns:r="http://schemas.openxmlformats.org/officeDocument/2006/relationships" name="39_LOG_GUIDE" sheetId="40" r:id="R40510d3bb0554426"/>
    <x:sheet xmlns:r="http://schemas.openxmlformats.org/officeDocument/2006/relationships" name="40_VISUAL_INDEX_DE" sheetId="41" r:id="R4565f19890894cd7"/>
    <x:sheet xmlns:r="http://schemas.openxmlformats.org/officeDocument/2006/relationships" name="41_AUTO_STAGE_AUDIT" sheetId="42" r:id="Rbd4ccb3ae4584387"/>
    <x:sheet xmlns:r="http://schemas.openxmlformats.org/officeDocument/2006/relationships" name="42_AUTO_VARIANTS" sheetId="43" r:id="R7bb4a157d29f49a6"/>
    <x:sheet xmlns:r="http://schemas.openxmlformats.org/officeDocument/2006/relationships" name="43_AUTO_EVENT_PLAN" sheetId="44" r:id="R427b2e6fa2114e2e"/>
    <x:sheet xmlns:r="http://schemas.openxmlformats.org/officeDocument/2006/relationships" name="44_DOUBLE_GRAPE_AUTO" sheetId="45" r:id="R6c6da2ed15d7458b"/>
    <x:sheet xmlns:r="http://schemas.openxmlformats.org/officeDocument/2006/relationships" name="45_AUTO_LIGHT_PROFILES" sheetId="46" r:id="R388418d88ab9481f"/>
    <x:sheet xmlns:r="http://schemas.openxmlformats.org/officeDocument/2006/relationships" name="46_AUTO_ROOT_ZONE" sheetId="47" r:id="R48e0fdc9e3ce4350"/>
    <x:sheet xmlns:r="http://schemas.openxmlformats.org/officeDocument/2006/relationships" name="47_AUTO_SOURCES" sheetId="48" r:id="R5416239dd72541ba"/>
    <x:sheet xmlns:r="http://schemas.openxmlformats.org/officeDocument/2006/relationships" name="48_AUTO_EXTENSION" sheetId="49" r:id="Re98541245fb24522"/>
    <x:sheet xmlns:r="http://schemas.openxmlformats.org/officeDocument/2006/relationships" name="49_MIXED_CULTIVAR_PROFILE" sheetId="50" r:id="R603ca52c12ea45cc"/>
    <x:sheet xmlns:r="http://schemas.openxmlformats.org/officeDocument/2006/relationships" name="50_PLANT_STATE_MODEL" sheetId="51" r:id="Re683de38d68f4ec4"/>
    <x:sheet xmlns:r="http://schemas.openxmlformats.org/officeDocument/2006/relationships" name="51_CANOPY_BALANCE" sheetId="52" r:id="R4228b43c78a34524"/>
    <x:sheet xmlns:r="http://schemas.openxmlformats.org/officeDocument/2006/relationships" name="52_MIXED_BATCH_RESOLVER" sheetId="53" r:id="R7e753b285a2d48eb"/>
    <x:sheet xmlns:r="http://schemas.openxmlformats.org/officeDocument/2006/relationships" name="53_MIXED_CULTIVAR_SOURCES" sheetId="54" r:id="R302fea48faca4f75"/>
    <x:sheet xmlns:r="http://schemas.openxmlformats.org/officeDocument/2006/relationships" name="54_SCHEMA_ALIGNMENT" sheetId="55" r:id="Rf20df7270b944b23"/>
    <x:sheet xmlns:r="http://schemas.openxmlformats.org/officeDocument/2006/relationships" name="55_PH_DAILY_POLICY" sheetId="56" r:id="R23907945c23f433e"/>
    <x:sheet xmlns:r="http://schemas.openxmlformats.org/officeDocument/2006/relationships" name="56_APP_INTEGRATION_AUDIT" sheetId="57" r:id="R54f7d4237663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0 &quot; / &quot;&amp;0"/>
    <x:numFmt numFmtId="203" formatCode="@"/>
    <x:numFmt numFmtId="204" formatCode="0.0%"/>
    <x:numFmt numFmtId="205" formatCode="dd.mm.yyyy"/>
  </x:numFmts>
  <x:fonts count="62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  <x:font>
      <x:b/>
      <x:sz val="11"/>
      <x:color rgb="FF17365D"/>
      <x:name val="Carlito"/>
    </x:font>
    <x:font>
      <x:b/>
      <x:sz val="10"/>
      <x:color rgb="FF30213D"/>
      <x:name val="Carlito"/>
    </x:font>
    <x:font>
      <x:b/>
      <x:sz val="11"/>
      <x:color rgb="FF173C30"/>
      <x:name val="Carlito"/>
    </x:font>
    <x:font>
      <x:b/>
      <x:i/>
      <x:sz val="11"/>
      <x:color rgb="FF17324D"/>
      <x:name val="Carlito"/>
    </x:font>
    <x:font>
      <x:sz val="11"/>
      <x:color rgb="FF173C30"/>
      <x:name val="Carlito"/>
    </x:font>
    <x:font>
      <x:b/>
      <x:sz val="11"/>
      <x:color rgb="FF6D1F1F"/>
      <x:name val="Carlito"/>
    </x:font>
    <x:font>
      <x:sz val="11"/>
      <x:color rgb="FF6D1F1F"/>
      <x:name val="Carlito"/>
    </x:font>
    <x:font>
      <x:b/>
      <x:sz val="12"/>
      <x:color rgb="FFFFFFFF"/>
      <x:name val="Carlito"/>
    </x:font>
    <x:font>
      <x:b/>
      <x:sz val="11"/>
      <x:color rgb="FF163E5A"/>
      <x:name val="Carlito"/>
    </x:font>
    <x:font>
      <x:sz val="11"/>
      <x:color rgb="FF163E5A"/>
      <x:name val="Carlito"/>
    </x:font>
    <x:font>
      <x:b/>
      <x:sz val="11"/>
      <x:color rgb="FF664400"/>
      <x:name val="Carlito"/>
    </x:font>
    <x:font>
      <x:sz val="11"/>
      <x:color rgb="FF664400"/>
      <x:name val="Carlito"/>
    </x:font>
    <x:font>
      <x:b/>
      <x:sz val="11"/>
      <x:color rgb="FF37424B"/>
      <x:name val="Carlito"/>
    </x:font>
    <x:font>
      <x:sz val="11"/>
      <x:color rgb="FF37424B"/>
      <x:name val="Carlito"/>
    </x:font>
    <x:font>
      <x:b/>
      <x:sz val="11"/>
      <x:color rgb="FF4B2369"/>
      <x:name val="Carlito"/>
    </x:font>
    <x:font>
      <x:sz val="11"/>
      <x:color rgb="FF4B2369"/>
      <x:name val="Carlito"/>
    </x:font>
    <x:font>
      <x:b/>
      <x:sz val="11"/>
      <x:color rgb="FF17324D"/>
      <x:name val="Carlito"/>
    </x:font>
    <x:font>
      <x:sz val="11"/>
      <x:color rgb="FF5A4300"/>
      <x:name val="Carlito"/>
    </x:font>
    <x:font>
      <x:b/>
      <x:sz val="15"/>
      <x:color rgb="FFFFFFFF"/>
      <x:name val="Carlito"/>
    </x:font>
    <x:font>
      <x:sz val="11"/>
      <x:color rgb="FF214A3B"/>
      <x:name val="Carlito"/>
    </x:font>
    <x:font>
      <x:sz val="11"/>
      <x:color rgb="FF8A5A00"/>
      <x:name val="Carlito"/>
    </x:font>
    <x:font>
      <x:sz val="11"/>
      <x:color rgb="FF1F5E8C"/>
      <x:name val="Carlito"/>
    </x:font>
    <x:font>
      <x:sz val="11"/>
      <x:color rgb="FF5D2D83"/>
      <x:name val="Carlito"/>
    </x:font>
    <x:font>
      <x:sz val="10"/>
      <x:color rgb="FF173C30"/>
      <x:name val="Carlito"/>
    </x:font>
    <x:font>
      <x:sz val="10"/>
      <x:color rgb="FF163E5A"/>
      <x:name val="Carlito"/>
    </x:font>
    <x:font>
      <x:sz val="10"/>
      <x:color rgb="FF6D1F1F"/>
      <x:name val="Carlito"/>
    </x:font>
    <x:font>
      <x:sz val="9"/>
      <x:color rgb="FF163E5A"/>
      <x:name val="Carlito"/>
    </x:font>
    <x:font>
      <x:b/>
      <x:sz val="13"/>
      <x:color rgb="FFFFFFFF"/>
      <x:name val="Carlito"/>
    </x:font>
    <x:font>
      <x:b/>
      <x:sz val="18"/>
      <x:color rgb="FFF4FFF8"/>
      <x:name val="Carlito"/>
    </x:font>
    <x:font>
      <x:sz val="9"/>
      <x:color rgb="FF18312A"/>
      <x:name val="Carlito"/>
    </x:font>
    <x:font>
      <x:b/>
      <x:sz val="9"/>
      <x:color rgb="FF174D3A"/>
      <x:name val="Carlito"/>
    </x:font>
    <x:font>
      <x:b/>
      <x:sz val="9"/>
      <x:color rgb="FF8A4B00"/>
      <x:name val="Carlito"/>
    </x:font>
    <x:font>
      <x:b/>
      <x:sz val="10"/>
      <x:color rgb="FF12372A"/>
      <x:name val="Carlito"/>
    </x:font>
  </x:fonts>
  <x:fills count="96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5B2C83"/>
      </x:patternFill>
    </x:fill>
    <x:fill>
      <x:patternFill patternType="solid">
        <x:fgColor rgb="FFD9EAF7"/>
      </x:patternFill>
    </x:fill>
    <x:fill>
      <x:patternFill patternType="solid">
        <x:fgColor rgb="FFF3EAF8"/>
      </x:patternFill>
    </x:fill>
    <x:fill>
      <x:patternFill patternType="solid">
        <x:fgColor rgb="FF3E6B5B"/>
      </x:patternFill>
    </x:fill>
    <x:fill>
      <x:patternFill patternType="solid">
        <x:fgColor rgb="FFD9EAF7"/>
      </x:patternFill>
    </x:fill>
    <x:fill>
      <x:patternFill patternType="solid">
        <x:fgColor rgb="FF214A3B"/>
      </x:patternFill>
    </x:fill>
    <x:fill>
      <x:patternFill patternType="solid">
        <x:fgColor rgb="FFDDEFE7"/>
      </x:patternFill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FFF1CC"/>
      </x:patternFill>
    </x:fill>
    <x:fill>
      <x:patternFill patternType="solid">
        <x:fgColor rgb="FFEEF1F3"/>
      </x:patternFill>
    </x:fill>
    <x:fill>
      <x:patternFill patternType="solid">
        <x:fgColor rgb="FFF0E6F7"/>
      </x:patternFill>
    </x:fill>
    <x:fill>
      <x:patternFill patternType="solid">
        <x:fgColor rgb="FFF7F9FB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E3F0F8"/>
      </x:patternFill>
    </x:fill>
    <x:fill>
      <x:patternFill patternType="solid">
        <x:fgColor rgb="FFDDEFE7"/>
      </x:patternFill>
    </x:fill>
    <x:fill>
      <x:patternFill patternType="solid">
        <x:fgColor rgb="FFFFF1CC"/>
      </x:patternFill>
    </x:fill>
    <x:fill>
      <x:patternFill patternType="solid">
        <x:fgColor rgb="FFF0E6F7"/>
      </x:patternFill>
    </x:fill>
    <x:fill>
      <x:patternFill patternType="solid">
        <x:fgColor rgb="FFFBE4E4"/>
      </x:patternFill>
    </x:fill>
    <x:fill>
      <x:patternFill patternType="solid">
        <x:fgColor rgb="FFEEF1F3"/>
      </x:patternFill>
    </x:fill>
    <x:fill>
      <x:patternFill patternType="solid">
        <x:fgColor rgb="FF214A3B"/>
      </x:patternFill>
    </x:fill>
    <x:fill>
      <x:patternFill patternType="solid">
        <x:fgColor rgb="FF1F5E8C"/>
      </x:patternFill>
    </x:fill>
    <x:fill>
      <x:patternFill patternType="solid">
        <x:fgColor rgb="FF5D2D83"/>
      </x:patternFill>
    </x:fill>
    <x:fill>
      <x:patternFill patternType="solid">
        <x:fgColor rgb="FF8A5A00"/>
      </x:patternFill>
    </x:fill>
    <x:fill>
      <x:patternFill patternType="solid">
        <x:fgColor rgb="FFDCE7F0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DDEFE7"/>
      </x:patternFill>
    </x:fill>
    <x:fill>
      <x:patternFill patternType="solid">
        <x:fgColor rgb="FFE3F0F8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3F0F8"/>
      </x:patternFill>
    </x:fill>
    <x:fill>
      <x:patternFill patternType="solid">
        <x:fgColor rgb="FF12372A"/>
      </x:patternFill>
    </x:fill>
    <x:fill>
      <x:patternFill patternType="solid">
        <x:fgColor rgb="FF1E5B46"/>
      </x:patternFill>
    </x:fill>
    <x:fill>
      <x:patternFill patternType="solid">
        <x:fgColor rgb="FFE7F6EE"/>
      </x:patternFill>
    </x:fill>
    <x:fill>
      <x:patternFill patternType="solid">
        <x:fgColor rgb="FFE8F2FF"/>
      </x:patternFill>
    </x:fill>
    <x:fill>
      <x:patternFill patternType="solid">
        <x:fgColor rgb="FFFFF4DF"/>
      </x:patternFill>
    </x:fill>
    <x:fill>
      <x:patternFill patternType="solid">
        <x:fgColor rgb="FFF1F4F2"/>
      </x:patternFill>
    </x:fill>
    <x:fill>
      <x:patternFill patternType="solid">
        <x:fgColor rgb="FFDCEBE4"/>
      </x:patternFill>
    </x:fill>
  </x:fills>
  <x:borders count="89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/>
    <x:border/>
    <x:border/>
    <x:border/>
    <x:border/>
    <x:border/>
    <x:border/>
    <x:border/>
    <x:border/>
    <x:border>
      <x:left style="thin">
        <x:color rgb="FFCFE0D8"/>
      </x:left>
      <x:top style="thin">
        <x:color rgb="FFCFE0D8"/>
      </x:top>
    </x:border>
    <x:border>
      <x:top style="thin">
        <x:color rgb="FFCFE0D8"/>
      </x:top>
    </x:border>
    <x:border>
      <x:right style="thin">
        <x:color rgb="FFCFE0D8"/>
      </x:right>
      <x:top style="thin">
        <x:color rgb="FFCFE0D8"/>
      </x:top>
    </x:border>
    <x:border>
      <x:left style="thin">
        <x:color rgb="FFCFE0D8"/>
      </x:left>
    </x:border>
    <x:border>
      <x:right style="thin">
        <x:color rgb="FFCFE0D8"/>
      </x:right>
    </x:border>
    <x:border>
      <x:left style="thin">
        <x:color rgb="FFCFE0D8"/>
      </x:left>
      <x:bottom style="thin">
        <x:color rgb="FFCFE0D8"/>
      </x:bottom>
    </x:border>
    <x:border>
      <x:bottom style="thin">
        <x:color rgb="FFCFE0D8"/>
      </x:bottom>
    </x:border>
    <x:border>
      <x:right style="thin">
        <x:color rgb="FFCFE0D8"/>
      </x:right>
      <x:bottom style="thin">
        <x:color rgb="FFCFE0D8"/>
      </x:bottom>
    </x:border>
  </x:borders>
  <x:cellStyleXfs count="1">
    <x:xf numFmtId="0" fontId="0" fillId="0" borderId="0"/>
  </x:cellStyleXfs>
  <x:cellXfs count="25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201" fontId="24" fillId="5" borderId="62" xfId="0" applyNumberFormat="1" applyFont="1" applyFill="1" applyBorder="1" applyAlignment="1">
      <x:alignment vertical="top" wrapText="1"/>
    </x:xf>
    <x:xf numFmtId="0" fontId="23" fillId="5" borderId="38" xfId="0" applyNumberFormat="1" applyFont="1" applyFill="1" applyBorder="1" applyAlignment="1">
      <x:alignment wrapText="1"/>
    </x:xf>
    <x:xf numFmtId="0" fontId="23" fillId="5" borderId="45" xfId="0" applyNumberFormat="1" applyFont="1" applyFill="1" applyBorder="1" applyAlignment="1">
      <x:alignment wrapText="1"/>
    </x:xf>
    <x:xf numFmtId="0" fontId="23" fillId="5" borderId="40" xfId="0" applyNumberFormat="1" applyFont="1" applyFill="1" applyBorder="1" applyAlignment="1">
      <x:alignment wrapText="1"/>
    </x:xf>
    <x:xf numFmtId="0" fontId="27" fillId="5" borderId="38" xfId="0" applyNumberFormat="1" applyFont="1" applyFill="1" applyBorder="1" applyAlignment="1">
      <x:alignment wrapText="1"/>
    </x:xf>
    <x:xf numFmtId="0" fontId="27" fillId="5" borderId="45" xfId="0" applyNumberFormat="1" applyFont="1" applyFill="1" applyBorder="1" applyAlignment="1">
      <x:alignment wrapText="1"/>
    </x:xf>
    <x:xf numFmtId="0" fontId="27" fillId="5" borderId="4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14" fillId="25" borderId="32" xfId="0" applyNumberFormat="1" applyFont="1" applyFill="1" applyBorder="1" applyAlignment="1">
      <x:alignment wrapText="1"/>
    </x:xf>
    <x:xf numFmtId="0" fontId="14" fillId="25" borderId="41" xfId="0" applyNumberFormat="1" applyFont="1" applyFill="1" applyBorder="1" applyAlignment="1">
      <x:alignment wrapText="1"/>
    </x:xf>
    <x:xf numFmtId="0" fontId="14" fillId="25" borderId="34" xfId="0" applyNumberFormat="1" applyFont="1" applyFill="1" applyBorder="1" applyAlignment="1">
      <x:alignment wrapText="1"/>
    </x:xf>
    <x:xf numFmtId="0" fontId="28" fillId="25" borderId="32" xfId="0" applyNumberFormat="1" applyFont="1" applyFill="1" applyBorder="1" applyAlignment="1">
      <x:alignment wrapText="1"/>
    </x:xf>
    <x:xf numFmtId="0" fontId="28" fillId="25" borderId="41" xfId="0" applyNumberFormat="1" applyFont="1" applyFill="1" applyBorder="1" applyAlignment="1">
      <x:alignment wrapText="1"/>
    </x:xf>
    <x:xf numFmtId="0" fontId="28" fillId="25" borderId="34" xfId="0" applyNumberFormat="1" applyFont="1" applyFill="1" applyBorder="1" applyAlignment="1">
      <x:alignment wrapText="1"/>
    </x:xf>
    <x:xf numFmtId="0" fontId="23" fillId="50" borderId="35" xfId="0" applyNumberFormat="1" applyFont="1" applyFill="1" applyBorder="1" applyAlignment="1">
      <x:alignment wrapText="1"/>
    </x:xf>
    <x:xf numFmtId="0" fontId="23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wrapText="1"/>
    </x:xf>
    <x:xf numFmtId="0" fontId="5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vertical="center" wrapText="1"/>
    </x:xf>
    <x:xf numFmtId="0" fontId="5" fillId="50" borderId="42" xfId="0" applyNumberFormat="1" applyFont="1" applyFill="1" applyBorder="1" applyAlignment="1">
      <x:alignment vertical="center" wrapText="1"/>
    </x:xf>
    <x:xf numFmtId="0" fontId="23" fillId="51" borderId="38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9" fillId="51" borderId="38" xfId="0" applyNumberFormat="1" applyFont="1" applyFill="1" applyBorder="1" applyAlignment="1">
      <x:alignment wrapText="1"/>
    </x:xf>
    <x:xf numFmtId="0" fontId="29" fillId="51" borderId="0" xfId="0" applyNumberFormat="1" applyFont="1" applyFill="1" applyBorder="1"/>
    <x:xf numFmtId="0" fontId="29" fillId="51" borderId="0" xfId="0" applyNumberFormat="1" applyFont="1" applyFill="1" applyBorder="1" applyAlignment="1">
      <x:alignment wrapText="1"/>
    </x:xf>
    <x:xf numFmtId="0" fontId="23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vertical="center" wrapText="1"/>
    </x:xf>
    <x:xf numFmtId="0" fontId="23" fillId="51" borderId="45" xfId="0" applyNumberFormat="1" applyFont="1" applyFill="1" applyBorder="1" applyAlignment="1">
      <x:alignment wrapText="1"/>
    </x:xf>
    <x:xf numFmtId="0" fontId="29" fillId="51" borderId="45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12" fillId="50" borderId="43" xfId="0" applyNumberFormat="1" applyFont="1" applyFill="1" applyBorder="1" applyAlignment="1">
      <x:alignment vertical="top" wrapText="1"/>
    </x:xf>
    <x:xf numFmtId="0" fontId="12" fillId="50" xfId="0" applyNumberFormat="1" applyFont="1" applyFill="1" applyBorder="0" applyAlignment="1">
      <x:alignment vertical="top" wrapText="1"/>
    </x:xf>
    <x:xf numFmtId="0" fontId="12" fillId="50" borderId="44" xfId="0" applyNumberFormat="1" applyFont="1" applyFill="1" applyBorder="1" applyAlignment="1">
      <x:alignment vertical="top" wrapText="1"/>
    </x:xf>
    <x:xf numFmtId="0" fontId="13" fillId="50" borderId="43" xfId="0" applyNumberFormat="1" applyFont="1" applyFill="1" applyBorder="1" applyAlignment="1">
      <x:alignment vertical="top" wrapText="1"/>
    </x:xf>
    <x:xf numFmtId="0" fontId="13" fillId="50" xfId="0" applyNumberFormat="1" applyFont="1" applyFill="1" applyBorder="0" applyAlignment="1">
      <x:alignment vertical="top" wrapText="1"/>
    </x:xf>
    <x:xf numFmtId="0" fontId="13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top" wrapText="1"/>
    </x:xf>
    <x:xf numFmtId="0" fontId="2" fillId="50" xfId="0" applyNumberFormat="1" applyFont="1" applyFill="1" applyBorder="0" applyAlignment="1">
      <x:alignment vertical="top" wrapText="1"/>
    </x:xf>
    <x:xf numFmtId="0" fontId="2" fillId="50" borderId="44" xfId="0" applyNumberFormat="1" applyFont="1" applyFill="1" applyBorder="1" applyAlignment="1">
      <x:alignment vertical="top" wrapText="1"/>
    </x:xf>
    <x:xf numFmtId="0" fontId="9" fillId="50" borderId="43" xfId="0" applyNumberFormat="1" applyFont="1" applyFill="1" applyBorder="1" applyAlignment="1">
      <x:alignment vertical="top" wrapText="1"/>
    </x:xf>
    <x:xf numFmtId="0" fontId="9" fillId="50" xfId="0" applyNumberFormat="1" applyFont="1" applyFill="1" applyBorder="0" applyAlignment="1">
      <x:alignment vertical="top" wrapText="1"/>
    </x:xf>
    <x:xf numFmtId="0" fontId="9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center" wrapText="1"/>
    </x:xf>
    <x:xf numFmtId="0" fontId="2" fillId="50" xfId="0" applyNumberFormat="1" applyFont="1" applyFill="1" applyBorder="0" applyAlignment="1">
      <x:alignment vertical="center" wrapText="1"/>
    </x:xf>
    <x:xf numFmtId="0" fontId="2" fillId="50" borderId="44" xfId="0" applyNumberFormat="1" applyFont="1" applyFill="1" applyBorder="1" applyAlignment="1">
      <x:alignment vertical="center" wrapText="1"/>
    </x:xf>
    <x:xf numFmtId="0" fontId="9" fillId="50" borderId="43" xfId="0" applyNumberFormat="1" applyFont="1" applyFill="1" applyBorder="1" applyAlignment="1">
      <x:alignment vertical="center" wrapText="1"/>
    </x:xf>
    <x:xf numFmtId="0" fontId="9" fillId="50" xfId="0" applyNumberFormat="1" applyFont="1" applyFill="1" applyBorder="0" applyAlignment="1">
      <x:alignment vertical="center" wrapText="1"/>
    </x:xf>
    <x:xf numFmtId="0" fontId="9" fillId="50" borderId="44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horizontal="left" vertical="center"/>
    </x:xf>
    <x:xf numFmtId="0" fontId="5" fillId="50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 wrapText="1"/>
    </x:xf>
    <x:xf numFmtId="0" fontId="2" fillId="50" borderId="35" xfId="0" applyNumberFormat="1" applyFont="1" applyFill="1" applyBorder="1" applyAlignment="1">
      <x:alignment horizontal="center" vertical="center" wrapText="1"/>
    </x:xf>
    <x:xf numFmtId="0" fontId="2" fillId="50" borderId="42" xfId="0" applyNumberFormat="1" applyFont="1" applyFill="1" applyBorder="1" applyAlignment="1">
      <x:alignment horizontal="center" vertical="center" wrapText="1"/>
    </x:xf>
    <x:xf numFmtId="0" fontId="2" fillId="50" borderId="37" xfId="0" applyNumberFormat="1" applyFont="1" applyFill="1" applyBorder="1" applyAlignment="1">
      <x:alignment horizontal="center" vertical="center" wrapText="1"/>
    </x:xf>
    <x:xf numFmtId="0" fontId="2" fillId="52" borderId="38" xfId="0" applyNumberFormat="1" applyFont="1" applyFill="1" applyBorder="1" applyAlignment="1">
      <x:alignment horizontal="center" vertical="center" wrapText="1"/>
    </x:xf>
    <x:xf numFmtId="0" fontId="2" fillId="52" borderId="45" xfId="0" applyNumberFormat="1" applyFont="1" applyFill="1" applyBorder="1" applyAlignment="1">
      <x:alignment horizontal="center" vertical="center" wrapText="1"/>
    </x:xf>
    <x:xf numFmtId="0" fontId="2" fillId="52" borderId="40" xfId="0" applyNumberFormat="1" applyFont="1" applyFill="1" applyBorder="1" applyAlignment="1">
      <x:alignment horizontal="center" vertical="center" wrapText="1"/>
    </x:xf>
    <x:xf numFmtId="0" fontId="30" fillId="52" borderId="38" xfId="0" applyNumberFormat="1" applyFont="1" applyFill="1" applyBorder="1" applyAlignment="1">
      <x:alignment horizontal="center" vertical="center" wrapText="1"/>
    </x:xf>
    <x:xf numFmtId="0" fontId="30" fillId="52" borderId="45" xfId="0" applyNumberFormat="1" applyFont="1" applyFill="1" applyBorder="1" applyAlignment="1">
      <x:alignment horizontal="center" vertical="center" wrapText="1"/>
    </x:xf>
    <x:xf numFmtId="0" fontId="30" fillId="52" borderId="4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wrapText="1"/>
    </x:xf>
    <x:xf numFmtId="0" fontId="26" fillId="51" borderId="0" xfId="0" applyNumberFormat="1" applyFont="1" applyFill="1" applyBorder="1"/>
    <x:xf numFmtId="0" fontId="26" fillId="51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5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31" fillId="56" borderId="0" xfId="0" applyNumberFormat="1" applyFont="1" applyFill="1" applyBorder="1"/>
    <x:xf numFmtId="0" fontId="31" fillId="56" borderId="0" xfId="0" applyNumberFormat="1" applyFont="1" applyFill="1" applyBorder="1" applyAlignment="1">
      <x:alignment wrapText="1"/>
    </x:xf>
    <x:xf numFmtId="0" fontId="7" fillId="57" borderId="0" xfId="0" applyNumberFormat="1" applyFont="1" applyFill="1" applyBorder="1" applyAlignment="1">
      <x:alignment horizontal="left" vertical="center"/>
    </x:xf>
    <x:xf numFmtId="0" fontId="1" fillId="57" borderId="0" xfId="0" applyNumberFormat="1" applyFont="1" applyFill="1" applyBorder="1" applyAlignment="1">
      <x:alignment horizontal="left" vertical="center"/>
    </x:xf>
    <x:xf numFmtId="0" fontId="8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 wrapText="1"/>
    </x:xf>
    <x:xf numFmtId="0" fontId="9" fillId="56" borderId="32" xfId="0" applyNumberFormat="1" applyFont="1" applyFill="1" applyBorder="1" applyAlignment="1">
      <x:alignment horizontal="center" vertical="center" wrapText="1"/>
    </x:xf>
    <x:xf numFmtId="0" fontId="9" fillId="56" borderId="33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 wrapText="1"/>
    </x:xf>
    <x:xf numFmtId="0" fontId="9" fillId="56" borderId="46" xfId="0" applyNumberFormat="1" applyFont="1" applyFill="1" applyBorder="1" applyAlignment="1">
      <x:alignment horizontal="center" vertical="center" wrapText="1"/>
    </x:xf>
    <x:xf numFmtId="203" fontId="10" fillId="56" borderId="35" xfId="0" applyNumberFormat="1" applyFont="1" applyFill="1" applyBorder="1" applyAlignment="1">
      <x:alignment horizontal="center" vertical="center" wrapText="1"/>
    </x:xf>
    <x:xf numFmtId="203" fontId="10" fillId="56" borderId="36" xfId="0" applyNumberFormat="1" applyFont="1" applyFill="1" applyBorder="1" applyAlignment="1">
      <x:alignment horizontal="center" vertical="center" wrapText="1"/>
    </x:xf>
    <x:xf numFmtId="203" fontId="10" fillId="56" borderId="37" xfId="0" applyNumberFormat="1" applyFont="1" applyFill="1" applyBorder="1" applyAlignment="1">
      <x:alignment horizontal="center" vertical="center" wrapText="1"/>
    </x:xf>
    <x:xf numFmtId="0" fontId="10" fillId="56" borderId="35" xfId="0" applyNumberFormat="1" applyFont="1" applyFill="1" applyBorder="1" applyAlignment="1">
      <x:alignment horizontal="center" vertical="center" wrapText="1"/>
    </x:xf>
    <x:xf numFmtId="0" fontId="10" fillId="56" borderId="42" xfId="0" applyNumberFormat="1" applyFont="1" applyFill="1" applyBorder="1" applyAlignment="1">
      <x:alignment horizontal="center" vertical="center" wrapText="1"/>
    </x:xf>
    <x:xf numFmtId="0" fontId="10" fillId="56" borderId="37" xfId="0" applyNumberFormat="1" applyFont="1" applyFill="1" applyBorder="1" applyAlignment="1">
      <x:alignment horizontal="center" vertical="center" wrapText="1"/>
    </x:xf>
    <x:xf numFmtId="0" fontId="10" fillId="56" borderId="48" xfId="0" applyNumberFormat="1" applyFont="1" applyFill="1" applyBorder="1" applyAlignment="1">
      <x:alignment horizontal="center" vertical="center" wrapText="1"/>
    </x:xf>
    <x:xf numFmtId="203" fontId="10" fillId="56" borderId="38" xfId="0" applyNumberFormat="1" applyFont="1" applyFill="1" applyBorder="1" applyAlignment="1">
      <x:alignment horizontal="center" vertical="center" wrapText="1"/>
    </x:xf>
    <x:xf numFmtId="203" fontId="10" fillId="56" borderId="39" xfId="0" applyNumberFormat="1" applyFont="1" applyFill="1" applyBorder="1" applyAlignment="1">
      <x:alignment horizontal="center" vertical="center" wrapText="1"/>
    </x:xf>
    <x:xf numFmtId="203" fontId="10" fillId="56" borderId="40" xfId="0" applyNumberFormat="1" applyFont="1" applyFill="1" applyBorder="1" applyAlignment="1">
      <x:alignment horizontal="center" vertical="center" wrapText="1"/>
    </x:xf>
    <x:xf numFmtId="0" fontId="10" fillId="56" borderId="43" xfId="0" applyNumberFormat="1" applyFont="1" applyFill="1" applyBorder="1" applyAlignment="1">
      <x:alignment horizontal="center" vertical="center" wrapText="1"/>
    </x:xf>
    <x:xf numFmtId="0" fontId="10" fillId="56" xfId="0" applyNumberFormat="1" applyFont="1" applyFill="1" applyBorder="0" applyAlignment="1">
      <x:alignment horizontal="center" vertical="center" wrapText="1"/>
    </x:xf>
    <x:xf numFmtId="0" fontId="10" fillId="56" borderId="44" xfId="0" applyNumberFormat="1" applyFont="1" applyFill="1" applyBorder="1" applyAlignment="1">
      <x:alignment horizontal="center" vertical="center" wrapText="1"/>
    </x:xf>
    <x:xf numFmtId="0" fontId="10" fillId="56" borderId="50" xfId="0" applyNumberFormat="1" applyFont="1" applyFill="1" applyBorder="1" applyAlignment="1">
      <x:alignment horizontal="center" vertical="center" wrapText="1"/>
    </x:xf>
    <x:xf numFmtId="0" fontId="11" fillId="56" borderId="32" xfId="0" applyNumberFormat="1" applyFont="1" applyFill="1" applyBorder="1" applyAlignment="1">
      <x:alignment horizontal="center" vertical="top" wrapText="1"/>
    </x:xf>
    <x:xf numFmtId="0" fontId="11" fillId="56" borderId="33" xfId="0" applyNumberFormat="1" applyFont="1" applyFill="1" applyBorder="1" applyAlignment="1">
      <x:alignment horizontal="center" vertical="top" wrapText="1"/>
    </x:xf>
    <x:xf numFmtId="0" fontId="11" fillId="56" borderId="34" xfId="0" applyNumberFormat="1" applyFont="1" applyFill="1" applyBorder="1" applyAlignment="1">
      <x:alignment horizontal="center"/>
    </x:xf>
    <x:xf numFmtId="0" fontId="10" fillId="56" borderId="38" xfId="0" applyNumberFormat="1" applyFont="1" applyFill="1" applyBorder="1" applyAlignment="1">
      <x:alignment horizontal="center" vertical="center" wrapText="1"/>
    </x:xf>
    <x:xf numFmtId="0" fontId="10" fillId="56" borderId="45" xfId="0" applyNumberFormat="1" applyFont="1" applyFill="1" applyBorder="1" applyAlignment="1">
      <x:alignment horizontal="center" vertical="center" wrapText="1"/>
    </x:xf>
    <x:xf numFmtId="0" fontId="10" fillId="56" borderId="40" xfId="0" applyNumberFormat="1" applyFont="1" applyFill="1" applyBorder="1" applyAlignment="1">
      <x:alignment horizontal="center" vertical="center" wrapText="1"/>
    </x:xf>
    <x:xf numFmtId="0" fontId="10" fillId="56" borderId="52" xfId="0" applyNumberFormat="1" applyFont="1" applyFill="1" applyBorder="1" applyAlignment="1">
      <x:alignment horizontal="center" vertical="center" wrapText="1"/>
    </x:xf>
    <x:xf numFmtId="0" fontId="0" fillId="56" borderId="4" xfId="0" applyNumberFormat="1" applyFont="1" applyFill="1" applyBorder="1" applyAlignment="1">
      <x:alignment vertical="top" wrapText="1"/>
    </x:xf>
    <x:xf numFmtId="0" fontId="0" fillId="56" borderId="5" xfId="0" applyNumberFormat="1" applyFont="1" applyFill="1" applyBorder="1" applyAlignment="1">
      <x:alignment vertical="top" wrapText="1"/>
    </x:xf>
    <x:xf numFmtId="0" fontId="0" fillId="56" xfId="0" applyNumberFormat="1" applyFont="1" applyFill="1" applyBorder="0" applyAlignment="1">
      <x:alignment vertical="top" wrapText="1"/>
    </x:xf>
    <x:xf numFmtId="0" fontId="31" fillId="56" borderId="32" xfId="0" applyNumberFormat="1" applyFont="1" applyFill="1" applyBorder="1" applyAlignment="1">
      <x:alignment horizontal="center" vertical="center" wrapText="1"/>
    </x:xf>
    <x:xf numFmtId="0" fontId="31" fillId="56" borderId="33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 wrapText="1"/>
    </x:xf>
    <x:xf numFmtId="0" fontId="31" fillId="56" borderId="46" xfId="0" applyNumberFormat="1" applyFont="1" applyFill="1" applyBorder="1" applyAlignment="1">
      <x:alignment horizontal="center" vertical="center" wrapText="1"/>
    </x:xf>
    <x:xf numFmtId="203" fontId="31" fillId="56" borderId="35" xfId="0" applyNumberFormat="1" applyFont="1" applyFill="1" applyBorder="1" applyAlignment="1">
      <x:alignment horizontal="center" vertical="center" wrapText="1"/>
    </x:xf>
    <x:xf numFmtId="203" fontId="31" fillId="56" borderId="36" xfId="0" applyNumberFormat="1" applyFont="1" applyFill="1" applyBorder="1" applyAlignment="1">
      <x:alignment horizontal="center" vertical="center" wrapText="1"/>
    </x:xf>
    <x:xf numFmtId="203" fontId="31" fillId="56" borderId="37" xfId="0" applyNumberFormat="1" applyFont="1" applyFill="1" applyBorder="1" applyAlignment="1">
      <x:alignment horizontal="center" vertical="center" wrapText="1"/>
    </x:xf>
    <x:xf numFmtId="0" fontId="31" fillId="56" borderId="35" xfId="0" applyNumberFormat="1" applyFont="1" applyFill="1" applyBorder="1" applyAlignment="1">
      <x:alignment horizontal="center" vertical="center" wrapText="1"/>
    </x:xf>
    <x:xf numFmtId="0" fontId="31" fillId="56" borderId="42" xfId="0" applyNumberFormat="1" applyFont="1" applyFill="1" applyBorder="1" applyAlignment="1">
      <x:alignment horizontal="center" vertical="center" wrapText="1"/>
    </x:xf>
    <x:xf numFmtId="0" fontId="31" fillId="56" borderId="37" xfId="0" applyNumberFormat="1" applyFont="1" applyFill="1" applyBorder="1" applyAlignment="1">
      <x:alignment horizontal="center" vertical="center" wrapText="1"/>
    </x:xf>
    <x:xf numFmtId="0" fontId="31" fillId="56" borderId="48" xfId="0" applyNumberFormat="1" applyFont="1" applyFill="1" applyBorder="1" applyAlignment="1">
      <x:alignment horizontal="center" vertical="center" wrapText="1"/>
    </x:xf>
    <x:xf numFmtId="203" fontId="31" fillId="56" borderId="38" xfId="0" applyNumberFormat="1" applyFont="1" applyFill="1" applyBorder="1" applyAlignment="1">
      <x:alignment horizontal="center" vertical="center" wrapText="1"/>
    </x:xf>
    <x:xf numFmtId="203" fontId="31" fillId="56" borderId="39" xfId="0" applyNumberFormat="1" applyFont="1" applyFill="1" applyBorder="1" applyAlignment="1">
      <x:alignment horizontal="center" vertical="center" wrapText="1"/>
    </x:xf>
    <x:xf numFmtId="203" fontId="31" fillId="56" borderId="40" xfId="0" applyNumberFormat="1" applyFont="1" applyFill="1" applyBorder="1" applyAlignment="1">
      <x:alignment horizontal="center" vertical="center" wrapText="1"/>
    </x:xf>
    <x:xf numFmtId="0" fontId="31" fillId="56" borderId="43" xfId="0" applyNumberFormat="1" applyFont="1" applyFill="1" applyBorder="1" applyAlignment="1">
      <x:alignment horizontal="center" vertical="center" wrapText="1"/>
    </x:xf>
    <x:xf numFmtId="0" fontId="31" fillId="56" xfId="0" applyNumberFormat="1" applyFont="1" applyFill="1" applyBorder="0" applyAlignment="1">
      <x:alignment horizontal="center" vertical="center" wrapText="1"/>
    </x:xf>
    <x:xf numFmtId="0" fontId="31" fillId="56" borderId="44" xfId="0" applyNumberFormat="1" applyFont="1" applyFill="1" applyBorder="1" applyAlignment="1">
      <x:alignment horizontal="center" vertical="center" wrapText="1"/>
    </x:xf>
    <x:xf numFmtId="0" fontId="31" fillId="56" borderId="50" xfId="0" applyNumberFormat="1" applyFont="1" applyFill="1" applyBorder="1" applyAlignment="1">
      <x:alignment horizontal="center" vertical="center" wrapText="1"/>
    </x:xf>
    <x:xf numFmtId="0" fontId="33" fillId="56" borderId="32" xfId="0" applyNumberFormat="1" applyFont="1" applyFill="1" applyBorder="1" applyAlignment="1">
      <x:alignment horizontal="center" vertical="top" wrapText="1"/>
    </x:xf>
    <x:xf numFmtId="0" fontId="33" fillId="56" borderId="33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/>
    </x:xf>
    <x:xf numFmtId="0" fontId="31" fillId="56" borderId="38" xfId="0" applyNumberFormat="1" applyFont="1" applyFill="1" applyBorder="1" applyAlignment="1">
      <x:alignment horizontal="center" vertical="center" wrapText="1"/>
    </x:xf>
    <x:xf numFmtId="0" fontId="31" fillId="56" borderId="45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horizontal="center" vertical="center" wrapText="1"/>
    </x:xf>
    <x:xf numFmtId="0" fontId="31" fillId="56" borderId="52" xfId="0" applyNumberFormat="1" applyFont="1" applyFill="1" applyBorder="1" applyAlignment="1">
      <x:alignment horizontal="center" vertical="center" wrapText="1"/>
    </x:xf>
    <x:xf numFmtId="0" fontId="33" fillId="56" borderId="4" xfId="0" applyNumberFormat="1" applyFont="1" applyFill="1" applyBorder="1" applyAlignment="1">
      <x:alignment vertical="top" wrapText="1"/>
    </x:xf>
    <x:xf numFmtId="0" fontId="33" fillId="56" borderId="5" xfId="0" applyNumberFormat="1" applyFont="1" applyFill="1" applyBorder="1" applyAlignment="1">
      <x:alignment vertical="top" wrapText="1"/>
    </x:xf>
    <x:xf numFmtId="0" fontId="33" fillId="56" borderId="0" xfId="0" applyNumberFormat="1" applyFont="1" applyFill="1" applyBorder="1"/>
    <x:xf numFmtId="0" fontId="33" fillId="56" xfId="0" applyNumberFormat="1" applyFont="1" applyFill="1" applyBorder="0" applyAlignment="1">
      <x:alignment vertical="top" wrapText="1"/>
    </x:xf>
    <x:xf numFmtId="0" fontId="33" fillId="56" borderId="34" xfId="0" applyNumberFormat="1" applyFont="1" applyFill="1" applyBorder="1" applyAlignment="1">
      <x:alignment horizontal="center" wrapText="1"/>
    </x:xf>
    <x:xf numFmtId="0" fontId="33" fillId="56" borderId="0" xfId="0" applyNumberFormat="1" applyFont="1" applyFill="1" applyBorder="1" applyAlignment="1">
      <x:alignment wrapText="1"/>
    </x:xf>
    <x:xf numFmtId="0" fontId="31" fillId="56" borderId="32" xfId="0" applyNumberFormat="1" applyFont="1" applyFill="1" applyBorder="1" applyAlignment="1">
      <x:alignment horizontal="center" vertical="top" wrapText="1"/>
    </x:xf>
    <x:xf numFmtId="0" fontId="31" fillId="56" borderId="33" xfId="0" applyNumberFormat="1" applyFont="1" applyFill="1" applyBorder="1" applyAlignment="1">
      <x:alignment horizontal="center" vertical="top" wrapText="1"/>
    </x:xf>
    <x:xf numFmtId="0" fontId="31" fillId="56" borderId="34" xfId="0" applyNumberFormat="1" applyFont="1" applyFill="1" applyBorder="1" applyAlignment="1">
      <x:alignment horizontal="center" vertical="top" wrapText="1"/>
    </x:xf>
    <x:xf numFmtId="0" fontId="31" fillId="56" borderId="41" xfId="0" applyNumberFormat="1" applyFont="1" applyFill="1" applyBorder="1" applyAlignment="1">
      <x:alignment horizontal="center" vertical="top" wrapText="1"/>
    </x:xf>
    <x:xf numFmtId="0" fontId="31" fillId="56" borderId="46" xfId="0" applyNumberFormat="1" applyFont="1" applyFill="1" applyBorder="1" applyAlignment="1">
      <x:alignment horizontal="center" vertical="top" wrapText="1"/>
    </x:xf>
    <x:xf numFmtId="203" fontId="31" fillId="56" borderId="35" xfId="0" applyNumberFormat="1" applyFont="1" applyFill="1" applyBorder="1" applyAlignment="1">
      <x:alignment horizontal="center" vertical="top" wrapText="1"/>
    </x:xf>
    <x:xf numFmtId="203" fontId="31" fillId="56" borderId="36" xfId="0" applyNumberFormat="1" applyFont="1" applyFill="1" applyBorder="1" applyAlignment="1">
      <x:alignment horizontal="center" vertical="top" wrapText="1"/>
    </x:xf>
    <x:xf numFmtId="203" fontId="31" fillId="56" borderId="37" xfId="0" applyNumberFormat="1" applyFont="1" applyFill="1" applyBorder="1" applyAlignment="1">
      <x:alignment horizontal="center" vertical="top" wrapText="1"/>
    </x:xf>
    <x:xf numFmtId="0" fontId="31" fillId="56" borderId="35" xfId="0" applyNumberFormat="1" applyFont="1" applyFill="1" applyBorder="1" applyAlignment="1">
      <x:alignment horizontal="center" vertical="top" wrapText="1"/>
    </x:xf>
    <x:xf numFmtId="0" fontId="31" fillId="56" borderId="42" xfId="0" applyNumberFormat="1" applyFont="1" applyFill="1" applyBorder="1" applyAlignment="1">
      <x:alignment horizontal="center" vertical="top" wrapText="1"/>
    </x:xf>
    <x:xf numFmtId="0" fontId="31" fillId="56" borderId="37" xfId="0" applyNumberFormat="1" applyFont="1" applyFill="1" applyBorder="1" applyAlignment="1">
      <x:alignment horizontal="center" vertical="top" wrapText="1"/>
    </x:xf>
    <x:xf numFmtId="0" fontId="31" fillId="56" borderId="48" xfId="0" applyNumberFormat="1" applyFont="1" applyFill="1" applyBorder="1" applyAlignment="1">
      <x:alignment horizontal="center" vertical="top" wrapText="1"/>
    </x:xf>
    <x:xf numFmtId="203" fontId="31" fillId="56" borderId="38" xfId="0" applyNumberFormat="1" applyFont="1" applyFill="1" applyBorder="1" applyAlignment="1">
      <x:alignment horizontal="center" vertical="top" wrapText="1"/>
    </x:xf>
    <x:xf numFmtId="203" fontId="31" fillId="56" borderId="39" xfId="0" applyNumberFormat="1" applyFont="1" applyFill="1" applyBorder="1" applyAlignment="1">
      <x:alignment horizontal="center" vertical="top" wrapText="1"/>
    </x:xf>
    <x:xf numFmtId="203" fontId="31" fillId="56" borderId="40" xfId="0" applyNumberFormat="1" applyFont="1" applyFill="1" applyBorder="1" applyAlignment="1">
      <x:alignment horizontal="center" vertical="top" wrapText="1"/>
    </x:xf>
    <x:xf numFmtId="0" fontId="31" fillId="56" borderId="43" xfId="0" applyNumberFormat="1" applyFont="1" applyFill="1" applyBorder="1" applyAlignment="1">
      <x:alignment horizontal="center" vertical="top" wrapText="1"/>
    </x:xf>
    <x:xf numFmtId="0" fontId="31" fillId="56" xfId="0" applyNumberFormat="1" applyFont="1" applyFill="1" applyBorder="0" applyAlignment="1">
      <x:alignment horizontal="center" vertical="top" wrapText="1"/>
    </x:xf>
    <x:xf numFmtId="0" fontId="31" fillId="56" borderId="44" xfId="0" applyNumberFormat="1" applyFont="1" applyFill="1" applyBorder="1" applyAlignment="1">
      <x:alignment horizontal="center" vertical="top" wrapText="1"/>
    </x:xf>
    <x:xf numFmtId="0" fontId="31" fillId="56" borderId="50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 vertical="top" wrapText="1"/>
    </x:xf>
    <x:xf numFmtId="0" fontId="31" fillId="56" borderId="38" xfId="0" applyNumberFormat="1" applyFont="1" applyFill="1" applyBorder="1" applyAlignment="1">
      <x:alignment horizontal="center" vertical="top" wrapText="1"/>
    </x:xf>
    <x:xf numFmtId="0" fontId="31" fillId="56" borderId="45" xfId="0" applyNumberFormat="1" applyFont="1" applyFill="1" applyBorder="1" applyAlignment="1">
      <x:alignment horizontal="center" vertical="top" wrapText="1"/>
    </x:xf>
    <x:xf numFmtId="0" fontId="31" fillId="56" borderId="40" xfId="0" applyNumberFormat="1" applyFont="1" applyFill="1" applyBorder="1" applyAlignment="1">
      <x:alignment horizontal="center" vertical="top" wrapText="1"/>
    </x:xf>
    <x:xf numFmtId="0" fontId="31" fillId="56" borderId="52" xfId="0" applyNumberFormat="1" applyFont="1" applyFill="1" applyBorder="1" applyAlignment="1">
      <x:alignment horizontal="center" vertical="top" wrapText="1"/>
    </x:xf>
    <x:xf numFmtId="0" fontId="33" fillId="56" borderId="0" xfId="0" applyNumberFormat="1" applyFont="1" applyFill="1" applyBorder="1" applyAlignment="1">
      <x:alignment vertical="top" wrapText="1"/>
    </x:xf>
    <x:xf numFmtId="0" fontId="9" fillId="59" borderId="47" xfId="0" applyNumberFormat="1" applyFont="1" applyFill="1" applyBorder="1" applyAlignment="1">
      <x:alignment horizontal="center" vertical="center"/>
    </x:xf>
    <x:xf numFmtId="0" fontId="9" fillId="59" borderId="32" xfId="0" applyNumberFormat="1" applyFont="1" applyFill="1" applyBorder="1" applyAlignment="1">
      <x:alignment horizontal="center" vertical="center"/>
    </x:xf>
    <x:xf numFmtId="0" fontId="9" fillId="59" borderId="41" xfId="0" applyNumberFormat="1" applyFont="1" applyFill="1" applyBorder="1" applyAlignment="1">
      <x:alignment horizontal="center" vertical="center"/>
    </x:xf>
    <x:xf numFmtId="0" fontId="9" fillId="59" borderId="34" xfId="0" applyNumberFormat="1" applyFont="1" applyFill="1" applyBorder="1" applyAlignment="1">
      <x:alignment horizontal="center" vertical="center"/>
    </x:xf>
    <x:xf numFmtId="0" fontId="9" fillId="59" borderId="33" xfId="0" applyNumberFormat="1" applyFont="1" applyFill="1" applyBorder="1" applyAlignment="1">
      <x:alignment horizontal="center" vertical="center"/>
    </x:xf>
    <x:xf numFmtId="0" fontId="10" fillId="59" borderId="49" xfId="0" applyNumberFormat="1" applyFont="1" applyFill="1" applyBorder="1" applyAlignment="1">
      <x:alignment horizontal="center" vertical="center" wrapText="1"/>
    </x:xf>
    <x:xf numFmtId="0" fontId="10" fillId="59" borderId="35" xfId="0" applyNumberFormat="1" applyFont="1" applyFill="1" applyBorder="1" applyAlignment="1">
      <x:alignment horizontal="center" vertical="center" wrapText="1"/>
    </x:xf>
    <x:xf numFmtId="0" fontId="10" fillId="59" borderId="42" xfId="0" applyNumberFormat="1" applyFont="1" applyFill="1" applyBorder="1" applyAlignment="1">
      <x:alignment horizontal="center" vertical="center" wrapText="1"/>
    </x:xf>
    <x:xf numFmtId="0" fontId="10" fillId="59" borderId="37" xfId="0" applyNumberFormat="1" applyFont="1" applyFill="1" applyBorder="1" applyAlignment="1">
      <x:alignment horizontal="center" vertical="center" wrapText="1"/>
    </x:xf>
    <x:xf numFmtId="0" fontId="10" fillId="59" borderId="36" xfId="0" applyNumberFormat="1" applyFont="1" applyFill="1" applyBorder="1" applyAlignment="1">
      <x:alignment horizontal="center" vertical="center" wrapText="1"/>
    </x:xf>
    <x:xf numFmtId="0" fontId="10" fillId="59" borderId="51" xfId="0" applyNumberFormat="1" applyFont="1" applyFill="1" applyBorder="1" applyAlignment="1">
      <x:alignment horizontal="center" vertical="center" wrapText="1"/>
    </x:xf>
    <x:xf numFmtId="0" fontId="10" fillId="59" borderId="43" xfId="0" applyNumberFormat="1" applyFont="1" applyFill="1" applyBorder="1" applyAlignment="1">
      <x:alignment horizontal="center" vertical="center" wrapText="1"/>
    </x:xf>
    <x:xf numFmtId="0" fontId="10" fillId="59" xfId="0" applyNumberFormat="1" applyFont="1" applyFill="1" applyBorder="0" applyAlignment="1">
      <x:alignment horizontal="center" vertical="center" wrapText="1"/>
    </x:xf>
    <x:xf numFmtId="0" fontId="10" fillId="59" borderId="44" xfId="0" applyNumberFormat="1" applyFont="1" applyFill="1" applyBorder="1" applyAlignment="1">
      <x:alignment horizontal="center" vertical="center" wrapText="1"/>
    </x:xf>
    <x:xf numFmtId="0" fontId="10" fillId="59" borderId="5" xfId="0" applyNumberFormat="1" applyFont="1" applyFill="1" applyBorder="1" applyAlignment="1">
      <x:alignment horizontal="center" vertical="center" wrapText="1"/>
    </x:xf>
    <x:xf numFmtId="0" fontId="10" fillId="59" borderId="53" xfId="0" applyNumberFormat="1" applyFont="1" applyFill="1" applyBorder="1" applyAlignment="1">
      <x:alignment horizontal="center" vertical="center" wrapText="1"/>
    </x:xf>
    <x:xf numFmtId="0" fontId="10" fillId="59" borderId="38" xfId="0" applyNumberFormat="1" applyFont="1" applyFill="1" applyBorder="1" applyAlignment="1">
      <x:alignment horizontal="center" vertical="center" wrapText="1"/>
    </x:xf>
    <x:xf numFmtId="0" fontId="10" fillId="59" borderId="45" xfId="0" applyNumberFormat="1" applyFont="1" applyFill="1" applyBorder="1" applyAlignment="1">
      <x:alignment horizontal="center" vertical="center" wrapText="1"/>
    </x:xf>
    <x:xf numFmtId="0" fontId="10" fillId="59" borderId="40" xfId="0" applyNumberFormat="1" applyFont="1" applyFill="1" applyBorder="1" applyAlignment="1">
      <x:alignment horizontal="center" vertical="center" wrapText="1"/>
    </x:xf>
    <x:xf numFmtId="0" fontId="10" fillId="59" borderId="39" xfId="0" applyNumberFormat="1" applyFont="1" applyFill="1" applyBorder="1" applyAlignment="1">
      <x:alignment horizontal="center" vertical="center" wrapText="1"/>
    </x:xf>
    <x:xf numFmtId="0" fontId="0" fillId="59" borderId="4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 applyAlignment="1">
      <x:alignment horizontal="center"/>
    </x:xf>
    <x:xf numFmtId="0" fontId="0" fillId="59" borderId="5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/>
    </x:xf>
    <x:xf numFmtId="0" fontId="34" fillId="59" borderId="32" xfId="0" applyNumberFormat="1" applyFont="1" applyFill="1" applyBorder="1" applyAlignment="1">
      <x:alignment horizontal="center" vertical="center"/>
    </x:xf>
    <x:xf numFmtId="0" fontId="34" fillId="59" borderId="41" xfId="0" applyNumberFormat="1" applyFont="1" applyFill="1" applyBorder="1" applyAlignment="1">
      <x:alignment horizontal="center" vertical="center"/>
    </x:xf>
    <x:xf numFmtId="0" fontId="34" fillId="59" borderId="34" xfId="0" applyNumberFormat="1" applyFont="1" applyFill="1" applyBorder="1" applyAlignment="1">
      <x:alignment horizontal="center" vertical="center"/>
    </x:xf>
    <x:xf numFmtId="0" fontId="34" fillId="59" borderId="33" xfId="0" applyNumberFormat="1" applyFont="1" applyFill="1" applyBorder="1" applyAlignment="1">
      <x:alignment horizontal="center" vertical="center"/>
    </x:xf>
    <x:xf numFmtId="0" fontId="34" fillId="59" borderId="49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horizontal="center" vertical="center" wrapText="1"/>
    </x:xf>
    <x:xf numFmtId="0" fontId="34" fillId="59" borderId="42" xfId="0" applyNumberFormat="1" applyFont="1" applyFill="1" applyBorder="1" applyAlignment="1">
      <x:alignment horizontal="center" vertical="center" wrapText="1"/>
    </x:xf>
    <x:xf numFmtId="0" fontId="34" fillId="59" borderId="37" xfId="0" applyNumberFormat="1" applyFont="1" applyFill="1" applyBorder="1" applyAlignment="1">
      <x:alignment horizontal="center" vertical="center" wrapText="1"/>
    </x:xf>
    <x:xf numFmtId="0" fontId="34" fillId="59" borderId="36" xfId="0" applyNumberFormat="1" applyFont="1" applyFill="1" applyBorder="1" applyAlignment="1">
      <x:alignment horizontal="center" vertical="center" wrapText="1"/>
    </x:xf>
    <x:xf numFmtId="0" fontId="34" fillId="59" borderId="51" xfId="0" applyNumberFormat="1" applyFont="1" applyFill="1" applyBorder="1" applyAlignment="1">
      <x:alignment horizontal="center" vertical="center" wrapText="1"/>
    </x:xf>
    <x:xf numFmtId="0" fontId="34" fillId="59" borderId="43" xfId="0" applyNumberFormat="1" applyFont="1" applyFill="1" applyBorder="1" applyAlignment="1">
      <x:alignment horizontal="center" vertical="center" wrapText="1"/>
    </x:xf>
    <x:xf numFmtId="0" fontId="34" fillId="59" xfId="0" applyNumberFormat="1" applyFont="1" applyFill="1" applyBorder="0" applyAlignment="1">
      <x:alignment horizontal="center" vertical="center" wrapText="1"/>
    </x:xf>
    <x:xf numFmtId="0" fontId="34" fillId="59" borderId="44" xfId="0" applyNumberFormat="1" applyFont="1" applyFill="1" applyBorder="1" applyAlignment="1">
      <x:alignment horizontal="center" vertical="center" wrapText="1"/>
    </x:xf>
    <x:xf numFmtId="0" fontId="34" fillId="59" borderId="5" xfId="0" applyNumberFormat="1" applyFont="1" applyFill="1" applyBorder="1" applyAlignment="1">
      <x:alignment horizontal="center" vertical="center" wrapText="1"/>
    </x:xf>
    <x:xf numFmtId="0" fontId="34" fillId="59" borderId="53" xfId="0" applyNumberFormat="1" applyFont="1" applyFill="1" applyBorder="1" applyAlignment="1">
      <x:alignment horizontal="center" vertical="center" wrapText="1"/>
    </x:xf>
    <x:xf numFmtId="0" fontId="34" fillId="59" borderId="38" xfId="0" applyNumberFormat="1" applyFont="1" applyFill="1" applyBorder="1" applyAlignment="1">
      <x:alignment horizontal="center" vertical="center" wrapText="1"/>
    </x:xf>
    <x:xf numFmtId="0" fontId="34" fillId="59" borderId="45" xfId="0" applyNumberFormat="1" applyFont="1" applyFill="1" applyBorder="1" applyAlignment="1">
      <x:alignment horizontal="center" vertical="center" wrapText="1"/>
    </x:xf>
    <x:xf numFmtId="0" fontId="34" fillId="59" borderId="40" xfId="0" applyNumberFormat="1" applyFont="1" applyFill="1" applyBorder="1" applyAlignment="1">
      <x:alignment horizontal="center" vertical="center" wrapText="1"/>
    </x:xf>
    <x:xf numFmtId="0" fontId="34" fillId="59" borderId="39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 applyAlignment="1">
      <x:alignment horizontal="center"/>
    </x:xf>
    <x:xf numFmtId="0" fontId="35" fillId="59" borderId="5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 wrapText="1"/>
    </x:xf>
    <x:xf numFmtId="0" fontId="34" fillId="59" borderId="32" xfId="0" applyNumberFormat="1" applyFont="1" applyFill="1" applyBorder="1" applyAlignment="1">
      <x:alignment horizontal="center" vertical="center" wrapText="1"/>
    </x:xf>
    <x:xf numFmtId="0" fontId="34" fillId="59" borderId="41" xfId="0" applyNumberFormat="1" applyFont="1" applyFill="1" applyBorder="1" applyAlignment="1">
      <x:alignment horizontal="center" vertical="center" wrapText="1"/>
    </x:xf>
    <x:xf numFmtId="0" fontId="34" fillId="59" borderId="34" xfId="0" applyNumberFormat="1" applyFont="1" applyFill="1" applyBorder="1" applyAlignment="1">
      <x:alignment horizontal="center" vertical="center" wrapText="1"/>
    </x:xf>
    <x:xf numFmtId="0" fontId="34" fillId="59" borderId="33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horizontal="center" wrapText="1"/>
    </x:xf>
    <x:xf numFmtId="0" fontId="35" fillId="59" borderId="5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wrapText="1"/>
    </x:xf>
    <x:xf numFmtId="0" fontId="34" fillId="59" borderId="47" xfId="0" applyNumberFormat="1" applyFont="1" applyFill="1" applyBorder="1" applyAlignment="1">
      <x:alignment horizontal="center" vertical="top" wrapText="1"/>
    </x:xf>
    <x:xf numFmtId="0" fontId="34" fillId="59" borderId="32" xfId="0" applyNumberFormat="1" applyFont="1" applyFill="1" applyBorder="1" applyAlignment="1">
      <x:alignment horizontal="center" vertical="top" wrapText="1"/>
    </x:xf>
    <x:xf numFmtId="0" fontId="34" fillId="59" borderId="41" xfId="0" applyNumberFormat="1" applyFont="1" applyFill="1" applyBorder="1" applyAlignment="1">
      <x:alignment horizontal="center" vertical="top" wrapText="1"/>
    </x:xf>
    <x:xf numFmtId="0" fontId="34" fillId="59" borderId="34" xfId="0" applyNumberFormat="1" applyFont="1" applyFill="1" applyBorder="1" applyAlignment="1">
      <x:alignment horizontal="center" vertical="top" wrapText="1"/>
    </x:xf>
    <x:xf numFmtId="0" fontId="34" fillId="59" borderId="33" xfId="0" applyNumberFormat="1" applyFont="1" applyFill="1" applyBorder="1" applyAlignment="1">
      <x:alignment horizontal="center" vertical="top" wrapText="1"/>
    </x:xf>
    <x:xf numFmtId="0" fontId="34" fillId="59" borderId="49" xfId="0" applyNumberFormat="1" applyFont="1" applyFill="1" applyBorder="1" applyAlignment="1">
      <x:alignment horizontal="center" vertical="top" wrapText="1"/>
    </x:xf>
    <x:xf numFmtId="0" fontId="34" fillId="59" borderId="35" xfId="0" applyNumberFormat="1" applyFont="1" applyFill="1" applyBorder="1" applyAlignment="1">
      <x:alignment horizontal="center" vertical="top" wrapText="1"/>
    </x:xf>
    <x:xf numFmtId="0" fontId="34" fillId="59" borderId="42" xfId="0" applyNumberFormat="1" applyFont="1" applyFill="1" applyBorder="1" applyAlignment="1">
      <x:alignment horizontal="center" vertical="top" wrapText="1"/>
    </x:xf>
    <x:xf numFmtId="0" fontId="34" fillId="59" borderId="37" xfId="0" applyNumberFormat="1" applyFont="1" applyFill="1" applyBorder="1" applyAlignment="1">
      <x:alignment horizontal="center" vertical="top" wrapText="1"/>
    </x:xf>
    <x:xf numFmtId="0" fontId="34" fillId="59" borderId="36" xfId="0" applyNumberFormat="1" applyFont="1" applyFill="1" applyBorder="1" applyAlignment="1">
      <x:alignment horizontal="center" vertical="top" wrapText="1"/>
    </x:xf>
    <x:xf numFmtId="0" fontId="34" fillId="59" borderId="51" xfId="0" applyNumberFormat="1" applyFont="1" applyFill="1" applyBorder="1" applyAlignment="1">
      <x:alignment horizontal="center" vertical="top" wrapText="1"/>
    </x:xf>
    <x:xf numFmtId="0" fontId="34" fillId="59" borderId="43" xfId="0" applyNumberFormat="1" applyFont="1" applyFill="1" applyBorder="1" applyAlignment="1">
      <x:alignment horizontal="center" vertical="top" wrapText="1"/>
    </x:xf>
    <x:xf numFmtId="0" fontId="34" fillId="59" xfId="0" applyNumberFormat="1" applyFont="1" applyFill="1" applyBorder="0" applyAlignment="1">
      <x:alignment horizontal="center" vertical="top" wrapText="1"/>
    </x:xf>
    <x:xf numFmtId="0" fontId="34" fillId="59" borderId="44" xfId="0" applyNumberFormat="1" applyFont="1" applyFill="1" applyBorder="1" applyAlignment="1">
      <x:alignment horizontal="center" vertical="top" wrapText="1"/>
    </x:xf>
    <x:xf numFmtId="0" fontId="34" fillId="59" borderId="5" xfId="0" applyNumberFormat="1" applyFont="1" applyFill="1" applyBorder="1" applyAlignment="1">
      <x:alignment horizontal="center" vertical="top" wrapText="1"/>
    </x:xf>
    <x:xf numFmtId="0" fontId="34" fillId="59" borderId="53" xfId="0" applyNumberFormat="1" applyFont="1" applyFill="1" applyBorder="1" applyAlignment="1">
      <x:alignment horizontal="center" vertical="top" wrapText="1"/>
    </x:xf>
    <x:xf numFmtId="0" fontId="34" fillId="59" borderId="38" xfId="0" applyNumberFormat="1" applyFont="1" applyFill="1" applyBorder="1" applyAlignment="1">
      <x:alignment horizontal="center" vertical="top" wrapText="1"/>
    </x:xf>
    <x:xf numFmtId="0" fontId="34" fillId="59" borderId="45" xfId="0" applyNumberFormat="1" applyFont="1" applyFill="1" applyBorder="1" applyAlignment="1">
      <x:alignment horizontal="center" vertical="top" wrapText="1"/>
    </x:xf>
    <x:xf numFmtId="0" fontId="34" fillId="59" borderId="40" xfId="0" applyNumberFormat="1" applyFont="1" applyFill="1" applyBorder="1" applyAlignment="1">
      <x:alignment horizontal="center" vertical="top" wrapText="1"/>
    </x:xf>
    <x:xf numFmtId="0" fontId="34" fillId="59" borderId="39" xfId="0" applyNumberFormat="1" applyFont="1" applyFill="1" applyBorder="1" applyAlignment="1">
      <x:alignment horizontal="center" vertical="top" wrapText="1"/>
    </x:xf>
    <x:xf numFmtId="0" fontId="35" fillId="59" borderId="4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horizontal="center" vertical="top" wrapText="1"/>
    </x:xf>
    <x:xf numFmtId="0" fontId="35" fillId="59" borderId="5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vertical="top" wrapText="1"/>
    </x:xf>
    <x:xf numFmtId="0" fontId="9" fillId="55" borderId="32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 wrapText="1"/>
    </x:xf>
    <x:xf numFmtId="0" fontId="9" fillId="55" borderId="32" xfId="0" applyNumberFormat="1" applyFont="1" applyFill="1" applyBorder="1" applyAlignment="1">
      <x:alignment horizontal="center" vertical="center"/>
    </x:xf>
    <x:xf numFmtId="0" fontId="9" fillId="55" borderId="47" xfId="0" applyNumberFormat="1" applyFont="1" applyFill="1" applyBorder="1" applyAlignment="1">
      <x:alignment horizontal="center" vertical="center" wrapText="1"/>
    </x:xf>
    <x:xf numFmtId="0" fontId="9" fillId="55" borderId="46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/>
    </x:xf>
    <x:xf numFmtId="0" fontId="9" fillId="55" borderId="33" xfId="0" applyNumberFormat="1" applyFont="1" applyFill="1" applyBorder="1" applyAlignment="1">
      <x:alignment horizontal="center" vertical="center"/>
    </x:xf>
    <x:xf numFmtId="0" fontId="36" fillId="55" borderId="32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 wrapText="1"/>
    </x:xf>
    <x:xf numFmtId="0" fontId="36" fillId="55" borderId="32" xfId="0" applyNumberFormat="1" applyFont="1" applyFill="1" applyBorder="1" applyAlignment="1">
      <x:alignment horizontal="center" vertical="center"/>
    </x:xf>
    <x:xf numFmtId="0" fontId="36" fillId="55" borderId="47" xfId="0" applyNumberFormat="1" applyFont="1" applyFill="1" applyBorder="1" applyAlignment="1">
      <x:alignment horizontal="center" vertical="center" wrapText="1"/>
    </x:xf>
    <x:xf numFmtId="0" fontId="36" fillId="55" borderId="46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/>
    </x:xf>
    <x:xf numFmtId="0" fontId="36" fillId="55" borderId="33" xfId="0" applyNumberFormat="1" applyFont="1" applyFill="1" applyBorder="1" applyAlignment="1">
      <x:alignment horizontal="center" vertical="center"/>
    </x:xf>
    <x:xf numFmtId="0" fontId="10" fillId="60" borderId="32" xfId="0" applyNumberFormat="1" applyFont="1" applyFill="1" applyBorder="1" applyAlignment="1">
      <x:alignment horizontal="center" vertical="center" wrapText="1"/>
    </x:xf>
    <x:xf numFmtId="0" fontId="10" fillId="60" borderId="34" xfId="0" applyNumberFormat="1" applyFont="1" applyFill="1" applyBorder="1" applyAlignment="1">
      <x:alignment horizontal="center" vertical="center" wrapText="1"/>
    </x:xf>
    <x:xf numFmtId="0" fontId="10" fillId="60" borderId="47" xfId="0" applyNumberFormat="1" applyFont="1" applyFill="1" applyBorder="1" applyAlignment="1">
      <x:alignment horizontal="center" vertical="center" wrapText="1"/>
    </x:xf>
    <x:xf numFmtId="0" fontId="10" fillId="60" borderId="38" xfId="0" applyNumberFormat="1" applyFont="1" applyFill="1" applyBorder="1" applyAlignment="1">
      <x:alignment horizontal="center" vertical="center" wrapText="1"/>
    </x:xf>
    <x:xf numFmtId="0" fontId="10" fillId="60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5" fillId="60" borderId="0" xfId="0" applyNumberFormat="1" applyFont="1" applyFill="1" applyBorder="1" applyAlignment="1">
      <x:alignment horizontal="left" vertical="center"/>
    </x:xf>
    <x:xf numFmtId="0" fontId="9" fillId="60" borderId="32" xfId="0" applyNumberFormat="1" applyFont="1" applyFill="1" applyBorder="1" applyAlignment="1">
      <x:alignment horizontal="center" vertical="center" wrapText="1"/>
    </x:xf>
    <x:xf numFmtId="0" fontId="9" fillId="60" borderId="41" xfId="0" applyNumberFormat="1" applyFont="1" applyFill="1" applyBorder="1" applyAlignment="1">
      <x:alignment horizontal="center" vertical="center" wrapText="1"/>
    </x:xf>
    <x:xf numFmtId="0" fontId="9" fillId="60" borderId="34" xfId="0" applyNumberFormat="1" applyFont="1" applyFill="1" applyBorder="1" applyAlignment="1">
      <x:alignment horizontal="center" vertical="center" wrapText="1"/>
    </x:xf>
    <x:xf numFmtId="0" fontId="10" fillId="60" borderId="41" xfId="0" applyNumberFormat="1" applyFont="1" applyFill="1" applyBorder="1" applyAlignment="1">
      <x:alignment horizontal="center" vertical="center" wrapText="1"/>
    </x:xf>
    <x:xf numFmtId="0" fontId="37" fillId="60" borderId="32" xfId="0" applyNumberFormat="1" applyFont="1" applyFill="1" applyBorder="1" applyAlignment="1">
      <x:alignment horizontal="center" vertical="center" wrapText="1"/>
    </x:xf>
    <x:xf numFmtId="0" fontId="37" fillId="60" borderId="34" xfId="0" applyNumberFormat="1" applyFont="1" applyFill="1" applyBorder="1" applyAlignment="1">
      <x:alignment horizontal="center" vertical="center" wrapText="1"/>
    </x:xf>
    <x:xf numFmtId="0" fontId="37" fillId="60" borderId="47" xfId="0" applyNumberFormat="1" applyFont="1" applyFill="1" applyBorder="1" applyAlignment="1">
      <x:alignment horizontal="center" vertical="center" wrapText="1"/>
    </x:xf>
    <x:xf numFmtId="0" fontId="37" fillId="60" borderId="38" xfId="0" applyNumberFormat="1" applyFont="1" applyFill="1" applyBorder="1" applyAlignment="1">
      <x:alignment horizontal="center" vertical="center" wrapText="1"/>
    </x:xf>
    <x:xf numFmtId="0" fontId="37" fillId="60" borderId="40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/>
    <x:xf numFmtId="0" fontId="37" fillId="60" borderId="0" xfId="0" applyNumberFormat="1" applyFont="1" applyFill="1" applyBorder="1" applyAlignment="1">
      <x:alignment horizontal="left" vertical="center"/>
    </x:xf>
    <x:xf numFmtId="0" fontId="37" fillId="60" borderId="41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 applyAlignment="1">
      <x:alignment wrapText="1"/>
    </x:xf>
    <x:xf numFmtId="0" fontId="37" fillId="60" borderId="0" xfId="0" applyNumberFormat="1" applyFont="1" applyFill="1" applyBorder="1" applyAlignment="1">
      <x:alignment horizontal="left" vertical="center" wrapText="1"/>
    </x:xf>
    <x:xf numFmtId="0" fontId="37" fillId="60" borderId="32" xfId="0" applyNumberFormat="1" applyFont="1" applyFill="1" applyBorder="1" applyAlignment="1">
      <x:alignment horizontal="center" vertical="top" wrapText="1"/>
    </x:xf>
    <x:xf numFmtId="0" fontId="37" fillId="60" borderId="34" xfId="0" applyNumberFormat="1" applyFont="1" applyFill="1" applyBorder="1" applyAlignment="1">
      <x:alignment horizontal="center" vertical="top" wrapText="1"/>
    </x:xf>
    <x:xf numFmtId="0" fontId="37" fillId="60" borderId="47" xfId="0" applyNumberFormat="1" applyFont="1" applyFill="1" applyBorder="1" applyAlignment="1">
      <x:alignment horizontal="center" vertical="top" wrapText="1"/>
    </x:xf>
    <x:xf numFmtId="0" fontId="37" fillId="60" borderId="38" xfId="0" applyNumberFormat="1" applyFont="1" applyFill="1" applyBorder="1" applyAlignment="1">
      <x:alignment horizontal="center" vertical="top" wrapText="1"/>
    </x:xf>
    <x:xf numFmtId="0" fontId="37" fillId="60" borderId="40" xfId="0" applyNumberFormat="1" applyFont="1" applyFill="1" applyBorder="1" applyAlignment="1">
      <x:alignment horizontal="center" vertical="top" wrapText="1"/>
    </x:xf>
    <x:xf numFmtId="0" fontId="38" fillId="60" borderId="0" xfId="0" applyNumberFormat="1" applyFont="1" applyFill="1" applyBorder="1" applyAlignment="1">
      <x:alignment vertical="top" wrapText="1"/>
    </x:xf>
    <x:xf numFmtId="0" fontId="37" fillId="60" borderId="0" xfId="0" applyNumberFormat="1" applyFont="1" applyFill="1" applyBorder="1" applyAlignment="1">
      <x:alignment horizontal="left" vertical="top" wrapText="1"/>
    </x:xf>
    <x:xf numFmtId="0" fontId="37" fillId="60" borderId="41" xfId="0" applyNumberFormat="1" applyFont="1" applyFill="1" applyBorder="1" applyAlignment="1">
      <x:alignment horizontal="center" vertical="top" wrapText="1"/>
    </x:xf>
    <x:xf numFmtId="0" fontId="10" fillId="56" borderId="34" xfId="0" applyNumberFormat="1" applyFont="1" applyFill="1" applyBorder="1" applyAlignment="1">
      <x:alignment horizontal="center" vertical="center" wrapText="1"/>
    </x:xf>
    <x:xf numFmtId="0" fontId="10" fillId="56" borderId="46" xfId="0" applyNumberFormat="1" applyFont="1" applyFill="1" applyBorder="1" applyAlignment="1">
      <x:alignment horizontal="center" vertical="center" wrapText="1"/>
    </x:xf>
    <x:xf numFmtId="0" fontId="10" fillId="56" borderId="32" xfId="0" applyNumberFormat="1" applyFont="1" applyFill="1" applyBorder="1" applyAlignment="1">
      <x:alignment horizontal="center" vertical="center" wrapText="1"/>
    </x:xf>
    <x:xf numFmtId="0" fontId="5" fillId="56" borderId="0" xfId="0" applyNumberFormat="1" applyFont="1" applyFill="1" applyBorder="1" applyAlignment="1">
      <x:alignment horizontal="left" vertical="center"/>
    </x:xf>
    <x:xf numFmtId="0" fontId="9" fillId="56" borderId="32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/>
    </x:xf>
    <x:xf numFmtId="0" fontId="10" fillId="56" borderId="41" xfId="0" applyNumberFormat="1" applyFont="1" applyFill="1" applyBorder="1" applyAlignment="1">
      <x:alignment horizontal="center" vertical="center" wrapText="1"/>
    </x:xf>
    <x:xf numFmtId="0" fontId="31" fillId="56" borderId="0" xfId="0" applyNumberFormat="1" applyFont="1" applyFill="1" applyBorder="1" applyAlignment="1">
      <x:alignment horizontal="left" vertical="center"/>
    </x:xf>
    <x:xf numFmtId="0" fontId="31" fillId="56" borderId="32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/>
    </x:xf>
    <x:xf numFmtId="0" fontId="31" fillId="56" borderId="0" xfId="0" applyNumberFormat="1" applyFont="1" applyFill="1" applyBorder="1" applyAlignment="1">
      <x:alignment horizontal="left" vertical="center" wrapText="1"/>
    </x:xf>
    <x:xf numFmtId="0" fontId="31" fillId="56" borderId="0" xfId="0" applyNumberFormat="1" applyFont="1" applyFill="1" applyBorder="1" applyAlignment="1">
      <x:alignment horizontal="left" vertical="top" wrapText="1"/>
    </x:xf>
    <x:xf numFmtId="0" fontId="10" fillId="61" borderId="32" xfId="0" applyNumberFormat="1" applyFont="1" applyFill="1" applyBorder="1" applyAlignment="1">
      <x:alignment horizontal="center" vertical="center" wrapText="1"/>
    </x:xf>
    <x:xf numFmtId="0" fontId="10" fillId="61" borderId="34" xfId="0" applyNumberFormat="1" applyFont="1" applyFill="1" applyBorder="1" applyAlignment="1">
      <x:alignment horizontal="center" vertical="center" wrapText="1"/>
    </x:xf>
    <x:xf numFmtId="0" fontId="10" fillId="61" borderId="41" xfId="0" applyNumberFormat="1" applyFont="1" applyFill="1" applyBorder="1" applyAlignment="1">
      <x:alignment horizontal="center" vertical="center" wrapText="1"/>
    </x:xf>
    <x:xf numFmtId="0" fontId="10" fillId="61" borderId="38" xfId="0" applyNumberFormat="1" applyFont="1" applyFill="1" applyBorder="1" applyAlignment="1">
      <x:alignment horizontal="center" vertical="center" wrapText="1"/>
    </x:xf>
    <x:xf numFmtId="0" fontId="10" fillId="61" borderId="40" xfId="0" applyNumberFormat="1" applyFont="1" applyFill="1" applyBorder="1" applyAlignment="1">
      <x:alignment horizontal="center" vertical="center" wrapText="1"/>
    </x:xf>
    <x:xf numFmtId="0" fontId="10" fillId="61" borderId="45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5" fillId="61" borderId="0" xfId="0" applyNumberFormat="1" applyFont="1" applyFill="1" applyBorder="1" applyAlignment="1">
      <x:alignment horizontal="left" vertical="center"/>
    </x:xf>
    <x:xf numFmtId="0" fontId="9" fillId="61" borderId="41" xfId="0" applyNumberFormat="1" applyFont="1" applyFill="1" applyBorder="1" applyAlignment="1">
      <x:alignment horizontal="center" vertical="center"/>
    </x:xf>
    <x:xf numFmtId="0" fontId="9" fillId="61" borderId="34" xfId="0" applyNumberFormat="1" applyFont="1" applyFill="1" applyBorder="1" applyAlignment="1">
      <x:alignment horizontal="center" vertical="center"/>
    </x:xf>
    <x:xf numFmtId="0" fontId="9" fillId="61" borderId="32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 wrapText="1"/>
    </x:xf>
    <x:xf numFmtId="0" fontId="39" fillId="61" borderId="34" xfId="0" applyNumberFormat="1" applyFont="1" applyFill="1" applyBorder="1" applyAlignment="1">
      <x:alignment horizontal="center" vertical="center" wrapText="1"/>
    </x:xf>
    <x:xf numFmtId="0" fontId="39" fillId="61" borderId="41" xfId="0" applyNumberFormat="1" applyFont="1" applyFill="1" applyBorder="1" applyAlignment="1">
      <x:alignment horizontal="center" vertical="center" wrapText="1"/>
    </x:xf>
    <x:xf numFmtId="0" fontId="39" fillId="61" borderId="38" xfId="0" applyNumberFormat="1" applyFont="1" applyFill="1" applyBorder="1" applyAlignment="1">
      <x:alignment horizontal="center" vertical="center" wrapText="1"/>
    </x:xf>
    <x:xf numFmtId="0" fontId="39" fillId="61" borderId="40" xfId="0" applyNumberFormat="1" applyFont="1" applyFill="1" applyBorder="1" applyAlignment="1">
      <x:alignment horizontal="center" vertical="center" wrapText="1"/>
    </x:xf>
    <x:xf numFmtId="0" fontId="39" fillId="61" borderId="45" xfId="0" applyNumberFormat="1" applyFont="1" applyFill="1" applyBorder="1" applyAlignment="1">
      <x:alignment horizontal="center" vertical="center" wrapText="1"/>
    </x:xf>
    <x:xf numFmtId="0" fontId="40" fillId="61" borderId="0" xfId="0" applyNumberFormat="1" applyFont="1" applyFill="1" applyBorder="1"/>
    <x:xf numFmtId="0" fontId="39" fillId="61" borderId="0" xfId="0" applyNumberFormat="1" applyFont="1" applyFill="1" applyBorder="1" applyAlignment="1">
      <x:alignment horizontal="left" vertical="center"/>
    </x:xf>
    <x:xf numFmtId="0" fontId="39" fillId="61" borderId="41" xfId="0" applyNumberFormat="1" applyFont="1" applyFill="1" applyBorder="1" applyAlignment="1">
      <x:alignment horizontal="center" vertical="center"/>
    </x:xf>
    <x:xf numFmtId="0" fontId="39" fillId="61" borderId="34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/>
    </x:xf>
    <x:xf numFmtId="0" fontId="40" fillId="61" borderId="0" xfId="0" applyNumberFormat="1" applyFont="1" applyFill="1" applyBorder="1" applyAlignment="1">
      <x:alignment wrapText="1"/>
    </x:xf>
    <x:xf numFmtId="0" fontId="39" fillId="61" borderId="0" xfId="0" applyNumberFormat="1" applyFont="1" applyFill="1" applyBorder="1" applyAlignment="1">
      <x:alignment horizontal="left" vertical="center" wrapText="1"/>
    </x:xf>
    <x:xf numFmtId="0" fontId="39" fillId="61" borderId="32" xfId="0" applyNumberFormat="1" applyFont="1" applyFill="1" applyBorder="1" applyAlignment="1">
      <x:alignment horizontal="center" vertical="top" wrapText="1"/>
    </x:xf>
    <x:xf numFmtId="0" fontId="39" fillId="61" borderId="34" xfId="0" applyNumberFormat="1" applyFont="1" applyFill="1" applyBorder="1" applyAlignment="1">
      <x:alignment horizontal="center" vertical="top" wrapText="1"/>
    </x:xf>
    <x:xf numFmtId="0" fontId="39" fillId="61" borderId="41" xfId="0" applyNumberFormat="1" applyFont="1" applyFill="1" applyBorder="1" applyAlignment="1">
      <x:alignment horizontal="center" vertical="top" wrapText="1"/>
    </x:xf>
    <x:xf numFmtId="0" fontId="39" fillId="61" borderId="38" xfId="0" applyNumberFormat="1" applyFont="1" applyFill="1" applyBorder="1" applyAlignment="1">
      <x:alignment horizontal="center" vertical="top" wrapText="1"/>
    </x:xf>
    <x:xf numFmtId="0" fontId="39" fillId="61" borderId="40" xfId="0" applyNumberFormat="1" applyFont="1" applyFill="1" applyBorder="1" applyAlignment="1">
      <x:alignment horizontal="center" vertical="top" wrapText="1"/>
    </x:xf>
    <x:xf numFmtId="0" fontId="39" fillId="61" borderId="45" xfId="0" applyNumberFormat="1" applyFont="1" applyFill="1" applyBorder="1" applyAlignment="1">
      <x:alignment horizontal="center" vertical="top" wrapText="1"/>
    </x:xf>
    <x:xf numFmtId="0" fontId="40" fillId="61" borderId="0" xfId="0" applyNumberFormat="1" applyFont="1" applyFill="1" applyBorder="1" applyAlignment="1">
      <x:alignment vertical="top" wrapText="1"/>
    </x:xf>
    <x:xf numFmtId="0" fontId="39" fillId="61" borderId="0" xfId="0" applyNumberFormat="1" applyFont="1" applyFill="1" applyBorder="1" applyAlignment="1">
      <x:alignment horizontal="left" vertical="top" wrapText="1"/>
    </x:xf>
    <x:xf numFmtId="0" fontId="0" fillId="57" borderId="4" xfId="0" applyNumberFormat="1" applyFont="1" applyFill="1" applyBorder="1"/>
    <x:xf numFmtId="0" fontId="0" fillId="57" borderId="0" xfId="0" applyNumberFormat="1" applyFont="1" applyFill="1" applyBorder="1"/>
    <x:xf numFmtId="0" fontId="0" fillId="57" borderId="5" xfId="0" applyNumberFormat="1" applyFont="1" applyFill="1" applyBorder="1"/>
    <x:xf numFmtId="0" fontId="36" fillId="57" borderId="4" xfId="0" applyNumberFormat="1" applyFont="1" applyFill="1" applyBorder="1"/>
    <x:xf numFmtId="0" fontId="36" fillId="57" borderId="0" xfId="0" applyNumberFormat="1" applyFont="1" applyFill="1" applyBorder="1"/>
    <x:xf numFmtId="0" fontId="36" fillId="57" borderId="5" xfId="0" applyNumberFormat="1" applyFont="1" applyFill="1" applyBorder="1"/>
    <x:xf numFmtId="0" fontId="5" fillId="62" borderId="4" xfId="0" applyNumberFormat="1" applyFont="1" applyFill="1" applyBorder="1" applyAlignment="1">
      <x:alignment horizontal="left" vertical="center"/>
    </x:xf>
    <x:xf numFmtId="0" fontId="5" fillId="62" borderId="0" xfId="0" applyNumberFormat="1" applyFont="1" applyFill="1" applyBorder="1" applyAlignment="1">
      <x:alignment horizontal="left" vertical="center"/>
    </x:xf>
    <x:xf numFmtId="0" fontId="2" fillId="62" borderId="4" xfId="0" applyNumberFormat="1" applyFont="1" applyFill="1" applyBorder="1" applyAlignment="1">
      <x:alignment horizontal="center" vertical="center" wrapText="1"/>
    </x:xf>
    <x:xf numFmtId="0" fontId="2" fillId="62" borderId="0" xfId="0" applyNumberFormat="1" applyFont="1" applyFill="1" applyBorder="1" applyAlignment="1">
      <x:alignment horizontal="center" vertical="center" wrapText="1"/>
    </x:xf>
    <x:xf numFmtId="0" fontId="12" fillId="62" borderId="35" xfId="0" applyNumberFormat="1" applyFont="1" applyFill="1" applyBorder="1" applyAlignment="1">
      <x:alignment vertical="top" wrapText="1"/>
    </x:xf>
    <x:xf numFmtId="0" fontId="12" fillId="62" borderId="42" xfId="0" applyNumberFormat="1" applyFont="1" applyFill="1" applyBorder="1" applyAlignment="1">
      <x:alignment vertical="top" wrapText="1"/>
    </x:xf>
    <x:xf numFmtId="0" fontId="12" fillId="62" borderId="37" xfId="0" applyNumberFormat="1" applyFont="1" applyFill="1" applyBorder="1" applyAlignment="1">
      <x:alignment vertical="top" wrapText="1"/>
    </x:xf>
    <x:xf numFmtId="0" fontId="12" fillId="62" borderId="43" xfId="0" applyNumberFormat="1" applyFont="1" applyFill="1" applyBorder="1" applyAlignment="1">
      <x:alignment vertical="top" wrapText="1"/>
    </x:xf>
    <x:xf numFmtId="0" fontId="12" fillId="62" xfId="0" applyNumberFormat="1" applyFont="1" applyFill="1" applyBorder="0" applyAlignment="1">
      <x:alignment vertical="top" wrapText="1"/>
    </x:xf>
    <x:xf numFmtId="0" fontId="12" fillId="62" borderId="44" xfId="0" applyNumberFormat="1" applyFont="1" applyFill="1" applyBorder="1" applyAlignment="1">
      <x:alignment vertical="top" wrapText="1"/>
    </x:xf>
    <x:xf numFmtId="0" fontId="2" fillId="62" borderId="43" xfId="0" applyNumberFormat="1" applyFont="1" applyFill="1" applyBorder="1" applyAlignment="1">
      <x:alignment vertical="center" wrapText="1"/>
    </x:xf>
    <x:xf numFmtId="0" fontId="2" fillId="62" xfId="0" applyNumberFormat="1" applyFont="1" applyFill="1" applyBorder="0" applyAlignment="1">
      <x:alignment vertical="center" wrapText="1"/>
    </x:xf>
    <x:xf numFmtId="0" fontId="2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4" xfId="0" applyNumberFormat="1" applyFont="1" applyFill="1" applyBorder="1" applyAlignment="1">
      <x:alignment horizontal="center" vertical="center" wrapText="1"/>
    </x:xf>
    <x:xf numFmtId="0" fontId="41" fillId="62" borderId="0" xfId="0" applyNumberFormat="1" applyFont="1" applyFill="1" applyBorder="1" applyAlignment="1">
      <x:alignment horizontal="center" vertical="center" wrapText="1"/>
    </x:xf>
    <x:xf numFmtId="0" fontId="42" fillId="62" borderId="35" xfId="0" applyNumberFormat="1" applyFont="1" applyFill="1" applyBorder="1" applyAlignment="1">
      <x:alignment vertical="top" wrapText="1"/>
    </x:xf>
    <x:xf numFmtId="0" fontId="42" fillId="62" borderId="42" xfId="0" applyNumberFormat="1" applyFont="1" applyFill="1" applyBorder="1" applyAlignment="1">
      <x:alignment vertical="top" wrapText="1"/>
    </x:xf>
    <x:xf numFmtId="0" fontId="42" fillId="62" borderId="37" xfId="0" applyNumberFormat="1" applyFont="1" applyFill="1" applyBorder="1" applyAlignment="1">
      <x:alignment vertical="top" wrapText="1"/>
    </x:xf>
    <x:xf numFmtId="0" fontId="42" fillId="62" borderId="43" xfId="0" applyNumberFormat="1" applyFont="1" applyFill="1" applyBorder="1" applyAlignment="1">
      <x:alignment vertical="top" wrapText="1"/>
    </x:xf>
    <x:xf numFmtId="0" fontId="42" fillId="62" xfId="0" applyNumberFormat="1" applyFont="1" applyFill="1" applyBorder="0" applyAlignment="1">
      <x:alignment vertical="top" wrapText="1"/>
    </x:xf>
    <x:xf numFmtId="0" fontId="42" fillId="62" borderId="44" xfId="0" applyNumberFormat="1" applyFont="1" applyFill="1" applyBorder="1" applyAlignment="1">
      <x:alignment vertical="top" wrapText="1"/>
    </x:xf>
    <x:xf numFmtId="0" fontId="41" fillId="62" borderId="43" xfId="0" applyNumberFormat="1" applyFont="1" applyFill="1" applyBorder="1" applyAlignment="1">
      <x:alignment vertical="center" wrapText="1"/>
    </x:xf>
    <x:xf numFmtId="0" fontId="41" fillId="62" xfId="0" applyNumberFormat="1" applyFont="1" applyFill="1" applyBorder="0" applyAlignment="1">
      <x:alignment vertical="center" wrapText="1"/>
    </x:xf>
    <x:xf numFmtId="0" fontId="41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 wrapText="1"/>
    </x:xf>
    <x:xf numFmtId="0" fontId="41" fillId="62" borderId="0" xfId="0" applyNumberFormat="1" applyFont="1" applyFill="1" applyBorder="1" applyAlignment="1">
      <x:alignment horizontal="left" vertical="center" wrapText="1"/>
    </x:xf>
    <x:xf numFmtId="0" fontId="41" fillId="62" borderId="4" xfId="0" applyNumberFormat="1" applyFont="1" applyFill="1" applyBorder="1" applyAlignment="1">
      <x:alignment horizontal="left" vertical="top" wrapText="1"/>
    </x:xf>
    <x:xf numFmtId="0" fontId="41" fillId="62" borderId="0" xfId="0" applyNumberFormat="1" applyFont="1" applyFill="1" applyBorder="1" applyAlignment="1">
      <x:alignment horizontal="left" vertical="top" wrapText="1"/>
    </x:xf>
    <x:xf numFmtId="0" fontId="41" fillId="62" borderId="4" xfId="0" applyNumberFormat="1" applyFont="1" applyFill="1" applyBorder="1" applyAlignment="1">
      <x:alignment horizontal="center" vertical="top" wrapText="1"/>
    </x:xf>
    <x:xf numFmtId="0" fontId="41" fillId="62" borderId="0" xfId="0" applyNumberFormat="1" applyFont="1" applyFill="1" applyBorder="1" applyAlignment="1">
      <x:alignment horizontal="center" vertical="top" wrapText="1"/>
    </x:xf>
    <x:xf numFmtId="0" fontId="41" fillId="62" borderId="43" xfId="0" applyNumberFormat="1" applyFont="1" applyFill="1" applyBorder="1" applyAlignment="1">
      <x:alignment vertical="top" wrapText="1"/>
    </x:xf>
    <x:xf numFmtId="0" fontId="41" fillId="62" xfId="0" applyNumberFormat="1" applyFont="1" applyFill="1" applyBorder="0" applyAlignment="1">
      <x:alignment vertical="top" wrapText="1"/>
    </x:xf>
    <x:xf numFmtId="0" fontId="41" fillId="62" borderId="44" xfId="0" applyNumberFormat="1" applyFont="1" applyFill="1" applyBorder="1" applyAlignment="1">
      <x:alignment vertical="top" wrapText="1"/>
    </x:xf>
    <x:xf numFmtId="0" fontId="5" fillId="60" borderId="5" xfId="0" applyNumberFormat="1" applyFont="1" applyFill="1" applyBorder="1" applyAlignment="1">
      <x:alignment horizontal="left" vertical="center"/>
    </x:xf>
    <x:xf numFmtId="0" fontId="2" fillId="60" borderId="0" xfId="0" applyNumberFormat="1" applyFont="1" applyFill="1" applyBorder="1" applyAlignment="1">
      <x:alignment horizontal="center" vertical="center" wrapText="1"/>
    </x:xf>
    <x:xf numFmtId="0" fontId="2" fillId="60" borderId="5" xfId="0" applyNumberFormat="1" applyFont="1" applyFill="1" applyBorder="1" applyAlignment="1">
      <x:alignment horizontal="center" vertical="center" wrapText="1"/>
    </x:xf>
    <x:xf numFmtId="0" fontId="12" fillId="60" borderId="35" xfId="0" applyNumberFormat="1" applyFont="1" applyFill="1" applyBorder="1" applyAlignment="1">
      <x:alignment vertical="top" wrapText="1"/>
    </x:xf>
    <x:xf numFmtId="0" fontId="12" fillId="60" borderId="42" xfId="0" applyNumberFormat="1" applyFont="1" applyFill="1" applyBorder="1" applyAlignment="1">
      <x:alignment vertical="top" wrapText="1"/>
    </x:xf>
    <x:xf numFmtId="0" fontId="12" fillId="60" borderId="37" xfId="0" applyNumberFormat="1" applyFont="1" applyFill="1" applyBorder="1" applyAlignment="1">
      <x:alignment vertical="top" wrapText="1"/>
    </x:xf>
    <x:xf numFmtId="0" fontId="12" fillId="60" borderId="43" xfId="0" applyNumberFormat="1" applyFont="1" applyFill="1" applyBorder="1" applyAlignment="1">
      <x:alignment vertical="top" wrapText="1"/>
    </x:xf>
    <x:xf numFmtId="0" fontId="12" fillId="60" xfId="0" applyNumberFormat="1" applyFont="1" applyFill="1" applyBorder="0" applyAlignment="1">
      <x:alignment vertical="top" wrapText="1"/>
    </x:xf>
    <x:xf numFmtId="0" fontId="12" fillId="60" borderId="44" xfId="0" applyNumberFormat="1" applyFont="1" applyFill="1" applyBorder="1" applyAlignment="1">
      <x:alignment vertical="top" wrapText="1"/>
    </x:xf>
    <x:xf numFmtId="0" fontId="2" fillId="60" borderId="43" xfId="0" applyNumberFormat="1" applyFont="1" applyFill="1" applyBorder="1" applyAlignment="1">
      <x:alignment vertical="center" wrapText="1"/>
    </x:xf>
    <x:xf numFmtId="0" fontId="2" fillId="60" xfId="0" applyNumberFormat="1" applyFont="1" applyFill="1" applyBorder="0" applyAlignment="1">
      <x:alignment vertical="center" wrapText="1"/>
    </x:xf>
    <x:xf numFmtId="0" fontId="2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/>
    </x:xf>
    <x:xf numFmtId="0" fontId="37" fillId="60" borderId="0" xfId="0" applyNumberFormat="1" applyFont="1" applyFill="1" applyBorder="1" applyAlignment="1">
      <x:alignment horizontal="center" vertical="center" wrapText="1"/>
    </x:xf>
    <x:xf numFmtId="0" fontId="37" fillId="60" borderId="5" xfId="0" applyNumberFormat="1" applyFont="1" applyFill="1" applyBorder="1" applyAlignment="1">
      <x:alignment horizontal="center" vertical="center" wrapText="1"/>
    </x:xf>
    <x:xf numFmtId="0" fontId="38" fillId="60" borderId="35" xfId="0" applyNumberFormat="1" applyFont="1" applyFill="1" applyBorder="1" applyAlignment="1">
      <x:alignment vertical="top" wrapText="1"/>
    </x:xf>
    <x:xf numFmtId="0" fontId="38" fillId="60" borderId="42" xfId="0" applyNumberFormat="1" applyFont="1" applyFill="1" applyBorder="1" applyAlignment="1">
      <x:alignment vertical="top" wrapText="1"/>
    </x:xf>
    <x:xf numFmtId="0" fontId="38" fillId="60" borderId="37" xfId="0" applyNumberFormat="1" applyFont="1" applyFill="1" applyBorder="1" applyAlignment="1">
      <x:alignment vertical="top" wrapText="1"/>
    </x:xf>
    <x:xf numFmtId="0" fontId="38" fillId="60" borderId="43" xfId="0" applyNumberFormat="1" applyFont="1" applyFill="1" applyBorder="1" applyAlignment="1">
      <x:alignment vertical="top" wrapText="1"/>
    </x:xf>
    <x:xf numFmtId="0" fontId="38" fillId="60" xfId="0" applyNumberFormat="1" applyFont="1" applyFill="1" applyBorder="0" applyAlignment="1">
      <x:alignment vertical="top" wrapText="1"/>
    </x:xf>
    <x:xf numFmtId="0" fontId="38" fillId="60" borderId="44" xfId="0" applyNumberFormat="1" applyFont="1" applyFill="1" applyBorder="1" applyAlignment="1">
      <x:alignment vertical="top" wrapText="1"/>
    </x:xf>
    <x:xf numFmtId="0" fontId="37" fillId="60" borderId="43" xfId="0" applyNumberFormat="1" applyFont="1" applyFill="1" applyBorder="1" applyAlignment="1">
      <x:alignment vertical="center" wrapText="1"/>
    </x:xf>
    <x:xf numFmtId="0" fontId="37" fillId="60" xfId="0" applyNumberFormat="1" applyFont="1" applyFill="1" applyBorder="0" applyAlignment="1">
      <x:alignment vertical="center" wrapText="1"/>
    </x:xf>
    <x:xf numFmtId="0" fontId="37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 wrapText="1"/>
    </x:xf>
    <x:xf numFmtId="0" fontId="37" fillId="60" borderId="5" xfId="0" applyNumberFormat="1" applyFont="1" applyFill="1" applyBorder="1" applyAlignment="1">
      <x:alignment horizontal="left" vertical="top" wrapText="1"/>
    </x:xf>
    <x:xf numFmtId="0" fontId="37" fillId="60" borderId="0" xfId="0" applyNumberFormat="1" applyFont="1" applyFill="1" applyBorder="1" applyAlignment="1">
      <x:alignment horizontal="center" vertical="top" wrapText="1"/>
    </x:xf>
    <x:xf numFmtId="0" fontId="37" fillId="60" borderId="5" xfId="0" applyNumberFormat="1" applyFont="1" applyFill="1" applyBorder="1" applyAlignment="1">
      <x:alignment horizontal="center" vertical="top" wrapText="1"/>
    </x:xf>
    <x:xf numFmtId="0" fontId="37" fillId="60" borderId="43" xfId="0" applyNumberFormat="1" applyFont="1" applyFill="1" applyBorder="1" applyAlignment="1">
      <x:alignment vertical="top" wrapText="1"/>
    </x:xf>
    <x:xf numFmtId="0" fontId="37" fillId="60" xfId="0" applyNumberFormat="1" applyFont="1" applyFill="1" applyBorder="0" applyAlignment="1">
      <x:alignment vertical="top" wrapText="1"/>
    </x:xf>
    <x:xf numFmtId="0" fontId="37" fillId="60" borderId="44" xfId="0" applyNumberFormat="1" applyFont="1" applyFill="1" applyBorder="1" applyAlignment="1">
      <x:alignment vertical="top" wrapText="1"/>
    </x:xf>
    <x:xf numFmtId="0" fontId="5" fillId="63" borderId="0" xfId="0" applyNumberFormat="1" applyFont="1" applyFill="1" applyBorder="1" applyAlignment="1">
      <x:alignment horizontal="left" vertical="center"/>
    </x:xf>
    <x:xf numFmtId="0" fontId="2" fillId="63" borderId="0" xfId="0" applyNumberFormat="1" applyFont="1" applyFill="1" applyBorder="1" applyAlignment="1">
      <x:alignment horizontal="center" vertical="center" wrapText="1"/>
    </x:xf>
    <x:xf numFmtId="0" fontId="12" fillId="63" borderId="35" xfId="0" applyNumberFormat="1" applyFont="1" applyFill="1" applyBorder="1" applyAlignment="1">
      <x:alignment vertical="top" wrapText="1"/>
    </x:xf>
    <x:xf numFmtId="0" fontId="12" fillId="63" borderId="42" xfId="0" applyNumberFormat="1" applyFont="1" applyFill="1" applyBorder="1" applyAlignment="1">
      <x:alignment vertical="top" wrapText="1"/>
    </x:xf>
    <x:xf numFmtId="0" fontId="12" fillId="63" borderId="37" xfId="0" applyNumberFormat="1" applyFont="1" applyFill="1" applyBorder="1" applyAlignment="1">
      <x:alignment vertical="top" wrapText="1"/>
    </x:xf>
    <x:xf numFmtId="0" fontId="12" fillId="63" borderId="43" xfId="0" applyNumberFormat="1" applyFont="1" applyFill="1" applyBorder="1" applyAlignment="1">
      <x:alignment vertical="top" wrapText="1"/>
    </x:xf>
    <x:xf numFmtId="0" fontId="12" fillId="63" xfId="0" applyNumberFormat="1" applyFont="1" applyFill="1" applyBorder="0" applyAlignment="1">
      <x:alignment vertical="top" wrapText="1"/>
    </x:xf>
    <x:xf numFmtId="0" fontId="12" fillId="63" borderId="44" xfId="0" applyNumberFormat="1" applyFont="1" applyFill="1" applyBorder="1" applyAlignment="1">
      <x:alignment vertical="top" wrapText="1"/>
    </x:xf>
    <x:xf numFmtId="0" fontId="2" fillId="63" borderId="43" xfId="0" applyNumberFormat="1" applyFont="1" applyFill="1" applyBorder="1" applyAlignment="1">
      <x:alignment vertical="center" wrapText="1"/>
    </x:xf>
    <x:xf numFmtId="0" fontId="2" fillId="63" xfId="0" applyNumberFormat="1" applyFont="1" applyFill="1" applyBorder="0" applyAlignment="1">
      <x:alignment vertical="center" wrapText="1"/>
    </x:xf>
    <x:xf numFmtId="0" fontId="2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/>
    </x:xf>
    <x:xf numFmtId="0" fontId="43" fillId="63" borderId="0" xfId="0" applyNumberFormat="1" applyFont="1" applyFill="1" applyBorder="1" applyAlignment="1">
      <x:alignment horizontal="center" vertical="center" wrapText="1"/>
    </x:xf>
    <x:xf numFmtId="0" fontId="44" fillId="63" borderId="35" xfId="0" applyNumberFormat="1" applyFont="1" applyFill="1" applyBorder="1" applyAlignment="1">
      <x:alignment vertical="top" wrapText="1"/>
    </x:xf>
    <x:xf numFmtId="0" fontId="44" fillId="63" borderId="42" xfId="0" applyNumberFormat="1" applyFont="1" applyFill="1" applyBorder="1" applyAlignment="1">
      <x:alignment vertical="top" wrapText="1"/>
    </x:xf>
    <x:xf numFmtId="0" fontId="44" fillId="63" borderId="37" xfId="0" applyNumberFormat="1" applyFont="1" applyFill="1" applyBorder="1" applyAlignment="1">
      <x:alignment vertical="top" wrapText="1"/>
    </x:xf>
    <x:xf numFmtId="0" fontId="44" fillId="63" borderId="43" xfId="0" applyNumberFormat="1" applyFont="1" applyFill="1" applyBorder="1" applyAlignment="1">
      <x:alignment vertical="top" wrapText="1"/>
    </x:xf>
    <x:xf numFmtId="0" fontId="44" fillId="63" xfId="0" applyNumberFormat="1" applyFont="1" applyFill="1" applyBorder="0" applyAlignment="1">
      <x:alignment vertical="top" wrapText="1"/>
    </x:xf>
    <x:xf numFmtId="0" fontId="44" fillId="63" borderId="44" xfId="0" applyNumberFormat="1" applyFont="1" applyFill="1" applyBorder="1" applyAlignment="1">
      <x:alignment vertical="top" wrapText="1"/>
    </x:xf>
    <x:xf numFmtId="0" fontId="43" fillId="63" borderId="43" xfId="0" applyNumberFormat="1" applyFont="1" applyFill="1" applyBorder="1" applyAlignment="1">
      <x:alignment vertical="center" wrapText="1"/>
    </x:xf>
    <x:xf numFmtId="0" fontId="43" fillId="63" xfId="0" applyNumberFormat="1" applyFont="1" applyFill="1" applyBorder="0" applyAlignment="1">
      <x:alignment vertical="center" wrapText="1"/>
    </x:xf>
    <x:xf numFmtId="0" fontId="43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 wrapText="1"/>
    </x:xf>
    <x:xf numFmtId="0" fontId="43" fillId="63" borderId="0" xfId="0" applyNumberFormat="1" applyFont="1" applyFill="1" applyBorder="1" applyAlignment="1">
      <x:alignment horizontal="left" vertical="top" wrapText="1"/>
    </x:xf>
    <x:xf numFmtId="0" fontId="43" fillId="63" borderId="0" xfId="0" applyNumberFormat="1" applyFont="1" applyFill="1" applyBorder="1" applyAlignment="1">
      <x:alignment horizontal="center" vertical="top" wrapText="1"/>
    </x:xf>
    <x:xf numFmtId="0" fontId="43" fillId="63" borderId="43" xfId="0" applyNumberFormat="1" applyFont="1" applyFill="1" applyBorder="1" applyAlignment="1">
      <x:alignment vertical="top" wrapText="1"/>
    </x:xf>
    <x:xf numFmtId="0" fontId="43" fillId="63" xfId="0" applyNumberFormat="1" applyFont="1" applyFill="1" applyBorder="0" applyAlignment="1">
      <x:alignment vertical="top" wrapText="1"/>
    </x:xf>
    <x:xf numFmtId="0" fontId="43" fillId="63" borderId="44" xfId="0" applyNumberFormat="1" applyFont="1" applyFill="1" applyBorder="1" applyAlignment="1">
      <x:alignment vertical="top" wrapText="1"/>
    </x:xf>
    <x:xf numFmtId="0" fontId="5" fillId="59" borderId="0" xfId="0" applyNumberFormat="1" applyFont="1" applyFill="1" applyBorder="1" applyAlignment="1">
      <x:alignment horizontal="left" vertical="center"/>
    </x:xf>
    <x:xf numFmtId="0" fontId="2" fillId="59" borderId="0" xfId="0" applyNumberFormat="1" applyFont="1" applyFill="1" applyBorder="1" applyAlignment="1">
      <x:alignment horizontal="center" vertical="center" wrapText="1"/>
    </x:xf>
    <x:xf numFmtId="0" fontId="13" fillId="59" borderId="35" xfId="0" applyNumberFormat="1" applyFont="1" applyFill="1" applyBorder="1" applyAlignment="1">
      <x:alignment vertical="top" wrapText="1"/>
    </x:xf>
    <x:xf numFmtId="0" fontId="13" fillId="59" borderId="42" xfId="0" applyNumberFormat="1" applyFont="1" applyFill="1" applyBorder="1" applyAlignment="1">
      <x:alignment vertical="top" wrapText="1"/>
    </x:xf>
    <x:xf numFmtId="0" fontId="13" fillId="59" borderId="37" xfId="0" applyNumberFormat="1" applyFont="1" applyFill="1" applyBorder="1" applyAlignment="1">
      <x:alignment vertical="top" wrapText="1"/>
    </x:xf>
    <x:xf numFmtId="0" fontId="13" fillId="59" borderId="43" xfId="0" applyNumberFormat="1" applyFont="1" applyFill="1" applyBorder="1" applyAlignment="1">
      <x:alignment vertical="top" wrapText="1"/>
    </x:xf>
    <x:xf numFmtId="0" fontId="13" fillId="59" xfId="0" applyNumberFormat="1" applyFont="1" applyFill="1" applyBorder="0" applyAlignment="1">
      <x:alignment vertical="top" wrapText="1"/>
    </x:xf>
    <x:xf numFmtId="0" fontId="13" fillId="59" borderId="44" xfId="0" applyNumberFormat="1" applyFont="1" applyFill="1" applyBorder="1" applyAlignment="1">
      <x:alignment vertical="top" wrapText="1"/>
    </x:xf>
    <x:xf numFmtId="0" fontId="9" fillId="59" borderId="43" xfId="0" applyNumberFormat="1" applyFont="1" applyFill="1" applyBorder="1" applyAlignment="1">
      <x:alignment vertical="center" wrapText="1"/>
    </x:xf>
    <x:xf numFmtId="0" fontId="9" fillId="59" xfId="0" applyNumberFormat="1" applyFont="1" applyFill="1" applyBorder="0" applyAlignment="1">
      <x:alignment vertical="center" wrapText="1"/>
    </x:xf>
    <x:xf numFmtId="0" fontId="9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/>
    </x:xf>
    <x:xf numFmtId="0" fontId="34" fillId="59" borderId="0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vertical="top" wrapText="1"/>
    </x:xf>
    <x:xf numFmtId="0" fontId="34" fillId="59" borderId="42" xfId="0" applyNumberFormat="1" applyFont="1" applyFill="1" applyBorder="1" applyAlignment="1">
      <x:alignment vertical="top" wrapText="1"/>
    </x:xf>
    <x:xf numFmtId="0" fontId="34" fillId="59" borderId="37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top" wrapText="1"/>
    </x:xf>
    <x:xf numFmtId="0" fontId="34" fillId="59" xfId="0" applyNumberFormat="1" applyFont="1" applyFill="1" applyBorder="0" applyAlignment="1">
      <x:alignment vertical="top" wrapText="1"/>
    </x:xf>
    <x:xf numFmtId="0" fontId="34" fillId="59" borderId="44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center" wrapText="1"/>
    </x:xf>
    <x:xf numFmtId="0" fontId="34" fillId="59" xfId="0" applyNumberFormat="1" applyFont="1" applyFill="1" applyBorder="0" applyAlignment="1">
      <x:alignment vertical="center" wrapText="1"/>
    </x:xf>
    <x:xf numFmtId="0" fontId="34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 wrapText="1"/>
    </x:xf>
    <x:xf numFmtId="0" fontId="34" fillId="59" borderId="0" xfId="0" applyNumberFormat="1" applyFont="1" applyFill="1" applyBorder="1" applyAlignment="1">
      <x:alignment horizontal="left" vertical="top" wrapText="1"/>
    </x:xf>
    <x:xf numFmtId="0" fontId="34" fillId="59" borderId="0" xfId="0" applyNumberFormat="1" applyFont="1" applyFill="1" applyBorder="1" applyAlignment="1">
      <x:alignment horizontal="center" vertical="top" wrapText="1"/>
    </x:xf>
    <x:xf numFmtId="0" fontId="0" fillId="55" borderId="4" xfId="0" applyNumberFormat="1" applyFont="1" applyFill="1" applyBorder="1"/>
    <x:xf numFmtId="0" fontId="0" fillId="55" borderId="5" xfId="0" applyNumberFormat="1" applyFont="1" applyFill="1" applyBorder="1"/>
    <x:xf numFmtId="0" fontId="36" fillId="55" borderId="4" xfId="0" applyNumberFormat="1" applyFont="1" applyFill="1" applyBorder="1"/>
    <x:xf numFmtId="0" fontId="36" fillId="55" borderId="0" xfId="0" applyNumberFormat="1" applyFont="1" applyFill="1" applyBorder="1"/>
    <x:xf numFmtId="0" fontId="36" fillId="55" borderId="5" xfId="0" applyNumberFormat="1" applyFont="1" applyFill="1" applyBorder="1"/>
    <x:xf numFmtId="0" fontId="5" fillId="56" borderId="4" xfId="0" applyNumberFormat="1" applyFont="1" applyFill="1" applyBorder="1" applyAlignment="1">
      <x:alignment horizontal="left" vertical="center"/>
    </x:xf>
    <x:xf numFmtId="0" fontId="2" fillId="56" borderId="55" xfId="0" applyNumberFormat="1" applyFont="1" applyFill="1" applyBorder="1" applyAlignment="1">
      <x:alignment horizontal="center" vertical="center" wrapText="1"/>
    </x:xf>
    <x:xf numFmtId="0" fontId="2" fillId="56" borderId="58" xfId="0" applyNumberFormat="1" applyFont="1" applyFill="1" applyBorder="1" applyAlignment="1">
      <x:alignment horizontal="center" vertical="center" wrapText="1"/>
    </x:xf>
    <x:xf numFmtId="0" fontId="2" fillId="56" borderId="56" xfId="0" applyNumberFormat="1" applyFont="1" applyFill="1" applyBorder="1" applyAlignment="1">
      <x:alignment horizontal="center" vertical="center" wrapText="1"/>
    </x:xf>
    <x:xf numFmtId="0" fontId="2" fillId="56" borderId="38" xfId="0" applyNumberFormat="1" applyFont="1" applyFill="1" applyBorder="1" applyAlignment="1">
      <x:alignment horizontal="center" vertical="center" wrapText="1"/>
    </x:xf>
    <x:xf numFmtId="0" fontId="2" fillId="56" borderId="45" xfId="0" applyNumberFormat="1" applyFont="1" applyFill="1" applyBorder="1" applyAlignment="1">
      <x:alignment horizontal="center" vertical="center" wrapText="1"/>
    </x:xf>
    <x:xf numFmtId="0" fontId="2" fillId="56" borderId="40" xfId="0" applyNumberFormat="1" applyFont="1" applyFill="1" applyBorder="1" applyAlignment="1">
      <x:alignment horizontal="center" vertical="center" wrapText="1"/>
    </x:xf>
    <x:xf numFmtId="0" fontId="2" fillId="56" borderId="35" xfId="0" applyNumberFormat="1" applyFont="1" applyFill="1" applyBorder="1" applyAlignment="1">
      <x:alignment horizontal="center" vertical="center" wrapText="1"/>
    </x:xf>
    <x:xf numFmtId="0" fontId="2" fillId="56" borderId="42" xfId="0" applyNumberFormat="1" applyFont="1" applyFill="1" applyBorder="1" applyAlignment="1">
      <x:alignment horizontal="center" vertical="center" wrapText="1"/>
    </x:xf>
    <x:xf numFmtId="0" fontId="2" fillId="56" borderId="37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/>
    </x:xf>
    <x:xf numFmtId="0" fontId="31" fillId="56" borderId="55" xfId="0" applyNumberFormat="1" applyFont="1" applyFill="1" applyBorder="1" applyAlignment="1">
      <x:alignment horizontal="center" vertical="center" wrapText="1"/>
    </x:xf>
    <x:xf numFmtId="0" fontId="31" fillId="56" borderId="58" xfId="0" applyNumberFormat="1" applyFont="1" applyFill="1" applyBorder="1" applyAlignment="1">
      <x:alignment horizontal="center" vertical="center" wrapText="1"/>
    </x:xf>
    <x:xf numFmtId="0" fontId="31" fillId="56" borderId="56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 wrapText="1"/>
    </x:xf>
    <x:xf numFmtId="0" fontId="31" fillId="56" borderId="4" xfId="0" applyNumberFormat="1" applyFont="1" applyFill="1" applyBorder="1" applyAlignment="1">
      <x:alignment horizontal="left" vertical="top" wrapText="1"/>
    </x:xf>
    <x:xf numFmtId="0" fontId="31" fillId="56" borderId="55" xfId="0" applyNumberFormat="1" applyFont="1" applyFill="1" applyBorder="1" applyAlignment="1">
      <x:alignment horizontal="center" vertical="top" wrapText="1"/>
    </x:xf>
    <x:xf numFmtId="0" fontId="31" fillId="56" borderId="58" xfId="0" applyNumberFormat="1" applyFont="1" applyFill="1" applyBorder="1" applyAlignment="1">
      <x:alignment horizontal="center" vertical="top" wrapText="1"/>
    </x:xf>
    <x:xf numFmtId="0" fontId="31" fillId="56" borderId="56" xfId="0" applyNumberFormat="1" applyFont="1" applyFill="1" applyBorder="1" applyAlignment="1">
      <x:alignment horizontal="center" vertical="top" wrapText="1"/>
    </x:xf>
    <x:xf numFmtId="0" fontId="5" fillId="63" borderId="5" xfId="0" applyNumberFormat="1" applyFont="1" applyFill="1" applyBorder="1" applyAlignment="1">
      <x:alignment horizontal="left" vertical="center"/>
    </x:xf>
    <x:xf numFmtId="0" fontId="2" fillId="63" borderId="56" xfId="0" applyNumberFormat="1" applyFont="1" applyFill="1" applyBorder="1" applyAlignment="1">
      <x:alignment horizontal="center" vertical="center" wrapText="1"/>
    </x:xf>
    <x:xf numFmtId="0" fontId="2" fillId="63" borderId="35" xfId="0" applyNumberFormat="1" applyFont="1" applyFill="1" applyBorder="1" applyAlignment="1">
      <x:alignment horizontal="center" vertical="center" wrapText="1"/>
    </x:xf>
    <x:xf numFmtId="0" fontId="2" fillId="63" borderId="42" xfId="0" applyNumberFormat="1" applyFont="1" applyFill="1" applyBorder="1" applyAlignment="1">
      <x:alignment horizontal="center" vertical="center" wrapText="1"/>
    </x:xf>
    <x:xf numFmtId="0" fontId="2" fillId="63" borderId="37" xfId="0" applyNumberFormat="1" applyFont="1" applyFill="1" applyBorder="1" applyAlignment="1">
      <x:alignment horizontal="center" vertical="center" wrapText="1"/>
    </x:xf>
    <x:xf numFmtId="0" fontId="2" fillId="63" borderId="40" xfId="0" applyNumberFormat="1" applyFont="1" applyFill="1" applyBorder="1" applyAlignment="1">
      <x:alignment horizontal="center" vertical="center" wrapText="1"/>
    </x:xf>
    <x:xf numFmtId="0" fontId="2" fillId="63" borderId="38" xfId="0" applyNumberFormat="1" applyFont="1" applyFill="1" applyBorder="1" applyAlignment="1">
      <x:alignment horizontal="center" vertical="center" wrapText="1"/>
    </x:xf>
    <x:xf numFmtId="0" fontId="2" fillId="63" borderId="45" xfId="0" applyNumberFormat="1" applyFont="1" applyFill="1" applyBorder="1" applyAlignment="1">
      <x:alignment horizontal="center" vertical="center" wrapText="1"/>
    </x:xf>
    <x:xf numFmtId="0" fontId="0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/>
    </x:xf>
    <x:xf numFmtId="0" fontId="43" fillId="63" borderId="56" xfId="0" applyNumberFormat="1" applyFont="1" applyFill="1" applyBorder="1" applyAlignment="1">
      <x:alignment horizontal="center" vertical="center" wrapText="1"/>
    </x:xf>
    <x:xf numFmtId="0" fontId="43" fillId="63" borderId="35" xfId="0" applyNumberFormat="1" applyFont="1" applyFill="1" applyBorder="1" applyAlignment="1">
      <x:alignment horizontal="center" vertical="center" wrapText="1"/>
    </x:xf>
    <x:xf numFmtId="0" fontId="43" fillId="63" borderId="42" xfId="0" applyNumberFormat="1" applyFont="1" applyFill="1" applyBorder="1" applyAlignment="1">
      <x:alignment horizontal="center" vertical="center" wrapText="1"/>
    </x:xf>
    <x:xf numFmtId="0" fontId="43" fillId="63" borderId="37" xfId="0" applyNumberFormat="1" applyFont="1" applyFill="1" applyBorder="1" applyAlignment="1">
      <x:alignment horizontal="center" vertical="center" wrapText="1"/>
    </x:xf>
    <x:xf numFmtId="0" fontId="43" fillId="63" borderId="40" xfId="0" applyNumberFormat="1" applyFont="1" applyFill="1" applyBorder="1" applyAlignment="1">
      <x:alignment horizontal="center" vertical="center" wrapText="1"/>
    </x:xf>
    <x:xf numFmtId="0" fontId="43" fillId="63" borderId="38" xfId="0" applyNumberFormat="1" applyFont="1" applyFill="1" applyBorder="1" applyAlignment="1">
      <x:alignment horizontal="center" vertical="center" wrapText="1"/>
    </x:xf>
    <x:xf numFmtId="0" fontId="43" fillId="63" borderId="45" xfId="0" applyNumberFormat="1" applyFont="1" applyFill="1" applyBorder="1" applyAlignment="1">
      <x:alignment horizontal="center" vertical="center" wrapText="1"/>
    </x:xf>
    <x:xf numFmtId="0" fontId="44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 wrapText="1"/>
    </x:xf>
    <x:xf numFmtId="0" fontId="44" fillId="63" borderId="0" xfId="0" applyNumberFormat="1" applyFont="1" applyFill="1" applyBorder="1" applyAlignment="1">
      <x:alignment wrapText="1"/>
    </x:xf>
    <x:xf numFmtId="0" fontId="43" fillId="63" borderId="5" xfId="0" applyNumberFormat="1" applyFont="1" applyFill="1" applyBorder="1" applyAlignment="1">
      <x:alignment horizontal="left" vertical="top" wrapText="1"/>
    </x:xf>
    <x:xf numFmtId="0" fontId="43" fillId="63" borderId="56" xfId="0" applyNumberFormat="1" applyFont="1" applyFill="1" applyBorder="1" applyAlignment="1">
      <x:alignment horizontal="center" vertical="top" wrapText="1"/>
    </x:xf>
    <x:xf numFmtId="0" fontId="43" fillId="63" borderId="35" xfId="0" applyNumberFormat="1" applyFont="1" applyFill="1" applyBorder="1" applyAlignment="1">
      <x:alignment horizontal="center" vertical="top" wrapText="1"/>
    </x:xf>
    <x:xf numFmtId="0" fontId="43" fillId="63" borderId="42" xfId="0" applyNumberFormat="1" applyFont="1" applyFill="1" applyBorder="1" applyAlignment="1">
      <x:alignment horizontal="center" vertical="top" wrapText="1"/>
    </x:xf>
    <x:xf numFmtId="0" fontId="43" fillId="63" borderId="37" xfId="0" applyNumberFormat="1" applyFont="1" applyFill="1" applyBorder="1" applyAlignment="1">
      <x:alignment horizontal="center" vertical="top" wrapText="1"/>
    </x:xf>
    <x:xf numFmtId="0" fontId="43" fillId="63" borderId="40" xfId="0" applyNumberFormat="1" applyFont="1" applyFill="1" applyBorder="1" applyAlignment="1">
      <x:alignment horizontal="center" vertical="top" wrapText="1"/>
    </x:xf>
    <x:xf numFmtId="0" fontId="43" fillId="63" borderId="38" xfId="0" applyNumberFormat="1" applyFont="1" applyFill="1" applyBorder="1" applyAlignment="1">
      <x:alignment horizontal="center" vertical="top" wrapText="1"/>
    </x:xf>
    <x:xf numFmtId="0" fontId="43" fillId="63" borderId="45" xfId="0" applyNumberFormat="1" applyFont="1" applyFill="1" applyBorder="1" applyAlignment="1">
      <x:alignment horizontal="center" vertical="top" wrapText="1"/>
    </x:xf>
    <x:xf numFmtId="0" fontId="44" fillId="63" borderId="0" xfId="0" applyNumberFormat="1" applyFont="1" applyFill="1" applyBorder="1" applyAlignment="1">
      <x:alignment vertical="top" wrapText="1"/>
    </x:xf>
    <x:xf numFmtId="0" fontId="2" fillId="61" borderId="42" xfId="0" applyNumberFormat="1" applyFont="1" applyFill="1" applyBorder="1" applyAlignment="1">
      <x:alignment horizontal="center" vertical="center" wrapText="1"/>
    </x:xf>
    <x:xf numFmtId="0" fontId="2" fillId="61" borderId="37" xfId="0" applyNumberFormat="1" applyFont="1" applyFill="1" applyBorder="1" applyAlignment="1">
      <x:alignment horizontal="center" vertical="center" wrapText="1"/>
    </x:xf>
    <x:xf numFmtId="0" fontId="2" fillId="61" borderId="35" xfId="0" applyNumberFormat="1" applyFont="1" applyFill="1" applyBorder="1" applyAlignment="1">
      <x:alignment horizontal="center" vertical="center" wrapText="1"/>
    </x:xf>
    <x:xf numFmtId="0" fontId="2" fillId="61" borderId="45" xfId="0" applyNumberFormat="1" applyFont="1" applyFill="1" applyBorder="1" applyAlignment="1">
      <x:alignment horizontal="center" vertical="center" wrapText="1"/>
    </x:xf>
    <x:xf numFmtId="0" fontId="2" fillId="61" borderId="40" xfId="0" applyNumberFormat="1" applyFont="1" applyFill="1" applyBorder="1" applyAlignment="1">
      <x:alignment horizontal="center" vertical="center" wrapText="1"/>
    </x:xf>
    <x:xf numFmtId="0" fontId="2" fillId="61" borderId="38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center" wrapText="1"/>
    </x:xf>
    <x:xf numFmtId="0" fontId="39" fillId="61" borderId="37" xfId="0" applyNumberFormat="1" applyFont="1" applyFill="1" applyBorder="1" applyAlignment="1">
      <x:alignment horizontal="center" vertical="center" wrapText="1"/>
    </x:xf>
    <x:xf numFmtId="0" fontId="39" fillId="61" borderId="35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top" wrapText="1"/>
    </x:xf>
    <x:xf numFmtId="0" fontId="39" fillId="61" borderId="37" xfId="0" applyNumberFormat="1" applyFont="1" applyFill="1" applyBorder="1" applyAlignment="1">
      <x:alignment horizontal="center" vertical="top" wrapText="1"/>
    </x:xf>
    <x:xf numFmtId="0" fontId="39" fillId="61" borderId="35" xfId="0" applyNumberFormat="1" applyFont="1" applyFill="1" applyBorder="1" applyAlignment="1">
      <x:alignment horizontal="center" vertical="top" wrapText="1"/>
    </x:xf>
    <x:xf numFmtId="0" fontId="0" fillId="57" borderId="0" xfId="0" applyNumberFormat="1" applyFont="1" applyFill="1" applyBorder="1" applyAlignment="1">
      <x:alignment wrapText="1"/>
    </x:xf>
    <x:xf numFmtId="0" fontId="36" fillId="57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 applyAlignment="1">
      <x:alignment horizontal="left" vertical="center"/>
    </x:xf>
    <x:xf numFmtId="0" fontId="14" fillId="64" borderId="35" xfId="0" applyNumberFormat="1" applyFont="1" applyFill="1" applyBorder="1" applyAlignment="1">
      <x:alignment horizontal="center" vertical="center"/>
    </x:xf>
    <x:xf numFmtId="0" fontId="14" fillId="64" borderId="42" xfId="0" applyNumberFormat="1" applyFont="1" applyFill="1" applyBorder="1" applyAlignment="1">
      <x:alignment horizontal="center" vertical="center"/>
    </x:xf>
    <x:xf numFmtId="0" fontId="14" fillId="64" borderId="37" xfId="0" applyNumberFormat="1" applyFont="1" applyFill="1" applyBorder="1" applyAlignment="1">
      <x:alignment horizontal="center" vertical="center"/>
    </x:xf>
    <x:xf numFmtId="0" fontId="15" fillId="64" borderId="35" xfId="0" applyNumberFormat="1" applyFont="1" applyFill="1" applyBorder="1" applyAlignment="1">
      <x:alignment horizontal="center" vertical="center"/>
    </x:xf>
    <x:xf numFmtId="0" fontId="15" fillId="64" borderId="42" xfId="0" applyNumberFormat="1" applyFont="1" applyFill="1" applyBorder="1" applyAlignment="1">
      <x:alignment horizontal="center" vertical="center"/>
    </x:xf>
    <x:xf numFmtId="0" fontId="15" fillId="64" borderId="37" xfId="0" applyNumberFormat="1" applyFont="1" applyFill="1" applyBorder="1" applyAlignment="1">
      <x:alignment horizontal="center" vertical="center"/>
    </x:xf>
    <x:xf numFmtId="0" fontId="16" fillId="64" borderId="35" xfId="0" applyNumberFormat="1" applyFont="1" applyFill="1" applyBorder="1" applyAlignment="1">
      <x:alignment horizontal="center" vertical="center"/>
    </x:xf>
    <x:xf numFmtId="0" fontId="16" fillId="64" borderId="42" xfId="0" applyNumberFormat="1" applyFont="1" applyFill="1" applyBorder="1" applyAlignment="1">
      <x:alignment horizontal="center" vertical="center"/>
    </x:xf>
    <x:xf numFmtId="0" fontId="16" fillId="64" borderId="37" xfId="0" applyNumberFormat="1" applyFont="1" applyFill="1" applyBorder="1" applyAlignment="1">
      <x:alignment horizontal="center" vertical="center"/>
    </x:xf>
    <x:xf numFmtId="0" fontId="17" fillId="64" borderId="35" xfId="0" applyNumberFormat="1" applyFont="1" applyFill="1" applyBorder="1" applyAlignment="1">
      <x:alignment horizontal="center" vertical="center"/>
    </x:xf>
    <x:xf numFmtId="0" fontId="17" fillId="64" borderId="42" xfId="0" applyNumberFormat="1" applyFont="1" applyFill="1" applyBorder="1" applyAlignment="1">
      <x:alignment horizontal="center" vertical="center"/>
    </x:xf>
    <x:xf numFmtId="0" fontId="17" fillId="64" borderId="37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horizontal="center" vertical="center"/>
    </x:xf>
    <x:xf numFmtId="0" fontId="18" fillId="64" borderId="42" xfId="0" applyNumberFormat="1" applyFont="1" applyFill="1" applyBorder="1" applyAlignment="1">
      <x:alignment horizontal="center" vertical="center"/>
    </x:xf>
    <x:xf numFmtId="0" fontId="18" fillId="64" borderId="37" xfId="0" applyNumberFormat="1" applyFont="1" applyFill="1" applyBorder="1" applyAlignment="1">
      <x:alignment horizontal="center" vertical="center"/>
    </x:xf>
    <x:xf numFmtId="0" fontId="14" fillId="64" borderId="38" xfId="0" applyNumberFormat="1" applyFont="1" applyFill="1" applyBorder="1" applyAlignment="1">
      <x:alignment horizontal="center" vertical="center"/>
    </x:xf>
    <x:xf numFmtId="0" fontId="14" fillId="64" borderId="45" xfId="0" applyNumberFormat="1" applyFont="1" applyFill="1" applyBorder="1" applyAlignment="1">
      <x:alignment horizontal="center" vertical="center"/>
    </x:xf>
    <x:xf numFmtId="0" fontId="14" fillId="64" borderId="40" xfId="0" applyNumberFormat="1" applyFont="1" applyFill="1" applyBorder="1" applyAlignment="1">
      <x:alignment horizontal="center" vertical="center"/>
    </x:xf>
    <x:xf numFmtId="0" fontId="15" fillId="64" borderId="38" xfId="0" applyNumberFormat="1" applyFont="1" applyFill="1" applyBorder="1" applyAlignment="1">
      <x:alignment horizontal="center" vertical="center"/>
    </x:xf>
    <x:xf numFmtId="0" fontId="15" fillId="64" borderId="45" xfId="0" applyNumberFormat="1" applyFont="1" applyFill="1" applyBorder="1" applyAlignment="1">
      <x:alignment horizontal="center" vertical="center"/>
    </x:xf>
    <x:xf numFmtId="0" fontId="15" fillId="64" borderId="40" xfId="0" applyNumberFormat="1" applyFont="1" applyFill="1" applyBorder="1" applyAlignment="1">
      <x:alignment horizontal="center" vertical="center"/>
    </x:xf>
    <x:xf numFmtId="0" fontId="16" fillId="64" borderId="38" xfId="0" applyNumberFormat="1" applyFont="1" applyFill="1" applyBorder="1" applyAlignment="1">
      <x:alignment horizontal="center" vertical="center"/>
    </x:xf>
    <x:xf numFmtId="0" fontId="16" fillId="64" borderId="45" xfId="0" applyNumberFormat="1" applyFont="1" applyFill="1" applyBorder="1" applyAlignment="1">
      <x:alignment horizontal="center" vertical="center"/>
    </x:xf>
    <x:xf numFmtId="0" fontId="16" fillId="64" borderId="40" xfId="0" applyNumberFormat="1" applyFont="1" applyFill="1" applyBorder="1" applyAlignment="1">
      <x:alignment horizontal="center" vertical="center"/>
    </x:xf>
    <x:xf numFmtId="0" fontId="17" fillId="64" borderId="38" xfId="0" applyNumberFormat="1" applyFont="1" applyFill="1" applyBorder="1" applyAlignment="1">
      <x:alignment horizontal="center" vertical="center"/>
    </x:xf>
    <x:xf numFmtId="0" fontId="17" fillId="64" borderId="45" xfId="0" applyNumberFormat="1" applyFont="1" applyFill="1" applyBorder="1" applyAlignment="1">
      <x:alignment horizontal="center" vertical="center"/>
    </x:xf>
    <x:xf numFmtId="0" fontId="17" fillId="64" borderId="40" xfId="0" applyNumberFormat="1" applyFont="1" applyFill="1" applyBorder="1" applyAlignment="1">
      <x:alignment horizontal="center" vertical="center"/>
    </x:xf>
    <x:xf numFmtId="0" fontId="18" fillId="64" borderId="38" xfId="0" applyNumberFormat="1" applyFont="1" applyFill="1" applyBorder="1" applyAlignment="1">
      <x:alignment horizontal="center" vertical="center"/>
    </x:xf>
    <x:xf numFmtId="0" fontId="18" fillId="64" borderId="45" xfId="0" applyNumberFormat="1" applyFont="1" applyFill="1" applyBorder="1" applyAlignment="1">
      <x:alignment horizontal="center" vertical="center"/>
    </x:xf>
    <x:xf numFmtId="0" fontId="18" fillId="64" borderId="40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wrapText="1"/>
    </x:xf>
    <x:xf numFmtId="0" fontId="18" fillId="64" borderId="42" xfId="0" applyNumberFormat="1" applyFont="1" applyFill="1" applyBorder="1" applyAlignment="1">
      <x:alignment wrapText="1"/>
    </x:xf>
    <x:xf numFmtId="0" fontId="18" fillId="64" borderId="37" xfId="0" applyNumberFormat="1" applyFont="1" applyFill="1" applyBorder="1" applyAlignment="1">
      <x:alignment wrapText="1"/>
    </x:xf>
    <x:xf numFmtId="0" fontId="18" fillId="64" borderId="38" xfId="0" applyNumberFormat="1" applyFont="1" applyFill="1" applyBorder="1" applyAlignment="1">
      <x:alignment wrapText="1"/>
    </x:xf>
    <x:xf numFmtId="0" fontId="18" fillId="64" borderId="45" xfId="0" applyNumberFormat="1" applyFont="1" applyFill="1" applyBorder="1" applyAlignment="1">
      <x:alignment wrapText="1"/>
    </x:xf>
    <x:xf numFmtId="0" fontId="18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/>
    </x:xf>
    <x:xf numFmtId="0" fontId="41" fillId="64" borderId="35" xfId="0" applyNumberFormat="1" applyFont="1" applyFill="1" applyBorder="1" applyAlignment="1">
      <x:alignment horizontal="center" vertical="center"/>
    </x:xf>
    <x:xf numFmtId="0" fontId="41" fillId="64" borderId="42" xfId="0" applyNumberFormat="1" applyFont="1" applyFill="1" applyBorder="1" applyAlignment="1">
      <x:alignment horizontal="center" vertical="center"/>
    </x:xf>
    <x:xf numFmtId="0" fontId="41" fillId="64" borderId="37" xfId="0" applyNumberFormat="1" applyFont="1" applyFill="1" applyBorder="1" applyAlignment="1">
      <x:alignment horizontal="center" vertical="center"/>
    </x:xf>
    <x:xf numFmtId="0" fontId="41" fillId="64" borderId="38" xfId="0" applyNumberFormat="1" applyFont="1" applyFill="1" applyBorder="1" applyAlignment="1">
      <x:alignment horizontal="center" vertical="center"/>
    </x:xf>
    <x:xf numFmtId="0" fontId="41" fillId="64" borderId="45" xfId="0" applyNumberFormat="1" applyFont="1" applyFill="1" applyBorder="1" applyAlignment="1">
      <x:alignment horizontal="center" vertical="center"/>
    </x:xf>
    <x:xf numFmtId="0" fontId="41" fillId="64" borderId="40" xfId="0" applyNumberFormat="1" applyFont="1" applyFill="1" applyBorder="1" applyAlignment="1">
      <x:alignment horizontal="center" vertical="center"/>
    </x:xf>
    <x:xf numFmtId="0" fontId="41" fillId="64" borderId="35" xfId="0" applyNumberFormat="1" applyFont="1" applyFill="1" applyBorder="1" applyAlignment="1">
      <x:alignment wrapText="1"/>
    </x:xf>
    <x:xf numFmtId="0" fontId="41" fillId="64" borderId="42" xfId="0" applyNumberFormat="1" applyFont="1" applyFill="1" applyBorder="1" applyAlignment="1">
      <x:alignment wrapText="1"/>
    </x:xf>
    <x:xf numFmtId="0" fontId="41" fillId="64" borderId="37" xfId="0" applyNumberFormat="1" applyFont="1" applyFill="1" applyBorder="1" applyAlignment="1">
      <x:alignment wrapText="1"/>
    </x:xf>
    <x:xf numFmtId="0" fontId="41" fillId="64" borderId="38" xfId="0" applyNumberFormat="1" applyFont="1" applyFill="1" applyBorder="1" applyAlignment="1">
      <x:alignment wrapText="1"/>
    </x:xf>
    <x:xf numFmtId="0" fontId="41" fillId="64" borderId="45" xfId="0" applyNumberFormat="1" applyFont="1" applyFill="1" applyBorder="1" applyAlignment="1">
      <x:alignment wrapText="1"/>
    </x:xf>
    <x:xf numFmtId="0" fontId="41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 wrapText="1"/>
    </x:xf>
    <x:xf numFmtId="0" fontId="41" fillId="64" borderId="35" xfId="0" applyNumberFormat="1" applyFont="1" applyFill="1" applyBorder="1" applyAlignment="1">
      <x:alignment horizontal="center" vertical="center" wrapText="1"/>
    </x:xf>
    <x:xf numFmtId="0" fontId="41" fillId="64" borderId="42" xfId="0" applyNumberFormat="1" applyFont="1" applyFill="1" applyBorder="1" applyAlignment="1">
      <x:alignment horizontal="center" vertical="center" wrapText="1"/>
    </x:xf>
    <x:xf numFmtId="0" fontId="41" fillId="64" borderId="37" xfId="0" applyNumberFormat="1" applyFont="1" applyFill="1" applyBorder="1" applyAlignment="1">
      <x:alignment horizontal="center" vertical="center" wrapText="1"/>
    </x:xf>
    <x:xf numFmtId="0" fontId="41" fillId="64" borderId="38" xfId="0" applyNumberFormat="1" applyFont="1" applyFill="1" applyBorder="1" applyAlignment="1">
      <x:alignment horizontal="center" vertical="center" wrapText="1"/>
    </x:xf>
    <x:xf numFmtId="0" fontId="41" fillId="64" borderId="45" xfId="0" applyNumberFormat="1" applyFont="1" applyFill="1" applyBorder="1" applyAlignment="1">
      <x:alignment horizontal="center" vertical="center" wrapText="1"/>
    </x:xf>
    <x:xf numFmtId="0" fontId="41" fillId="64" borderId="40" xfId="0" applyNumberFormat="1" applyFont="1" applyFill="1" applyBorder="1" applyAlignment="1">
      <x:alignment horizontal="center" vertical="center" wrapText="1"/>
    </x:xf>
    <x:xf numFmtId="0" fontId="41" fillId="64" borderId="0" xfId="0" applyNumberFormat="1" applyFont="1" applyFill="1" applyBorder="1" applyAlignment="1">
      <x:alignment horizontal="left" vertical="top" wrapText="1"/>
    </x:xf>
    <x:xf numFmtId="0" fontId="41" fillId="64" borderId="35" xfId="0" applyNumberFormat="1" applyFont="1" applyFill="1" applyBorder="1" applyAlignment="1">
      <x:alignment horizontal="center" vertical="top" wrapText="1"/>
    </x:xf>
    <x:xf numFmtId="0" fontId="41" fillId="64" borderId="42" xfId="0" applyNumberFormat="1" applyFont="1" applyFill="1" applyBorder="1" applyAlignment="1">
      <x:alignment horizontal="center" vertical="top" wrapText="1"/>
    </x:xf>
    <x:xf numFmtId="0" fontId="41" fillId="64" borderId="37" xfId="0" applyNumberFormat="1" applyFont="1" applyFill="1" applyBorder="1" applyAlignment="1">
      <x:alignment horizontal="center" vertical="top" wrapText="1"/>
    </x:xf>
    <x:xf numFmtId="0" fontId="41" fillId="64" borderId="38" xfId="0" applyNumberFormat="1" applyFont="1" applyFill="1" applyBorder="1" applyAlignment="1">
      <x:alignment horizontal="center" vertical="top" wrapText="1"/>
    </x:xf>
    <x:xf numFmtId="0" fontId="41" fillId="64" borderId="45" xfId="0" applyNumberFormat="1" applyFont="1" applyFill="1" applyBorder="1" applyAlignment="1">
      <x:alignment horizontal="center" vertical="top" wrapText="1"/>
    </x:xf>
    <x:xf numFmtId="0" fontId="41" fillId="64" borderId="40" xfId="0" applyNumberFormat="1" applyFont="1" applyFill="1" applyBorder="1" applyAlignment="1">
      <x:alignment horizontal="center" vertical="top" wrapText="1"/>
    </x:xf>
    <x:xf numFmtId="0" fontId="41" fillId="64" borderId="35" xfId="0" applyNumberFormat="1" applyFont="1" applyFill="1" applyBorder="1" applyAlignment="1">
      <x:alignment vertical="top" wrapText="1"/>
    </x:xf>
    <x:xf numFmtId="0" fontId="41" fillId="64" borderId="42" xfId="0" applyNumberFormat="1" applyFont="1" applyFill="1" applyBorder="1" applyAlignment="1">
      <x:alignment vertical="top" wrapText="1"/>
    </x:xf>
    <x:xf numFmtId="0" fontId="41" fillId="64" borderId="37" xfId="0" applyNumberFormat="1" applyFont="1" applyFill="1" applyBorder="1" applyAlignment="1">
      <x:alignment vertical="top" wrapText="1"/>
    </x:xf>
    <x:xf numFmtId="0" fontId="41" fillId="64" borderId="38" xfId="0" applyNumberFormat="1" applyFont="1" applyFill="1" applyBorder="1" applyAlignment="1">
      <x:alignment vertical="top" wrapText="1"/>
    </x:xf>
    <x:xf numFmtId="0" fontId="41" fillId="64" borderId="45" xfId="0" applyNumberFormat="1" applyFont="1" applyFill="1" applyBorder="1" applyAlignment="1">
      <x:alignment vertical="top" wrapText="1"/>
    </x:xf>
    <x:xf numFmtId="0" fontId="41" fillId="64" borderId="40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36" fillId="55" borderId="33" xfId="0" applyNumberFormat="1" applyFont="1" applyFill="1" applyBorder="1" applyAlignment="1">
      <x:alignment horizontal="center" vertical="center" wrapText="1"/>
    </x:xf>
    <x:xf numFmtId="0" fontId="36" fillId="57" borderId="4" xfId="0" applyNumberFormat="1" applyFont="1" applyFill="1" applyBorder="1" applyAlignment="1">
      <x:alignment wrapText="1"/>
    </x:xf>
    <x:xf numFmtId="0" fontId="36" fillId="57" borderId="5" xfId="0" applyNumberFormat="1" applyFont="1" applyFill="1" applyBorder="1" applyAlignment="1">
      <x:alignment wrapText="1"/>
    </x:xf>
    <x:xf numFmtId="0" fontId="36" fillId="55" borderId="4" xfId="0" applyNumberFormat="1" applyFont="1" applyFill="1" applyBorder="1" applyAlignment="1">
      <x:alignment wrapText="1"/>
    </x:xf>
    <x:xf numFmtId="0" fontId="36" fillId="55" borderId="0" xfId="0" applyNumberFormat="1" applyFont="1" applyFill="1" applyBorder="1" applyAlignment="1">
      <x:alignment wrapText="1"/>
    </x:xf>
    <x:xf numFmtId="0" fontId="36" fillId="55" borderId="5" xfId="0" applyNumberFormat="1" applyFont="1" applyFill="1" applyBorder="1" applyAlignment="1">
      <x:alignment wrapText="1"/>
    </x:xf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 applyAlignment="1">
      <x:alignment wrapText="1"/>
    </x:xf>
    <x:xf numFmtId="0" fontId="22" fillId="57" borderId="0" xfId="0" applyNumberFormat="1" applyFont="1" applyFill="1" applyBorder="1"/>
    <x:xf numFmtId="0" fontId="0" fillId="58" borderId="0" xfId="0" applyNumberFormat="1" applyFont="1" applyFill="1" applyBorder="1"/>
    <x:xf numFmtId="0" fontId="45" fillId="58" borderId="0" xfId="0" applyNumberFormat="1" applyFont="1" applyFill="1" applyBorder="1"/>
    <x:xf numFmtId="0" fontId="45" fillId="58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46" fillId="65" borderId="0" xfId="0" applyNumberFormat="1" applyFont="1" applyFill="1" applyBorder="1"/>
    <x:xf numFmtId="0" fontId="46" fillId="65" borderId="0" xfId="0" applyNumberFormat="1" applyFont="1" applyFill="1" applyBorder="1" applyAlignment="1">
      <x:alignment wrapText="1"/>
    </x:xf>
    <x:xf numFmtId="0" fontId="46" fillId="65" borderId="0" xfId="0" applyNumberFormat="1" applyFont="1" applyFill="1" applyBorder="1" applyAlignment="1">
      <x:alignment vertical="top" wrapText="1"/>
    </x:xf>
    <x:xf numFmtId="0" fontId="2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6" fillId="57" borderId="0" xfId="0" applyNumberFormat="1" applyFont="1" applyFill="1" applyBorder="1" applyAlignment="1">
      <x:alignment horizontal="left" vertical="center"/>
    </x:xf>
    <x:xf numFmtId="0" fontId="36" fillId="57" borderId="0" xfId="0" applyNumberFormat="1" applyFont="1" applyFill="1" applyBorder="1" applyAlignment="1">
      <x:alignment horizontal="left" vertical="center"/>
    </x:xf>
    <x:xf numFmtId="0" fontId="0" fillId="66" borderId="0" xfId="0" applyNumberFormat="1" applyFont="1" applyFill="1" applyBorder="1"/>
    <x:xf numFmtId="0" fontId="5" fillId="66" borderId="0" xfId="0" applyNumberFormat="1" applyFont="1" applyFill="1" applyBorder="1"/>
    <x:xf numFmtId="0" fontId="5" fillId="66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 applyAlignment="1">
      <x:alignment wrapText="1"/>
    </x:xf>
    <x:xf numFmtId="0" fontId="38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 applyAlignment="1">
      <x:alignment wrapText="1"/>
    </x:xf>
    <x:xf numFmtId="0" fontId="33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 applyAlignment="1">
      <x:alignment wrapText="1"/>
    </x:xf>
    <x:xf numFmtId="0" fontId="40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 applyAlignment="1">
      <x:alignment wrapText="1"/>
    </x:xf>
    <x:xf numFmtId="0" fontId="44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wrapText="1"/>
    </x:xf>
    <x:xf numFmtId="0" fontId="42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47" fillId="73" borderId="0" xfId="0" applyNumberFormat="1" applyFont="1" applyFill="1" applyBorder="1"/>
    <x:xf numFmtId="0" fontId="0" fillId="68" borderId="0" xfId="0" applyNumberFormat="1" applyFont="1" applyFill="1" applyBorder="1"/>
    <x:xf numFmtId="0" fontId="33" fillId="68" borderId="0" xfId="0" applyNumberFormat="1" applyFont="1" applyFill="1" applyBorder="1"/>
    <x:xf numFmtId="0" fontId="0" fillId="67" borderId="0" xfId="0" applyNumberFormat="1" applyFont="1" applyFill="1" applyBorder="1"/>
    <x:xf numFmtId="0" fontId="38" fillId="67" borderId="0" xfId="0" applyNumberFormat="1" applyFont="1" applyFill="1" applyBorder="1"/>
    <x:xf numFmtId="0" fontId="0" fillId="69" borderId="0" xfId="0" applyNumberFormat="1" applyFont="1" applyFill="1" applyBorder="1"/>
    <x:xf numFmtId="0" fontId="40" fillId="69" borderId="0" xfId="0" applyNumberFormat="1" applyFont="1" applyFill="1" applyBorder="1"/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0" fillId="75" borderId="0" xfId="0" applyNumberFormat="1" applyFont="1" applyFill="1" applyBorder="1"/>
    <x:xf numFmtId="0" fontId="36" fillId="75" borderId="0" xfId="0" applyNumberFormat="1" applyFont="1" applyFill="1" applyBorder="1"/>
    <x:xf numFmtId="0" fontId="0" fillId="70" borderId="0" xfId="0" applyNumberFormat="1" applyFont="1" applyFill="1" applyBorder="1"/>
    <x:xf numFmtId="0" fontId="44" fillId="70" borderId="0" xfId="0" applyNumberFormat="1" applyFont="1" applyFill="1" applyBorder="1"/>
    <x:xf numFmtId="0" fontId="0" fillId="72" borderId="0" xfId="0" applyNumberFormat="1" applyFont="1" applyFill="1" applyBorder="1"/>
    <x:xf numFmtId="0" fontId="42" fillId="72" borderId="0" xfId="0" applyNumberFormat="1" applyFont="1" applyFill="1" applyBorder="1"/>
    <x:xf numFmtId="0" fontId="47" fillId="73" borderId="0" xfId="0" applyNumberFormat="1" applyFont="1" applyFill="1" applyBorder="1" applyAlignment="1">
      <x:alignment wrapText="1"/>
    </x:xf>
    <x:xf numFmtId="0" fontId="36" fillId="74" borderId="0" xfId="0" applyNumberFormat="1" applyFont="1" applyFill="1" applyBorder="1" applyAlignment="1">
      <x:alignment wrapText="1"/>
    </x:xf>
    <x:xf numFmtId="0" fontId="36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47" fillId="76" borderId="0" xfId="0" applyNumberFormat="1" applyFont="1" applyFill="1" applyBorder="1"/>
    <x:xf numFmtId="0" fontId="0" fillId="77" borderId="0" xfId="0" applyNumberFormat="1" applyFont="1" applyFill="1" applyBorder="1"/>
    <x:xf numFmtId="0" fontId="45" fillId="77" borderId="0" xfId="0" applyNumberFormat="1" applyFont="1" applyFill="1" applyBorder="1"/>
    <x:xf numFmtId="0" fontId="45" fillId="77" borderId="0" xfId="0" applyNumberFormat="1" applyFont="1" applyFill="1" applyBorder="1" applyAlignment="1">
      <x:alignment wrapText="1"/>
    </x:xf>
    <x:xf numFmtId="0" fontId="47" fillId="76" borderId="0" xfId="0" applyNumberFormat="1" applyFont="1" applyFill="1" applyBorder="1" applyAlignment="1">
      <x:alignment wrapText="1"/>
    </x:xf>
    <x:xf numFmtId="0" fontId="47" fillId="74" borderId="0" xfId="0" applyNumberFormat="1" applyFont="1" applyFill="1" applyBorder="1"/>
    <x:xf numFmtId="0" fontId="47" fillId="74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/>
    <x:xf numFmtId="0" fontId="48" fillId="68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 applyAlignment="1">
      <x:alignment vertical="top" wrapText="1"/>
    </x:xf>
    <x:xf numFmtId="0" fontId="49" fillId="69" borderId="0" xfId="0" applyNumberFormat="1" applyFont="1" applyFill="1" applyBorder="1"/>
    <x:xf numFmtId="0" fontId="49" fillId="69" borderId="0" xfId="0" applyNumberFormat="1" applyFont="1" applyFill="1" applyBorder="1" applyAlignment="1">
      <x:alignment wrapText="1"/>
    </x:xf>
    <x:xf numFmtId="0" fontId="49" fillId="69" borderId="0" xfId="0" applyNumberFormat="1" applyFont="1" applyFill="1" applyBorder="1" applyAlignment="1">
      <x:alignment vertical="top" wrapText="1"/>
    </x:xf>
    <x:xf numFmtId="0" fontId="50" fillId="67" borderId="0" xfId="0" applyNumberFormat="1" applyFont="1" applyFill="1" applyBorder="1"/>
    <x:xf numFmtId="0" fontId="50" fillId="67" borderId="0" xfId="0" applyNumberFormat="1" applyFont="1" applyFill="1" applyBorder="1" applyAlignment="1">
      <x:alignment wrapText="1"/>
    </x:xf>
    <x:xf numFmtId="0" fontId="50" fillId="67" borderId="0" xfId="0" applyNumberFormat="1" applyFont="1" applyFill="1" applyBorder="1" applyAlignment="1">
      <x:alignment vertical="top" wrapText="1"/>
    </x:xf>
    <x:xf numFmtId="0" fontId="51" fillId="70" borderId="0" xfId="0" applyNumberFormat="1" applyFont="1" applyFill="1" applyBorder="1"/>
    <x:xf numFmtId="0" fontId="51" fillId="70" borderId="0" xfId="0" applyNumberFormat="1" applyFont="1" applyFill="1" applyBorder="1" applyAlignment="1">
      <x:alignment wrapText="1"/>
    </x:xf>
    <x:xf numFmtId="0" fontId="51" fillId="70" borderId="0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 applyAlignment="1">
      <x:alignment wrapText="1"/>
    </x:xf>
    <x:xf numFmtId="0" fontId="0" fillId="63" borderId="0" xfId="0" applyNumberFormat="1" applyFont="1" applyFill="1" applyBorder="1" applyAlignment="1">
      <x:alignment wrapText="1"/>
    </x:xf>
    <x:xf numFmtId="0" fontId="47" fillId="55" borderId="0" xfId="0" applyNumberFormat="1" applyFont="1" applyFill="1" applyBorder="1"/>
    <x:xf numFmtId="0" fontId="47" fillId="55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/>
    <x:xf numFmtId="0" fontId="48" fillId="56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 applyAlignment="1">
      <x:alignment vertical="top" wrapText="1"/>
    </x:xf>
    <x:xf numFmtId="0" fontId="49" fillId="61" borderId="0" xfId="0" applyNumberFormat="1" applyFont="1" applyFill="1" applyBorder="1"/>
    <x:xf numFmtId="0" fontId="49" fillId="61" borderId="0" xfId="0" applyNumberFormat="1" applyFont="1" applyFill="1" applyBorder="1" applyAlignment="1">
      <x:alignment wrapText="1"/>
    </x:xf>
    <x:xf numFmtId="0" fontId="49" fillId="61" borderId="0" xfId="0" applyNumberFormat="1" applyFont="1" applyFill="1" applyBorder="1" applyAlignment="1">
      <x:alignment vertical="top" wrapText="1"/>
    </x:xf>
    <x:xf numFmtId="0" fontId="50" fillId="60" borderId="0" xfId="0" applyNumberFormat="1" applyFont="1" applyFill="1" applyBorder="1"/>
    <x:xf numFmtId="0" fontId="50" fillId="60" borderId="0" xfId="0" applyNumberFormat="1" applyFont="1" applyFill="1" applyBorder="1" applyAlignment="1">
      <x:alignment wrapText="1"/>
    </x:xf>
    <x:xf numFmtId="0" fontId="50" fillId="60" borderId="0" xfId="0" applyNumberFormat="1" applyFont="1" applyFill="1" applyBorder="1" applyAlignment="1">
      <x:alignment vertical="top" wrapText="1"/>
    </x:xf>
    <x:xf numFmtId="0" fontId="51" fillId="63" borderId="0" xfId="0" applyNumberFormat="1" applyFont="1" applyFill="1" applyBorder="1"/>
    <x:xf numFmtId="0" fontId="51" fillId="63" borderId="0" xfId="0" applyNumberFormat="1" applyFont="1" applyFill="1" applyBorder="1" applyAlignment="1">
      <x:alignment wrapText="1"/>
    </x:xf>
    <x:xf numFmtId="0" fontId="51" fillId="63" borderId="0" xfId="0" applyNumberFormat="1" applyFont="1" applyFill="1" applyBorder="1" applyAlignment="1">
      <x:alignment vertical="top" wrapText="1"/>
    </x:xf>
    <x:xf numFmtId="0" fontId="0" fillId="78" borderId="0" xfId="0" applyNumberFormat="1" applyFont="1" applyFill="1" applyBorder="1"/>
    <x:xf numFmtId="0" fontId="5" fillId="78" borderId="0" xfId="0" applyNumberFormat="1" applyFont="1" applyFill="1" applyBorder="1"/>
    <x:xf numFmtId="0" fontId="5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5" fillId="79" borderId="0" xfId="0" applyNumberFormat="1" applyFont="1" applyFill="1" applyBorder="1"/>
    <x:xf numFmtId="0" fontId="5" fillId="79" borderId="0" xfId="0" applyNumberFormat="1" applyFont="1" applyFill="1" applyBorder="1" applyAlignment="1">
      <x:alignment wrapText="1"/>
    </x:xf>
    <x:xf numFmtId="0" fontId="0" fillId="80" borderId="0" xfId="0" applyNumberFormat="1" applyFont="1" applyFill="1" applyBorder="1"/>
    <x:xf numFmtId="0" fontId="52" fillId="80" borderId="0" xfId="0" applyNumberFormat="1" applyFont="1" applyFill="1" applyBorder="1"/>
    <x:xf numFmtId="0" fontId="52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53" fillId="81" borderId="0" xfId="0" applyNumberFormat="1" applyFont="1" applyFill="1" applyBorder="1"/>
    <x:xf numFmtId="0" fontId="53" fillId="81" borderId="0" xfId="0" applyNumberFormat="1" applyFont="1" applyFill="1" applyBorder="1" applyAlignment="1">
      <x:alignment wrapText="1"/>
    </x:xf>
    <x:xf numFmtId="0" fontId="52" fillId="56" borderId="0" xfId="0" applyNumberFormat="1" applyFont="1" applyFill="1" applyBorder="1"/>
    <x:xf numFmtId="0" fontId="52" fillId="56" borderId="0" xfId="0" applyNumberFormat="1" applyFont="1" applyFill="1" applyBorder="1" applyAlignment="1">
      <x:alignment wrapText="1"/>
    </x:xf>
    <x:xf numFmtId="0" fontId="53" fillId="60" borderId="0" xfId="0" applyNumberFormat="1" applyFont="1" applyFill="1" applyBorder="1"/>
    <x:xf numFmtId="0" fontId="53" fillId="60" borderId="0" xfId="0" applyNumberFormat="1" applyFont="1" applyFill="1" applyBorder="1" applyAlignment="1">
      <x:alignment wrapText="1"/>
    </x:xf>
    <x:xf numFmtId="0" fontId="0" fillId="82" borderId="0" xfId="0" applyNumberFormat="1" applyFont="1" applyFill="1" applyBorder="1"/>
    <x:xf numFmtId="0" fontId="5" fillId="82" borderId="0" xfId="0" applyNumberFormat="1" applyFont="1" applyFill="1" applyBorder="1"/>
    <x:xf numFmtId="0" fontId="5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5" fillId="83" borderId="0" xfId="0" applyNumberFormat="1" applyFont="1" applyFill="1" applyBorder="1"/>
    <x:xf numFmtId="0" fontId="5" fillId="83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/>
    <x:xf numFmtId="0" fontId="54" fillId="84" borderId="0" xfId="0" applyNumberFormat="1" applyFont="1" applyFill="1" applyBorder="1"/>
    <x:xf numFmtId="0" fontId="54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53" fillId="85" borderId="0" xfId="0" applyNumberFormat="1" applyFont="1" applyFill="1" applyBorder="1"/>
    <x:xf numFmtId="0" fontId="53" fillId="85" borderId="0" xfId="0" applyNumberFormat="1" applyFont="1" applyFill="1" applyBorder="1" applyAlignment="1">
      <x:alignment wrapText="1"/>
    </x:xf>
    <x:xf numFmtId="0" fontId="54" fillId="59" borderId="0" xfId="0" applyNumberFormat="1" applyFont="1" applyFill="1" applyBorder="1"/>
    <x:xf numFmtId="0" fontId="54" fillId="59" borderId="0" xfId="0" applyNumberFormat="1" applyFont="1" applyFill="1" applyBorder="1" applyAlignment="1">
      <x:alignment wrapText="1"/>
    </x:xf>
    <x:xf numFmtId="0" fontId="0" fillId="86" borderId="0" xfId="0" applyNumberFormat="1" applyFont="1" applyFill="1" applyBorder="1"/>
    <x:xf numFmtId="0" fontId="5" fillId="86" borderId="0" xfId="0" applyNumberFormat="1" applyFont="1" applyFill="1" applyBorder="1"/>
    <x:xf numFmtId="0" fontId="5" fillId="86" borderId="0" xfId="0" applyNumberFormat="1" applyFont="1" applyFill="1" applyBorder="1" applyAlignment="1">
      <x:alignment wrapText="1"/>
    </x:xf>
    <x:xf numFmtId="205" fontId="19" fillId="22" borderId="62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2" fillId="87" borderId="0" xfId="0" applyNumberFormat="1" applyFont="1" applyFill="1" applyBorder="1"/>
    <x:xf numFmtId="0" fontId="2" fillId="8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5" fillId="87" borderId="0" xfId="0" applyNumberFormat="1" applyFont="1" applyFill="1" applyBorder="1" applyAlignment="1">
      <x:alignment wrapText="1"/>
    </x:xf>
    <x:xf numFmtId="0" fontId="54" fillId="88" borderId="0" xfId="0" applyNumberFormat="1" applyFont="1" applyFill="1" applyBorder="1" applyAlignment="1">
      <x:alignment wrapText="1"/>
    </x:xf>
    <x:xf numFmtId="0" fontId="0" fillId="88" borderId="0" xfId="0" applyNumberFormat="1" applyFont="1" applyFill="1" applyBorder="1"/>
    <x:xf numFmtId="0" fontId="55" fillId="88" borderId="0" xfId="0" applyNumberFormat="1" applyFont="1" applyFill="1" applyBorder="1" applyAlignment="1">
      <x:alignment wrapText="1"/>
    </x:xf>
    <x:xf numFmtId="0" fontId="55" fillId="88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56" fillId="87" borderId="0" xfId="0" applyNumberFormat="1" applyFont="1" applyFill="1" applyBorder="1"/>
    <x:xf numFmtId="0" fontId="56" fillId="87" borderId="0" xfId="0" applyNumberFormat="1" applyFont="1" applyFill="1" applyBorder="1" applyAlignment="1">
      <x:alignment horizontal="center"/>
    </x:xf>
    <x:xf numFmtId="0" fontId="0" fillId="89" borderId="0" xfId="0" applyNumberFormat="1" applyFont="1" applyFill="1" applyBorder="1"/>
    <x:xf numFmtId="0" fontId="57" fillId="89" borderId="0" xfId="0" applyNumberFormat="1" applyFont="1" applyFill="1" applyBorder="1"/>
    <x:xf numFmtId="0" fontId="57" fillId="89" borderId="0" xfId="0" applyNumberFormat="1" applyFont="1" applyFill="1" applyBorder="1" applyAlignment="1">
      <x:alignment horizontal="left"/>
    </x:xf>
    <x:xf numFmtId="0" fontId="57" fillId="89" borderId="0" xfId="0" applyNumberFormat="1" applyFont="1" applyFill="1" applyBorder="1" applyAlignment="1">
      <x:alignment horizontal="left" vertical="center"/>
    </x:xf>
    <x:xf numFmtId="0" fontId="0" fillId="90" borderId="0" xfId="0" applyNumberFormat="1" applyFont="1" applyFill="1" applyBorder="1"/>
    <x:xf numFmtId="0" fontId="2" fillId="90" borderId="0" xfId="0" applyNumberFormat="1" applyFont="1" applyFill="1" applyBorder="1"/>
    <x:xf numFmtId="0" fontId="2" fillId="90" borderId="0" xfId="0" applyNumberFormat="1" applyFont="1" applyFill="1" applyBorder="1" applyAlignment="1">
      <x:alignment wrapText="1"/>
    </x:xf>
    <x:xf numFmtId="0" fontId="2" fillId="90" borderId="0" xfId="0" applyNumberFormat="1" applyFont="1" applyFill="1" applyBorder="1" applyAlignment="1">
      <x:alignment horizontal="left" wrapText="1"/>
    </x:xf>
    <x:xf numFmtId="0" fontId="2" fillId="90" borderId="0" xfId="0" applyNumberFormat="1" applyFont="1" applyFill="1" applyBorder="1" applyAlignment="1">
      <x:alignment horizontal="left" vertical="center" wrapText="1"/>
    </x:xf>
    <x:xf numFmtId="0" fontId="58" fillId="0" borderId="0" xfId="0" applyNumberFormat="1" applyFont="1" applyFill="1" applyBorder="1"/>
    <x:xf numFmtId="0" fontId="58" fillId="0" borderId="0" xfId="0" applyNumberFormat="1" applyFont="1" applyFill="1" applyBorder="1" applyAlignment="1">
      <x:alignment wrapText="1"/>
    </x:xf>
    <x:xf numFmtId="0" fontId="58" fillId="0" borderId="0" xfId="0" applyNumberFormat="1" applyFont="1" applyFill="1" applyBorder="1" applyAlignment="1">
      <x:alignment vertical="top" wrapText="1"/>
    </x:xf>
    <x:xf numFmtId="0" fontId="58" fillId="0" borderId="81" xfId="0" applyNumberFormat="1" applyFont="1" applyFill="1" applyBorder="1" applyAlignment="1">
      <x:alignment vertical="top" wrapText="1"/>
    </x:xf>
    <x:xf numFmtId="0" fontId="58" fillId="0" borderId="82" xfId="0" applyNumberFormat="1" applyFont="1" applyFill="1" applyBorder="1" applyAlignment="1">
      <x:alignment vertical="top" wrapText="1"/>
    </x:xf>
    <x:xf numFmtId="0" fontId="58" fillId="0" borderId="83" xfId="0" applyNumberFormat="1" applyFont="1" applyFill="1" applyBorder="1" applyAlignment="1">
      <x:alignment vertical="top" wrapText="1"/>
    </x:xf>
    <x:xf numFmtId="0" fontId="58" fillId="0" borderId="84" xfId="0" applyNumberFormat="1" applyFont="1" applyFill="1" applyBorder="1" applyAlignment="1">
      <x:alignment vertical="top" wrapText="1"/>
    </x:xf>
    <x:xf numFmtId="0" fontId="58" fillId="0" xfId="0" applyNumberFormat="1" applyFont="1" applyFill="1" applyBorder="0" applyAlignment="1">
      <x:alignment vertical="top" wrapText="1"/>
    </x:xf>
    <x:xf numFmtId="0" fontId="58" fillId="0" borderId="85" xfId="0" applyNumberFormat="1" applyFont="1" applyFill="1" applyBorder="1" applyAlignment="1">
      <x:alignment vertical="top" wrapText="1"/>
    </x:xf>
    <x:xf numFmtId="0" fontId="58" fillId="0" borderId="86" xfId="0" applyNumberFormat="1" applyFont="1" applyFill="1" applyBorder="1" applyAlignment="1">
      <x:alignment vertical="top" wrapText="1"/>
    </x:xf>
    <x:xf numFmtId="0" fontId="58" fillId="0" borderId="87" xfId="0" applyNumberFormat="1" applyFont="1" applyFill="1" applyBorder="1" applyAlignment="1">
      <x:alignment vertical="top" wrapText="1"/>
    </x:xf>
    <x:xf numFmtId="0" fontId="58" fillId="0" borderId="88" xfId="0" applyNumberFormat="1" applyFont="1" applyFill="1" applyBorder="1" applyAlignment="1">
      <x:alignment vertical="top" wrapText="1"/>
    </x:xf>
    <x:xf numFmtId="0" fontId="58" fillId="91" borderId="81" xfId="0" applyNumberFormat="1" applyFont="1" applyFill="1" applyBorder="1" applyAlignment="1">
      <x:alignment vertical="top" wrapText="1"/>
    </x:xf>
    <x:xf numFmtId="0" fontId="58" fillId="91" borderId="82" xfId="0" applyNumberFormat="1" applyFont="1" applyFill="1" applyBorder="1" applyAlignment="1">
      <x:alignment vertical="top" wrapText="1"/>
    </x:xf>
    <x:xf numFmtId="0" fontId="58" fillId="91" borderId="83" xfId="0" applyNumberFormat="1" applyFont="1" applyFill="1" applyBorder="1" applyAlignment="1">
      <x:alignment vertical="top" wrapText="1"/>
    </x:xf>
    <x:xf numFmtId="0" fontId="59" fillId="91" borderId="81" xfId="0" applyNumberFormat="1" applyFont="1" applyFill="1" applyBorder="1" applyAlignment="1">
      <x:alignment vertical="top" wrapText="1"/>
    </x:xf>
    <x:xf numFmtId="0" fontId="59" fillId="91" borderId="83" xfId="0" applyNumberFormat="1" applyFont="1" applyFill="1" applyBorder="1" applyAlignment="1">
      <x:alignment vertical="top" wrapText="1"/>
    </x:xf>
    <x:xf numFmtId="0" fontId="58" fillId="91" borderId="84" xfId="0" applyNumberFormat="1" applyFont="1" applyFill="1" applyBorder="1" applyAlignment="1">
      <x:alignment vertical="top" wrapText="1"/>
    </x:xf>
    <x:xf numFmtId="0" fontId="58" fillId="91" xfId="0" applyNumberFormat="1" applyFont="1" applyFill="1" applyBorder="0" applyAlignment="1">
      <x:alignment vertical="top" wrapText="1"/>
    </x:xf>
    <x:xf numFmtId="0" fontId="58" fillId="91" borderId="85" xfId="0" applyNumberFormat="1" applyFont="1" applyFill="1" applyBorder="1" applyAlignment="1">
      <x:alignment vertical="top" wrapText="1"/>
    </x:xf>
    <x:xf numFmtId="0" fontId="59" fillId="91" borderId="84" xfId="0" applyNumberFormat="1" applyFont="1" applyFill="1" applyBorder="1" applyAlignment="1">
      <x:alignment vertical="top" wrapText="1"/>
    </x:xf>
    <x:xf numFmtId="0" fontId="59" fillId="91" borderId="85" xfId="0" applyNumberFormat="1" applyFont="1" applyFill="1" applyBorder="1" applyAlignment="1">
      <x:alignment vertical="top" wrapText="1"/>
    </x:xf>
    <x:xf numFmtId="0" fontId="58" fillId="92" borderId="84" xfId="0" applyNumberFormat="1" applyFont="1" applyFill="1" applyBorder="1" applyAlignment="1">
      <x:alignment vertical="top" wrapText="1"/>
    </x:xf>
    <x:xf numFmtId="0" fontId="58" fillId="92" xfId="0" applyNumberFormat="1" applyFont="1" applyFill="1" applyBorder="0" applyAlignment="1">
      <x:alignment vertical="top" wrapText="1"/>
    </x:xf>
    <x:xf numFmtId="0" fontId="58" fillId="92" borderId="85" xfId="0" applyNumberFormat="1" applyFont="1" applyFill="1" applyBorder="1" applyAlignment="1">
      <x:alignment vertical="top" wrapText="1"/>
    </x:xf>
    <x:xf numFmtId="0" fontId="59" fillId="92" borderId="84" xfId="0" applyNumberFormat="1" applyFont="1" applyFill="1" applyBorder="1" applyAlignment="1">
      <x:alignment vertical="top" wrapText="1"/>
    </x:xf>
    <x:xf numFmtId="0" fontId="59" fillId="92" borderId="85" xfId="0" applyNumberFormat="1" applyFont="1" applyFill="1" applyBorder="1" applyAlignment="1">
      <x:alignment vertical="top" wrapText="1"/>
    </x:xf>
    <x:xf numFmtId="0" fontId="58" fillId="93" borderId="84" xfId="0" applyNumberFormat="1" applyFont="1" applyFill="1" applyBorder="1" applyAlignment="1">
      <x:alignment vertical="top" wrapText="1"/>
    </x:xf>
    <x:xf numFmtId="0" fontId="58" fillId="93" xfId="0" applyNumberFormat="1" applyFont="1" applyFill="1" applyBorder="0" applyAlignment="1">
      <x:alignment vertical="top" wrapText="1"/>
    </x:xf>
    <x:xf numFmtId="0" fontId="58" fillId="93" borderId="85" xfId="0" applyNumberFormat="1" applyFont="1" applyFill="1" applyBorder="1" applyAlignment="1">
      <x:alignment vertical="top" wrapText="1"/>
    </x:xf>
    <x:xf numFmtId="0" fontId="60" fillId="93" borderId="84" xfId="0" applyNumberFormat="1" applyFont="1" applyFill="1" applyBorder="1" applyAlignment="1">
      <x:alignment vertical="top" wrapText="1"/>
    </x:xf>
    <x:xf numFmtId="0" fontId="59" fillId="93" borderId="85" xfId="0" applyNumberFormat="1" applyFont="1" applyFill="1" applyBorder="1" applyAlignment="1">
      <x:alignment vertical="top" wrapText="1"/>
    </x:xf>
    <x:xf numFmtId="0" fontId="58" fillId="94" borderId="84" xfId="0" applyNumberFormat="1" applyFont="1" applyFill="1" applyBorder="1" applyAlignment="1">
      <x:alignment vertical="top" wrapText="1"/>
    </x:xf>
    <x:xf numFmtId="0" fontId="58" fillId="94" xfId="0" applyNumberFormat="1" applyFont="1" applyFill="1" applyBorder="0" applyAlignment="1">
      <x:alignment vertical="top" wrapText="1"/>
    </x:xf>
    <x:xf numFmtId="0" fontId="58" fillId="94" borderId="85" xfId="0" applyNumberFormat="1" applyFont="1" applyFill="1" applyBorder="1" applyAlignment="1">
      <x:alignment vertical="top" wrapText="1"/>
    </x:xf>
    <x:xf numFmtId="0" fontId="59" fillId="94" borderId="84" xfId="0" applyNumberFormat="1" applyFont="1" applyFill="1" applyBorder="1" applyAlignment="1">
      <x:alignment vertical="top" wrapText="1"/>
    </x:xf>
    <x:xf numFmtId="0" fontId="59" fillId="94" borderId="85" xfId="0" applyNumberFormat="1" applyFont="1" applyFill="1" applyBorder="1" applyAlignment="1">
      <x:alignment vertical="top" wrapText="1"/>
    </x:xf>
    <x:xf numFmtId="0" fontId="58" fillId="94" borderId="86" xfId="0" applyNumberFormat="1" applyFont="1" applyFill="1" applyBorder="1" applyAlignment="1">
      <x:alignment vertical="top" wrapText="1"/>
    </x:xf>
    <x:xf numFmtId="0" fontId="58" fillId="94" borderId="87" xfId="0" applyNumberFormat="1" applyFont="1" applyFill="1" applyBorder="1" applyAlignment="1">
      <x:alignment vertical="top" wrapText="1"/>
    </x:xf>
    <x:xf numFmtId="0" fontId="58" fillId="94" borderId="88" xfId="0" applyNumberFormat="1" applyFont="1" applyFill="1" applyBorder="1" applyAlignment="1">
      <x:alignment vertical="top" wrapText="1"/>
    </x:xf>
    <x:xf numFmtId="0" fontId="59" fillId="94" borderId="86" xfId="0" applyNumberFormat="1" applyFont="1" applyFill="1" applyBorder="1" applyAlignment="1">
      <x:alignment vertical="top" wrapText="1"/>
    </x:xf>
    <x:xf numFmtId="0" fontId="59" fillId="94" borderId="88" xfId="0" applyNumberFormat="1" applyFont="1" applyFill="1" applyBorder="1" applyAlignment="1">
      <x:alignment vertical="top" wrapText="1"/>
    </x:xf>
    <x:xf numFmtId="0" fontId="58" fillId="95" borderId="0" xfId="0" applyNumberFormat="1" applyFont="1" applyFill="1" applyBorder="1" applyAlignment="1">
      <x:alignment vertical="top" wrapText="1"/>
    </x:xf>
    <x:xf numFmtId="0" fontId="61" fillId="95" borderId="0" xfId="0" applyNumberFormat="1" applyFont="1" applyFill="1" applyBorder="1" applyAlignment="1">
      <x:alignment vertical="top" wrapText="1"/>
    </x:xf>
    <x:xf numFmtId="0" fontId="61" fillId="95" borderId="0" xfId="0" applyNumberFormat="1" applyFont="1" applyFill="1" applyBorder="1" applyAlignment="1">
      <x:alignment vertical="center" wrapText="1"/>
    </x:xf>
    <x:xf numFmtId="0" fontId="58" fillId="89" borderId="0" xfId="0" applyNumberFormat="1" applyFont="1" applyFill="1" applyBorder="1" applyAlignment="1">
      <x:alignment vertical="top" wrapText="1"/>
    </x:xf>
    <x:xf numFmtId="0" fontId="9" fillId="89" borderId="0" xfId="0" applyNumberFormat="1" applyFont="1" applyFill="1" applyBorder="1" applyAlignment="1">
      <x:alignment vertical="top" wrapText="1"/>
    </x:xf>
    <x:xf numFmtId="0" fontId="9" fillId="8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9449f93da4f2e" /><Relationship Type="http://schemas.openxmlformats.org/officeDocument/2006/relationships/theme" Target="/xl/theme/theme1.xml" Id="R89ff97ad661341ba" /><Relationship Type="http://schemas.openxmlformats.org/officeDocument/2006/relationships/sharedStrings" Target="/xl/sharedStrings.xml" Id="Rc7618bc5521848f1" /><Relationship Type="http://schemas.openxmlformats.org/officeDocument/2006/relationships/worksheet" Target="/xl/worksheets/sheet1.xml" Id="R6ac37297298c4c58" /><Relationship Type="http://schemas.openxmlformats.org/officeDocument/2006/relationships/worksheet" Target="/xl/worksheets/sheet2.xml" Id="R2e65a3e0466a49e8" /><Relationship Type="http://schemas.openxmlformats.org/officeDocument/2006/relationships/worksheet" Target="/xl/worksheets/sheet3.xml" Id="Rf499b469a6ca444c" /><Relationship Type="http://schemas.openxmlformats.org/officeDocument/2006/relationships/worksheet" Target="/xl/worksheets/sheet4.xml" Id="R66123f7939c040ca" /><Relationship Type="http://schemas.openxmlformats.org/officeDocument/2006/relationships/worksheet" Target="/xl/worksheets/sheet5.xml" Id="R9746db6bd5364783" /><Relationship Type="http://schemas.openxmlformats.org/officeDocument/2006/relationships/worksheet" Target="/xl/worksheets/sheet6.xml" Id="Rfec0ebb536f644b3" /><Relationship Type="http://schemas.openxmlformats.org/officeDocument/2006/relationships/worksheet" Target="/xl/worksheets/sheet7.xml" Id="Re92e040541404af2" /><Relationship Type="http://schemas.openxmlformats.org/officeDocument/2006/relationships/worksheet" Target="/xl/worksheets/sheet8.xml" Id="Raa9a7e051bd14264" /><Relationship Type="http://schemas.openxmlformats.org/officeDocument/2006/relationships/worksheet" Target="/xl/worksheets/sheet9.xml" Id="R9507546b5ef841ea" /><Relationship Type="http://schemas.openxmlformats.org/officeDocument/2006/relationships/worksheet" Target="/xl/worksheets/sheet10.xml" Id="Rcf7c52161c3b4799" /><Relationship Type="http://schemas.openxmlformats.org/officeDocument/2006/relationships/worksheet" Target="/xl/worksheets/sheet11.xml" Id="R71887dc3e9654d94" /><Relationship Type="http://schemas.openxmlformats.org/officeDocument/2006/relationships/worksheet" Target="/xl/worksheets/sheet12.xml" Id="Rc660589077424a2c" /><Relationship Type="http://schemas.openxmlformats.org/officeDocument/2006/relationships/worksheet" Target="/xl/worksheets/sheet13.xml" Id="R1c5dbd7b583d4bb5" /><Relationship Type="http://schemas.openxmlformats.org/officeDocument/2006/relationships/worksheet" Target="/xl/worksheets/sheet14.xml" Id="R0d93cbbc1a8f4211" /><Relationship Type="http://schemas.openxmlformats.org/officeDocument/2006/relationships/worksheet" Target="/xl/worksheets/sheet15.xml" Id="Rbd7a758fdf8f4140" /><Relationship Type="http://schemas.openxmlformats.org/officeDocument/2006/relationships/worksheet" Target="/xl/worksheets/sheet16.xml" Id="R67fdd93b117f4ff1" /><Relationship Type="http://schemas.openxmlformats.org/officeDocument/2006/relationships/worksheet" Target="/xl/worksheets/sheet17.xml" Id="R9d558c0c2d5c447b" /><Relationship Type="http://schemas.openxmlformats.org/officeDocument/2006/relationships/worksheet" Target="/xl/worksheets/sheet18.xml" Id="R3321cc99bb904a2b" /><Relationship Type="http://schemas.openxmlformats.org/officeDocument/2006/relationships/worksheet" Target="/xl/worksheets/sheet19.xml" Id="Rcb0ec531e5524475" /><Relationship Type="http://schemas.openxmlformats.org/officeDocument/2006/relationships/worksheet" Target="/xl/worksheets/sheet20.xml" Id="R391024df7b3c4c61" /><Relationship Type="http://schemas.openxmlformats.org/officeDocument/2006/relationships/worksheet" Target="/xl/worksheets/sheet21.xml" Id="R325b9d152b104bc4" /><Relationship Type="http://schemas.openxmlformats.org/officeDocument/2006/relationships/worksheet" Target="/xl/worksheets/sheet22.xml" Id="R97a1b7f287724015" /><Relationship Type="http://schemas.openxmlformats.org/officeDocument/2006/relationships/worksheet" Target="/xl/worksheets/sheet23.xml" Id="R0ae8d21ad9534dba" /><Relationship Type="http://schemas.openxmlformats.org/officeDocument/2006/relationships/worksheet" Target="/xl/worksheets/sheet24.xml" Id="R86f543d0392a4f45" /><Relationship Type="http://schemas.openxmlformats.org/officeDocument/2006/relationships/worksheet" Target="/xl/worksheets/sheet25.xml" Id="R95800740318c4bab" /><Relationship Type="http://schemas.openxmlformats.org/officeDocument/2006/relationships/worksheet" Target="/xl/worksheets/sheet26.xml" Id="Re04aaf7341d44556" /><Relationship Type="http://schemas.openxmlformats.org/officeDocument/2006/relationships/worksheet" Target="/xl/worksheets/sheet27.xml" Id="Rab55042cd9024dfc" /><Relationship Type="http://schemas.openxmlformats.org/officeDocument/2006/relationships/worksheet" Target="/xl/worksheets/sheet28.xml" Id="Rd3329cdea0114202" /><Relationship Type="http://schemas.openxmlformats.org/officeDocument/2006/relationships/worksheet" Target="/xl/worksheets/sheet29.xml" Id="R27e1c009faec4ba4" /><Relationship Type="http://schemas.openxmlformats.org/officeDocument/2006/relationships/worksheet" Target="/xl/worksheets/sheet30.xml" Id="R02ccb8516cb147d2" /><Relationship Type="http://schemas.openxmlformats.org/officeDocument/2006/relationships/worksheet" Target="/xl/worksheets/sheet31.xml" Id="R6e79ff306ed24120" /><Relationship Type="http://schemas.openxmlformats.org/officeDocument/2006/relationships/worksheet" Target="/xl/worksheets/sheet32.xml" Id="R6eb81b353ee34a6e" /><Relationship Type="http://schemas.openxmlformats.org/officeDocument/2006/relationships/worksheet" Target="/xl/worksheets/sheet33.xml" Id="R86879e7f1c04464e" /><Relationship Type="http://schemas.openxmlformats.org/officeDocument/2006/relationships/worksheet" Target="/xl/worksheets/sheet34.xml" Id="R21aa71064ab14e92" /><Relationship Type="http://schemas.openxmlformats.org/officeDocument/2006/relationships/worksheet" Target="/xl/worksheets/sheet35.xml" Id="Ref6c2aade27b4798" /><Relationship Type="http://schemas.openxmlformats.org/officeDocument/2006/relationships/worksheet" Target="/xl/worksheets/sheet36.xml" Id="R46833a35ba7c4694" /><Relationship Type="http://schemas.openxmlformats.org/officeDocument/2006/relationships/worksheet" Target="/xl/worksheets/sheet37.xml" Id="R7a3fd16024ab4d71" /><Relationship Type="http://schemas.openxmlformats.org/officeDocument/2006/relationships/worksheet" Target="/xl/worksheets/sheet38.xml" Id="R6c20f4d6069c4baf" /><Relationship Type="http://schemas.openxmlformats.org/officeDocument/2006/relationships/worksheet" Target="/xl/worksheets/sheet39.xml" Id="Rb12400fdfffd44b0" /><Relationship Type="http://schemas.openxmlformats.org/officeDocument/2006/relationships/worksheet" Target="/xl/worksheets/sheet40.xml" Id="R40510d3bb0554426" /><Relationship Type="http://schemas.openxmlformats.org/officeDocument/2006/relationships/worksheet" Target="/xl/worksheets/sheet41.xml" Id="R4565f19890894cd7" /><Relationship Type="http://schemas.openxmlformats.org/officeDocument/2006/relationships/worksheet" Target="/xl/worksheets/sheet42.xml" Id="Rbd4ccb3ae4584387" /><Relationship Type="http://schemas.openxmlformats.org/officeDocument/2006/relationships/worksheet" Target="/xl/worksheets/sheet43.xml" Id="R7bb4a157d29f49a6" /><Relationship Type="http://schemas.openxmlformats.org/officeDocument/2006/relationships/worksheet" Target="/xl/worksheets/sheet44.xml" Id="R427b2e6fa2114e2e" /><Relationship Type="http://schemas.openxmlformats.org/officeDocument/2006/relationships/worksheet" Target="/xl/worksheets/sheet45.xml" Id="R6c6da2ed15d7458b" /><Relationship Type="http://schemas.openxmlformats.org/officeDocument/2006/relationships/worksheet" Target="/xl/worksheets/sheet46.xml" Id="R388418d88ab9481f" /><Relationship Type="http://schemas.openxmlformats.org/officeDocument/2006/relationships/worksheet" Target="/xl/worksheets/sheet47.xml" Id="R48e0fdc9e3ce4350" /><Relationship Type="http://schemas.openxmlformats.org/officeDocument/2006/relationships/worksheet" Target="/xl/worksheets/sheet48.xml" Id="R5416239dd72541ba" /><Relationship Type="http://schemas.openxmlformats.org/officeDocument/2006/relationships/worksheet" Target="/xl/worksheets/sheet49.xml" Id="Re98541245fb24522" /><Relationship Type="http://schemas.openxmlformats.org/officeDocument/2006/relationships/worksheet" Target="/xl/worksheets/sheet50.xml" Id="R603ca52c12ea45cc" /><Relationship Type="http://schemas.openxmlformats.org/officeDocument/2006/relationships/worksheet" Target="/xl/worksheets/sheet51.xml" Id="Re683de38d68f4ec4" /><Relationship Type="http://schemas.openxmlformats.org/officeDocument/2006/relationships/worksheet" Target="/xl/worksheets/sheet52.xml" Id="R4228b43c78a34524" /><Relationship Type="http://schemas.openxmlformats.org/officeDocument/2006/relationships/worksheet" Target="/xl/worksheets/sheet53.xml" Id="R7e753b285a2d48eb" /><Relationship Type="http://schemas.openxmlformats.org/officeDocument/2006/relationships/worksheet" Target="/xl/worksheets/sheet54.xml" Id="R302fea48faca4f75" /><Relationship Type="http://schemas.openxmlformats.org/officeDocument/2006/relationships/worksheet" Target="/xl/worksheets/sheet55.xml" Id="Rf20df7270b944b23" /><Relationship Type="http://schemas.openxmlformats.org/officeDocument/2006/relationships/worksheet" Target="/xl/worksheets/sheet56.xml" Id="R23907945c23f433e" /><Relationship Type="http://schemas.openxmlformats.org/officeDocument/2006/relationships/worksheet" Target="/xl/worksheets/sheet57.xml" Id="R54f7d42376634f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2e5715e1254b55" /><Relationship Type="http://schemas.openxmlformats.org/officeDocument/2006/relationships/chart" Target="/xl/drawings/charts/chart2.xml" Id="Rb53e9c71240e4df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c70835f71e14095" /><Relationship Type="http://schemas.openxmlformats.org/officeDocument/2006/relationships/chart" Target="/xl/drawings/charts/chart4.xml" Id="Rd2ec7dd6796c4830" /><Relationship Type="http://schemas.openxmlformats.org/officeDocument/2006/relationships/chart" Target="/xl/drawings/charts/chart5.xml" Id="Rfdeb81012a9644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2e5715e1254b55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3e9c71240e4df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70835f71e14095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ec7dd6796c4830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eb81012a9644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8ab5dcf990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82647a66b5342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b68eac2faf045e9" /><Relationship Type="http://schemas.openxmlformats.org/officeDocument/2006/relationships/table" Target="/xl/tables/table2.xml" Id="R3a2601674c394e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db2c71d454764a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01e3ecde7636415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a90eda82e41640c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2" hidden="0" customWidth="1"/>
    <x:col min="8" max="8" width="12" hidden="0" customWidth="1"/>
    <x:col min="15" max="15" width="12" hidden="0" customWidth="1"/>
  </x:cols>
  <x:sheetData>
    <x:row r="1" ht="28" customHeight="1">
      <x:c r="A1" s="2339" t="str">
        <x:v>UKD GROW MASTERPLAN v11.5 · MIXED AUTOFLOWER · CLOCKS + pH STATE POLICY</x:v>
      </x:c>
      <x:c r="B1" s="2339"/>
      <x:c r="C1" s="2339"/>
      <x:c r="D1" s="2339"/>
      <x:c r="E1" s="2339"/>
      <x:c r="F1" s="2339"/>
      <x:c r="G1" s="2339"/>
      <x:c r="H1" s="2339"/>
      <x:c r="I1" s="2339"/>
      <x:c r="J1" s="2339"/>
      <x:c r="K1" s="2339"/>
      <x:c r="L1" s="2339"/>
      <x:c r="M1" s="2339"/>
      <x:c r="N1" s="2339"/>
      <x:c r="O1" s="2339"/>
    </x:row>
    <x:row r="2" ht="30" customHeight="1">
      <x:c r="A2" s="1817" t="str">
        <x:v>Run Day 0 = Aussaat · Plant Day 0 = Durchbruch · pH: Eazy 5,80 / finales Coco 6,00 working setpoint · Athena Balance nur pH-Up bei Bedarf</x:v>
      </x:c>
      <x:c r="B2" s="1817"/>
      <x:c r="C2" s="1817"/>
      <x:c r="D2" s="1817"/>
      <x:c r="E2" s="1817"/>
      <x:c r="F2" s="1817"/>
      <x:c r="G2" s="1817"/>
      <x:c r="H2" s="1817"/>
      <x:c r="I2" s="1817"/>
      <x:c r="J2" s="1817"/>
      <x:c r="K2" s="1817"/>
      <x:c r="L2" s="1817"/>
      <x:c r="M2" s="1817"/>
      <x:c r="N2" s="1817"/>
      <x:c r="O2" s="1817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C3" s="60"/>
      <x:c r="D3" s="14"/>
      <x:c r="E3" s="14"/>
      <x:c r="F3" s="14"/>
      <x:c r="G3" s="14"/>
      <x:c r="H3" s="60"/>
      <x:c r="I3" s="14"/>
      <x:c r="J3" s="14"/>
      <x:c r="K3" s="14"/>
      <x:c r="L3" s="14"/>
      <x:c r="M3" s="14"/>
      <x:c r="N3" s="14"/>
      <x:c r="O3" s="60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2" customHeight="1">
      <x:c r="A4" s="1881" t="str">
        <x:v>GOAL
Eine sichere Tagesentscheidung aus EINER Sicht:
1. Status verstehen
2. fehlende Messung erkennen
3. nächste Aktion ausführen
4. Ergebnis protokollieren
Guided / Advanced / Expert ändern nur Erklärungstiefe, niemals die fachliche Wahrheit.</x:v>
      </x:c>
      <x:c r="B4" s="1882"/>
      <x:c r="C4" s="1883"/>
      <x:c r="D4" s="1881"/>
      <x:c r="E4" s="1884"/>
      <x:c r="F4" s="1883"/>
      <x:c r="G4" s="1885"/>
      <x:c r="H4" s="711"/>
      <x:c r="I4" s="1963" t="str">
        <x:v>PROBLEM, DAS v9 LÖST
- v8 war detailreich, aber Einstieg und 'Was jetzt?' waren zu indirekt.
- App-Laufzeit ist im Quellstand noch v6, während XLSX/PDF bereits v8 waren.
- App hat aktuell 12 Routen, nicht 21; Setup und Log sind noch keine eigenen Routen.
- Mehrere Daily-Formeln referenzierten die Textspalte GM Phase statt den numerischen Bloom-Tag.
- Propagation Eazy Plug/Block -&gt; UGro Rhiza war nicht als eigener Setup-Pfad modelliert.</x:v>
      </x:c>
      <x:c r="J4" s="1964"/>
      <x:c r="K4" s="1965"/>
      <x:c r="L4" s="1966"/>
      <x:c r="M4" s="1964"/>
      <x:c r="N4" s="1967"/>
      <x:c r="O4" s="1966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2" customHeight="1">
      <x:c r="A5" s="1886"/>
      <x:c r="B5" s="1887"/>
      <x:c r="C5" s="1888"/>
      <x:c r="D5" s="1889"/>
      <x:c r="E5" s="1890"/>
      <x:c r="F5" s="1891"/>
      <x:c r="G5" s="1892"/>
      <x:c r="H5" s="488"/>
      <x:c r="I5" s="1968"/>
      <x:c r="J5" s="1969"/>
      <x:c r="K5" s="1970"/>
      <x:c r="L5" s="1971"/>
      <x:c r="M5" s="1969"/>
      <x:c r="N5" s="1972"/>
      <x:c r="O5" s="1971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2" customHeight="1">
      <x:c r="A6" s="1893"/>
      <x:c r="B6" s="1894"/>
      <x:c r="C6" s="1895"/>
      <x:c r="D6" s="1896"/>
      <x:c r="E6" s="1897"/>
      <x:c r="F6" s="1898"/>
      <x:c r="G6" s="1899"/>
      <x:c r="H6" s="491"/>
      <x:c r="I6" s="1973"/>
      <x:c r="J6" s="1974"/>
      <x:c r="K6" s="1975"/>
      <x:c r="L6" s="1976"/>
      <x:c r="M6" s="1974"/>
      <x:c r="N6" s="1977"/>
      <x:c r="O6" s="1976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2" customHeight="1">
      <x:c r="A7" s="1868"/>
      <x:c r="B7" s="1869"/>
      <x:c r="C7" s="1900"/>
      <x:c r="D7" s="1901"/>
      <x:c r="E7" s="1902"/>
      <x:c r="F7" s="1903"/>
      <x:c r="G7" s="1904"/>
      <x:c r="H7" s="494"/>
      <x:c r="I7" s="1978"/>
      <x:c r="J7" s="1979"/>
      <x:c r="K7" s="1980"/>
      <x:c r="L7" s="1981"/>
      <x:c r="M7" s="1979"/>
      <x:c r="N7" s="1982"/>
      <x:c r="O7" s="1981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 ht="22" customHeight="1">
      <x:c r="A8" s="1875"/>
      <x:c r="B8" s="1876"/>
      <x:c r="C8" s="1905"/>
      <x:c r="D8" s="1875"/>
      <x:c r="E8" s="1878"/>
      <x:c r="F8" s="1878"/>
      <x:c r="G8" s="1876"/>
      <x:c r="H8" s="60"/>
      <x:c r="I8" s="1983"/>
      <x:c r="J8" s="1984"/>
      <x:c r="K8" s="1984"/>
      <x:c r="L8" s="1984"/>
      <x:c r="M8" s="1984"/>
      <x:c r="N8" s="1985"/>
      <x:c r="O8" s="1986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/>
      <x:c r="B9" s="601"/>
      <x:c r="C9" s="2340"/>
      <x:c r="D9" s="600"/>
      <x:c r="E9" s="603"/>
      <x:c r="F9" s="603"/>
      <x:c r="G9" s="601"/>
      <x:c r="H9" s="2340"/>
      <x:c r="I9" s="600"/>
      <x:c r="J9" s="2340"/>
      <x:c r="K9" s="2340"/>
      <x:c r="L9" s="2340"/>
      <x:c r="M9" s="2340"/>
      <x:c r="N9" s="601"/>
      <x:c r="O9" s="2340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2" customHeight="1">
      <x:c r="A10" s="1994" t="str">
        <x:v>START HERE · HEUTE IN 3 SCHRITTEN</x:v>
      </x:c>
      <x:c r="B10" s="1995"/>
      <x:c r="C10" s="1994"/>
      <x:c r="D10" s="1997"/>
      <x:c r="E10" s="1994"/>
      <x:c r="F10" s="1995"/>
      <x:c r="G10" s="1998"/>
      <x:c r="H10" s="1995"/>
      <x:c r="I10" s="1994"/>
      <x:c r="J10" s="1995"/>
      <x:c r="K10" s="1994"/>
      <x:c r="L10" s="1995"/>
      <x:c r="M10" s="1994"/>
      <x:c r="N10" s="2341"/>
      <x:c r="O10" s="1995"/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22" customHeight="1">
      <x:c r="A11" s="2022" t="str">
        <x:f>"1 · MESSEN / PRÜFEN"&amp;CHAR(10)&amp;CHAR(10)&amp;"Phase: "&amp;INDEX('02_Daily_Master'!$E$2:$E$82,'01_Run_Config'!$B$5+1)&amp;CHAR(10)&amp;"Wasserchemie: "&amp;'01_Run_Config'!$E$34&amp;CHAR(10)&amp;"pH-Meter: "&amp;'01_Run_Config'!$G$14&amp;CHAR(10)&amp;"EC-Meter: "&amp;'01_Run_Config'!$G$15&amp;CHAR(10)&amp;"Propagation: "&amp;'01_Run_Config'!$B$67&amp;" -&gt; "&amp;'01_Run_Config'!$B$68&amp;CHAR(10)&amp;CHAR(10)&amp;"Regel: Erst fehlende oder fragliche Eingaben klären; Kalender ist keine Freigabe."</x:f>
        <x:v>1 · MESSEN / PRÜFEN
Phase: Keimung
Wasserchemie: UNKNOWN
pH-Meter: offen
EC-Meter: offen
Propagation: Eazy Plug Mini -&gt; Eazy Block Standard
Regel: Erst fehlende oder fragliche Eingaben klären; Kalender ist keine Freigabe.</x:v>
      </x:c>
      <x:c r="B11" s="2023"/>
      <x:c r="C11" s="2022"/>
      <x:c r="D11" s="2024"/>
      <x:c r="E11" s="2022"/>
      <x:c r="F11" s="1883" t="str">
        <x:f>"2 · ENTSCHEIDEN / AUSFÜHREN"&amp;CHAR(10)&amp;CHAR(10)&amp;"Basis: "&amp;INDEX('02_Daily_Master'!$U$2:$U$82,'01_Run_Config'!$B$5+1)&amp;" · "&amp;TEXT(INDEX('02_Daily_Master'!$V$2:$V$82,'01_Run_Config'!$B$5+1),"0.00")&amp;" ml/L"&amp;CHAR(10)&amp;"Root: "&amp;TEXT(INDEX('02_Daily_Master'!$W$2:$W$82,'01_Run_Config'!$B$5+1),"0.00")&amp;" · PowerZyme: "&amp;TEXT(INDEX('02_Daily_Master'!$X$2:$X$82,'01_Run_Config'!$B$5+1),"0.00")&amp;CHAR(10)&amp;"Boost/PK: "&amp;TEXT(INDEX('02_Daily_Master'!$AA$2:$AA$82,'01_Run_Config'!$B$5+1),"0.00")&amp;" / "&amp;TEXT(INDEX('02_Daily_Master'!$AB$2:$AB$82,'01_Run_Config'!$B$5+1),"0.00")&amp;CHAR(10)&amp;"AN heute: "&amp;INDEX('02_Daily_Master'!$BH$2:$BH$82,'01_Run_Config'!$B$5+1)&amp;CHAR(10)&amp;CHAR(10)&amp;"Coverage/Gate: "&amp;INDEX('02_Daily_Master'!$BG$2:$BG$82,'01_Run_Config'!$B$5+1)</x:f>
        <x:v>2 · ENTSCHEIDEN / AUSFÜHREN
Basis: Kein Basisdünger · 0.00 ml/L
Root: 2.50 · PowerZyme: 0.00
Boost/PK: 0.00 / 0.00
AN heute: keine AN-Dosis heute
Coverage/Gate: OK</x:v>
      </x:c>
      <x:c r="G11" s="1885"/>
      <x:c r="H11" s="1883"/>
      <x:c r="I11" s="1881"/>
      <x:c r="J11" s="1883"/>
      <x:c r="K11" s="2066" t="str">
        <x:f>"3 · LOGGEN / NÄCHSTEN SCHRITT SETZEN"&amp;CHAR(10)&amp;CHAR(10)&amp;"Heute loggen: tatsächliche Bewässerung, Input-pH/EC, Drain/Topfstatus, Beobachtung, Abweichung."&amp;CHAR(10)&amp;CHAR(10)&amp;"STOP-Regel:"&amp;CHAR(10)&amp;INDEX('02_Daily_Master'!$AG$2:$AG$82,'01_Run_Config'!$B$5+1)&amp;CHAR(10)&amp;CHAR(10)&amp;"Danach: Ist-Wert != Soll-Wert sichtbar halten; Korrekturen als neues Ereignis, nicht überschreiben."</x:f>
        <x:v>3 · LOGGEN / NÄCHSTEN SCHRITT SETZEN
Heute loggen: tatsächliche Bewässerung, Input-pH/EC, Drain/Topfstatus, Beobachtung, Abweichung.
STOP-Regel:
EC nicht erhöhen bei steigender Diagnose-Drain-EC; PPFD nicht erhöhen bei Stress; Wasserband nie erzwingen; nie mehrere neue Booster gleichzeitig.
Danach: Ist-Wert != Soll-Wert sichtbar halten; Korrekturen als neues Ereignis, nicht überschreiben.</x:v>
      </x:c>
      <x:c r="L11" s="2067"/>
      <x:c r="M11" s="2066"/>
      <x:c r="N11" s="2068"/>
      <x:c r="O11" s="20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22" customHeight="1">
      <x:c r="A12" s="2025"/>
      <x:c r="B12" s="2026"/>
      <x:c r="C12" s="2025"/>
      <x:c r="D12" s="2026"/>
      <x:c r="E12" s="2025"/>
      <x:c r="F12" s="1903"/>
      <x:c r="G12" s="1901"/>
      <x:c r="H12" s="1903"/>
      <x:c r="I12" s="1901"/>
      <x:c r="J12" s="1903"/>
      <x:c r="K12" s="2069"/>
      <x:c r="L12" s="2070"/>
      <x:c r="M12" s="2069"/>
      <x:c r="N12" s="2071"/>
      <x:c r="O12" s="2070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 ht="22" customHeight="1">
      <x:c r="A13" s="2027"/>
      <x:c r="B13" s="2027"/>
      <x:c r="C13" s="2027"/>
      <x:c r="D13" s="2027"/>
      <x:c r="E13" s="2027"/>
      <x:c r="F13" s="1905"/>
      <x:c r="G13" s="1905"/>
      <x:c r="H13" s="1905"/>
      <x:c r="I13" s="1905"/>
      <x:c r="J13" s="1905"/>
      <x:c r="K13" s="2072"/>
      <x:c r="L13" s="2072"/>
      <x:c r="M13" s="2072"/>
      <x:c r="N13" s="2072"/>
      <x:c r="O13" s="2072"/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2028"/>
      <x:c r="B14" s="2028"/>
      <x:c r="C14" s="2028"/>
      <x:c r="D14" s="2028"/>
      <x:c r="E14" s="2028"/>
      <x:c r="F14" s="2041"/>
      <x:c r="G14" s="2041"/>
      <x:c r="H14" s="2041"/>
      <x:c r="I14" s="2041"/>
      <x:c r="J14" s="2041"/>
      <x:c r="K14" s="2073"/>
      <x:c r="L14" s="2073"/>
      <x:c r="M14" s="2073"/>
      <x:c r="N14" s="2073"/>
      <x:c r="O14" s="2073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2" customHeight="1">
      <x:c r="A15" s="2022"/>
      <x:c r="B15" s="2029"/>
      <x:c r="C15" s="2023"/>
      <x:c r="D15" s="2022"/>
      <x:c r="E15" s="2029"/>
      <x:c r="F15" s="1883"/>
      <x:c r="G15" s="1881"/>
      <x:c r="H15" s="1884"/>
      <x:c r="I15" s="1883"/>
      <x:c r="J15" s="1881"/>
      <x:c r="K15" s="2068"/>
      <x:c r="L15" s="2067"/>
      <x:c r="M15" s="2066"/>
      <x:c r="N15" s="2068"/>
      <x:c r="O15" s="2067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22" customHeight="1">
      <x:c r="A16" s="2022"/>
      <x:c r="B16" s="2029"/>
      <x:c r="C16" s="2023"/>
      <x:c r="D16" s="2022"/>
      <x:c r="E16" s="2029"/>
      <x:c r="F16" s="1883"/>
      <x:c r="G16" s="1881"/>
      <x:c r="H16" s="1884"/>
      <x:c r="I16" s="1883"/>
      <x:c r="J16" s="1881"/>
      <x:c r="K16" s="2068"/>
      <x:c r="L16" s="2067"/>
      <x:c r="M16" s="2066"/>
      <x:c r="N16" s="2068"/>
      <x:c r="O16" s="2067"/>
      <x:c r="P16"/>
      <x:c r="Q16"/>
      <x:c r="R16"/>
      <x:c r="T16"/>
      <x:c r="U16"/>
      <x:c r="V16"/>
      <x:c r="X16"/>
      <x:c r="Y16"/>
      <x:c r="Z16"/>
      <x:c r="AA16"/>
    </x:row>
    <x:row r="17" ht="22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 ht="22" customHeight="1">
      <x:c r="A18" s="2342" t="str">
        <x:v>HEUTE / JETZT · ZIELWERTE, STATUS UND BLOCKER</x:v>
      </x:c>
      <x:c r="B18" s="2265"/>
      <x:c r="C18" s="2265"/>
      <x:c r="D18" s="2265"/>
      <x:c r="E18" s="2265"/>
      <x:c r="F18" s="2343"/>
      <x:c r="G18" s="2265"/>
      <x:c r="H18" s="2265"/>
      <x:c r="I18" s="2265"/>
      <x:c r="J18" s="2265"/>
      <x:c r="K18" s="2265"/>
      <x:c r="L18" s="2265"/>
      <x:c r="M18" s="2265"/>
      <x:c r="N18" s="2265"/>
      <x:c r="O18" s="2265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2108" t="str">
        <x:f>"RUN"&amp;CHAR(10)&amp;CHAR(10)&amp;"Tag "&amp;'01_Run_Config'!$B$5&amp;" / "&amp;'01_Run_Config'!$B$7&amp;CHAR(10)&amp;"Phase: "&amp;INDEX('02_Daily_Master'!$E$2:$E$82,'01_Run_Config'!$B$5+1)&amp;CHAR(10)&amp;"Ziel: "&amp;INDEX('02_Daily_Master'!$F$2:$F$82,'01_Run_Config'!$B$5+1)&amp;CHAR(10)&amp;"Medium: "&amp;'01_Run_Config'!$B$69</x:f>
        <x:v>RUN
Tag 2 / 80
Phase: Keimung
Ziel: Keimung + Wurzelstart
Medium: UGro Pot9 Professional Rhiza 9L</x:v>
      </x:c>
      <x:c r="B19" s="2109"/>
      <x:c r="C19" s="2109"/>
      <x:c r="D19" s="2028" t="str">
        <x:f>"TARGETS"&amp;CHAR(10)&amp;CHAR(10)&amp;"PPFD "&amp;TEXT(INDEX('02_Daily_Master'!$I$2:$I$82,'01_Run_Config'!$B$5+1),"0")&amp;" · DLI "&amp;TEXT(INDEX('02_Daily_Master'!$J$2:$J$82,'01_Run_Config'!$B$5+1),"0.0")&amp;CHAR(10)&amp;"Temp "&amp;TEXT(INDEX('02_Daily_Master'!$L$2:$L$82,'01_Run_Config'!$B$5+1),"0.0")&amp;" °C · rF "&amp;TEXT(INDEX('02_Daily_Master'!$N$2:$N$82,'01_Run_Config'!$B$5+1),"0")&amp;"%"&amp;CHAR(10)&amp;"EC "&amp;TEXT(INDEX('02_Daily_Master'!$P$2:$P$82,'01_Run_Config'!$B$5+1),"0.00")&amp;" · pH "&amp;TEXT(INDEX('02_Daily_Master'!$Q$2:$Q$82,'01_Run_Config'!$B$5+1),"0.0")&amp;CHAR(10)&amp;"Wasserband "&amp;TEXT(INDEX('02_Daily_Master'!$R$2:$R$82,'01_Run_Config'!$B$5+1),"0.00")&amp;"–"&amp;TEXT(INDEX('02_Daily_Master'!$S$2:$S$82,'01_Run_Config'!$B$5+1),"0.00")&amp;" L"</x:f>
        <x:v>TARGETS
PPFD 160 · DLI 10.4
Temp 25.0 °C · rF 73%
EC 0.55 · pH 5.8
Wasserband 0.03–0.08 L</x:v>
      </x:c>
      <x:c r="E19" s="2028"/>
      <x:c r="F19" s="2140"/>
      <x:c r="G19" s="2169" t="str">
        <x:f>"STACK"&amp;CHAR(10)&amp;CHAR(10)&amp;"HESI: "&amp;'01_Run_Config'!$B$18&amp;CHAR(10)&amp;"Microbiome: "&amp;'01_Run_Config'!$B$46&amp;CHAR(10)&amp;"Si/pH: "&amp;'01_Run_Config'!$B$51&amp;CHAR(10)&amp;"CalMag: "&amp;'01_Run_Config'!$B$54&amp;CHAR(10)&amp;"Tasty Terpenes: "&amp;'01_Run_Config'!$B$53</x:f>
        <x:v>STACK
HESI: UKD HESI + Owned AN 2026-08-10
Microbiome: Voodoo + Tarantula
Si/pH: Athena Balance conditional
CalMag: AN Sensi CalMag Xtra conditional
Tasty Terpenes: OWNED / A-B OFF</x:v>
      </x:c>
      <x:c r="H19" s="2169"/>
      <x:c r="I19" s="2169"/>
      <x:c r="J19" s="2169"/>
      <x:c r="K19" s="2197" t="str">
        <x:f>"BLOCKERS / UNKNOWN"&amp;CHAR(10)&amp;CHAR(10)&amp;"Hybrid coverage: "&amp;'01_Run_Config'!$E$57&amp;CHAR(10)&amp;"Water chemistry: "&amp;'01_Run_Config'!$E$34&amp;CHAR(10)&amp;"Propagation readiness: "&amp;'01_Run_Config'!$E$75&amp;CHAR(10)&amp;"Athena: "&amp;'01_Run_Config'!$E$35&amp;CHAR(10)&amp;"CalMag: "&amp;'01_Run_Config'!$E$54</x:f>
        <x:v>BLOCKERS / UNKNOWN
Hybrid coverage: OK
Water chemistry: UNKNOWN
Propagation readiness: OPEN
Athena: AVAILABLE IF END-MIX LOW
CalMag: SAFE / DOSE 0</x:v>
      </x:c>
      <x:c r="L19" s="2197"/>
      <x:c r="M19" s="2197"/>
      <x:c r="N19" s="2197"/>
      <x:c r="O19" s="2197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2110"/>
      <x:c r="B20" s="2111"/>
      <x:c r="C20" s="2111"/>
      <x:c r="D20" s="2141"/>
      <x:c r="E20" s="2141"/>
      <x:c r="F20" s="2142"/>
      <x:c r="G20" s="2170"/>
      <x:c r="H20" s="2170"/>
      <x:c r="I20" s="2170"/>
      <x:c r="J20" s="2170"/>
      <x:c r="K20" s="2198"/>
      <x:c r="L20" s="2198"/>
      <x:c r="M20" s="2198"/>
      <x:c r="N20" s="2198"/>
      <x:c r="O20" s="2198"/>
      <x:c r="P20"/>
      <x:c r="Q20"/>
      <x:c r="R20"/>
      <x:c r="T20"/>
      <x:c r="U20"/>
      <x:c r="V20"/>
      <x:c r="X20"/>
      <x:c r="Y20"/>
      <x:c r="Z20"/>
      <x:c r="AA20"/>
    </x:row>
    <x:row r="21" ht="22" customHeight="1">
      <x:c r="A21" s="2097"/>
      <x:c r="B21" s="2098"/>
      <x:c r="C21" s="2099"/>
      <x:c r="D21" s="2130"/>
      <x:c r="E21" s="2131"/>
      <x:c r="F21" s="2132"/>
      <x:c r="G21" s="2159"/>
      <x:c r="H21" s="2160"/>
      <x:c r="I21" s="2160"/>
      <x:c r="J21" s="2161"/>
      <x:c r="K21" s="2187"/>
      <x:c r="L21" s="2188"/>
      <x:c r="M21" s="2188"/>
      <x:c r="N21" s="2188"/>
      <x:c r="O21" s="2189"/>
      <x:c r="P21"/>
      <x:c r="Q21"/>
      <x:c r="R21"/>
      <x:c r="T21"/>
      <x:c r="U21"/>
      <x:c r="V21"/>
      <x:c r="X21"/>
      <x:c r="Y21"/>
      <x:c r="Z21"/>
      <x:c r="AA21"/>
    </x:row>
    <x:row r="22" ht="22" customHeight="1">
      <x:c r="A22" s="2100"/>
      <x:c r="B22" s="2101"/>
      <x:c r="C22" s="2102"/>
      <x:c r="D22" s="2133"/>
      <x:c r="E22" s="2134"/>
      <x:c r="F22" s="2135"/>
      <x:c r="G22" s="2162"/>
      <x:c r="H22" s="2163"/>
      <x:c r="I22" s="2163"/>
      <x:c r="J22" s="2164"/>
      <x:c r="K22" s="2190"/>
      <x:c r="L22" s="2191"/>
      <x:c r="M22" s="2191"/>
      <x:c r="N22" s="2191"/>
      <x:c r="O22" s="2192"/>
      <x:c r="P22"/>
      <x:c r="Q22"/>
      <x:c r="R22"/>
      <x:c r="T22"/>
      <x:c r="U22"/>
      <x:c r="V22"/>
      <x:c r="X22"/>
      <x:c r="Y22"/>
      <x:c r="Z22"/>
      <x:c r="AA22"/>
    </x:row>
    <x:row r="23" ht="22" customHeight="1">
      <x:c r="A23" s="2112"/>
      <x:c r="B23" s="2113"/>
      <x:c r="C23" s="2114"/>
      <x:c r="D23" s="2143"/>
      <x:c r="E23" s="2144"/>
      <x:c r="F23" s="2145"/>
      <x:c r="G23" s="2171"/>
      <x:c r="H23" s="2172"/>
      <x:c r="I23" s="2172"/>
      <x:c r="J23" s="2173"/>
      <x:c r="K23" s="2190"/>
      <x:c r="L23" s="2191"/>
      <x:c r="M23" s="2191"/>
      <x:c r="N23" s="2191"/>
      <x:c r="O23" s="2192"/>
      <x:c r="P23"/>
      <x:c r="Q23"/>
      <x:c r="R23"/>
      <x:c r="T23"/>
      <x:c r="U23"/>
      <x:c r="V23"/>
      <x:c r="X23"/>
      <x:c r="Y23"/>
      <x:c r="Z23"/>
      <x:c r="AA23"/>
    </x:row>
    <x:row r="24" ht="22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 ht="22" customHeight="1">
      <x:c r="A25" s="2344" t="str">
        <x:v>AKTUELLES SETUP · BEKANNT / UNBEKANNT / NOCH ZU BESTÄTIGEN</x:v>
      </x:c>
      <x:c r="B25" s="2345"/>
      <x:c r="C25" s="2345"/>
      <x:c r="D25" s="2345"/>
      <x:c r="E25" s="2345"/>
      <x:c r="F25" s="2346"/>
      <x:c r="G25" s="2345"/>
      <x:c r="H25" s="2345"/>
      <x:c r="I25" s="2345"/>
      <x:c r="J25" s="2345"/>
      <x:c r="K25" s="2345"/>
      <x:c r="L25" s="2345"/>
      <x:c r="M25" s="2345"/>
      <x:c r="N25" s="2345"/>
      <x:c r="O25" s="2345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2219" t="str">
        <x:f>"PROPAGATION"&amp;CHAR(10)&amp;CHAR(10)&amp;'01_Run_Config'!$B$67&amp;" -&gt; "&amp;'01_Run_Config'!$B$68&amp;" -&gt; "&amp;'01_Run_Config'!$B$69&amp;CHAR(10)&amp;CHAR(10)&amp;"Eazy reference: "&amp;'01_Run_Config'!$B$70&amp;CHAR(10)&amp;"Rule: "&amp;'01_Run_Config'!$B$73</x:f>
        <x:v>PROPAGATION
Eazy Plug Mini -&gt; Eazy Block Standard -&gt; UGro Pot9 Professional Rhiza 9L
Eazy reference: pH 5.8 zum Anfeuchten/Bewässern · Medium selbst predetermined/buffered
Rule: Do not chase block pH</x:v>
      </x:c>
      <x:c r="B26" s="2041"/>
      <x:c r="C26" s="2041"/>
      <x:c r="D26" s="2041"/>
      <x:c r="E26" s="2041"/>
      <x:c r="F26" s="2243" t="str">
        <x:v>OWNED STOCK
HESI: TNT, Coco, Wurzel Complex, PowerZyme, SuperVit, Boost, PK13/14
AN: Voodoo Juice + Tarantula selected
Conditional: Athena Balance, Sensi Cal Mag Xtra
Owned but OFF: Tasty Terpenes
Tiny remainder / no repurchase: CarboLoad</x:v>
      </x:c>
      <x:c r="G26" s="2169"/>
      <x:c r="H26" s="2169"/>
      <x:c r="I26" s="2169"/>
      <x:c r="J26" s="2169"/>
      <x:c r="K26" s="2073" t="str">
        <x:v>SETUP READINESS
Still missing / to verify:
- water Ca / Mg / HCO3
- meter calibration status
- exact Eazy sizes
- exact UGro Rhiza format/fill volume
- lamp model / PPFD map
- actual run log + photos
Unknown is allowed. Unknown must never become an invented dose.</x:v>
      </x:c>
      <x:c r="L26" s="2073"/>
      <x:c r="M26" s="2073"/>
      <x:c r="N26" s="2073"/>
      <x:c r="O26" s="2073"/>
      <x:c r="P26"/>
      <x:c r="Q26"/>
      <x:c r="R26"/>
      <x:c r="T26"/>
      <x:c r="U26"/>
      <x:c r="V26"/>
      <x:c r="X26"/>
      <x:c r="Y26"/>
      <x:c r="Z26"/>
      <x:c r="AA26"/>
    </x:row>
    <x:row r="27" ht="22" customHeight="1">
      <x:c r="A27" s="2220"/>
      <x:c r="B27" s="2221"/>
      <x:c r="C27" s="2222"/>
      <x:c r="D27" s="2220"/>
      <x:c r="E27" s="2221"/>
      <x:c r="F27" s="2244"/>
      <x:c r="G27" s="2245"/>
      <x:c r="H27" s="2246"/>
      <x:c r="I27" s="2247"/>
      <x:c r="J27" s="2245"/>
      <x:c r="K27" s="2261"/>
      <x:c r="L27" s="2262"/>
      <x:c r="M27" s="2263"/>
      <x:c r="N27" s="2261"/>
      <x:c r="O27" s="2262"/>
      <x:c r="P27"/>
      <x:c r="Q27"/>
      <x:c r="R27"/>
      <x:c r="T27"/>
      <x:c r="U27"/>
      <x:c r="V27"/>
      <x:c r="X27"/>
      <x:c r="Y27"/>
      <x:c r="Z27"/>
      <x:c r="AA27"/>
    </x:row>
    <x:row r="28" ht="22" customHeight="1">
      <x:c r="A28" s="1901"/>
      <x:c r="B28" s="1902"/>
      <x:c r="C28" s="1903"/>
      <x:c r="D28" s="1901"/>
      <x:c r="E28" s="1902"/>
      <x:c r="F28" s="2248"/>
      <x:c r="G28" s="2249"/>
      <x:c r="H28" s="2250"/>
      <x:c r="I28" s="2248"/>
      <x:c r="J28" s="2249"/>
      <x:c r="K28" s="2071"/>
      <x:c r="L28" s="2070"/>
      <x:c r="M28" s="2069"/>
      <x:c r="N28" s="2071"/>
      <x:c r="O28" s="2070"/>
    </x:row>
    <x:row r="29" ht="22" customHeight="1">
      <x:c r="A29" s="1905"/>
      <x:c r="B29" s="1905"/>
      <x:c r="C29" s="1905"/>
      <x:c r="D29" s="1905"/>
      <x:c r="E29" s="1905"/>
      <x:c r="F29" s="2251"/>
      <x:c r="G29" s="2251"/>
      <x:c r="H29" s="2251"/>
      <x:c r="I29" s="2251"/>
      <x:c r="J29" s="2251"/>
      <x:c r="K29" s="2072"/>
      <x:c r="L29" s="2072"/>
      <x:c r="M29" s="2072"/>
      <x:c r="N29" s="2072"/>
      <x:c r="O29" s="2072"/>
    </x:row>
    <x:row r="30" ht="22" customHeight="1">
      <x:c r="A30" s="1889"/>
      <x:c r="B30" s="1890"/>
      <x:c r="C30" s="1891"/>
      <x:c r="D30" s="1889"/>
      <x:c r="E30" s="1890"/>
      <x:c r="F30" s="2247"/>
      <x:c r="G30" s="2245"/>
      <x:c r="H30" s="2246"/>
      <x:c r="I30" s="2247"/>
      <x:c r="J30" s="2245"/>
      <x:c r="K30" s="2261"/>
      <x:c r="L30" s="2262"/>
      <x:c r="M30" s="2263"/>
      <x:c r="N30" s="2261"/>
      <x:c r="O30" s="2262"/>
    </x:row>
    <x:row r="31" ht="22" customHeight="1">
      <x:c r="A31" s="1796"/>
      <x:c r="B31" s="1797"/>
      <x:c r="C31" s="1798"/>
      <x:c r="D31" s="1796"/>
      <x:c r="E31" s="1797"/>
      <x:c r="F31" s="1798"/>
      <x:c r="G31" s="1796"/>
      <x:c r="H31" s="1797"/>
      <x:c r="I31" s="1798"/>
      <x:c r="J31" s="1796"/>
      <x:c r="K31" s="1797"/>
      <x:c r="L31" s="1798"/>
      <x:c r="M31" s="1796"/>
      <x:c r="N31" s="1797"/>
      <x:c r="O31" s="1798"/>
    </x:row>
    <x:row r="32" ht="22" customHeight="1">
      <x:c r="A32" s="2265" t="str">
        <x:v>HOW TO USE THIS WORKBOOK · ONE CANONICAL JOURNEY</x:v>
      </x:c>
      <x:c r="B32" s="2265"/>
      <x:c r="C32" s="2265"/>
      <x:c r="D32" s="2265"/>
      <x:c r="E32" s="2265"/>
      <x:c r="F32" s="2265"/>
      <x:c r="G32" s="2265"/>
      <x:c r="H32" s="2265"/>
      <x:c r="I32" s="2265"/>
      <x:c r="J32" s="2265"/>
      <x:c r="K32" s="2265"/>
      <x:c r="L32" s="2265"/>
      <x:c r="M32" s="2265"/>
      <x:c r="N32" s="2265"/>
      <x:c r="O32" s="2265"/>
    </x:row>
    <x:row r="33" ht="22" customHeight="1">
      <x:c r="A33" s="2323" t="str">
        <x:v>1 START HERE / 00_Dashboard -&gt; next action + blockers + where to look
2 TODAY / 36_TODAY_OPERATOR -&gt; today in plain language with local term explanations
3 SETUP / 37_SETUP_OPERATOR -&gt; known / unknown / blockers before run activation
4 MIX / 38_MIX_OPERATOR -&gt; today's resolved mix, sequence and terms
5 LOG / 39_LOG_GUIDE + 12_Daily_Log -&gt; actual measurements/actions, not plan targets
6 REVIEW / 03_Weekly_Master + timeline -&gt; phase, trends, next trigger, deviations
7 WHY? / 34_CONTEXT_HELP_MAP + evidence/source sheets -&gt; definitions, scope and reason
Rule: if operator view and canonical master disagree, RELEASE BLOCK - fix canonical source and regenerate.</x:v>
      </x:c>
      <x:c r="B33" s="2323"/>
      <x:c r="C33" s="2323"/>
      <x:c r="D33" s="2323"/>
      <x:c r="E33" s="2323"/>
      <x:c r="F33" s="2323"/>
      <x:c r="G33" s="2323"/>
      <x:c r="H33" s="2323"/>
      <x:c r="I33" s="2323"/>
      <x:c r="J33" s="2323"/>
      <x:c r="K33" s="2323"/>
      <x:c r="L33" s="2323"/>
      <x:c r="M33" s="2323"/>
      <x:c r="N33" s="2323"/>
      <x:c r="O33" s="2323"/>
    </x:row>
    <x:row r="34" ht="22" customHeight="1">
      <x:c r="A34" s="2324"/>
      <x:c r="B34" s="2325"/>
      <x:c r="C34" s="2326"/>
      <x:c r="D34" s="2324"/>
      <x:c r="E34" s="2325"/>
      <x:c r="F34" s="2326"/>
      <x:c r="G34" s="2324"/>
      <x:c r="H34" s="2325"/>
      <x:c r="I34" s="2326"/>
      <x:c r="J34" s="2324"/>
      <x:c r="K34" s="2325"/>
      <x:c r="L34" s="2326"/>
      <x:c r="M34" s="2324"/>
      <x:c r="N34" s="2325"/>
      <x:c r="O34" s="2326"/>
    </x:row>
    <x:row r="35" ht="22" customHeight="1">
      <x:c r="A35" s="2327"/>
      <x:c r="B35" s="2328"/>
      <x:c r="C35" s="2329"/>
      <x:c r="D35" s="2327"/>
      <x:c r="E35" s="2328"/>
      <x:c r="F35" s="2329"/>
      <x:c r="G35" s="2327"/>
      <x:c r="H35" s="2328"/>
      <x:c r="I35" s="2329"/>
      <x:c r="J35" s="2327"/>
      <x:c r="K35" s="2328"/>
      <x:c r="L35" s="2329"/>
      <x:c r="M35" s="2327"/>
      <x:c r="N35" s="2328"/>
      <x:c r="O35" s="2329"/>
    </x:row>
    <x:row r="36" ht="22" customHeight="1">
      <x:c r="A36" s="2330"/>
      <x:c r="B36" s="2331"/>
      <x:c r="C36" s="2331"/>
      <x:c r="D36" s="2331"/>
      <x:c r="E36" s="2331"/>
      <x:c r="F36" s="2331"/>
      <x:c r="G36" s="2331"/>
      <x:c r="H36" s="2331"/>
      <x:c r="I36" s="2331"/>
      <x:c r="J36" s="2331"/>
      <x:c r="K36" s="2331"/>
      <x:c r="L36" s="2331"/>
      <x:c r="M36" s="2331"/>
      <x:c r="N36" s="2331"/>
      <x:c r="O36" s="2332"/>
    </x:row>
    <x:row r="37" ht="22" customHeight="1">
      <x:c r="A37" s="2333"/>
      <x:c r="B37" s="2334"/>
      <x:c r="C37" s="2334"/>
      <x:c r="D37" s="2334"/>
      <x:c r="E37" s="2334"/>
      <x:c r="F37" s="2334"/>
      <x:c r="G37" s="2334"/>
      <x:c r="H37" s="2334"/>
      <x:c r="I37" s="2334"/>
      <x:c r="J37" s="2334"/>
      <x:c r="K37" s="2334"/>
      <x:c r="L37" s="2334"/>
      <x:c r="M37" s="2334"/>
      <x:c r="N37" s="2334"/>
      <x:c r="O37" s="2335"/>
    </x:row>
    <x:row r="38" ht="22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</x:row>
    <x:row r="39" ht="22" customHeight="1">
      <x:c r="A39" s="2265" t="str">
        <x:v>STATUS- UND EVIDENZLEGENDE</x:v>
      </x:c>
      <x:c r="B39" s="2265"/>
      <x:c r="C39" s="2265"/>
      <x:c r="D39" s="2265"/>
      <x:c r="E39" s="2265"/>
      <x:c r="F39" s="2265"/>
      <x:c r="G39" s="2265"/>
      <x:c r="H39" s="2265"/>
      <x:c r="I39" s="2265"/>
      <x:c r="J39" s="2265"/>
      <x:c r="K39" s="2265"/>
      <x:c r="L39" s="2265"/>
      <x:c r="M39" s="2265"/>
      <x:c r="N39" s="2265"/>
      <x:c r="O39" s="2265"/>
    </x:row>
    <x:row r="40" ht="22" customHeight="1">
      <x:c r="A40" s="2020" t="str">
        <x:v>PLANWERT / ZIEL
Geplanter Wert oder Bereich.
Nicht automatisch gemessen oder freigegeben.</x:v>
      </x:c>
      <x:c r="B40" s="2020"/>
      <x:c r="C40" s="2020"/>
      <x:c r="D40" s="1880" t="str">
        <x:v>GEMESSEN / ISTWERT
Tatsächlich gemessen.
Braucht Zeitpunkt, Einheit und Messmethode.</x:v>
      </x:c>
      <x:c r="E40" s="1880"/>
      <x:c r="F40" s="1880"/>
      <x:c r="G40" s="2338" t="str">
        <x:v>NUTZEREINGABE / UNBEKANNT
Setup-Fakt oder offene Lücke.
Nutzereingabe ist keine Evidenz. Unbekannt bleibt unbekannt.</x:v>
      </x:c>
      <x:c r="H40" s="2338"/>
      <x:c r="I40" s="2338"/>
      <x:c r="J40" s="2242" t="str">
        <x:v>HERSTELLER / UKD
Herstellerangabe getrennt von UKD-Engineering-Regel.
Keine stille Vermischung.</x:v>
      </x:c>
      <x:c r="K40" s="2242"/>
      <x:c r="L40" s="2242"/>
      <x:c r="M40" s="1962" t="str">
        <x:v>GESPERRT / EXPERIMENT
Kein automatischer operativer Pfad.
Blocker bleibt sichtbar; Experiment braucht bewusste Aktivierung + Log.</x:v>
      </x:c>
      <x:c r="N40" s="1962"/>
      <x:c r="O40" s="1962"/>
    </x:row>
    <x:row r="41" ht="22" customHeight="1">
      <x:c r="A41" s="2020"/>
      <x:c r="B41" s="2020"/>
      <x:c r="C41" s="2020"/>
      <x:c r="D41" s="1880"/>
      <x:c r="E41" s="1880"/>
      <x:c r="F41" s="1880"/>
      <x:c r="G41" s="2338"/>
      <x:c r="H41" s="2338"/>
      <x:c r="I41" s="2338"/>
      <x:c r="J41" s="2242"/>
      <x:c r="K41" s="2242"/>
      <x:c r="L41" s="2242"/>
      <x:c r="M41" s="1962"/>
      <x:c r="N41" s="1962"/>
      <x:c r="O41" s="1962"/>
    </x:row>
    <x:row r="42" ht="22" customHeight="1">
      <x:c r="A42" s="2020"/>
      <x:c r="B42" s="2020"/>
      <x:c r="C42" s="2020"/>
      <x:c r="D42" s="1880"/>
      <x:c r="E42" s="1880"/>
      <x:c r="F42" s="1880"/>
      <x:c r="G42" s="2338"/>
      <x:c r="H42" s="2338"/>
      <x:c r="I42" s="2338"/>
      <x:c r="J42" s="2242"/>
      <x:c r="K42" s="2242"/>
      <x:c r="L42" s="2242"/>
      <x:c r="M42" s="1962"/>
      <x:c r="N42" s="1962"/>
      <x:c r="O42" s="1962"/>
    </x:row>
    <x:row r="43" ht="22" customHeight="1">
      <x:c r="A43" s="2020"/>
      <x:c r="B43" s="2020"/>
      <x:c r="C43" s="2020"/>
      <x:c r="D43" s="1880"/>
      <x:c r="E43" s="1880"/>
      <x:c r="F43" s="1880"/>
      <x:c r="G43" s="2338"/>
      <x:c r="H43" s="2338"/>
      <x:c r="I43" s="2338"/>
      <x:c r="J43" s="2242"/>
      <x:c r="K43" s="2242"/>
      <x:c r="L43" s="2242"/>
      <x:c r="M43" s="1962"/>
      <x:c r="N43" s="1962"/>
      <x:c r="O43" s="1962"/>
    </x:row>
    <x:row r="44" ht="22" customHeight="1">
      <x:c r="A44" s="2020"/>
      <x:c r="B44" s="2020"/>
      <x:c r="C44" s="2020"/>
      <x:c r="D44" s="1880"/>
      <x:c r="E44" s="1880"/>
      <x:c r="F44" s="1880"/>
      <x:c r="G44" s="2338"/>
      <x:c r="H44" s="2338"/>
      <x:c r="I44" s="2338"/>
      <x:c r="J44" s="2242"/>
      <x:c r="K44" s="2242"/>
      <x:c r="L44" s="2242"/>
      <x:c r="M44" s="1962"/>
      <x:c r="N44" s="1962"/>
      <x:c r="O44" s="1962"/>
    </x:row>
    <x:row r="45" ht="22" customHeight="1">
      <x:c r="A45" s="2020"/>
      <x:c r="B45" s="2020"/>
      <x:c r="C45" s="2020"/>
      <x:c r="D45" s="1880"/>
      <x:c r="E45" s="1880"/>
      <x:c r="F45" s="1880"/>
      <x:c r="G45" s="2338"/>
      <x:c r="H45" s="2338"/>
      <x:c r="I45" s="2338"/>
      <x:c r="J45" s="2242"/>
      <x:c r="K45" s="2242"/>
      <x:c r="L45" s="2242"/>
      <x:c r="M45" s="1962"/>
      <x:c r="N45" s="1962"/>
      <x:c r="O45" s="1962"/>
    </x:row>
    <x:row r="47" ht="28" customHeight="1">
      <x:c r="A47" s="2393" t="str">
        <x:v>WO FINDE ICH WAS? · Aufgabe -&gt; richtige Sektion</x:v>
      </x:c>
      <x:c r="B47" s="2393"/>
      <x:c r="C47" s="2393"/>
      <x:c r="D47" s="2393"/>
      <x:c r="E47" s="2393"/>
      <x:c r="F47" s="2393"/>
      <x:c r="G47" s="2393"/>
      <x:c r="H47" s="2393"/>
      <x:c r="I47" s="2393"/>
      <x:c r="J47" s="2393"/>
      <x:c r="K47" s="2393"/>
      <x:c r="L47" s="2393"/>
      <x:c r="M47" s="2393"/>
      <x:c r="N47" s="2393"/>
      <x:c r="O47" s="2393"/>
    </x:row>
    <x:row r="48" ht="28" customHeight="1">
      <x:c r="A48" s="2411" t="str">
        <x:v>HEUTE
Was jetzt messen / geben / beobachten?
→ 36_TODAY_OPERATOR</x:v>
      </x:c>
      <x:c r="B48" s="2411"/>
      <x:c r="C48" s="2411"/>
      <x:c r="D48" s="2414" t="str">
        <x:v>SETUP
Was ist bekannt, unbekannt oder blockiert?
→ 37_SETUP_OPERATOR</x:v>
      </x:c>
      <x:c r="E48" s="2414"/>
      <x:c r="F48" s="2414"/>
      <x:c r="G48" s="2417" t="str">
        <x:v>MIX
Wie mische ich den heutigen Stack?
→ 38_MIX_OPERATOR</x:v>
      </x:c>
      <x:c r="H48" s="2417"/>
      <x:c r="I48" s="2417"/>
      <x:c r="J48" s="2414" t="str">
        <x:v>LOG
Wo trage ich echte Messwerte/Aktionen ein?
→ 39_LOG_GUIDE + 12_Daily_Log</x:v>
      </x:c>
      <x:c r="K48" s="2414"/>
      <x:c r="L48" s="2414"/>
      <x:c r="M48" s="2420" t="str">
        <x:v>BEGRIFF / WARUM
Was bedeutet EC/VPD/DLI? Woher kommt die Regel?
→ 34_CONTEXT_HELP_MAP + 22_Sources</x:v>
      </x:c>
      <x:c r="N48" s="2420"/>
      <x:c r="O48" s="2420"/>
    </x:row>
    <x:row r="49" ht="28" customHeight="1">
      <x:c r="A49" s="2411"/>
      <x:c r="B49" s="2411"/>
      <x:c r="C49" s="2411"/>
      <x:c r="D49" s="2414"/>
      <x:c r="E49" s="2414"/>
      <x:c r="F49" s="2414"/>
      <x:c r="G49" s="2417"/>
      <x:c r="H49" s="2417"/>
      <x:c r="I49" s="2417"/>
      <x:c r="J49" s="2414"/>
      <x:c r="K49" s="2414"/>
      <x:c r="L49" s="2414"/>
      <x:c r="M49" s="2420"/>
      <x:c r="N49" s="2420"/>
      <x:c r="O49" s="2420"/>
    </x:row>
    <x:row r="50" ht="28" customHeight="1">
      <x:c r="A50" s="2411"/>
      <x:c r="B50" s="2411"/>
      <x:c r="C50" s="2411"/>
      <x:c r="D50" s="2414"/>
      <x:c r="E50" s="2414"/>
      <x:c r="F50" s="2414"/>
      <x:c r="G50" s="2417"/>
      <x:c r="H50" s="2417"/>
      <x:c r="I50" s="2417"/>
      <x:c r="J50" s="2414"/>
      <x:c r="K50" s="2414"/>
      <x:c r="L50" s="2414"/>
      <x:c r="M50" s="2420"/>
      <x:c r="N50" s="2420"/>
      <x:c r="O50" s="2420"/>
    </x:row>
    <x:row r="51" ht="28" customHeight="1">
      <x:c r="A51" s="2411"/>
      <x:c r="B51" s="2411"/>
      <x:c r="C51" s="2411"/>
      <x:c r="D51" s="2414"/>
      <x:c r="E51" s="2414"/>
      <x:c r="F51" s="2414"/>
      <x:c r="G51" s="2417"/>
      <x:c r="H51" s="2417"/>
      <x:c r="I51" s="2417"/>
      <x:c r="J51" s="2414"/>
      <x:c r="K51" s="2414"/>
      <x:c r="L51" s="2414"/>
      <x:c r="M51" s="2420"/>
      <x:c r="N51" s="2420"/>
      <x:c r="O51" s="2420"/>
    </x:row>
    <x:row r="52" ht="28" customHeight="1">
      <x:c r="A52" s="2411"/>
      <x:c r="B52" s="2411"/>
      <x:c r="C52" s="2411"/>
      <x:c r="D52" s="2414"/>
      <x:c r="E52" s="2414"/>
      <x:c r="F52" s="2414"/>
      <x:c r="G52" s="2417"/>
      <x:c r="H52" s="2417"/>
      <x:c r="I52" s="2417"/>
      <x:c r="J52" s="2414"/>
      <x:c r="K52" s="2414"/>
      <x:c r="L52" s="2414"/>
      <x:c r="M52" s="2420"/>
      <x:c r="N52" s="2420"/>
      <x:c r="O52" s="2420"/>
    </x:row>
    <x:row r="53" ht="28" customHeight="1">
      <x:c r="A53" s="2411"/>
      <x:c r="B53" s="2411"/>
      <x:c r="C53" s="2411"/>
      <x:c r="D53" s="2414"/>
      <x:c r="E53" s="2414"/>
      <x:c r="F53" s="2414"/>
      <x:c r="G53" s="2417"/>
      <x:c r="H53" s="2417"/>
      <x:c r="I53" s="2417"/>
      <x:c r="J53" s="2414"/>
      <x:c r="K53" s="2414"/>
      <x:c r="L53" s="2414"/>
      <x:c r="M53" s="2420"/>
      <x:c r="N53" s="2420"/>
      <x:c r="O53" s="2420"/>
    </x:row>
    <x:row r="54" ht="28" customHeight="1"/>
    <x:row r="55" ht="28" customHeight="1">
      <x:c r="A55" s="2379" t="str">
        <x:v>FACHBEGRIFF-PRINZIP v10
Im Operator-Bereich wird zuerst der verständliche Name gezeigt und die Abkürzung in Klammern: z. B. 'Nährsalzstärke (EC)', 'Lichtstärke am Blätterdach (PPFD)', 'Tageslichtmenge (DLI)', 'Luftfeuchtigkeit (rF)' und 'Trocknungsdruck der Luft (VPD)'. Die technische Originalbezeichnung bleibt in Master-/Rohdaten und im Context Help Map erhalten.</x:v>
      </x:c>
      <x:c r="B55" s="2379"/>
      <x:c r="C55" s="2379"/>
      <x:c r="D55" s="2379"/>
      <x:c r="E55" s="2379"/>
      <x:c r="F55" s="2379"/>
      <x:c r="G55" s="2379"/>
      <x:c r="H55" s="2379"/>
      <x:c r="I55" s="2379"/>
      <x:c r="J55" s="2379"/>
      <x:c r="K55" s="2379"/>
      <x:c r="L55" s="2379"/>
      <x:c r="M55" s="2379"/>
      <x:c r="N55" s="2379"/>
      <x:c r="O55" s="2379"/>
    </x:row>
    <x:row r="56" ht="28" customHeight="1">
      <x:c r="A56" s="2379"/>
      <x:c r="B56" s="2379"/>
      <x:c r="C56" s="2379"/>
      <x:c r="D56" s="2379"/>
      <x:c r="E56" s="2379"/>
      <x:c r="F56" s="2379"/>
      <x:c r="G56" s="2379"/>
      <x:c r="H56" s="2379"/>
      <x:c r="I56" s="2379"/>
      <x:c r="J56" s="2379"/>
      <x:c r="K56" s="2379"/>
      <x:c r="L56" s="2379"/>
      <x:c r="M56" s="2379"/>
      <x:c r="N56" s="2379"/>
      <x:c r="O56" s="2379"/>
    </x:row>
    <x:row r="57" ht="28" customHeight="1">
      <x:c r="A57" s="2379"/>
      <x:c r="B57" s="2379"/>
      <x:c r="C57" s="2379"/>
      <x:c r="D57" s="2379"/>
      <x:c r="E57" s="2379"/>
      <x:c r="F57" s="2379"/>
      <x:c r="G57" s="2379"/>
      <x:c r="H57" s="2379"/>
      <x:c r="I57" s="2379"/>
      <x:c r="J57" s="2379"/>
      <x:c r="K57" s="2379"/>
      <x:c r="L57" s="2379"/>
      <x:c r="M57" s="2379"/>
      <x:c r="N57" s="2379"/>
      <x:c r="O57" s="2379"/>
    </x:row>
    <x:row r="58" ht="28" customHeight="1">
      <x:c r="A58" s="2379"/>
      <x:c r="B58" s="2379"/>
      <x:c r="C58" s="2379"/>
      <x:c r="D58" s="2379"/>
      <x:c r="E58" s="2379"/>
      <x:c r="F58" s="2379"/>
      <x:c r="G58" s="2379"/>
      <x:c r="H58" s="2379"/>
      <x:c r="I58" s="2379"/>
      <x:c r="J58" s="2379"/>
      <x:c r="K58" s="2379"/>
      <x:c r="L58" s="2379"/>
      <x:c r="M58" s="2379"/>
      <x:c r="N58" s="2379"/>
      <x:c r="O58" s="2379"/>
    </x:row>
    <x:row r="59" ht="28" customHeight="1">
      <x:c r="A59" s="2379"/>
      <x:c r="B59" s="2379"/>
      <x:c r="C59" s="2379"/>
      <x:c r="D59" s="2379"/>
      <x:c r="E59" s="2379"/>
      <x:c r="F59" s="2379"/>
      <x:c r="G59" s="2379"/>
      <x:c r="H59" s="2379"/>
      <x:c r="I59" s="2379"/>
      <x:c r="J59" s="2379"/>
      <x:c r="K59" s="2379"/>
      <x:c r="L59" s="2379"/>
      <x:c r="M59" s="2379"/>
      <x:c r="N59" s="2379"/>
      <x:c r="O59" s="2379"/>
    </x:row>
  </x:sheetData>
  <x:mergeCells>
    <x:mergeCell ref="A9:O9"/>
    <x:mergeCell ref="A24:F24"/>
    <x:mergeCell ref="G24:J24"/>
    <x:mergeCell ref="K24:O24"/>
    <x:mergeCell ref="A31:F31"/>
    <x:mergeCell ref="G31:J31"/>
    <x:mergeCell ref="K31:O31"/>
    <x:mergeCell ref="A1:O1"/>
    <x:mergeCell ref="A2:O2"/>
    <x:mergeCell ref="A4:G8"/>
    <x:mergeCell ref="I4:O8"/>
    <x:mergeCell ref="A10:O10"/>
    <x:mergeCell ref="A11:E16"/>
    <x:mergeCell ref="F11:J16"/>
    <x:mergeCell ref="K11:O16"/>
    <x:mergeCell ref="A18:O18"/>
    <x:mergeCell ref="A19:C23"/>
    <x:mergeCell ref="D19:F23"/>
    <x:mergeCell ref="G19:J23"/>
    <x:mergeCell ref="K19:O23"/>
    <x:mergeCell ref="A25:O25"/>
    <x:mergeCell ref="A26:E30"/>
    <x:mergeCell ref="F26:J30"/>
    <x:mergeCell ref="K26:O30"/>
    <x:mergeCell ref="A32:O32"/>
    <x:mergeCell ref="A33:O37"/>
    <x:mergeCell ref="A39:O39"/>
    <x:mergeCell ref="A40:C45"/>
    <x:mergeCell ref="D40:F45"/>
    <x:mergeCell ref="G40:I45"/>
    <x:mergeCell ref="J40:L45"/>
    <x:mergeCell ref="M40:O45"/>
    <x:mergeCell ref="A47:O47"/>
    <x:mergeCell ref="A48:C53"/>
    <x:mergeCell ref="D48:F53"/>
    <x:mergeCell ref="G48:I53"/>
    <x:mergeCell ref="J48:L53"/>
    <x:mergeCell ref="M48:O53"/>
    <x:mergeCell ref="A55:O59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688ab5dcf9904b68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4" max="4" width="16" hidden="0" customWidth="1"/>
    <x:col min="5" max="5" width="18" hidden="0" customWidth="1"/>
    <x:col min="6" max="6" width="42" hidden="0" customWidth="1"/>
    <x:col min="7" max="7" width="40" hidden="0" customWidth="1"/>
    <x:col min="8" max="8" width="28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2470" t="n">
        <x:v>46255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2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1× Double Grape Auto + 1× Banana Purple Punch Auto + 1× GG. #4 Auto (Sensible Seeds listing / BSB Genetics - Packung verifizieren)</x:v>
      </x:c>
      <x:c r="D6" s="1162" t="str">
        <x:v>Max. W/m²</x:v>
      </x:c>
      <x:c r="E6" s="1199" t="n">
        <x:f>B11/E4</x:f>
        <x:v>388.8888888888889</x:v>
      </x:c>
      <x:c r="F6" s="1200" t="str">
        <x:v>Misch-Run: Phänotyp, FlowerInitiation, Bewässerung und Harvest Readiness pro Pflanze getrennt erfassen.</x:v>
      </x:c>
    </x:row>
    <x:row r="7">
      <x:c r="A7" s="1162" t="str">
        <x:v>Statisches Atlas-Ende / spätester Watch-Punkt (kein gemeinsamer Harvest-Trigger)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Jede Pflanze kann früher/später reif werden. Separate HarvestEvents zulassen; übrige Pflanzen laufen weiter.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5.8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9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Pot9 Professional Rhiza 9L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 / Versorgerstatus</x:v>
      </x:c>
      <x:c r="B15" s="1173" t="str">
        <x:v>ZWA Saalfeld · variable Stadtversorgung · exakte Quelle unbestätigt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 (gemessen)</x:v>
      </x:c>
      <x:c r="B16" s="1173" t="n">
        <x:v>0.539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+ Owned AN 2026-08-10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Policy</x:v>
      </x:c>
      <x:c r="B21" s="1181" t="str">
        <x:v>AVAILABLE IF NEEDED ab Plant Day 0 · nur pH-UP/Pufferung</x:v>
      </x:c>
      <x:c r="F21" t="str">
        <x:v>Kein Kalenderzusatz. Nach Durchbruch zulässig, aber bei Rohwasser pH 8,3 typischerweise nur relevant, wenn der vollständige Endmix unter den Ziel-pH fällt.</x:v>
      </x:c>
    </x:row>
    <x:row r="22">
      <x:c r="A22" s="34" t="str">
        <x:v>Athena Balance aktuelle/kalibrierte Dosis ml/L</x:v>
      </x:c>
      <x:c r="B22" s="1182" t="n">
        <x:v>0</x:v>
      </x:c>
      <x:c r="F22" t="str">
        <x:v>0 = aktuell nicht zugegeben / noch keine wiederholbare Titrationsdosis. Nicht als '0 ml abmessen' lesen.</x:v>
      </x:c>
    </x:row>
    <x:row r="23">
      <x:c r="A23" s="34" t="str">
        <x:v>pH Ziel Endmix HEUTE · state-resolved</x:v>
      </x:c>
      <x:c r="B23" s="1182" t="n">
        <x:f>IF(COUNTIF('50_PLANT_STATE_MODEL'!$E$2:$E$4,"FINAL_COCO")=3,6,5.8)</x:f>
        <x:v>5.8</x:v>
      </x:c>
      <x:c r="F23" t="str">
        <x:v>Shared-batch Resolver: solange mindestens eine Pflanze noch in Eazy Plug/Block ist → 5,80. Wenn alle 3 in finalem Coco sind → 6,00. Separate Batches dürfen plant-spezifisch auflösen.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f>B51</x:f>
        <x:v>Athena Balance conditional</x:v>
      </x:c>
    </x:row>
    <x:row r="27">
      <x:c r="A27" s="34" t="str">
        <x:v>AN Grand-Master Status (Info)</x:v>
      </x:c>
      <x:c r="B27" s="1182" t="str">
        <x:v>Inventory preset: HESI core + Voodoo/Tarantula; GM reference only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v7: HESI bleibt kanonische Basis. AN-Produkte werden nur als explizite Ergänzung, Alternative oder Diagnose-/A/B-Modul zugeschaltet. Hersteller-Kompatibilität mit Fremdbasen ist kein Wirksamkeitsnachweis. Direkte Funktionsduplikate werden nicht gestapelt.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frühester Referenztag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Kalender-Untergrenze, keine Freigabe. Bei Eazy Plug/Block erst Propagation-/Pflanzengate prüfen.</x:v>
      </x:c>
      <x:c r="G32" s="1705" t="str">
        <x:v>Action</x:v>
      </x:c>
      <x:c r="H32" s="1706" t="str">
        <x:v>Evidence</x:v>
      </x:c>
    </x:row>
    <x:row r="33">
      <x:c r="A33" s="1156" t="str">
        <x:v>Blüte-Trigger Tag (PROJEKTION; operational nur nach Beobachtung)</x:v>
      </x:c>
      <x:c r="B33" s="1386" t="n">
        <x:f>IF(ISNUMBER(B83),B83,28)</x:f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Auto: Day 28 ist Planprojektion, kein biologischer Trigger. Operational BT1 muss aus beobachtetem FlowerInitiation-Event kommen.</x:v>
      </x:c>
      <x:c r="G33" s="1708" t="str">
        <x:v>REQUIRES CONFIRMATION</x:v>
      </x:c>
      <x:c r="H33" s="1709" t="str">
        <x:v>Mephisto breeder + autoflower literature + UKD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pH und EC sind gemessen; Ca, Mg und HCO3/Alkalinität bleiben unbestätigt. Wasserchemie daher PARTIAL, nicht vollständig.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 (gemessen)</x:v>
      </x:c>
      <x:c r="B35" s="1386" t="n">
        <x:v>8.3</x:v>
      </x:c>
      <x:c r="D35" s="1707" t="str">
        <x:v>Athena Balance</x:v>
      </x:c>
      <x:c r="E35" s="1708" t="str">
        <x:f>IF(ISNUMBER($B$91),"AVAILABLE IF END-MIX LOW","PRE-EMERGENCE / CONDITIONAL")</x:f>
        <x:v>AVAILABLE IF END-MIX LOW</x:v>
      </x:c>
      <x:c r="F35" s="1708" t="str">
        <x:v>Athena Balance darf ab Durchbruch als pH-Up/Puffer eingesetzt werden. Anwendung wird vom vollständigen Endmix-pH ausgelöst, nicht vom Pflanzentag allein.</x:v>
      </x:c>
      <x:c r="G35" s="1708" t="str">
        <x:v>Endmix &gt; Ziel → pH Minus prüfen; Endmix im Band → nichts; Endmix &lt; Ziel → Balance/pH-Up titrieren.</x:v>
      </x:c>
      <x:c r="H35" s="1709" t="str">
        <x:v>Athena Balance manufacturer + UKD state gate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Live-Setpoint B23 ist ein UKD-Arbeitswert. HESI nennt für Hydro/Coco 5,8–6,2; 6,00 ist der Bandmittelpunkt, kein biologisch bewiesenes Tagesoptimum.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SYSTEMSCHALTER-AUDIT v7: Der operative Motor ist HESI-basiert. AN wird nur über die expliziten Module unten aktiviert. Voodoo ist das einzige AN-Core-Modul im Default; PK/Carbo/Enzym/Si sind gegenseitig ausschließende Alternativpfade.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754" t="str">
        <x:v>HYBRID-PRESET / MODULSCHALTER</x:v>
      </x:c>
      <x:c r="B44" s="1755" t="str">
        <x:v>WERT</x:v>
      </x:c>
      <x:c r="C44" s="1674"/>
      <x:c r="D44" s="1755" t="str">
        <x:v>HYBRID SAFETY / COVERAGE GATES</x:v>
      </x:c>
      <x:c r="E44" s="1755" t="str">
        <x:v>STATUS</x:v>
      </x:c>
      <x:c r="F44" s="1755" t="str">
        <x:v>WARUM</x:v>
      </x:c>
      <x:c r="G44" s="1755" t="str">
        <x:v>AKTION</x:v>
      </x:c>
      <x:c r="H44" s="1763" t="str">
        <x:v>EVIDENZ</x:v>
      </x:c>
    </x:row>
    <x:row r="45" ht="28" customHeight="1">
      <x:c r="A45" s="1758" t="str">
        <x:v>Hybrid-Profil</x:v>
      </x:c>
      <x:c r="B45" s="1599" t="str">
        <x:v>UKD Owned-Stock Hybrid</x:v>
      </x:c>
      <x:c r="C45" s="1599"/>
      <x:c r="D45" s="1765" t="str">
        <x:v>Hybrid profile</x:v>
      </x:c>
      <x:c r="E45" s="1599" t="str">
        <x:v>OK</x:v>
      </x:c>
      <x:c r="F45" s="1599" t="str">
        <x:v>Core = HESI + explizite AN-Module; kein unsichtbarer Full-GM-Stack.</x:v>
      </x:c>
      <x:c r="G45" s="1599" t="str">
        <x:v>Module unten prüfen.</x:v>
      </x:c>
      <x:c r="H45" s="1600" t="str">
        <x:v>UKD architecture</x:v>
      </x:c>
    </x:row>
    <x:row r="46" ht="28" customHeight="1">
      <x:c r="A46" s="1760" t="str">
        <x:v>AN Mikrobiom-Modul</x:v>
      </x:c>
      <x:c r="B46" s="60" t="str">
        <x:v>Voodoo + Tarantula</x:v>
      </x:c>
      <x:c r="C46" s="60"/>
      <x:c r="D46" s="1760" t="str">
        <x:v>Microbiome redundancy</x:v>
      </x:c>
      <x:c r="E46" s="60" t="str">
        <x:f>IF(B46="Voodoo + Piranha + Tarantula","REVIEW",IF(B46="Voodoo + Tarantula","OK / SELECTED","OK"))</x:f>
        <x:v>OK / SELECTED</x:v>
      </x:c>
      <x:c r="F46" s="60" t="str">
        <x:v>Piranha/Tarantula erweitern den Mikrobenpfad und erhöhen Redundanz/Variablen.</x:v>
      </x:c>
      <x:c r="G46" s="60" t="str">
        <x:v>Bei Trio nur als bewusster A/B-Pfad.</x:v>
      </x:c>
      <x:c r="H46" s="60" t="str">
        <x:v>AN manufacturer + UKD</x:v>
      </x:c>
    </x:row>
    <x:row r="47" ht="28" customHeight="1">
      <x:c r="A47" s="1760" t="str">
        <x:v>AN B-52 Modul</x:v>
      </x:c>
      <x:c r="B47" s="60" t="str">
        <x:v>OFF</x:v>
      </x:c>
      <x:c r="C47" s="60"/>
      <x:c r="D47" s="1760" t="str">
        <x:v>B-52 overlap</x:v>
      </x:c>
      <x:c r="E47" s="60" t="str">
        <x:f>IF(B47="ON / A-B","REVIEW","OK")</x:f>
        <x:v>OK</x:v>
      </x:c>
      <x:c r="F47" s="60" t="str">
        <x:v>B-52 (B-Vitamine/Kelp/Huminsäure) überschneidet sich funktionell mit HESI Wurzel Complex/SuperVit.</x:v>
      </x:c>
      <x:c r="G47" s="60" t="str">
        <x:v>Nur isolierter A/B-Test.</x:v>
      </x:c>
      <x:c r="H47" s="60" t="str">
        <x:v>AN/HESI manufacturer</x:v>
      </x:c>
    </x:row>
    <x:row r="48" ht="28" customHeight="1">
      <x:c r="A48" s="1760" t="str">
        <x:v>Carbo-/Bloom-Biostim</x:v>
      </x:c>
      <x:c r="B48" s="60" t="str">
        <x:v>HESI Boost (default)</x:v>
      </x:c>
      <x:c r="C48" s="60"/>
      <x:c r="D48" s="1760" t="str">
        <x:v>Carbo overlap</x:v>
      </x:c>
      <x:c r="E48" s="60" t="str">
        <x:f>IF(B48="AN Bud Candy (replaces HESI Boost)","ALT PATH","OK")</x:f>
        <x:v>OK</x:v>
      </x:c>
      <x:c r="F48" s="60" t="str">
        <x:v>Bud Candy und HESI Boost liefern beide Kohlenhydrat-/Biostim-Funktion.</x:v>
      </x:c>
      <x:c r="G48" s="60" t="str">
        <x:v>Einen Pfad wählen.</x:v>
      </x:c>
      <x:c r="H48" s="60" t="str">
        <x:v>AN/HESI manufacturer</x:v>
      </x:c>
    </x:row>
    <x:row r="49" ht="28" customHeight="1">
      <x:c r="A49" s="1760" t="str">
        <x:v>AN Bud Factor X</x:v>
      </x:c>
      <x:c r="B49" s="60" t="str">
        <x:v>OFF</x:v>
      </x:c>
      <x:c r="C49" s="60"/>
      <x:c r="D49" s="1760" t="str">
        <x:v>Bud Factor X</x:v>
      </x:c>
      <x:c r="E49" s="60" t="str">
        <x:f>IF(B49="ON / EXPERIMENTAL","EXPERIMENTAL","OFF")</x:f>
        <x:v>OFF</x:v>
      </x:c>
      <x:c r="F49" s="60" t="str">
        <x:v>Hersteller-Kompatibilität ist belegt; unabhängige Hybrid-Wirksamkeit nicht.</x:v>
      </x:c>
      <x:c r="G49" s="60" t="str">
        <x:v>Nur EXPERIMENTAL/A-B.</x:v>
      </x:c>
      <x:c r="H49" s="60" t="str">
        <x:v>AN manufacturer</x:v>
      </x:c>
    </x:row>
    <x:row r="50" ht="28" customHeight="1">
      <x:c r="A50" s="1760" t="str">
        <x:v>Enzym-Modul</x:v>
      </x:c>
      <x:c r="B50" s="60" t="str">
        <x:v>HESI PowerZyme</x:v>
      </x:c>
      <x:c r="C50" s="60"/>
      <x:c r="D50" s="1760" t="str">
        <x:v>Enzyme overlap</x:v>
      </x:c>
      <x:c r="E50" s="60" t="str">
        <x:f>IF(B50="AN Sensizym","ALT PATH","OK")</x:f>
        <x:v>OK</x:v>
      </x:c>
      <x:c r="F50" s="60" t="str">
        <x:v>PowerZyme und Sensizym sind Enzym-/Root-zone-Conditioner.</x:v>
      </x:c>
      <x:c r="G50" s="60" t="str">
        <x:v>Nicht stapeln; Alternative wählen.</x:v>
      </x:c>
      <x:c r="H50" s="60" t="str">
        <x:v>AN/HESI manufacturer</x:v>
      </x:c>
    </x:row>
    <x:row r="51" ht="28" customHeight="1">
      <x:c r="A51" s="1760" t="str">
        <x:v>Silizium-Modul</x:v>
      </x:c>
      <x:c r="B51" s="60" t="str">
        <x:v>Athena Balance conditional</x:v>
      </x:c>
      <x:c r="C51" s="60"/>
      <x:c r="D51" s="1760" t="str">
        <x:v>Silica overlap</x:v>
      </x:c>
      <x:c r="E51" s="60" t="str">
        <x:f>IF(AND(B51="AN Rhino Skin",OR(B22&gt;0,B21&lt;&gt;"Nur nach Messung / Default AUS")),"BLOCK",IF(OR(B51="AN Rhino Skin",B51="HESI Hesilicio",B51="OFF"),"ALT PATH","OK"))</x:f>
        <x:v>OK</x:v>
      </x:c>
      <x:c r="F51" s="60" t="str">
        <x:v>Athena/Hesilicio/Rhino Skin sind Si-Pfade.</x:v>
      </x:c>
      <x:c r="G51" s="60" t="str">
        <x:v>Maximal einen Si-Pfad aktiv.</x:v>
      </x:c>
      <x:c r="H51" s="60" t="str">
        <x:v>Manufacturer + UKD</x:v>
      </x:c>
    </x:row>
    <x:row r="52" ht="28" customHeight="1">
      <x:c r="A52" s="1760" t="str">
        <x:v>Bloom-PK-Pfad</x:v>
      </x:c>
      <x:c r="B52" s="60" t="str">
        <x:v>HESI PK13/14</x:v>
      </x:c>
      <x:c r="C52" s="60"/>
      <x:c r="D52" s="1760" t="str">
        <x:v>PK overlap</x:v>
      </x:c>
      <x:c r="E52" s="60" t="str">
        <x:f>IF(B52="AN Bud Ignitor &gt; Big Bud &gt; Overdrive","ALT PATH","OK")</x:f>
        <x:v>OK</x:v>
      </x:c>
      <x:c r="F52" s="60" t="str">
        <x:v>HESI PK und Bud Ignitor/Big Bud/Overdrive sind PK-Pfade.</x:v>
      </x:c>
      <x:c r="G52" s="60" t="str">
        <x:v>Nicht additiv stapeln.</x:v>
      </x:c>
      <x:c r="H52" s="60" t="str">
        <x:v>AN/HESI manufacturer</x:v>
      </x:c>
    </x:row>
    <x:row r="53" ht="28" customHeight="1">
      <x:c r="A53" s="1760" t="str">
        <x:v>AN Tasty Terpenes</x:v>
      </x:c>
      <x:c r="B53" s="60" t="str">
        <x:v>OWNED / A-B OFF</x:v>
      </x:c>
      <x:c r="C53" s="60"/>
      <x:c r="D53" s="1760" t="str">
        <x:v>Tasty Terpenes</x:v>
      </x:c>
      <x:c r="E53" s="60" t="str">
        <x:f>IF(B53="ON / EXPERIMENTAL","EXPERIMENTAL","OWNED / OFF")</x:f>
        <x:v>OWNED / OFF</x:v>
      </x:c>
      <x:c r="F53" s="60" t="str">
        <x:v>Kelp/K/Alfalfa überlappt teilweise mit anderen Biostims/PK.</x:v>
      </x:c>
      <x:c r="G53" s="60" t="str">
        <x:v>Nur EXPERIMENTAL/A-B.</x:v>
      </x:c>
      <x:c r="H53" s="60" t="str">
        <x:v>AN manufacturer</x:v>
      </x:c>
    </x:row>
    <x:row r="54" ht="28" customHeight="1">
      <x:c r="A54" s="1760" t="str">
        <x:v>CalMag-Quelle</x:v>
      </x:c>
      <x:c r="B54" s="60" t="str">
        <x:v>AN Sensi CalMag Xtra conditional</x:v>
      </x:c>
      <x:c r="C54" s="60"/>
      <x:c r="D54" s="1760" t="str">
        <x:v>CalMag</x:v>
      </x:c>
      <x:c r="E54" s="60" t="str">
        <x:f>IF(B54="OFF","OFF",IF(B17=0,"SAFE / DOSE 0",IF(OR(NOT(ISNUMBER(B36)),NOT(ISNUMBER(B37)),NOT(ISNUMBER(B38))),"BLOCK","CONDITIONAL")))</x:f>
        <x:v>SAFE / DOSE 0</x:v>
      </x:c>
      <x:c r="F54" s="60" t="str">
        <x:v>CalMag ohne Wasserchemie bleibt unterbestimmt.</x:v>
      </x:c>
      <x:c r="G54" s="60" t="str">
        <x:v>Source-pH/Ca/Mg/HCO3 messen.</x:v>
      </x:c>
      <x:c r="H54" s="60" t="str">
        <x:v>Water chemistry</x:v>
      </x:c>
    </x:row>
    <x:row r="55" ht="28" customHeight="1">
      <x:c r="A55" s="1760" t="str">
        <x:v>AN Revive</x:v>
      </x:c>
      <x:c r="B55" s="60" t="str">
        <x:v>OFF / diagnostic only</x:v>
      </x:c>
      <x:c r="C55" s="60"/>
      <x:c r="D55" s="1760" t="str">
        <x:v>Revive</x:v>
      </x:c>
      <x:c r="E55" s="60" t="str">
        <x:f>IF(B55="ARMED / diagnostic only","ARMED","OFF")</x:f>
        <x:v>OFF</x:v>
      </x:c>
      <x:c r="F55" s="60" t="str">
        <x:v>Revive ist Plant-Aid/Rescue, kein Kalender-Booster.</x:v>
      </x:c>
      <x:c r="G55" s="60" t="str">
        <x:v>Nur Diagnoseereignis; Aktion protokollieren.</x:v>
      </x:c>
      <x:c r="H55" s="60" t="str">
        <x:v>AN manufacturer</x:v>
      </x:c>
    </x:row>
    <x:row r="56" ht="28" customHeight="1">
      <x:c r="A56" s="1760" t="str">
        <x:v>Full Grand Master</x:v>
      </x:c>
      <x:c r="B56" s="60" t="str">
        <x:v>REFERENCE ONLY / BLOCK</x:v>
      </x:c>
      <x:c r="C56" s="60"/>
      <x:c r="D56" s="1760" t="str">
        <x:v>Full Grand Master</x:v>
      </x:c>
      <x:c r="E56" s="60" t="str">
        <x:v>SAFE / REFERENCE ONLY</x:v>
      </x:c>
      <x:c r="F56" s="60" t="str">
        <x:v>Full GM bleibt Vergleichsmodul, nicht HESI-Add-on.</x:v>
      </x:c>
      <x:c r="G56" s="60" t="str">
        <x:v>Keine automatische Aktivierung.</x:v>
      </x:c>
      <x:c r="H56" s="60" t="str">
        <x:v>UKD safety</x:v>
      </x:c>
    </x:row>
    <x:row r="57" ht="28" customHeight="1">
      <x:c r="A57" s="1760" t="str">
        <x:v>Preset-Regel</x:v>
      </x:c>
      <x:c r="B57" s="60" t="str">
        <x:v>Kein stilles Produkt: jedes Preset-Produkt muss ACTIVE, ZERO_BY_STAGE, ALT, BLOCKED oder EXPERIMENTAL sein.</x:v>
      </x:c>
      <x:c r="C57" s="60"/>
      <x:c r="D57" s="1760" t="str">
        <x:v>PRESET COVERAGE</x:v>
      </x:c>
      <x:c r="E57" s="60" t="str">
        <x:f>IF(COUNTIF(E46:E55,"BLOCK")&gt;0,"BLOCK",IF(OR(COUNTIF(E46:E55,"REVIEW")&gt;0,COUNTIF(E46:E55,"EXPERIMENTAL")&gt;0),"REVIEW","OK"))</x:f>
        <x:v>OK</x:v>
      </x:c>
      <x:c r="F57" s="60" t="str">
        <x:v>Block/Review verhindert stille Konflikte.</x:v>
      </x:c>
      <x:c r="G57" s="60" t="str">
        <x:v>Vor Mix/Daily prüfen.</x:v>
      </x:c>
      <x:c r="H57" s="60" t="str">
        <x:v>UKD validation</x:v>
      </x:c>
    </x:row>
    <x:row r="58" ht="28" customHeight="1">
      <x:c r="A58" s="1760" t="str">
        <x:v>App-Import</x:v>
      </x:c>
      <x:c r="B58" s="60" t="str">
        <x:v>Siehe 27_HESI_AN_Hybrid für normalisierte Produkt-/Modulschlüssel.</x:v>
      </x:c>
      <x:c r="C58" s="60"/>
      <x:c r="D58" s="1760" t="str">
        <x:v>Coverage rule</x:v>
      </x:c>
      <x:c r="E58" s="60" t="str">
        <x:v>ACTIVE</x:v>
      </x:c>
      <x:c r="F58" s="60" t="str">
        <x:v>Jedes auswählbare Modul ist im Daily/Mix explizit sichtbar.</x:v>
      </x:c>
      <x:c r="G58" s="60" t="str">
        <x:v>Bei fehlender Coverage Release blockieren.</x:v>
      </x:c>
      <x:c r="H58" s="60" t="str">
        <x:v>UKD v7</x:v>
      </x:c>
    </x:row>
    <x:row r="59" ht="32" customHeight="1">
      <x:c r="A59" s="1801" t="str">
        <x:v>CURRENT INVENTORY OVERRIDE · 2026-08-10</x:v>
      </x:c>
      <x:c r="B59" s="1801"/>
      <x:c r="C59" s="1801"/>
      <x:c r="D59" s="1801" t="str">
        <x:v>Stock/Plan</x:v>
      </x:c>
      <x:c r="E59" s="1801" t="str">
        <x:v>Status</x:v>
      </x:c>
      <x:c r="F59" s="1801" t="str">
        <x:v>Reason</x:v>
      </x:c>
      <x:c r="G59" s="1801" t="str">
        <x:v>Action</x:v>
      </x:c>
      <x:c r="H59" s="1801" t="str">
        <x:v>Source</x:v>
      </x:c>
    </x:row>
    <x:row r="60" ht="32" customHeight="1">
      <x:c r="A60" s="60" t="str">
        <x:v>CarboLoad</x:v>
      </x:c>
      <x:c r="B60" s="60" t="str">
        <x:v>tiny remainder</x:v>
      </x:c>
      <x:c r="C60" s="60"/>
      <x:c r="D60" s="60" t="str">
        <x:v>Not default</x:v>
      </x:c>
      <x:c r="E60" s="60" t="str">
        <x:v>NO REPURCHASE NOW</x:v>
      </x:c>
      <x:c r="F60" s="60" t="str">
        <x:v>HESI Boost already supplies sugars/biostim; CarboLoad adds another carbohydrate path.</x:v>
      </x:c>
      <x:c r="G60" s="60" t="str">
        <x:v>Reserve for later A/B only; do not add merely to use leftovers.</x:v>
      </x:c>
      <x:c r="H60" s="60" t="str">
        <x:v>AN + HESI manufacturer</x:v>
      </x:c>
    </x:row>
    <x:row r="61" ht="32" customHeight="1">
      <x:c r="A61" s="60" t="str">
        <x:v>Tasty Terpenes</x:v>
      </x:c>
      <x:c r="B61" s="60" t="str">
        <x:v>available</x:v>
      </x:c>
      <x:c r="C61" s="60"/>
      <x:c r="D61" s="60" t="str">
        <x:v>Owned / A-B only</x:v>
      </x:c>
      <x:c r="E61" s="60" t="str">
        <x:v>OFF</x:v>
      </x:c>
      <x:c r="F61" s="60" t="str">
        <x:v>K/kelp/alfalfa adds another bloom-biostim variable on top of HESI Boost/PK.</x:v>
      </x:c>
      <x:c r="G61" s="60" t="str">
        <x:v>Keep available, not scheduled in reference run.</x:v>
      </x:c>
      <x:c r="H61" s="60" t="str">
        <x:v>AN manufacturer + UKD</x:v>
      </x:c>
    </x:row>
    <x:row r="62" ht="32" customHeight="1">
      <x:c r="A62" s="60" t="str">
        <x:v>Sensi Cal Mag Xtra</x:v>
      </x:c>
      <x:c r="B62" s="60" t="str">
        <x:v>available</x:v>
      </x:c>
      <x:c r="C62" s="60"/>
      <x:c r="D62" s="60" t="str">
        <x:v>Conditional source</x:v>
      </x:c>
      <x:c r="E62" s="60" t="str">
        <x:v>DOSE 0</x:v>
      </x:c>
      <x:c r="F62" s="60" t="str">
        <x:v>Water Ca/Mg/HCO3 still unknown; inventory does not create a need.</x:v>
      </x:c>
      <x:c r="G62" s="60" t="str">
        <x:v>Use only after water/deficiency gate; dose controlled by CalMag Plan ml/L.</x:v>
      </x:c>
      <x:c r="H62" s="60" t="str">
        <x:v>AN manufacturer + water gate</x:v>
      </x:c>
    </x:row>
    <x:row r="63" ht="32" customHeight="1">
      <x:c r="A63" s="60" t="str">
        <x:v>Voodoo + Tarantula</x:v>
      </x:c>
      <x:c r="B63" s="60" t="str">
        <x:v>available</x:v>
      </x:c>
      <x:c r="C63" s="60"/>
      <x:c r="D63" s="60" t="str">
        <x:v>Selected microbiome</x:v>
      </x:c>
      <x:c r="E63" s="60" t="str">
        <x:v>ACTIVE WINDOWS</x:v>
      </x:c>
      <x:c r="F63" s="60" t="str">
        <x:v>AN explicitly supports combining Tarantula with Voodoo; both are cross-brand compatible.</x:v>
      </x:c>
      <x:c r="G63" s="60" t="str">
        <x:v>Use only in defined fresh UKD windows; no Piranha required.</x:v>
      </x:c>
      <x:c r="H63" s="60" t="str">
        <x:v>AN manufacturer</x:v>
      </x:c>
    </x:row>
    <x:row r="64" ht="32" customHeight="1">
      <x:c r="A64" s="60" t="str">
        <x:v>Athena Balance</x:v>
      </x:c>
      <x:c r="B64" s="60" t="str">
        <x:v>available</x:v>
      </x:c>
      <x:c r="C64" s="60"/>
      <x:c r="D64" s="60" t="str">
        <x:v>pH-Up / Si tool</x:v>
      </x:c>
      <x:c r="E64" s="60" t="str">
        <x:v>AVAILABLE IF NEEDED</x:v>
      </x:c>
      <x:c r="F64" s="60" t="str">
        <x:v>Ab Plant Day 0 zulässig; keine Kalenderdosis. Bei alkalischem Rohwasser nur einsetzen, wenn der fertige Mix tatsächlich pH-Up benötigt.</x:v>
      </x:c>
      <x:c r="G64" s="60" t="str">
        <x:v>Titration am Endmix; dokumentieren; nächste vergleichbare Charge Balance zuerst ins Wasser.</x:v>
      </x:c>
      <x:c r="H64" s="60" t="str">
        <x:v>Athena manufacturer</x:v>
      </x:c>
    </x:row>
    <x:row r="66" ht="32" customHeight="1">
      <x:c r="A66" s="1809" t="str">
        <x:v>PROPAGATION &amp; ROOT-ZONE PATH · v11.2 AUTO</x:v>
      </x:c>
      <x:c r="B66" s="1809"/>
      <x:c r="C66" s="1809"/>
      <x:c r="D66" s="1809" t="str">
        <x:v>GOAL / PROBLEM</x:v>
      </x:c>
      <x:c r="E66" s="1809" t="str">
        <x:v>STATUS</x:v>
      </x:c>
      <x:c r="F66" s="1809" t="str">
        <x:v>WHY</x:v>
      </x:c>
      <x:c r="G66" s="1809" t="str">
        <x:v>ACTION</x:v>
      </x:c>
      <x:c r="H66" s="1809" t="str">
        <x:v>SOURCE</x:v>
      </x:c>
    </x:row>
    <x:row r="67" ht="32" customHeight="1">
      <x:c r="A67" s="1812" t="str">
        <x:v>Propagation Start</x:v>
      </x:c>
      <x:c r="B67" s="60" t="str">
        <x:v>Eazy Plug Mini</x:v>
      </x:c>
      <x:c r="C67" s="60"/>
      <x:c r="D67" s="60" t="str">
        <x:v>GOAL</x:v>
      </x:c>
      <x:c r="E67" s="60" t="str">
        <x:v>KNOWN</x:v>
      </x:c>
      <x:c r="F67" s="60" t="str">
        <x:v>Vorgepufferter Startblock; separates propagation from final coco root zone.</x:v>
      </x:c>
      <x:c r="G67" s="60" t="str">
        <x:v>Produktvariante/Abmessung später exakt erfassen.</x:v>
      </x:c>
      <x:c r="H67" s="60" t="str">
        <x:v>Eazy Plug manufacturer</x:v>
      </x:c>
    </x:row>
    <x:row r="68" ht="32" customHeight="1">
      <x:c r="A68" s="1812" t="str">
        <x:v>Intermediate</x:v>
      </x:c>
      <x:c r="B68" s="60" t="str">
        <x:v>Eazy Block Standard</x:v>
      </x:c>
      <x:c r="C68" s="60"/>
      <x:c r="D68" s="60" t="str">
        <x:v>GOAL</x:v>
      </x:c>
      <x:c r="E68" s="60" t="str">
        <x:v>KNOWN</x:v>
      </x:c>
      <x:c r="F68" s="60" t="str">
        <x:v>Kurze Rooting-/Transplant-Brücke. Eazy empfiehlt Root-through/Transplant in ca. 8–10 Tagen; nicht als 4-Wochen-Stufe behandeln.</x:v>
      </x:c>
      <x:c r="G68" s="60" t="str">
        <x:v>ROOT-STATE GATED</x:v>
      </x:c>
      <x:c r="H68" s="60" t="str">
        <x:v>Eazy Plug manufacturer</x:v>
      </x:c>
    </x:row>
    <x:row r="69" ht="32" customHeight="1">
      <x:c r="A69" s="1812" t="str">
        <x:v>Final medium</x:v>
      </x:c>
      <x:c r="B69" s="60" t="str">
        <x:v>UGro Pot9 Professional Rhiza 9L</x:v>
      </x:c>
      <x:c r="C69" s="60"/>
      <x:c r="D69" s="60" t="str">
        <x:v>GOAL</x:v>
      </x:c>
      <x:c r="E69" s="60" t="str">
        <x:v>KNOWN</x:v>
      </x:c>
      <x:c r="F69" s="60" t="str">
        <x:v>True-buffered coco; Rhiza variant contains endomycorrhizae.</x:v>
      </x:c>
      <x:c r="G69" s="60" t="str">
        <x:v>Exact UGro format/volume in Setup Profile speichern.</x:v>
      </x:c>
      <x:c r="H69" s="60" t="str">
        <x:v>UGro COCO / Simply Organic</x:v>
      </x:c>
    </x:row>
    <x:row r="70" ht="32" customHeight="1">
      <x:c r="A70" s="1812" t="str">
        <x:v>Eazy Plug pH / EC reference</x:v>
      </x:c>
      <x:c r="B70" s="60" t="str">
        <x:v>pH 5.8 zum Anfeuchten/Bewässern · Medium selbst predetermined/buffered</x:v>
      </x:c>
      <x:c r="C70" s="60"/>
      <x:c r="D70" s="60" t="str">
        <x:v>PROBLEM</x:v>
      </x:c>
      <x:c r="E70" s="60" t="str">
        <x:v>REFERENCE</x:v>
      </x:c>
      <x:c r="F70" s="60" t="str">
        <x:v>Eazy Plug/Block Herstelleranleitung verwendet pH 5,8. Block-pH nicht 'jagen'; vollständigen Irrigationsmix beurteilen.</x:v>
      </x:c>
      <x:c r="G70" s="60" t="str">
        <x:v>Irrigation mix beurteilen, Block nicht aggressiv reconditionieren.</x:v>
      </x:c>
      <x:c r="H70" s="60" t="str">
        <x:v>https://www.eazy-plug.com/how-to-use.html</x:v>
      </x:c>
    </x:row>
    <x:row r="71" ht="32" customHeight="1">
      <x:c r="A71" s="1812" t="str">
        <x:v>UGro Rhiza pH / EC reference</x:v>
      </x:c>
      <x:c r="B71" s="60" t="str">
        <x:v>pH 5.5–6.5 · EC &lt;0.6 mS/cm (1:1.5)</x:v>
      </x:c>
      <x:c r="C71" s="60"/>
      <x:c r="D71" s="60" t="str">
        <x:v>PROBLEM</x:v>
      </x:c>
      <x:c r="E71" s="60" t="str">
        <x:v>REFERENCE</x:v>
      </x:c>
      <x:c r="F71" s="60" t="str">
        <x:v>Substrat-Spezifikation ist keine fertige Nährlösung und kein universelles Ziel für den Endmix.</x:v>
      </x:c>
      <x:c r="G71" s="60" t="str">
        <x:v>Medium spec getrennt von irrigation target darstellen.</x:v>
      </x:c>
      <x:c r="H71" s="60" t="str">
        <x:v>UGro COCO</x:v>
      </x:c>
    </x:row>
    <x:row r="72" ht="32" customHeight="1">
      <x:c r="A72" s="1812" t="str">
        <x:v>Base-feed activation</x:v>
      </x:c>
      <x:c r="B72" s="60" t="str">
        <x:v>Biological/medium gate</x:v>
      </x:c>
      <x:c r="C72" s="60"/>
      <x:c r="D72" s="60" t="str">
        <x:v>PROBLEM</x:v>
      </x:c>
      <x:c r="E72" s="60" t="str">
        <x:v>REQUIRES CHECK</x:v>
      </x:c>
      <x:c r="F72" s="60" t="str">
        <x:v>Seed + pre-fertilised propagation media make a fixed day-only start unsafe.</x:v>
      </x:c>
      <x:c r="G72" s="60" t="str">
        <x:v>Cotyledon/true-leaf state, plant response and medium/feed context before TNT activation.</x:v>
      </x:c>
      <x:c r="H72" s="60" t="str">
        <x:v>HESI TNT + Eazy Plug</x:v>
      </x:c>
    </x:row>
    <x:row r="73" ht="32" customHeight="1">
      <x:c r="A73" s="1812" t="str">
        <x:v>pH handling propagation</x:v>
      </x:c>
      <x:c r="B73" s="60" t="str">
        <x:v>Do not chase block pH</x:v>
      </x:c>
      <x:c r="C73" s="60"/>
      <x:c r="D73" s="60" t="str">
        <x:v>GOAL</x:v>
      </x:c>
      <x:c r="E73" s="60" t="str">
        <x:v>ACTIVE RULE</x:v>
      </x:c>
      <x:c r="F73" s="60" t="str">
        <x:v>Eazy Plug/Block manufacturer says no pre-correction needed; pH is buffered.</x:v>
      </x:c>
      <x:c r="G73" s="60" t="str">
        <x:v>Only adjust irrigation/fertigation if the complete mix requires it.</x:v>
      </x:c>
      <x:c r="H73" s="60" t="str">
        <x:v>Eazy Plug FAQ</x:v>
      </x:c>
    </x:row>
    <x:row r="74" ht="32" customHeight="1">
      <x:c r="A74" s="1812" t="str">
        <x:v>Transplant trigger</x:v>
      </x:c>
      <x:c r="B74" s="60" t="str">
        <x:v>Root-fill + plant state</x:v>
      </x:c>
      <x:c r="C74" s="60"/>
      <x:c r="D74" s="60" t="str">
        <x:v>PROBLEM</x:v>
      </x:c>
      <x:c r="E74" s="60" t="str">
        <x:v>USER OBSERVATION</x:v>
      </x:c>
      <x:c r="F74" s="60" t="str">
        <x:v>Nicht nach Kalender. Root-visible/root-through + Vitalität + finaler Coco vorbereitet. Herstellerzeit nur als Referenzfenster.</x:v>
      </x:c>
      <x:c r="G74" s="60" t="str">
        <x:v>EVENT-BASED</x:v>
      </x:c>
      <x:c r="H74" s="60" t="str">
        <x:v>UKD process rule</x:v>
      </x:c>
    </x:row>
    <x:row r="75" ht="32" customHeight="1">
      <x:c r="A75" s="1812" t="str">
        <x:v>Setup readiness</x:v>
      </x:c>
      <x:c r="B75" s="60" t="str">
        <x:v>REVIEW</x:v>
      </x:c>
      <x:c r="C75" s="60"/>
      <x:c r="D75" s="60" t="str">
        <x:v>PROBLEM</x:v>
      </x:c>
      <x:c r="E75" s="60" t="str">
        <x:v>OPEN</x:v>
      </x:c>
      <x:c r="F75" s="60" t="str">
        <x:v>Exact Eazy product sizes, water chemistry, meter calibration and final UGro format still need structured setup facts.</x:v>
      </x:c>
      <x:c r="G75" s="60" t="str">
        <x:v>Complete Setup Profile before activating a run snapshot.</x:v>
      </x:c>
      <x:c r="H75" s="60" t="str">
        <x:v>UKD v9 UX</x:v>
      </x:c>
    </x:row>
    <x:row r="76" ht="32" customHeight="1">
      <x:c r="A76" s="1812" t="str">
        <x:v>App handoff</x:v>
      </x:c>
      <x:c r="B76" s="60" t="str">
        <x:v>SetupProfile → RunConfigurationSnapshot</x:v>
      </x:c>
      <x:c r="C76" s="60"/>
      <x:c r="D76" s="60" t="str">
        <x:v>GOAL</x:v>
      </x:c>
      <x:c r="E76" s="60" t="str">
        <x:v>PLANNED</x:v>
      </x:c>
      <x:c r="F76" s="60" t="str">
        <x:v>Propagation path must be immutable per run once activated.</x:v>
      </x:c>
      <x:c r="G76" s="60" t="str">
        <x:v>Implement in app P1 Setup wizard.</x:v>
      </x:c>
      <x:c r="H76" s="60" t="str">
        <x:v>UKD architecture</x:v>
      </x:c>
    </x:row>
    <x:row r="77">
      <x:c r="A77" s="2442" t="str">
        <x:v>AUTOFLOWER MIXED-CULTIVAR STATE INPUTS · v11.3</x:v>
      </x:c>
      <x:c r="B77" s="2442"/>
      <x:c r="C77" s="2442"/>
      <x:c r="D77" s="2442" t="str">
        <x:v>STATUS / INTERPRETATION</x:v>
      </x:c>
      <x:c r="E77" s="2442"/>
      <x:c r="F77" s="2442"/>
      <x:c r="G77" s="2442"/>
      <x:c r="H77" s="2442"/>
    </x:row>
    <x:row r="78">
      <x:c r="A78" s="60" t="str">
        <x:v>Run-Profil</x:v>
      </x:c>
      <x:c r="B78" s="60" t="str">
        <x:v>MIXED-3-AUTO / 3×9 L</x:v>
      </x:c>
      <x:c r="C78" s="60"/>
      <x:c r="D78" s="60" t="str">
        <x:v>SELECTED</x:v>
      </x:c>
      <x:c r="E78" s="60" t="str">
        <x:v>3 Pflanzen; Eazy Plug → Eazy Block → Final Coco</x:v>
      </x:c>
      <x:c r="F78" s="60" t="str">
        <x:v>3 unterschiedliche Autoflower-Genetiken. Keine gemeinsame phänologische Uhr annehmen.</x:v>
      </x:c>
      <x:c r="G78" s="60"/>
      <x:c r="H78" s="60"/>
    </x:row>
    <x:row r="79">
      <x:c r="A79" s="60" t="str">
        <x:v>Finaltopf L</x:v>
      </x:c>
      <x:c r="B79" s="60" t="n">
        <x:v>9</x:v>
      </x:c>
      <x:c r="C79" s="60"/>
      <x:c r="D79" s="60" t="str">
        <x:v>SETUP FACT</x:v>
      </x:c>
      <x:c r="E79" s="60" t="str">
        <x:v>Endtopf nach dem Block; kein weiteres Umtopfen im Referenzpfad.</x:v>
      </x:c>
      <x:c r="F79" s="60"/>
      <x:c r="G79" s="60"/>
      <x:c r="H79" s="60"/>
    </x:row>
    <x:row r="80">
      <x:c r="A80" s="60" t="str">
        <x:v>Eazy Plug → Block Run-Tag (Übersicht; plant-level bevorzugt)</x:v>
      </x:c>
      <x:c r="B80" s="60" t="str">
        <x:v>UNKNOWN</x:v>
      </x:c>
      <x:c r="C80" s="60"/>
      <x:c r="D80" s="60" t="str">
        <x:v>USER EVENT</x:v>
      </x:c>
      <x:c r="E80" s="60" t="str">
        <x:v>Eintragen, wenn erste Wurzeln sichtbar und Sämling stabil.</x:v>
      </x:c>
      <x:c r="F80" s="60"/>
      <x:c r="G80" s="60"/>
      <x:c r="H80" s="60"/>
    </x:row>
    <x:row r="81">
      <x:c r="A81" s="60" t="str">
        <x:v>Block → Final Coco Run-Tag (Übersicht; plant-level bevorzugt)</x:v>
      </x:c>
      <x:c r="B81" s="60" t="str">
        <x:v>UNKNOWN</x:v>
      </x:c>
      <x:c r="C81" s="60"/>
      <x:c r="D81" s="60" t="str">
        <x:v>USER EVENT</x:v>
      </x:c>
      <x:c r="E81" s="60" t="str">
        <x:v>Eintragen bei root-ready Block; Herstellerreferenz ~8–10 Tage im Block.</x:v>
      </x:c>
      <x:c r="F81" s="60" t="str">
        <x:v>Wenn numerisch gesetzt, überschreibt der Run-pH-Projektionspfad den Default-Transplant-Tag 15. Operativ bleiben plant-spezifische RootZoneEvents maßgeblich.</x:v>
      </x:c>
      <x:c r="G81" s="60"/>
      <x:c r="H81" s="60"/>
    </x:row>
    <x:row r="82">
      <x:c r="A82" s="60" t="str">
        <x:v>Run-level Preflower (nur Übersicht)</x:v>
      </x:c>
      <x:c r="B82" s="60" t="str">
        <x:v>DERIVED FROM PLANTS</x:v>
      </x:c>
      <x:c r="C82" s="60"/>
      <x:c r="D82" s="60" t="str">
        <x:v>USER OBSERVATION</x:v>
      </x:c>
      <x:c r="E82" s="60" t="str">
        <x:v>Erste klare Pistillen / sichtbarer Übergang; noch nicht zwingend BT1.</x:v>
      </x:c>
      <x:c r="F82" s="60" t="str">
        <x:v>Nicht mehr als operativer Trigger verwenden; pro Pflanze erfassen.</x:v>
      </x:c>
      <x:c r="G82" s="60"/>
      <x:c r="H82" s="60"/>
    </x:row>
    <x:row r="83">
      <x:c r="A83" s="60" t="str">
        <x:v>Run-level BT1</x:v>
      </x:c>
      <x:c r="B83" s="60" t="str">
        <x:v>NOT USED FOR MIXED RUN</x:v>
      </x:c>
      <x:c r="C83" s="60"/>
      <x:c r="D83" s="60" t="str">
        <x:v>P0 EVENT</x:v>
      </x:c>
      <x:c r="E83" s="60" t="str">
        <x:v>UNKNOWN</x:v>
      </x:c>
      <x:c r="F83" s="60" t="str">
        <x:v>P0-Korrektur: Misch-Run braucht plant-spezifische FlowerInitiation. Globaler BT1 ist nur Legacy/Projection.</x:v>
      </x:c>
      <x:c r="G83" s="60" t="str">
        <x:v>BLOCK GLOBAL BLOOM RESOLUTION</x:v>
      </x:c>
      <x:c r="H83" s="60" t="str">
        <x:v>Mixed-cultivar architecture</x:v>
      </x:c>
    </x:row>
    <x:row r="84">
      <x:c r="A84" s="60" t="str">
        <x:v>Harvest readiness</x:v>
      </x:c>
      <x:c r="B84" s="60" t="str">
        <x:v>NOT READY</x:v>
      </x:c>
      <x:c r="C84" s="60"/>
      <x:c r="D84" s="60" t="str">
        <x:v>USER OBSERVATION</x:v>
      </x:c>
      <x:c r="E84" s="60" t="str">
        <x:v>Breeder 70–80d ist Watch-Window, kein Erntetrigger.</x:v>
      </x:c>
      <x:c r="F84" s="60"/>
      <x:c r="G84" s="60"/>
      <x:c r="H84" s="60"/>
    </x:row>
    <x:row r="85">
      <x:c r="A85" s="60" t="str">
        <x:v>Training mode</x:v>
      </x:c>
      <x:c r="B85" s="60" t="str">
        <x:v>Gentle LST / leaf-tuck</x:v>
      </x:c>
      <x:c r="C85" s="60"/>
      <x:c r="D85" s="60" t="str">
        <x:v>SELECTED</x:v>
      </x:c>
      <x:c r="E85" s="60" t="str">
        <x:v>Gentle LST/leaf-tuck only by vigor; no default topping/HST.</x:v>
      </x:c>
      <x:c r="F85" s="60"/>
      <x:c r="G85" s="60"/>
      <x:c r="H85" s="60"/>
    </x:row>
    <x:row r="86">
      <x:c r="A86" s="60" t="str">
        <x:v>Photoperiod profile</x:v>
      </x:c>
      <x:c r="B86" s="60" t="str">
        <x:v>18/6 DEFAULT</x:v>
      </x:c>
      <x:c r="C86" s="60"/>
      <x:c r="D86" s="60" t="str">
        <x:v>SELECTED</x:v>
      </x:c>
      <x:c r="E86" s="60" t="str">
        <x:v>18 h bleibt UKD-Referenz; 20/4 optional, 24/0 experimental.</x:v>
      </x:c>
      <x:c r="F86" s="60"/>
      <x:c r="G86" s="60"/>
      <x:c r="H86" s="60"/>
    </x:row>
    <x:row r="87">
      <x:c r="A87" s="60" t="str">
        <x:v>Plan extension after Day 80</x:v>
      </x:c>
      <x:c r="B87" s="60" t="str">
        <x:v>ENABLED</x:v>
      </x:c>
      <x:c r="C87" s="60"/>
      <x:c r="D87" s="60" t="str">
        <x:v>REQUIRED</x:v>
      </x:c>
      <x:c r="E87" s="60" t="str">
        <x:v>Run darf bei fehlender Reife über Day 80 hinauslaufen.</x:v>
      </x:c>
      <x:c r="F87" s="60"/>
      <x:c r="G87" s="60"/>
      <x:c r="H87" s="60"/>
    </x:row>
    <x:row r="88">
      <x:c r="A88" s="60" t="str">
        <x:v>Operational priority</x:v>
      </x:c>
      <x:c r="B88" s="60" t="str">
        <x:v>PLANT/ROOT STATE &gt; CALENDAR</x:v>
      </x:c>
      <x:c r="C88" s="60"/>
      <x:c r="D88" s="60" t="str">
        <x:v>INVARIANT</x:v>
      </x:c>
      <x:c r="E88" s="60" t="str">
        <x:v>Autoflower hat wenig Kompensationszeit; frühe Störungen nicht durch Kalender erzwingen.</x:v>
      </x:c>
      <x:c r="F88" s="60"/>
      <x:c r="G88" s="60"/>
      <x:c r="H88" s="60"/>
    </x:row>
    <x:row r="89">
      <x:c r="A89" s="2473" t="str">
        <x:v>RUN / PLANT CLOCKS · v11.5</x:v>
      </x:c>
      <x:c r="B89" s="2473"/>
      <x:c r="C89" s="2473"/>
      <x:c r="D89" s="2473" t="str">
        <x:v>STATUS / SEMANTIK</x:v>
      </x:c>
      <x:c r="E89" s="2473"/>
      <x:c r="F89" s="2473"/>
      <x:c r="G89" s="2473"/>
      <x:c r="H89" s="2473"/>
    </x:row>
    <x:row r="90" ht="48" customHeight="1">
      <x:c r="A90" s="60" t="str">
        <x:v>Run Day 0 · Aussaatdatum</x:v>
      </x:c>
      <x:c r="B90" s="2475" t="n">
        <x:v>46255</x:v>
      </x:c>
      <x:c r="C90" s="60"/>
      <x:c r="D90" s="60" t="str">
        <x:v>RUN EVENT</x:v>
      </x:c>
      <x:c r="E90" s="60" t="str">
        <x:v>21.08.2026 = Run Day 0</x:v>
      </x:c>
      <x:c r="F90" s="60" t="str">
        <x:v>Logistik / Run-Historie; nicht automatisch biologisches Pflanzenalter.</x:v>
      </x:c>
      <x:c r="G90" s="60"/>
      <x:c r="H90" s="60" t="str">
        <x:v>USER EVENT</x:v>
      </x:c>
    </x:row>
    <x:row r="91" ht="48" customHeight="1">
      <x:c r="A91" s="60" t="str">
        <x:v>P1 Double Grape · Durchbruch / Plant Day 0</x:v>
      </x:c>
      <x:c r="B91" s="2475" t="n">
        <x:v>46257</x:v>
      </x:c>
      <x:c r="C91" s="60"/>
      <x:c r="D91" s="60" t="str">
        <x:v>PLANT EVENT</x:v>
      </x:c>
      <x:c r="E91" s="60" t="str">
        <x:v>23.08.2026 = Plant Day 0</x:v>
      </x:c>
      <x:c r="F91" s="60" t="str">
        <x:v>23.08.2026 ist für Double Grape NICHT Plant Day 1. 24.08.2026 = Plant Day 1.</x:v>
      </x:c>
      <x:c r="G91" s="60"/>
      <x:c r="H91" s="60" t="str">
        <x:v>USER OBSERVATION</x:v>
      </x:c>
    </x:row>
    <x:row r="92" ht="48" customHeight="1">
      <x:c r="A92" s="60" t="str">
        <x:v>P2 Banana Purple Punch · Durchbruch / Plant Day 0</x:v>
      </x:c>
      <x:c r="B92" s="60" t="str">
        <x:v>UNKNOWN</x:v>
      </x:c>
      <x:c r="C92" s="60"/>
      <x:c r="D92" s="60" t="str">
        <x:v>PLANT EVENT</x:v>
      </x:c>
      <x:c r="E92" s="60" t="str">
        <x:v>Eintragen beim sichtbaren Durchbruch</x:v>
      </x:c>
      <x:c r="F92" s="60" t="str">
        <x:v>Bis dahin Plant Day = PRE-EMERGENCE.</x:v>
      </x:c>
      <x:c r="G92" s="60"/>
      <x:c r="H92" s="60" t="str">
        <x:v>USER OBSERVATION</x:v>
      </x:c>
    </x:row>
    <x:row r="93" ht="48" customHeight="1">
      <x:c r="A93" s="60" t="str">
        <x:v>P3 GG. #4 · Durchbruch / Plant Day 0</x:v>
      </x:c>
      <x:c r="B93" s="60" t="str">
        <x:v>UNKNOWN</x:v>
      </x:c>
      <x:c r="C93" s="60"/>
      <x:c r="D93" s="60" t="str">
        <x:v>PLANT EVENT</x:v>
      </x:c>
      <x:c r="E93" s="60" t="str">
        <x:v>Eintragen beim sichtbaren Durchbruch</x:v>
      </x:c>
      <x:c r="F93" s="60" t="str">
        <x:v>Bis dahin Plant Day = PRE-EMERGENCE.</x:v>
      </x:c>
      <x:c r="G93" s="60"/>
      <x:c r="H93" s="60" t="str">
        <x:v>USER OBSERVATION</x:v>
      </x:c>
    </x:row>
    <x:row r="94" ht="48" customHeight="1">
      <x:c r="A94" s="60" t="str">
        <x:v>Clock invariant</x:v>
      </x:c>
      <x:c r="B94" s="60" t="str">
        <x:v>RUN DAY ≠ PLANT DAY ≠ BLOOM DAY</x:v>
      </x:c>
      <x:c r="C94" s="60"/>
      <x:c r="D94" s="60" t="str">
        <x:v>INVARIANT</x:v>
      </x:c>
      <x:c r="E94" s="60" t="str">
        <x:v>Run Day ab Aussaat · Plant Day ab Durchbruch · Bloom Day ab bestätigter FlowerInitiation</x:v>
      </x:c>
      <x:c r="F94" s="60" t="str">
        <x:v>Breeder 'from sprout' → Plant Day. Boost/PK → plant-spezifischer Bloom Day.</x:v>
      </x:c>
      <x:c r="G94" s="60"/>
      <x:c r="H94" s="60" t="str">
        <x:v>UKD architecture</x:v>
      </x:c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22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  <x:dataValidation type="list" sqref="B45">
      <x:formula1>"UKD Hybrid Core,Custom Hybrid"</x:formula1>
    </x:dataValidation>
    <x:dataValidation type="list" sqref="B46">
      <x:formula1>"OFF,Voodoo only,Voodoo + Tarantula,Voodoo + Piranha + Tarantula"</x:formula1>
    </x:dataValidation>
    <x:dataValidation type="list" sqref="B47">
      <x:formula1>"OFF,ON / A-B"</x:formula1>
    </x:dataValidation>
    <x:dataValidation type="list" sqref="B48">
      <x:formula1>"HESI Boost (default),AN Bud Candy (replaces HESI Boost)"</x:formula1>
    </x:dataValidation>
    <x:dataValidation type="list" sqref="B49">
      <x:formula1>"OFF,ON / EXPERIMENTAL"</x:formula1>
    </x:dataValidation>
    <x:dataValidation type="list" sqref="B50">
      <x:formula1>"HESI PowerZyme,AN Sensizym"</x:formula1>
    </x:dataValidation>
    <x:dataValidation type="list" sqref="B51">
      <x:formula1>"Athena Balance conditional,HESI Hesilicio,AN Rhino Skin,OFF"</x:formula1>
    </x:dataValidation>
    <x:dataValidation type="list" sqref="B52">
      <x:formula1>"HESI PK13/14,AN Bud Ignitor &gt; Big Bud &gt; Overdrive"</x:formula1>
    </x:dataValidation>
    <x:dataValidation type="list" sqref="B53">
      <x:formula1>"OWNED / A-B OFF,ON / EXPERIMENTAL"</x:formula1>
    </x:dataValidation>
    <x:dataValidation type="list" sqref="B54">
      <x:formula1>"HESI CalMag conditional,AN Sensi CalMag Xtra conditional,OFF"</x:formula1>
    </x:dataValidation>
    <x:dataValidation type="list" sqref="B55">
      <x:formula1>"OFF / diagnostic only,ARMED / diagnostic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4" hidden="0" customWidth="1"/>
    <x:col min="61" max="61" width="22" hidden="0" customWidth="1"/>
    <x:col min="62" max="62" width="26" hidden="0" customWidth="1"/>
    <x:col min="63" max="63" width="18" hidden="0" customWidth="1"/>
    <x:col min="64" max="64" width="12" hidden="0" customWidth="1"/>
    <x:col min="65" max="65" width="20" hidden="0" customWidth="1"/>
    <x:col min="66" max="66" width="12" hidden="0" customWidth="1"/>
    <x:col min="67" max="67" width="46" hidden="0" customWidth="1"/>
    <x:col min="68" max="68" width="48" hidden="0" customWidth="1"/>
    <x:col min="69" max="69" width="62" hidden="0" customWidth="1"/>
  </x:cols>
  <x:sheetData>
    <x:row r="1" ht="42" customHeight="1">
      <x:c r="A1" s="1455" t="str">
        <x:v>Run Day (ab Aussaat)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UKD-Arbeitssetpoint · nicht biologisches Optimum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 / pH-Up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  <x:c r="AT1" s="1768" t="str">
        <x:v>Piranha ml/L</x:v>
      </x:c>
      <x:c r="AU1" s="1768" t="str">
        <x:v>Tarantula ml/L</x:v>
      </x:c>
      <x:c r="AV1" s="1768" t="str">
        <x:v>B-52 ml/L</x:v>
      </x:c>
      <x:c r="AW1" s="1768" t="str">
        <x:v>Bud Candy ml/L</x:v>
      </x:c>
      <x:c r="AX1" s="1768" t="str">
        <x:v>Bud Factor X ml/L</x:v>
      </x:c>
      <x:c r="AY1" s="1768" t="str">
        <x:v>Sensizym ml/L</x:v>
      </x:c>
      <x:c r="AZ1" s="1768" t="str">
        <x:v>Rhino Skin ml/L</x:v>
      </x:c>
      <x:c r="BA1" s="1768" t="str">
        <x:v>Bud Ignitor ml/L</x:v>
      </x:c>
      <x:c r="BB1" s="1768" t="str">
        <x:v>Big Bud ml/L</x:v>
      </x:c>
      <x:c r="BC1" s="1768" t="str">
        <x:v>Overdrive ml/L</x:v>
      </x:c>
      <x:c r="BD1" s="1768" t="str">
        <x:v>Tasty Terpenes ml/L</x:v>
      </x:c>
      <x:c r="BE1" s="1768" t="str">
        <x:v>Sensi CalMag Xtra ml/L</x:v>
      </x:c>
      <x:c r="BF1" s="1768" t="str">
        <x:v>Revive ml/L</x:v>
      </x:c>
      <x:c r="BG1" s="1768" t="str">
        <x:v>Hybrid Coverage</x:v>
      </x:c>
      <x:c r="BH1" s="1768" t="str">
        <x:v>AN aktiv heute</x:v>
      </x:c>
      <x:c r="BI1" s="2473" t="str">
        <x:v>P1 Double Grape Plant Day</x:v>
      </x:c>
      <x:c r="BJ1" s="2473" t="str">
        <x:v>P2 Banana Purple Punch Plant Day</x:v>
      </x:c>
      <x:c r="BK1" s="2473" t="str">
        <x:v>P3 GG4 Plant Day</x:v>
      </x:c>
      <x:c r="BL1" s="2473" t="str">
        <x:v>pH Ref min</x:v>
      </x:c>
      <x:c r="BM1" s="2473" t="str">
        <x:v>pH UKD Working Setpoint</x:v>
      </x:c>
      <x:c r="BN1" s="2473" t="str">
        <x:v>pH Ref max</x:v>
      </x:c>
      <x:c r="BO1" s="2473" t="str">
        <x:v>pH State/Source</x:v>
      </x:c>
      <x:c r="BP1" s="2473" t="str">
        <x:v>Athena Balance Decision</x:v>
      </x:c>
      <x:c r="BQ1" s="2473" t="str">
        <x:v>Clock / pH Policy Note</x:v>
      </x:c>
    </x:row>
    <x:row r="2">
      <x:c r="A2" s="32" t="n">
        <x:v>0</x:v>
      </x:c>
      <x:c r="B2" s="128" t="n">
        <x:f>'01_Run_Config'!$B$4+A2</x:f>
        <x:v>46255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f>BM2</x:f>
        <x:v>5.8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IF(A2&lt;=14,2.5,0)</x:f>
        <x:v>2.5</x:v>
      </x:c>
      <x:c r="X2" s="62" t="n">
        <x:f>IF('01_Run_Config'!$B$50="AN Sensizym",0,IF(AND(A2&gt;='01_Run_Config'!$B$32,OR(AL2="",AL2&lt;=49)),2,0))</x:f>
        <x:v>0</x:v>
      </x:c>
      <x:c r="Y2" s="62" t="n">
        <x:f>0.015</x:f>
        <x:v>0.015</x:v>
      </x:c>
      <x:c r="Z2" s="62" t="n">
        <x:f>IF('01_Run_Config'!$B$51="HESI Hesilicio",2,0)</x:f>
        <x:v>0</x:v>
      </x:c>
      <x:c r="AA2" s="62" t="n">
        <x:f>IF('01_Run_Config'!$B$48="AN Bud Candy (replaces HESI Boost)",0,IF(AND(A2&gt;='01_Run_Config'!$B$33,MOD(A2-'01_Run_Config'!$B$33,7)=0),2,0))</x:f>
        <x:v>0</x:v>
      </x:c>
      <x:c r="AB2" s="62" t="n">
        <x:f>IF('01_Run_Config'!$B$52="AN Bud Ignitor &gt; Big Bud &gt; Overdrive",0,IF(AND(ISNUMBER(AL2),AL2&gt;=29,AL2&lt;=42),0.25+((AL2-29)/13)*0.25,0))</x:f>
        <x:v>0</x:v>
      </x:c>
      <x:c r="AC2" s="62" t="n">
        <x:f>IF('01_Run_Config'!$B$46="OFF",0,IF(OR(AND(A2&gt;='01_Run_Config'!$B$32,A2&lt;='01_Run_Config'!$B$32+13),AND(A2&gt;='01_Run_Config'!$B$33,A2&lt;='01_Run_Config'!$B$33+13)),2,0))</x:f>
        <x:v>0</x:v>
      </x:c>
      <x:c r="AD2" s="62" t="str">
        <x:f>IF(BG2="BLOCK","HYBRID BLOCKED - Konfiguration prüfen",IF(SUM(AC2,AT2:BF2)&gt;0,"AN aktiv: "&amp;BH2,"AN: keine Dosis heute / Module aus"))</x:f>
        <x:v>AN: keine Dosis heute / Module aus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" s="32" t="str">
        <x:f>IF(A2&lt;2,"PRE-EMERGENCE · kein Kalenderwert","AVAILABLE IF NEEDED · nur wenn vollständiger Endmix unter pH-Ziel liegt")</x:f>
        <x:v>PRE-EMERGENCE ·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  <x:c r="AT2" t="n">
        <x:f>IF(AND('01_Run_Config'!$B$46="Voodoo + Piranha + Tarantula",AC2&gt;0),2,0)</x:f>
        <x:v>0</x:v>
      </x:c>
      <x:c r="AU2" t="n">
        <x:f>IF(AND(OR('01_Run_Config'!$B$46="Voodoo + Tarantula",'01_Run_Config'!$B$46="Voodoo + Piranha + Tarantula"),AC2&gt;0),2,0)</x:f>
        <x:v>0</x:v>
      </x:c>
      <x:c r="AV2" t="n">
        <x:f>IF('01_Run_Config'!$B$47&lt;&gt;"ON / A-B",0,IF(OR(AND(A2&gt;='01_Run_Config'!$B$32,A2&lt;'01_Run_Config'!$B$33),AND(ISNUMBER(AL2),AL2&gt;=15,AL2&lt;=49)),2,0))</x:f>
        <x:v>0</x:v>
      </x:c>
      <x:c r="AW2" t="n">
        <x:f>IF('01_Run_Config'!$B$48="AN Bud Candy (replaces HESI Boost)",IF(AND(A2&gt;='01_Run_Config'!$B$32,OR(AL2="",AL2&lt;=49)),2,0),0)</x:f>
        <x:v>0</x:v>
      </x:c>
      <x:c r="AX2" t="n">
        <x:f>IF('01_Run_Config'!$B$49&lt;&gt;"ON / EXPERIMENTAL",0,IF(OR(AND(A2&gt;='01_Run_Config'!$B$32+7,A2&lt;'01_Run_Config'!$B$33),AND(ISNUMBER(AL2),AL2&gt;=1,AL2&lt;=49)),2,0))</x:f>
        <x:v>0</x:v>
      </x:c>
      <x:c r="AY2" t="n">
        <x:f>IF('01_Run_Config'!$B$50="AN Sensizym",IF(AND(A2&gt;='01_Run_Config'!$B$32,OR(AL2="",AL2&lt;=49)),2,0),0)</x:f>
        <x:v>0</x:v>
      </x:c>
      <x:c r="AZ2" t="n">
        <x:f>IF('01_Run_Config'!$B$51="AN Rhino Skin",IF(AND(A2&gt;='01_Run_Config'!$B$32,OR(AL2="",AL2&lt;=49)),2,0),0)</x:f>
        <x:v>0</x:v>
      </x:c>
      <x:c r="BA2" t="n">
        <x:f>IF(AND('01_Run_Config'!$B$52="AN Bud Ignitor &gt; Big Bud &gt; Overdrive",ISNUMBER(AL2),AL2&gt;=1,AL2&lt;=14),2,0)</x:f>
        <x:v>0</x:v>
      </x:c>
      <x:c r="BB2" t="n">
        <x:f>IF(AND('01_Run_Config'!$B$52="AN Bud Ignitor &gt; Big Bud &gt; Overdrive",ISNUMBER(AL2),AL2&gt;=8,AL2&lt;=35),2,0)</x:f>
        <x:v>0</x:v>
      </x:c>
      <x:c r="BC2" t="n">
        <x:f>IF(AND('01_Run_Config'!$B$52="AN Bud Ignitor &gt; Big Bud &gt; Overdrive",ISNUMBER(AL2),AL2&gt;=36,AL2&lt;=49),2,0)</x:f>
        <x:v>0</x:v>
      </x:c>
      <x:c r="BD2" t="n">
        <x:f>IF('01_Run_Config'!$B$53="ON / EXPERIMENTAL",IF(OR(AND(A2&gt;='01_Run_Config'!$B$32,A2&lt;'01_Run_Config'!$B$33),AND(ISNUMBER(AL2),AL2&gt;=15,AL2&lt;=49)),2,0),0)</x:f>
        <x:v>0</x:v>
      </x:c>
      <x:c r="BE2" t="n">
        <x:f>IF('01_Run_Config'!$B$54="AN Sensi CalMag Xtra conditional",'01_Run_Config'!$B$17,0)</x:f>
        <x:v>0</x:v>
      </x:c>
      <x:c r="BF2" t="n">
        <x:f>0</x:f>
        <x:v>0</x:v>
      </x:c>
      <x:c r="BG2" t="str">
        <x:f>'01_Run_Config'!$E$57</x:f>
        <x:v>OK</x:v>
      </x:c>
      <x:c r="BH2" t="str">
        <x:f>IF(SUM(AC2,AT2:BF2)=0,"keine AN-Dosis heute",IF(AC2&gt;0,"Voodoo "&amp;AC2&amp;" ml/L; ","")&amp;IF(AT2&gt;0,"Piranha "&amp;AT2&amp;" ml/L; ","")&amp;IF(AU2&gt;0,"Tarantula "&amp;AU2&amp;" ml/L; ","")&amp;IF(AV2&gt;0,"B-52 "&amp;AV2&amp;" ml/L; ","")&amp;IF(AW2&gt;0,"Bud Candy "&amp;AW2&amp;" ml/L; ","")&amp;IF(AX2&gt;0,"Bud Factor X "&amp;AX2&amp;" ml/L; ","")&amp;IF(AY2&gt;0,"Sensizym "&amp;AY2&amp;" ml/L; ","")&amp;IF(AZ2&gt;0,"Rhino Skin "&amp;AZ2&amp;" ml/L; ","")&amp;IF(BA2&gt;0,"Bud Ignitor "&amp;BA2&amp;" ml/L; ","")&amp;IF(BB2&gt;0,"Big Bud "&amp;BB2&amp;" ml/L; ","")&amp;IF(BC2&gt;0,"Overdrive "&amp;BC2&amp;" ml/L; ","")&amp;IF(BD2&gt;0,"Tasty Terpenes "&amp;BD2&amp;" ml/L; ","")&amp;IF(BE2&gt;0,"Sensi CalMag "&amp;BE2&amp;" ml/L",""))</x:f>
        <x:v>keine AN-Dosis heute</x:v>
      </x:c>
      <x:c r="BI2" s="60" t="str">
        <x:f>IF(ISNUMBER('01_Run_Config'!$B$91),IF(B2&lt;'01_Run_Config'!$B$91,"PRE",B2-'01_Run_Config'!$B$91),"PRE")</x:f>
        <x:v>PRE</x:v>
      </x:c>
      <x:c r="BJ2" s="60" t="str">
        <x:f>IF(ISNUMBER('01_Run_Config'!$B$92),IF(B2&lt;'01_Run_Config'!$B$92,"PRE",B2-'01_Run_Config'!$B$92),"PRE")</x:f>
        <x:v>PRE</x:v>
      </x:c>
      <x:c r="BK2" s="60" t="str">
        <x:f>IF(ISNUMBER('01_Run_Config'!$B$93),IF(B2&lt;'01_Run_Config'!$B$93,"PRE",B2-'01_Run_Config'!$B$93),"PRE")</x:f>
        <x:v>PRE</x:v>
      </x:c>
      <x:c r="BL2" s="2482" t="n">
        <x:f>IF(BM2=5.8,5.8,5.8)</x:f>
        <x:v>5.8</x:v>
      </x:c>
      <x:c r="BM2" s="2482" t="n">
        <x:f>IF(A2&lt;IF(ISNUMBER('01_Run_Config'!$B$81),'01_Run_Config'!$B$81,15),5.8,6)</x:f>
        <x:v>5.8</x:v>
      </x:c>
      <x:c r="BN2" s="2482" t="n">
        <x:f>IF(BM2=5.8,5.8,6.2)</x:f>
        <x:v>5.8</x:v>
      </x:c>
      <x:c r="BO2" s="60" t="str">
        <x:f>IF(BM2=5.8,"Eazy Plug/Block: Herstellerziel 5.80","Final Coco: UKD 6.00 = Mitte HESI 5.8–6.2")</x:f>
        <x:v>Eazy Plug/Block: Herstellerziel 5.80</x:v>
      </x:c>
      <x:c r="BP2" s="60" t="str">
        <x:f>IF(A2&lt;2,"PRE-EMERGENCE: Balance normalerweise nicht nötig",IF(BM2=5.8,"ab Durchbruch AVAILABLE IF endmix &lt; 5.80","AVAILABLE IF endmix &lt; 6.00"))</x:f>
        <x:v>PRE-EMERGENCE: Balance normalerweise nicht nötig</x:v>
      </x:c>
      <x:c r="BQ2" s="60" t="str">
        <x:f>IF(A2=0,"Run Day 0 = Aussaat 21.08.2026; Plant Day beginnt erst beim Durchbruch.",IF(A2=2,"P1 Double Grape: 23.08.2026 = Plant Day 0.","Daily pH is a projection; actual root-stage/event overrides calendar."))</x:f>
        <x:v>Run Day 0 = Aussaat 21.08.2026; Plant Day beginnt erst beim Durchbruch.</x:v>
      </x:c>
    </x:row>
    <x:row r="3">
      <x:c r="A3" s="34" t="n">
        <x:v>1</x:v>
      </x:c>
      <x:c r="B3" s="129" t="n">
        <x:f>'01_Run_Config'!$B$4+A3</x:f>
        <x:v>46256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f>BM3</x:f>
        <x:v>5.8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IF(A3&lt;=14,2.5,0)</x:f>
        <x:v>2.5</x:v>
      </x:c>
      <x:c r="X3" s="63" t="n">
        <x:f>IF('01_Run_Config'!$B$50="AN Sensizym",0,IF(AND(A3&gt;='01_Run_Config'!$B$32,OR(AL3="",AL3&lt;=49)),2,0))</x:f>
        <x:v>0</x:v>
      </x:c>
      <x:c r="Y3" s="63" t="n">
        <x:f>0.015</x:f>
        <x:v>0.015</x:v>
      </x:c>
      <x:c r="Z3" s="63" t="n">
        <x:f>IF('01_Run_Config'!$B$51="HESI Hesilicio",2,0)</x:f>
        <x:v>0</x:v>
      </x:c>
      <x:c r="AA3" s="63" t="n">
        <x:f>IF('01_Run_Config'!$B$48="AN Bud Candy (replaces HESI Boost)",0,IF(AND(A3&gt;='01_Run_Config'!$B$33,MOD(A3-'01_Run_Config'!$B$33,7)=0),2,0))</x:f>
        <x:v>0</x:v>
      </x:c>
      <x:c r="AB3" s="63" t="n">
        <x:f>IF('01_Run_Config'!$B$52="AN Bud Ignitor &gt; Big Bud &gt; Overdrive",0,IF(AND(ISNUMBER(AL3),AL3&gt;=29,AL3&lt;=42),0.25+((AL3-29)/13)*0.25,0))</x:f>
        <x:v>0</x:v>
      </x:c>
      <x:c r="AC3" s="63" t="n">
        <x:f>IF('01_Run_Config'!$B$46="OFF",0,IF(OR(AND(A3&gt;='01_Run_Config'!$B$32,A3&lt;='01_Run_Config'!$B$32+13),AND(A3&gt;='01_Run_Config'!$B$33,A3&lt;='01_Run_Config'!$B$33+13)),2,0))</x:f>
        <x:v>0</x:v>
      </x:c>
      <x:c r="AD3" s="63" t="str">
        <x:f>IF(BG3="BLOCK","HYBRID BLOCKED - Konfiguration prüfen",IF(SUM(AC3,AT3:BF3)&gt;0,"AN aktiv: "&amp;BH3,"AN: keine Dosis heute / Module aus"))</x:f>
        <x:v>AN: keine Dosis heute / Module aus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" s="34" t="str">
        <x:f>IF(A3&lt;2,"PRE-EMERGENCE · kein Kalenderwert","AVAILABLE IF NEEDED · nur wenn vollständiger Endmix unter pH-Ziel liegt")</x:f>
        <x:v>PRE-EMERGENCE ·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  <x:c r="AT3" t="n">
        <x:f>IF(AND('01_Run_Config'!$B$46="Voodoo + Piranha + Tarantula",AC3&gt;0),2,0)</x:f>
        <x:v>0</x:v>
      </x:c>
      <x:c r="AU3" t="n">
        <x:f>IF(AND(OR('01_Run_Config'!$B$46="Voodoo + Tarantula",'01_Run_Config'!$B$46="Voodoo + Piranha + Tarantula"),AC3&gt;0),2,0)</x:f>
        <x:v>0</x:v>
      </x:c>
      <x:c r="AV3" t="n">
        <x:f>IF('01_Run_Config'!$B$47&lt;&gt;"ON / A-B",0,IF(OR(AND(A3&gt;='01_Run_Config'!$B$32,A3&lt;'01_Run_Config'!$B$33),AND(ISNUMBER(AL3),AL3&gt;=15,AL3&lt;=49)),2,0))</x:f>
        <x:v>0</x:v>
      </x:c>
      <x:c r="AW3" t="n">
        <x:f>IF('01_Run_Config'!$B$48="AN Bud Candy (replaces HESI Boost)",IF(AND(A3&gt;='01_Run_Config'!$B$32,OR(AL3="",AL3&lt;=49)),2,0),0)</x:f>
        <x:v>0</x:v>
      </x:c>
      <x:c r="AX3" t="n">
        <x:f>IF('01_Run_Config'!$B$49&lt;&gt;"ON / EXPERIMENTAL",0,IF(OR(AND(A3&gt;='01_Run_Config'!$B$32+7,A3&lt;'01_Run_Config'!$B$33),AND(ISNUMBER(AL3),AL3&gt;=1,AL3&lt;=49)),2,0))</x:f>
        <x:v>0</x:v>
      </x:c>
      <x:c r="AY3" t="n">
        <x:f>IF('01_Run_Config'!$B$50="AN Sensizym",IF(AND(A3&gt;='01_Run_Config'!$B$32,OR(AL3="",AL3&lt;=49)),2,0),0)</x:f>
        <x:v>0</x:v>
      </x:c>
      <x:c r="AZ3" t="n">
        <x:f>IF('01_Run_Config'!$B$51="AN Rhino Skin",IF(AND(A3&gt;='01_Run_Config'!$B$32,OR(AL3="",AL3&lt;=49)),2,0),0)</x:f>
        <x:v>0</x:v>
      </x:c>
      <x:c r="BA3" t="n">
        <x:f>IF(AND('01_Run_Config'!$B$52="AN Bud Ignitor &gt; Big Bud &gt; Overdrive",ISNUMBER(AL3),AL3&gt;=1,AL3&lt;=14),2,0)</x:f>
        <x:v>0</x:v>
      </x:c>
      <x:c r="BB3" t="n">
        <x:f>IF(AND('01_Run_Config'!$B$52="AN Bud Ignitor &gt; Big Bud &gt; Overdrive",ISNUMBER(AL3),AL3&gt;=8,AL3&lt;=35),2,0)</x:f>
        <x:v>0</x:v>
      </x:c>
      <x:c r="BC3" t="n">
        <x:f>IF(AND('01_Run_Config'!$B$52="AN Bud Ignitor &gt; Big Bud &gt; Overdrive",ISNUMBER(AL3),AL3&gt;=36,AL3&lt;=49),2,0)</x:f>
        <x:v>0</x:v>
      </x:c>
      <x:c r="BD3" t="n">
        <x:f>IF('01_Run_Config'!$B$53="ON / EXPERIMENTAL",IF(OR(AND(A3&gt;='01_Run_Config'!$B$32,A3&lt;'01_Run_Config'!$B$33),AND(ISNUMBER(AL3),AL3&gt;=15,AL3&lt;=49)),2,0),0)</x:f>
        <x:v>0</x:v>
      </x:c>
      <x:c r="BE3" t="n">
        <x:f>IF('01_Run_Config'!$B$54="AN Sensi CalMag Xtra conditional",'01_Run_Config'!$B$17,0)</x:f>
        <x:v>0</x:v>
      </x:c>
      <x:c r="BF3" t="n">
        <x:f>0</x:f>
        <x:v>0</x:v>
      </x:c>
      <x:c r="BG3" t="str">
        <x:f>'01_Run_Config'!$E$57</x:f>
        <x:v>OK</x:v>
      </x:c>
      <x:c r="BH3" t="str">
        <x:f>IF(SUM(AC3,AT3:BF3)=0,"keine AN-Dosis heute",IF(AC3&gt;0,"Voodoo "&amp;AC3&amp;" ml/L; ","")&amp;IF(AT3&gt;0,"Piranha "&amp;AT3&amp;" ml/L; ","")&amp;IF(AU3&gt;0,"Tarantula "&amp;AU3&amp;" ml/L; ","")&amp;IF(AV3&gt;0,"B-52 "&amp;AV3&amp;" ml/L; ","")&amp;IF(AW3&gt;0,"Bud Candy "&amp;AW3&amp;" ml/L; ","")&amp;IF(AX3&gt;0,"Bud Factor X "&amp;AX3&amp;" ml/L; ","")&amp;IF(AY3&gt;0,"Sensizym "&amp;AY3&amp;" ml/L; ","")&amp;IF(AZ3&gt;0,"Rhino Skin "&amp;AZ3&amp;" ml/L; ","")&amp;IF(BA3&gt;0,"Bud Ignitor "&amp;BA3&amp;" ml/L; ","")&amp;IF(BB3&gt;0,"Big Bud "&amp;BB3&amp;" ml/L; ","")&amp;IF(BC3&gt;0,"Overdrive "&amp;BC3&amp;" ml/L; ","")&amp;IF(BD3&gt;0,"Tasty Terpenes "&amp;BD3&amp;" ml/L; ","")&amp;IF(BE3&gt;0,"Sensi CalMag "&amp;BE3&amp;" ml/L",""))</x:f>
        <x:v>keine AN-Dosis heute</x:v>
      </x:c>
      <x:c r="BI3" s="60" t="str">
        <x:f>IF(ISNUMBER('01_Run_Config'!$B$91),IF(B3&lt;'01_Run_Config'!$B$91,"PRE",B3-'01_Run_Config'!$B$91),"PRE")</x:f>
        <x:v>PRE</x:v>
      </x:c>
      <x:c r="BJ3" s="60" t="str">
        <x:f>IF(ISNUMBER('01_Run_Config'!$B$92),IF(B3&lt;'01_Run_Config'!$B$92,"PRE",B3-'01_Run_Config'!$B$92),"PRE")</x:f>
        <x:v>PRE</x:v>
      </x:c>
      <x:c r="BK3" s="60" t="str">
        <x:f>IF(ISNUMBER('01_Run_Config'!$B$93),IF(B3&lt;'01_Run_Config'!$B$93,"PRE",B3-'01_Run_Config'!$B$93),"PRE")</x:f>
        <x:v>PRE</x:v>
      </x:c>
      <x:c r="BL3" s="2482" t="n">
        <x:f>IF(BM3=5.8,5.8,5.8)</x:f>
        <x:v>5.8</x:v>
      </x:c>
      <x:c r="BM3" s="2482" t="n">
        <x:f>IF(A3&lt;IF(ISNUMBER('01_Run_Config'!$B$81),'01_Run_Config'!$B$81,15),5.8,6)</x:f>
        <x:v>5.8</x:v>
      </x:c>
      <x:c r="BN3" s="2482" t="n">
        <x:f>IF(BM3=5.8,5.8,6.2)</x:f>
        <x:v>5.8</x:v>
      </x:c>
      <x:c r="BO3" s="60" t="str">
        <x:f>IF(BM3=5.8,"Eazy Plug/Block: Herstellerziel 5.80","Final Coco: UKD 6.00 = Mitte HESI 5.8–6.2")</x:f>
        <x:v>Eazy Plug/Block: Herstellerziel 5.80</x:v>
      </x:c>
      <x:c r="BP3" s="60" t="str">
        <x:f>IF(A3&lt;2,"PRE-EMERGENCE: Balance normalerweise nicht nötig",IF(BM3=5.8,"ab Durchbruch AVAILABLE IF endmix &lt; 5.80","AVAILABLE IF endmix &lt; 6.00"))</x:f>
        <x:v>PRE-EMERGENCE: Balance normalerweise nicht nötig</x:v>
      </x:c>
      <x:c r="BQ3" s="60" t="str">
        <x:f>IF(A3=0,"Run Day 0 = Aussaat 21.08.2026; Plant Day beginnt erst beim Durchbruch.",IF(A3=2,"P2 Double Grape: 23.08.2026 = Plant Day 0.","Daily pH is a projection; actual root-stage/event overrides calendar."))</x:f>
        <x:v>Daily pH is a projection; actual root-stage/event overrides calendar.</x:v>
      </x:c>
    </x:row>
    <x:row r="4">
      <x:c r="A4" s="34" t="n">
        <x:v>2</x:v>
      </x:c>
      <x:c r="B4" s="129" t="n">
        <x:f>'01_Run_Config'!$B$4+A4</x:f>
        <x:v>46257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f>BM4</x:f>
        <x:v>5.8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IF(A4&lt;=14,2.5,0)</x:f>
        <x:v>2.5</x:v>
      </x:c>
      <x:c r="X4" s="63" t="n">
        <x:f>IF('01_Run_Config'!$B$50="AN Sensizym",0,IF(AND(A4&gt;='01_Run_Config'!$B$32,OR(AL4="",AL4&lt;=49)),2,0))</x:f>
        <x:v>0</x:v>
      </x:c>
      <x:c r="Y4" s="63" t="n">
        <x:f>0.015</x:f>
        <x:v>0.015</x:v>
      </x:c>
      <x:c r="Z4" s="63" t="n">
        <x:f>IF('01_Run_Config'!$B$51="HESI Hesilicio",2,0)</x:f>
        <x:v>0</x:v>
      </x:c>
      <x:c r="AA4" s="63" t="n">
        <x:f>IF('01_Run_Config'!$B$48="AN Bud Candy (replaces HESI Boost)",0,IF(AND(A4&gt;='01_Run_Config'!$B$33,MOD(A4-'01_Run_Config'!$B$33,7)=0),2,0))</x:f>
        <x:v>0</x:v>
      </x:c>
      <x:c r="AB4" s="63" t="n">
        <x:f>IF('01_Run_Config'!$B$52="AN Bud Ignitor &gt; Big Bud &gt; Overdrive",0,IF(AND(ISNUMBER(AL4),AL4&gt;=29,AL4&lt;=42),0.25+((AL4-29)/13)*0.25,0))</x:f>
        <x:v>0</x:v>
      </x:c>
      <x:c r="AC4" s="63" t="n">
        <x:f>IF('01_Run_Config'!$B$46="OFF",0,IF(OR(AND(A4&gt;='01_Run_Config'!$B$32,A4&lt;='01_Run_Config'!$B$32+13),AND(A4&gt;='01_Run_Config'!$B$33,A4&lt;='01_Run_Config'!$B$33+13)),2,0))</x:f>
        <x:v>0</x:v>
      </x:c>
      <x:c r="AD4" s="63" t="str">
        <x:f>IF(BG4="BLOCK","HYBRID BLOCKED - Konfiguration prüfen",IF(SUM(AC4,AT4:BF4)&gt;0,"AN aktiv: "&amp;BH4,"AN: keine Dosis heute / Module aus"))</x:f>
        <x:v>AN: keine Dosis heute / Module aus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" s="34" t="str">
        <x:f>IF(A4&lt;2,"PRE-EMERGENCE · kein Kalenderwert","AVAILABLE IF NEEDED · nur wenn vollständiger Endmix unter pH-Ziel liegt")</x:f>
        <x:v>AVAILABLE IF NEEDED · nur wenn vollständiger Endmix unter pH-Ziel liegt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  <x:c r="AT4" t="n">
        <x:f>IF(AND('01_Run_Config'!$B$46="Voodoo + Piranha + Tarantula",AC4&gt;0),2,0)</x:f>
        <x:v>0</x:v>
      </x:c>
      <x:c r="AU4" t="n">
        <x:f>IF(AND(OR('01_Run_Config'!$B$46="Voodoo + Tarantula",'01_Run_Config'!$B$46="Voodoo + Piranha + Tarantula"),AC4&gt;0),2,0)</x:f>
        <x:v>0</x:v>
      </x:c>
      <x:c r="AV4" t="n">
        <x:f>IF('01_Run_Config'!$B$47&lt;&gt;"ON / A-B",0,IF(OR(AND(A4&gt;='01_Run_Config'!$B$32,A4&lt;'01_Run_Config'!$B$33),AND(ISNUMBER(AL4),AL4&gt;=15,AL4&lt;=49)),2,0))</x:f>
        <x:v>0</x:v>
      </x:c>
      <x:c r="AW4" t="n">
        <x:f>IF('01_Run_Config'!$B$48="AN Bud Candy (replaces HESI Boost)",IF(AND(A4&gt;='01_Run_Config'!$B$32,OR(AL4="",AL4&lt;=49)),2,0),0)</x:f>
        <x:v>0</x:v>
      </x:c>
      <x:c r="AX4" t="n">
        <x:f>IF('01_Run_Config'!$B$49&lt;&gt;"ON / EXPERIMENTAL",0,IF(OR(AND(A4&gt;='01_Run_Config'!$B$32+7,A4&lt;'01_Run_Config'!$B$33),AND(ISNUMBER(AL4),AL4&gt;=1,AL4&lt;=49)),2,0))</x:f>
        <x:v>0</x:v>
      </x:c>
      <x:c r="AY4" t="n">
        <x:f>IF('01_Run_Config'!$B$50="AN Sensizym",IF(AND(A4&gt;='01_Run_Config'!$B$32,OR(AL4="",AL4&lt;=49)),2,0),0)</x:f>
        <x:v>0</x:v>
      </x:c>
      <x:c r="AZ4" t="n">
        <x:f>IF('01_Run_Config'!$B$51="AN Rhino Skin",IF(AND(A4&gt;='01_Run_Config'!$B$32,OR(AL4="",AL4&lt;=49)),2,0),0)</x:f>
        <x:v>0</x:v>
      </x:c>
      <x:c r="BA4" t="n">
        <x:f>IF(AND('01_Run_Config'!$B$52="AN Bud Ignitor &gt; Big Bud &gt; Overdrive",ISNUMBER(AL4),AL4&gt;=1,AL4&lt;=14),2,0)</x:f>
        <x:v>0</x:v>
      </x:c>
      <x:c r="BB4" t="n">
        <x:f>IF(AND('01_Run_Config'!$B$52="AN Bud Ignitor &gt; Big Bud &gt; Overdrive",ISNUMBER(AL4),AL4&gt;=8,AL4&lt;=35),2,0)</x:f>
        <x:v>0</x:v>
      </x:c>
      <x:c r="BC4" t="n">
        <x:f>IF(AND('01_Run_Config'!$B$52="AN Bud Ignitor &gt; Big Bud &gt; Overdrive",ISNUMBER(AL4),AL4&gt;=36,AL4&lt;=49),2,0)</x:f>
        <x:v>0</x:v>
      </x:c>
      <x:c r="BD4" t="n">
        <x:f>IF('01_Run_Config'!$B$53="ON / EXPERIMENTAL",IF(OR(AND(A4&gt;='01_Run_Config'!$B$32,A4&lt;'01_Run_Config'!$B$33),AND(ISNUMBER(AL4),AL4&gt;=15,AL4&lt;=49)),2,0),0)</x:f>
        <x:v>0</x:v>
      </x:c>
      <x:c r="BE4" t="n">
        <x:f>IF('01_Run_Config'!$B$54="AN Sensi CalMag Xtra conditional",'01_Run_Config'!$B$17,0)</x:f>
        <x:v>0</x:v>
      </x:c>
      <x:c r="BF4" t="n">
        <x:f>0</x:f>
        <x:v>0</x:v>
      </x:c>
      <x:c r="BG4" t="str">
        <x:f>'01_Run_Config'!$E$57</x:f>
        <x:v>OK</x:v>
      </x:c>
      <x:c r="BH4" t="str">
        <x:f>IF(SUM(AC4,AT4:BF4)=0,"keine AN-Dosis heute",IF(AC4&gt;0,"Voodoo "&amp;AC4&amp;" ml/L; ","")&amp;IF(AT4&gt;0,"Piranha "&amp;AT4&amp;" ml/L; ","")&amp;IF(AU4&gt;0,"Tarantula "&amp;AU4&amp;" ml/L; ","")&amp;IF(AV4&gt;0,"B-52 "&amp;AV4&amp;" ml/L; ","")&amp;IF(AW4&gt;0,"Bud Candy "&amp;AW4&amp;" ml/L; ","")&amp;IF(AX4&gt;0,"Bud Factor X "&amp;AX4&amp;" ml/L; ","")&amp;IF(AY4&gt;0,"Sensizym "&amp;AY4&amp;" ml/L; ","")&amp;IF(AZ4&gt;0,"Rhino Skin "&amp;AZ4&amp;" ml/L; ","")&amp;IF(BA4&gt;0,"Bud Ignitor "&amp;BA4&amp;" ml/L; ","")&amp;IF(BB4&gt;0,"Big Bud "&amp;BB4&amp;" ml/L; ","")&amp;IF(BC4&gt;0,"Overdrive "&amp;BC4&amp;" ml/L; ","")&amp;IF(BD4&gt;0,"Tasty Terpenes "&amp;BD4&amp;" ml/L; ","")&amp;IF(BE4&gt;0,"Sensi CalMag "&amp;BE4&amp;" ml/L",""))</x:f>
        <x:v>keine AN-Dosis heute</x:v>
      </x:c>
      <x:c r="BI4" s="60" t="n">
        <x:f>IF(ISNUMBER('01_Run_Config'!$B$91),IF(B4&lt;'01_Run_Config'!$B$91,"PRE",B4-'01_Run_Config'!$B$91),"PRE")</x:f>
        <x:v>0</x:v>
      </x:c>
      <x:c r="BJ4" s="60" t="str">
        <x:f>IF(ISNUMBER('01_Run_Config'!$B$92),IF(B4&lt;'01_Run_Config'!$B$92,"PRE",B4-'01_Run_Config'!$B$92),"PRE")</x:f>
        <x:v>PRE</x:v>
      </x:c>
      <x:c r="BK4" s="60" t="str">
        <x:f>IF(ISNUMBER('01_Run_Config'!$B$93),IF(B4&lt;'01_Run_Config'!$B$93,"PRE",B4-'01_Run_Config'!$B$93),"PRE")</x:f>
        <x:v>PRE</x:v>
      </x:c>
      <x:c r="BL4" s="2482" t="n">
        <x:f>IF(BM4=5.8,5.8,5.8)</x:f>
        <x:v>5.8</x:v>
      </x:c>
      <x:c r="BM4" s="2482" t="n">
        <x:f>IF(A4&lt;IF(ISNUMBER('01_Run_Config'!$B$81),'01_Run_Config'!$B$81,15),5.8,6)</x:f>
        <x:v>5.8</x:v>
      </x:c>
      <x:c r="BN4" s="2482" t="n">
        <x:f>IF(BM4=5.8,5.8,6.2)</x:f>
        <x:v>5.8</x:v>
      </x:c>
      <x:c r="BO4" s="60" t="str">
        <x:f>IF(BM4=5.8,"Eazy Plug/Block: Herstellerziel 5.80","Final Coco: UKD 6.00 = Mitte HESI 5.8–6.2")</x:f>
        <x:v>Eazy Plug/Block: Herstellerziel 5.80</x:v>
      </x:c>
      <x:c r="BP4" s="60" t="str">
        <x:f>IF(A4&lt;2,"PRE-EMERGENCE: Balance normalerweise nicht nötig",IF(BM4=5.8,"ab Durchbruch AVAILABLE IF endmix &lt; 5.80","AVAILABLE IF endmix &lt; 6.00"))</x:f>
        <x:v>ab Durchbruch AVAILABLE IF endmix &lt; 5.80</x:v>
      </x:c>
      <x:c r="BQ4" s="60" t="str">
        <x:f>IF(A4=0,"Run Day 0 = Aussaat 21.08.2026; Plant Day beginnt erst beim Durchbruch.",IF(A4=2,"P3 Double Grape: 23.08.2026 = Plant Day 0.","Daily pH is a projection; actual root-stage/event overrides calendar."))</x:f>
        <x:v>P3 Double Grape: 23.08.2026 = Plant Day 0.</x:v>
      </x:c>
    </x:row>
    <x:row r="5">
      <x:c r="A5" s="34" t="n">
        <x:v>3</x:v>
      </x:c>
      <x:c r="B5" s="129" t="n">
        <x:f>'01_Run_Config'!$B$4+A5</x:f>
        <x:v>46258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f>BM5</x:f>
        <x:v>5.8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IF(A5&lt;=14,2.5,0)</x:f>
        <x:v>2.5</x:v>
      </x:c>
      <x:c r="X5" s="63" t="n">
        <x:f>IF('01_Run_Config'!$B$50="AN Sensizym",0,IF(AND(A5&gt;='01_Run_Config'!$B$32,OR(AL5="",AL5&lt;=49)),2,0))</x:f>
        <x:v>0</x:v>
      </x:c>
      <x:c r="Y5" s="63" t="n">
        <x:f>0.015</x:f>
        <x:v>0.015</x:v>
      </x:c>
      <x:c r="Z5" s="63" t="n">
        <x:f>IF('01_Run_Config'!$B$51="HESI Hesilicio",2,0)</x:f>
        <x:v>0</x:v>
      </x:c>
      <x:c r="AA5" s="63" t="n">
        <x:f>IF('01_Run_Config'!$B$48="AN Bud Candy (replaces HESI Boost)",0,IF(AND(A5&gt;='01_Run_Config'!$B$33,MOD(A5-'01_Run_Config'!$B$33,7)=0),2,0))</x:f>
        <x:v>0</x:v>
      </x:c>
      <x:c r="AB5" s="63" t="n">
        <x:f>IF('01_Run_Config'!$B$52="AN Bud Ignitor &gt; Big Bud &gt; Overdrive",0,IF(AND(ISNUMBER(AL5),AL5&gt;=29,AL5&lt;=42),0.25+((AL5-29)/13)*0.25,0))</x:f>
        <x:v>0</x:v>
      </x:c>
      <x:c r="AC5" s="63" t="n">
        <x:f>IF('01_Run_Config'!$B$46="OFF",0,IF(OR(AND(A5&gt;='01_Run_Config'!$B$32,A5&lt;='01_Run_Config'!$B$32+13),AND(A5&gt;='01_Run_Config'!$B$33,A5&lt;='01_Run_Config'!$B$33+13)),2,0))</x:f>
        <x:v>0</x:v>
      </x:c>
      <x:c r="AD5" s="63" t="str">
        <x:f>IF(BG5="BLOCK","HYBRID BLOCKED - Konfiguration prüfen",IF(SUM(AC5,AT5:BF5)&gt;0,"AN aktiv: "&amp;BH5,"AN: keine Dosis heute / Module aus"))</x:f>
        <x:v>AN: keine Dosis heute / Module aus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" s="34" t="str">
        <x:f>IF(A5&lt;2,"PRE-EMERGENCE · kein Kalenderwert","AVAILABLE IF NEEDED · nur wenn vollständiger Endmix unter pH-Ziel liegt")</x:f>
        <x:v>AVAILABLE IF NEEDED · nur wenn vollständiger Endmix unter pH-Ziel liegt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  <x:c r="AT5" t="n">
        <x:f>IF(AND('01_Run_Config'!$B$46="Voodoo + Piranha + Tarantula",AC5&gt;0),2,0)</x:f>
        <x:v>0</x:v>
      </x:c>
      <x:c r="AU5" t="n">
        <x:f>IF(AND(OR('01_Run_Config'!$B$46="Voodoo + Tarantula",'01_Run_Config'!$B$46="Voodoo + Piranha + Tarantula"),AC5&gt;0),2,0)</x:f>
        <x:v>0</x:v>
      </x:c>
      <x:c r="AV5" t="n">
        <x:f>IF('01_Run_Config'!$B$47&lt;&gt;"ON / A-B",0,IF(OR(AND(A5&gt;='01_Run_Config'!$B$32,A5&lt;'01_Run_Config'!$B$33),AND(ISNUMBER(AL5),AL5&gt;=15,AL5&lt;=49)),2,0))</x:f>
        <x:v>0</x:v>
      </x:c>
      <x:c r="AW5" t="n">
        <x:f>IF('01_Run_Config'!$B$48="AN Bud Candy (replaces HESI Boost)",IF(AND(A5&gt;='01_Run_Config'!$B$32,OR(AL5="",AL5&lt;=49)),2,0),0)</x:f>
        <x:v>0</x:v>
      </x:c>
      <x:c r="AX5" t="n">
        <x:f>IF('01_Run_Config'!$B$49&lt;&gt;"ON / EXPERIMENTAL",0,IF(OR(AND(A5&gt;='01_Run_Config'!$B$32+7,A5&lt;'01_Run_Config'!$B$33),AND(ISNUMBER(AL5),AL5&gt;=1,AL5&lt;=49)),2,0))</x:f>
        <x:v>0</x:v>
      </x:c>
      <x:c r="AY5" t="n">
        <x:f>IF('01_Run_Config'!$B$50="AN Sensizym",IF(AND(A5&gt;='01_Run_Config'!$B$32,OR(AL5="",AL5&lt;=49)),2,0),0)</x:f>
        <x:v>0</x:v>
      </x:c>
      <x:c r="AZ5" t="n">
        <x:f>IF('01_Run_Config'!$B$51="AN Rhino Skin",IF(AND(A5&gt;='01_Run_Config'!$B$32,OR(AL5="",AL5&lt;=49)),2,0),0)</x:f>
        <x:v>0</x:v>
      </x:c>
      <x:c r="BA5" t="n">
        <x:f>IF(AND('01_Run_Config'!$B$52="AN Bud Ignitor &gt; Big Bud &gt; Overdrive",ISNUMBER(AL5),AL5&gt;=1,AL5&lt;=14),2,0)</x:f>
        <x:v>0</x:v>
      </x:c>
      <x:c r="BB5" t="n">
        <x:f>IF(AND('01_Run_Config'!$B$52="AN Bud Ignitor &gt; Big Bud &gt; Overdrive",ISNUMBER(AL5),AL5&gt;=8,AL5&lt;=35),2,0)</x:f>
        <x:v>0</x:v>
      </x:c>
      <x:c r="BC5" t="n">
        <x:f>IF(AND('01_Run_Config'!$B$52="AN Bud Ignitor &gt; Big Bud &gt; Overdrive",ISNUMBER(AL5),AL5&gt;=36,AL5&lt;=49),2,0)</x:f>
        <x:v>0</x:v>
      </x:c>
      <x:c r="BD5" t="n">
        <x:f>IF('01_Run_Config'!$B$53="ON / EXPERIMENTAL",IF(OR(AND(A5&gt;='01_Run_Config'!$B$32,A5&lt;'01_Run_Config'!$B$33),AND(ISNUMBER(AL5),AL5&gt;=15,AL5&lt;=49)),2,0),0)</x:f>
        <x:v>0</x:v>
      </x:c>
      <x:c r="BE5" t="n">
        <x:f>IF('01_Run_Config'!$B$54="AN Sensi CalMag Xtra conditional",'01_Run_Config'!$B$17,0)</x:f>
        <x:v>0</x:v>
      </x:c>
      <x:c r="BF5" t="n">
        <x:f>0</x:f>
        <x:v>0</x:v>
      </x:c>
      <x:c r="BG5" t="str">
        <x:f>'01_Run_Config'!$E$57</x:f>
        <x:v>OK</x:v>
      </x:c>
      <x:c r="BH5" t="str">
        <x:f>IF(SUM(AC5,AT5:BF5)=0,"keine AN-Dosis heute",IF(AC5&gt;0,"Voodoo "&amp;AC5&amp;" ml/L; ","")&amp;IF(AT5&gt;0,"Piranha "&amp;AT5&amp;" ml/L; ","")&amp;IF(AU5&gt;0,"Tarantula "&amp;AU5&amp;" ml/L; ","")&amp;IF(AV5&gt;0,"B-52 "&amp;AV5&amp;" ml/L; ","")&amp;IF(AW5&gt;0,"Bud Candy "&amp;AW5&amp;" ml/L; ","")&amp;IF(AX5&gt;0,"Bud Factor X "&amp;AX5&amp;" ml/L; ","")&amp;IF(AY5&gt;0,"Sensizym "&amp;AY5&amp;" ml/L; ","")&amp;IF(AZ5&gt;0,"Rhino Skin "&amp;AZ5&amp;" ml/L; ","")&amp;IF(BA5&gt;0,"Bud Ignitor "&amp;BA5&amp;" ml/L; ","")&amp;IF(BB5&gt;0,"Big Bud "&amp;BB5&amp;" ml/L; ","")&amp;IF(BC5&gt;0,"Overdrive "&amp;BC5&amp;" ml/L; ","")&amp;IF(BD5&gt;0,"Tasty Terpenes "&amp;BD5&amp;" ml/L; ","")&amp;IF(BE5&gt;0,"Sensi CalMag "&amp;BE5&amp;" ml/L",""))</x:f>
        <x:v>keine AN-Dosis heute</x:v>
      </x:c>
      <x:c r="BI5" s="60" t="n">
        <x:f>IF(ISNUMBER('01_Run_Config'!$B$91),IF(B5&lt;'01_Run_Config'!$B$91,"PRE",B5-'01_Run_Config'!$B$91),"PRE")</x:f>
        <x:v>1</x:v>
      </x:c>
      <x:c r="BJ5" s="60" t="str">
        <x:f>IF(ISNUMBER('01_Run_Config'!$B$92),IF(B5&lt;'01_Run_Config'!$B$92,"PRE",B5-'01_Run_Config'!$B$92),"PRE")</x:f>
        <x:v>PRE</x:v>
      </x:c>
      <x:c r="BK5" s="60" t="str">
        <x:f>IF(ISNUMBER('01_Run_Config'!$B$93),IF(B5&lt;'01_Run_Config'!$B$93,"PRE",B5-'01_Run_Config'!$B$93),"PRE")</x:f>
        <x:v>PRE</x:v>
      </x:c>
      <x:c r="BL5" s="2482" t="n">
        <x:f>IF(BM5=5.8,5.8,5.8)</x:f>
        <x:v>5.8</x:v>
      </x:c>
      <x:c r="BM5" s="2482" t="n">
        <x:f>IF(A5&lt;IF(ISNUMBER('01_Run_Config'!$B$81),'01_Run_Config'!$B$81,15),5.8,6)</x:f>
        <x:v>5.8</x:v>
      </x:c>
      <x:c r="BN5" s="2482" t="n">
        <x:f>IF(BM5=5.8,5.8,6.2)</x:f>
        <x:v>5.8</x:v>
      </x:c>
      <x:c r="BO5" s="60" t="str">
        <x:f>IF(BM5=5.8,"Eazy Plug/Block: Herstellerziel 5.80","Final Coco: UKD 6.00 = Mitte HESI 5.8–6.2")</x:f>
        <x:v>Eazy Plug/Block: Herstellerziel 5.80</x:v>
      </x:c>
      <x:c r="BP5" s="60" t="str">
        <x:f>IF(A5&lt;2,"PRE-EMERGENCE: Balance normalerweise nicht nötig",IF(BM5=5.8,"ab Durchbruch AVAILABLE IF endmix &lt; 5.80","AVAILABLE IF endmix &lt; 6.00"))</x:f>
        <x:v>ab Durchbruch AVAILABLE IF endmix &lt; 5.80</x:v>
      </x:c>
      <x:c r="BQ5" s="60" t="str">
        <x:f>IF(A5=0,"Run Day 0 = Aussaat 21.08.2026; Plant Day beginnt erst beim Durchbruch.",IF(A5=2,"P4 Double Grape: 23.08.2026 = Plant Day 0.","Daily pH is a projection; actual root-stage/event overrides calendar."))</x:f>
        <x:v>Daily pH is a projection; actual root-stage/event overrides calendar.</x:v>
      </x:c>
    </x:row>
    <x:row r="6">
      <x:c r="A6" s="34" t="n">
        <x:v>4</x:v>
      </x:c>
      <x:c r="B6" s="129" t="n">
        <x:f>'01_Run_Config'!$B$4+A6</x:f>
        <x:v>46259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f>BM6</x:f>
        <x:v>5.8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IF(A6&lt;=14,2.5,0)</x:f>
        <x:v>2.5</x:v>
      </x:c>
      <x:c r="X6" s="63" t="n">
        <x:f>IF('01_Run_Config'!$B$50="AN Sensizym",0,IF(AND(A6&gt;='01_Run_Config'!$B$32,OR(AL6="",AL6&lt;=49)),2,0))</x:f>
        <x:v>2</x:v>
      </x:c>
      <x:c r="Y6" s="63" t="n">
        <x:f>0.015</x:f>
        <x:v>0.015</x:v>
      </x:c>
      <x:c r="Z6" s="63" t="n">
        <x:f>IF('01_Run_Config'!$B$51="HESI Hesilicio",2,0)</x:f>
        <x:v>0</x:v>
      </x:c>
      <x:c r="AA6" s="63" t="n">
        <x:f>IF('01_Run_Config'!$B$48="AN Bud Candy (replaces HESI Boost)",0,IF(AND(A6&gt;='01_Run_Config'!$B$33,MOD(A6-'01_Run_Config'!$B$33,7)=0),2,0))</x:f>
        <x:v>0</x:v>
      </x:c>
      <x:c r="AB6" s="63" t="n">
        <x:f>IF('01_Run_Config'!$B$52="AN Bud Ignitor &gt; Big Bud &gt; Overdrive",0,IF(AND(ISNUMBER(AL6),AL6&gt;=29,AL6&lt;=42),0.25+((AL6-29)/13)*0.25,0))</x:f>
        <x:v>0</x:v>
      </x:c>
      <x:c r="AC6" s="63" t="n">
        <x:f>IF('01_Run_Config'!$B$46="OFF",0,IF(OR(AND(A6&gt;='01_Run_Config'!$B$32,A6&lt;='01_Run_Config'!$B$32+13),AND(A6&gt;='01_Run_Config'!$B$33,A6&lt;='01_Run_Config'!$B$33+13)),2,0))</x:f>
        <x:v>2</x:v>
      </x:c>
      <x:c r="AD6" s="63" t="str">
        <x:f>IF(BG6="BLOCK","HYBRID BLOCKED - Konfiguration prüfen",IF(SUM(AC6,AT6:BF6)&gt;0,"AN aktiv: "&amp;BH6,"AN: keine Dosis heute / Module aus"))</x:f>
        <x:v>AN aktiv: Voodoo 2 ml/L; Tarantula 2 ml/L; 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" s="34" t="str">
        <x:f>IF(A6&lt;2,"PRE-EMERGENCE · kein Kalenderwert","AVAILABLE IF NEEDED · nur wenn vollständiger Endmix unter pH-Ziel liegt")</x:f>
        <x:v>AVAILABLE IF NEEDED · nur wenn vollständiger Endmix unter pH-Ziel liegt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  <x:c r="AT6" t="n">
        <x:f>IF(AND('01_Run_Config'!$B$46="Voodoo + Piranha + Tarantula",AC6&gt;0),2,0)</x:f>
        <x:v>0</x:v>
      </x:c>
      <x:c r="AU6" t="n">
        <x:f>IF(AND(OR('01_Run_Config'!$B$46="Voodoo + Tarantula",'01_Run_Config'!$B$46="Voodoo + Piranha + Tarantula"),AC6&gt;0),2,0)</x:f>
        <x:v>2</x:v>
      </x:c>
      <x:c r="AV6" t="n">
        <x:f>IF('01_Run_Config'!$B$47&lt;&gt;"ON / A-B",0,IF(OR(AND(A6&gt;='01_Run_Config'!$B$32,A6&lt;'01_Run_Config'!$B$33),AND(ISNUMBER(AL6),AL6&gt;=15,AL6&lt;=49)),2,0))</x:f>
        <x:v>0</x:v>
      </x:c>
      <x:c r="AW6" t="n">
        <x:f>IF('01_Run_Config'!$B$48="AN Bud Candy (replaces HESI Boost)",IF(AND(A6&gt;='01_Run_Config'!$B$32,OR(AL6="",AL6&lt;=49)),2,0),0)</x:f>
        <x:v>0</x:v>
      </x:c>
      <x:c r="AX6" t="n">
        <x:f>IF('01_Run_Config'!$B$49&lt;&gt;"ON / EXPERIMENTAL",0,IF(OR(AND(A6&gt;='01_Run_Config'!$B$32+7,A6&lt;'01_Run_Config'!$B$33),AND(ISNUMBER(AL6),AL6&gt;=1,AL6&lt;=49)),2,0))</x:f>
        <x:v>0</x:v>
      </x:c>
      <x:c r="AY6" t="n">
        <x:f>IF('01_Run_Config'!$B$50="AN Sensizym",IF(AND(A6&gt;='01_Run_Config'!$B$32,OR(AL6="",AL6&lt;=49)),2,0),0)</x:f>
        <x:v>0</x:v>
      </x:c>
      <x:c r="AZ6" t="n">
        <x:f>IF('01_Run_Config'!$B$51="AN Rhino Skin",IF(AND(A6&gt;='01_Run_Config'!$B$32,OR(AL6="",AL6&lt;=49)),2,0),0)</x:f>
        <x:v>0</x:v>
      </x:c>
      <x:c r="BA6" t="n">
        <x:f>IF(AND('01_Run_Config'!$B$52="AN Bud Ignitor &gt; Big Bud &gt; Overdrive",ISNUMBER(AL6),AL6&gt;=1,AL6&lt;=14),2,0)</x:f>
        <x:v>0</x:v>
      </x:c>
      <x:c r="BB6" t="n">
        <x:f>IF(AND('01_Run_Config'!$B$52="AN Bud Ignitor &gt; Big Bud &gt; Overdrive",ISNUMBER(AL6),AL6&gt;=8,AL6&lt;=35),2,0)</x:f>
        <x:v>0</x:v>
      </x:c>
      <x:c r="BC6" t="n">
        <x:f>IF(AND('01_Run_Config'!$B$52="AN Bud Ignitor &gt; Big Bud &gt; Overdrive",ISNUMBER(AL6),AL6&gt;=36,AL6&lt;=49),2,0)</x:f>
        <x:v>0</x:v>
      </x:c>
      <x:c r="BD6" t="n">
        <x:f>IF('01_Run_Config'!$B$53="ON / EXPERIMENTAL",IF(OR(AND(A6&gt;='01_Run_Config'!$B$32,A6&lt;'01_Run_Config'!$B$33),AND(ISNUMBER(AL6),AL6&gt;=15,AL6&lt;=49)),2,0),0)</x:f>
        <x:v>0</x:v>
      </x:c>
      <x:c r="BE6" t="n">
        <x:f>IF('01_Run_Config'!$B$54="AN Sensi CalMag Xtra conditional",'01_Run_Config'!$B$17,0)</x:f>
        <x:v>0</x:v>
      </x:c>
      <x:c r="BF6" t="n">
        <x:f>0</x:f>
        <x:v>0</x:v>
      </x:c>
      <x:c r="BG6" t="str">
        <x:f>'01_Run_Config'!$E$57</x:f>
        <x:v>OK</x:v>
      </x:c>
      <x:c r="BH6" t="str">
        <x:f>IF(SUM(AC6,AT6:BF6)=0,"keine AN-Dosis heute",IF(AC6&gt;0,"Voodoo "&amp;AC6&amp;" ml/L; ","")&amp;IF(AT6&gt;0,"Piranha "&amp;AT6&amp;" ml/L; ","")&amp;IF(AU6&gt;0,"Tarantula "&amp;AU6&amp;" ml/L; ","")&amp;IF(AV6&gt;0,"B-52 "&amp;AV6&amp;" ml/L; ","")&amp;IF(AW6&gt;0,"Bud Candy "&amp;AW6&amp;" ml/L; ","")&amp;IF(AX6&gt;0,"Bud Factor X "&amp;AX6&amp;" ml/L; ","")&amp;IF(AY6&gt;0,"Sensizym "&amp;AY6&amp;" ml/L; ","")&amp;IF(AZ6&gt;0,"Rhino Skin "&amp;AZ6&amp;" ml/L; ","")&amp;IF(BA6&gt;0,"Bud Ignitor "&amp;BA6&amp;" ml/L; ","")&amp;IF(BB6&gt;0,"Big Bud "&amp;BB6&amp;" ml/L; ","")&amp;IF(BC6&gt;0,"Overdrive "&amp;BC6&amp;" ml/L; ","")&amp;IF(BD6&gt;0,"Tasty Terpenes "&amp;BD6&amp;" ml/L; ","")&amp;IF(BE6&gt;0,"Sensi CalMag "&amp;BE6&amp;" ml/L",""))</x:f>
        <x:v>Voodoo 2 ml/L; Tarantula 2 ml/L; </x:v>
      </x:c>
      <x:c r="BI6" s="60" t="n">
        <x:f>IF(ISNUMBER('01_Run_Config'!$B$91),IF(B6&lt;'01_Run_Config'!$B$91,"PRE",B6-'01_Run_Config'!$B$91),"PRE")</x:f>
        <x:v>2</x:v>
      </x:c>
      <x:c r="BJ6" s="60" t="str">
        <x:f>IF(ISNUMBER('01_Run_Config'!$B$92),IF(B6&lt;'01_Run_Config'!$B$92,"PRE",B6-'01_Run_Config'!$B$92),"PRE")</x:f>
        <x:v>PRE</x:v>
      </x:c>
      <x:c r="BK6" s="60" t="str">
        <x:f>IF(ISNUMBER('01_Run_Config'!$B$93),IF(B6&lt;'01_Run_Config'!$B$93,"PRE",B6-'01_Run_Config'!$B$93),"PRE")</x:f>
        <x:v>PRE</x:v>
      </x:c>
      <x:c r="BL6" s="2482" t="n">
        <x:f>IF(BM6=5.8,5.8,5.8)</x:f>
        <x:v>5.8</x:v>
      </x:c>
      <x:c r="BM6" s="2482" t="n">
        <x:f>IF(A6&lt;IF(ISNUMBER('01_Run_Config'!$B$81),'01_Run_Config'!$B$81,15),5.8,6)</x:f>
        <x:v>5.8</x:v>
      </x:c>
      <x:c r="BN6" s="2482" t="n">
        <x:f>IF(BM6=5.8,5.8,6.2)</x:f>
        <x:v>5.8</x:v>
      </x:c>
      <x:c r="BO6" s="60" t="str">
        <x:f>IF(BM6=5.8,"Eazy Plug/Block: Herstellerziel 5.80","Final Coco: UKD 6.00 = Mitte HESI 5.8–6.2")</x:f>
        <x:v>Eazy Plug/Block: Herstellerziel 5.80</x:v>
      </x:c>
      <x:c r="BP6" s="60" t="str">
        <x:f>IF(A6&lt;2,"PRE-EMERGENCE: Balance normalerweise nicht nötig",IF(BM6=5.8,"ab Durchbruch AVAILABLE IF endmix &lt; 5.80","AVAILABLE IF endmix &lt; 6.00"))</x:f>
        <x:v>ab Durchbruch AVAILABLE IF endmix &lt; 5.80</x:v>
      </x:c>
      <x:c r="BQ6" s="60" t="str">
        <x:f>IF(A6=0,"Run Day 0 = Aussaat 21.08.2026; Plant Day beginnt erst beim Durchbruch.",IF(A6=2,"P5 Double Grape: 23.08.2026 = Plant Day 0.","Daily pH is a projection; actual root-stage/event overrides calendar."))</x:f>
        <x:v>Daily pH is a projection; actual root-stage/event overrides calendar.</x:v>
      </x:c>
    </x:row>
    <x:row r="7">
      <x:c r="A7" s="34" t="n">
        <x:v>5</x:v>
      </x:c>
      <x:c r="B7" s="129" t="n">
        <x:f>'01_Run_Config'!$B$4+A7</x:f>
        <x:v>46260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f>BM7</x:f>
        <x:v>5.8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IF(A7&lt;=14,2.5,0)</x:f>
        <x:v>2.5</x:v>
      </x:c>
      <x:c r="X7" s="63" t="n">
        <x:f>IF('01_Run_Config'!$B$50="AN Sensizym",0,IF(AND(A7&gt;='01_Run_Config'!$B$32,OR(AL7="",AL7&lt;=49)),2,0))</x:f>
        <x:v>2</x:v>
      </x:c>
      <x:c r="Y7" s="63" t="n">
        <x:f>0.015</x:f>
        <x:v>0.015</x:v>
      </x:c>
      <x:c r="Z7" s="63" t="n">
        <x:f>IF('01_Run_Config'!$B$51="HESI Hesilicio",2,0)</x:f>
        <x:v>0</x:v>
      </x:c>
      <x:c r="AA7" s="63" t="n">
        <x:f>IF('01_Run_Config'!$B$48="AN Bud Candy (replaces HESI Boost)",0,IF(AND(A7&gt;='01_Run_Config'!$B$33,MOD(A7-'01_Run_Config'!$B$33,7)=0),2,0))</x:f>
        <x:v>0</x:v>
      </x:c>
      <x:c r="AB7" s="63" t="n">
        <x:f>IF('01_Run_Config'!$B$52="AN Bud Ignitor &gt; Big Bud &gt; Overdrive",0,IF(AND(ISNUMBER(AL7),AL7&gt;=29,AL7&lt;=42),0.25+((AL7-29)/13)*0.25,0))</x:f>
        <x:v>0</x:v>
      </x:c>
      <x:c r="AC7" s="63" t="n">
        <x:f>IF('01_Run_Config'!$B$46="OFF",0,IF(OR(AND(A7&gt;='01_Run_Config'!$B$32,A7&lt;='01_Run_Config'!$B$32+13),AND(A7&gt;='01_Run_Config'!$B$33,A7&lt;='01_Run_Config'!$B$33+13)),2,0))</x:f>
        <x:v>2</x:v>
      </x:c>
      <x:c r="AD7" s="63" t="str">
        <x:f>IF(BG7="BLOCK","HYBRID BLOCKED - Konfiguration prüfen",IF(SUM(AC7,AT7:BF7)&gt;0,"AN aktiv: "&amp;BH7,"AN: keine Dosis heute / Module aus"))</x:f>
        <x:v>AN aktiv: Voodoo 2 ml/L; Tarantula 2 ml/L; 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" s="34" t="str">
        <x:f>IF(A7&lt;2,"PRE-EMERGENCE · kein Kalenderwert","AVAILABLE IF NEEDED · nur wenn vollständiger Endmix unter pH-Ziel liegt")</x:f>
        <x:v>AVAILABLE IF NEEDED · nur wenn vollständiger Endmix unter pH-Ziel liegt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  <x:c r="AT7" t="n">
        <x:f>IF(AND('01_Run_Config'!$B$46="Voodoo + Piranha + Tarantula",AC7&gt;0),2,0)</x:f>
        <x:v>0</x:v>
      </x:c>
      <x:c r="AU7" t="n">
        <x:f>IF(AND(OR('01_Run_Config'!$B$46="Voodoo + Tarantula",'01_Run_Config'!$B$46="Voodoo + Piranha + Tarantula"),AC7&gt;0),2,0)</x:f>
        <x:v>2</x:v>
      </x:c>
      <x:c r="AV7" t="n">
        <x:f>IF('01_Run_Config'!$B$47&lt;&gt;"ON / A-B",0,IF(OR(AND(A7&gt;='01_Run_Config'!$B$32,A7&lt;'01_Run_Config'!$B$33),AND(ISNUMBER(AL7),AL7&gt;=15,AL7&lt;=49)),2,0))</x:f>
        <x:v>0</x:v>
      </x:c>
      <x:c r="AW7" t="n">
        <x:f>IF('01_Run_Config'!$B$48="AN Bud Candy (replaces HESI Boost)",IF(AND(A7&gt;='01_Run_Config'!$B$32,OR(AL7="",AL7&lt;=49)),2,0),0)</x:f>
        <x:v>0</x:v>
      </x:c>
      <x:c r="AX7" t="n">
        <x:f>IF('01_Run_Config'!$B$49&lt;&gt;"ON / EXPERIMENTAL",0,IF(OR(AND(A7&gt;='01_Run_Config'!$B$32+7,A7&lt;'01_Run_Config'!$B$33),AND(ISNUMBER(AL7),AL7&gt;=1,AL7&lt;=49)),2,0))</x:f>
        <x:v>0</x:v>
      </x:c>
      <x:c r="AY7" t="n">
        <x:f>IF('01_Run_Config'!$B$50="AN Sensizym",IF(AND(A7&gt;='01_Run_Config'!$B$32,OR(AL7="",AL7&lt;=49)),2,0),0)</x:f>
        <x:v>0</x:v>
      </x:c>
      <x:c r="AZ7" t="n">
        <x:f>IF('01_Run_Config'!$B$51="AN Rhino Skin",IF(AND(A7&gt;='01_Run_Config'!$B$32,OR(AL7="",AL7&lt;=49)),2,0),0)</x:f>
        <x:v>0</x:v>
      </x:c>
      <x:c r="BA7" t="n">
        <x:f>IF(AND('01_Run_Config'!$B$52="AN Bud Ignitor &gt; Big Bud &gt; Overdrive",ISNUMBER(AL7),AL7&gt;=1,AL7&lt;=14),2,0)</x:f>
        <x:v>0</x:v>
      </x:c>
      <x:c r="BB7" t="n">
        <x:f>IF(AND('01_Run_Config'!$B$52="AN Bud Ignitor &gt; Big Bud &gt; Overdrive",ISNUMBER(AL7),AL7&gt;=8,AL7&lt;=35),2,0)</x:f>
        <x:v>0</x:v>
      </x:c>
      <x:c r="BC7" t="n">
        <x:f>IF(AND('01_Run_Config'!$B$52="AN Bud Ignitor &gt; Big Bud &gt; Overdrive",ISNUMBER(AL7),AL7&gt;=36,AL7&lt;=49),2,0)</x:f>
        <x:v>0</x:v>
      </x:c>
      <x:c r="BD7" t="n">
        <x:f>IF('01_Run_Config'!$B$53="ON / EXPERIMENTAL",IF(OR(AND(A7&gt;='01_Run_Config'!$B$32,A7&lt;'01_Run_Config'!$B$33),AND(ISNUMBER(AL7),AL7&gt;=15,AL7&lt;=49)),2,0),0)</x:f>
        <x:v>0</x:v>
      </x:c>
      <x:c r="BE7" t="n">
        <x:f>IF('01_Run_Config'!$B$54="AN Sensi CalMag Xtra conditional",'01_Run_Config'!$B$17,0)</x:f>
        <x:v>0</x:v>
      </x:c>
      <x:c r="BF7" t="n">
        <x:f>0</x:f>
        <x:v>0</x:v>
      </x:c>
      <x:c r="BG7" t="str">
        <x:f>'01_Run_Config'!$E$57</x:f>
        <x:v>OK</x:v>
      </x:c>
      <x:c r="BH7" t="str">
        <x:f>IF(SUM(AC7,AT7:BF7)=0,"keine AN-Dosis heute",IF(AC7&gt;0,"Voodoo "&amp;AC7&amp;" ml/L; ","")&amp;IF(AT7&gt;0,"Piranha "&amp;AT7&amp;" ml/L; ","")&amp;IF(AU7&gt;0,"Tarantula "&amp;AU7&amp;" ml/L; ","")&amp;IF(AV7&gt;0,"B-52 "&amp;AV7&amp;" ml/L; ","")&amp;IF(AW7&gt;0,"Bud Candy "&amp;AW7&amp;" ml/L; ","")&amp;IF(AX7&gt;0,"Bud Factor X "&amp;AX7&amp;" ml/L; ","")&amp;IF(AY7&gt;0,"Sensizym "&amp;AY7&amp;" ml/L; ","")&amp;IF(AZ7&gt;0,"Rhino Skin "&amp;AZ7&amp;" ml/L; ","")&amp;IF(BA7&gt;0,"Bud Ignitor "&amp;BA7&amp;" ml/L; ","")&amp;IF(BB7&gt;0,"Big Bud "&amp;BB7&amp;" ml/L; ","")&amp;IF(BC7&gt;0,"Overdrive "&amp;BC7&amp;" ml/L; ","")&amp;IF(BD7&gt;0,"Tasty Terpenes "&amp;BD7&amp;" ml/L; ","")&amp;IF(BE7&gt;0,"Sensi CalMag "&amp;BE7&amp;" ml/L",""))</x:f>
        <x:v>Voodoo 2 ml/L; Tarantula 2 ml/L; </x:v>
      </x:c>
      <x:c r="BI7" s="60" t="n">
        <x:f>IF(ISNUMBER('01_Run_Config'!$B$91),IF(B7&lt;'01_Run_Config'!$B$91,"PRE",B7-'01_Run_Config'!$B$91),"PRE")</x:f>
        <x:v>3</x:v>
      </x:c>
      <x:c r="BJ7" s="60" t="str">
        <x:f>IF(ISNUMBER('01_Run_Config'!$B$92),IF(B7&lt;'01_Run_Config'!$B$92,"PRE",B7-'01_Run_Config'!$B$92),"PRE")</x:f>
        <x:v>PRE</x:v>
      </x:c>
      <x:c r="BK7" s="60" t="str">
        <x:f>IF(ISNUMBER('01_Run_Config'!$B$93),IF(B7&lt;'01_Run_Config'!$B$93,"PRE",B7-'01_Run_Config'!$B$93),"PRE")</x:f>
        <x:v>PRE</x:v>
      </x:c>
      <x:c r="BL7" s="2482" t="n">
        <x:f>IF(BM7=5.8,5.8,5.8)</x:f>
        <x:v>5.8</x:v>
      </x:c>
      <x:c r="BM7" s="2482" t="n">
        <x:f>IF(A7&lt;IF(ISNUMBER('01_Run_Config'!$B$81),'01_Run_Config'!$B$81,15),5.8,6)</x:f>
        <x:v>5.8</x:v>
      </x:c>
      <x:c r="BN7" s="2482" t="n">
        <x:f>IF(BM7=5.8,5.8,6.2)</x:f>
        <x:v>5.8</x:v>
      </x:c>
      <x:c r="BO7" s="60" t="str">
        <x:f>IF(BM7=5.8,"Eazy Plug/Block: Herstellerziel 5.80","Final Coco: UKD 6.00 = Mitte HESI 5.8–6.2")</x:f>
        <x:v>Eazy Plug/Block: Herstellerziel 5.80</x:v>
      </x:c>
      <x:c r="BP7" s="60" t="str">
        <x:f>IF(A7&lt;2,"PRE-EMERGENCE: Balance normalerweise nicht nötig",IF(BM7=5.8,"ab Durchbruch AVAILABLE IF endmix &lt; 5.80","AVAILABLE IF endmix &lt; 6.00"))</x:f>
        <x:v>ab Durchbruch AVAILABLE IF endmix &lt; 5.80</x:v>
      </x:c>
      <x:c r="BQ7" s="60" t="str">
        <x:f>IF(A7=0,"Run Day 0 = Aussaat 21.08.2026; Plant Day beginnt erst beim Durchbruch.",IF(A7=2,"P6 Double Grape: 23.08.2026 = Plant Day 0.","Daily pH is a projection; actual root-stage/event overrides calendar."))</x:f>
        <x:v>Daily pH is a projection; actual root-stage/event overrides calendar.</x:v>
      </x:c>
    </x:row>
    <x:row r="8">
      <x:c r="A8" s="34" t="n">
        <x:v>6</x:v>
      </x:c>
      <x:c r="B8" s="129" t="n">
        <x:f>'01_Run_Config'!$B$4+A8</x:f>
        <x:v>46261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f>BM8</x:f>
        <x:v>5.8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IF(A8&lt;=14,2.5,0)</x:f>
        <x:v>2.5</x:v>
      </x:c>
      <x:c r="X8" s="63" t="n">
        <x:f>IF('01_Run_Config'!$B$50="AN Sensizym",0,IF(AND(A8&gt;='01_Run_Config'!$B$32,OR(AL8="",AL8&lt;=49)),2,0))</x:f>
        <x:v>2</x:v>
      </x:c>
      <x:c r="Y8" s="63" t="n">
        <x:f>0.015</x:f>
        <x:v>0.015</x:v>
      </x:c>
      <x:c r="Z8" s="63" t="n">
        <x:f>IF('01_Run_Config'!$B$51="HESI Hesilicio",2,0)</x:f>
        <x:v>0</x:v>
      </x:c>
      <x:c r="AA8" s="63" t="n">
        <x:f>IF('01_Run_Config'!$B$48="AN Bud Candy (replaces HESI Boost)",0,IF(AND(A8&gt;='01_Run_Config'!$B$33,MOD(A8-'01_Run_Config'!$B$33,7)=0),2,0))</x:f>
        <x:v>0</x:v>
      </x:c>
      <x:c r="AB8" s="63" t="n">
        <x:f>IF('01_Run_Config'!$B$52="AN Bud Ignitor &gt; Big Bud &gt; Overdrive",0,IF(AND(ISNUMBER(AL8),AL8&gt;=29,AL8&lt;=42),0.25+((AL8-29)/13)*0.25,0))</x:f>
        <x:v>0</x:v>
      </x:c>
      <x:c r="AC8" s="63" t="n">
        <x:f>IF('01_Run_Config'!$B$46="OFF",0,IF(OR(AND(A8&gt;='01_Run_Config'!$B$32,A8&lt;='01_Run_Config'!$B$32+13),AND(A8&gt;='01_Run_Config'!$B$33,A8&lt;='01_Run_Config'!$B$33+13)),2,0))</x:f>
        <x:v>2</x:v>
      </x:c>
      <x:c r="AD8" s="63" t="str">
        <x:f>IF(BG8="BLOCK","HYBRID BLOCKED - Konfiguration prüfen",IF(SUM(AC8,AT8:BF8)&gt;0,"AN aktiv: "&amp;BH8,"AN: keine Dosis heute / Module aus"))</x:f>
        <x:v>AN aktiv: Voodoo 2 ml/L; Tarantula 2 ml/L; 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" s="34" t="str">
        <x:f>IF(A8&lt;2,"PRE-EMERGENCE · kein Kalenderwert","AVAILABLE IF NEEDED · nur wenn vollständiger Endmix unter pH-Ziel liegt")</x:f>
        <x:v>AVAILABLE IF NEEDED · nur wenn vollständiger Endmix unter pH-Ziel liegt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  <x:c r="AT8" t="n">
        <x:f>IF(AND('01_Run_Config'!$B$46="Voodoo + Piranha + Tarantula",AC8&gt;0),2,0)</x:f>
        <x:v>0</x:v>
      </x:c>
      <x:c r="AU8" t="n">
        <x:f>IF(AND(OR('01_Run_Config'!$B$46="Voodoo + Tarantula",'01_Run_Config'!$B$46="Voodoo + Piranha + Tarantula"),AC8&gt;0),2,0)</x:f>
        <x:v>2</x:v>
      </x:c>
      <x:c r="AV8" t="n">
        <x:f>IF('01_Run_Config'!$B$47&lt;&gt;"ON / A-B",0,IF(OR(AND(A8&gt;='01_Run_Config'!$B$32,A8&lt;'01_Run_Config'!$B$33),AND(ISNUMBER(AL8),AL8&gt;=15,AL8&lt;=49)),2,0))</x:f>
        <x:v>0</x:v>
      </x:c>
      <x:c r="AW8" t="n">
        <x:f>IF('01_Run_Config'!$B$48="AN Bud Candy (replaces HESI Boost)",IF(AND(A8&gt;='01_Run_Config'!$B$32,OR(AL8="",AL8&lt;=49)),2,0),0)</x:f>
        <x:v>0</x:v>
      </x:c>
      <x:c r="AX8" t="n">
        <x:f>IF('01_Run_Config'!$B$49&lt;&gt;"ON / EXPERIMENTAL",0,IF(OR(AND(A8&gt;='01_Run_Config'!$B$32+7,A8&lt;'01_Run_Config'!$B$33),AND(ISNUMBER(AL8),AL8&gt;=1,AL8&lt;=49)),2,0))</x:f>
        <x:v>0</x:v>
      </x:c>
      <x:c r="AY8" t="n">
        <x:f>IF('01_Run_Config'!$B$50="AN Sensizym",IF(AND(A8&gt;='01_Run_Config'!$B$32,OR(AL8="",AL8&lt;=49)),2,0),0)</x:f>
        <x:v>0</x:v>
      </x:c>
      <x:c r="AZ8" t="n">
        <x:f>IF('01_Run_Config'!$B$51="AN Rhino Skin",IF(AND(A8&gt;='01_Run_Config'!$B$32,OR(AL8="",AL8&lt;=49)),2,0),0)</x:f>
        <x:v>0</x:v>
      </x:c>
      <x:c r="BA8" t="n">
        <x:f>IF(AND('01_Run_Config'!$B$52="AN Bud Ignitor &gt; Big Bud &gt; Overdrive",ISNUMBER(AL8),AL8&gt;=1,AL8&lt;=14),2,0)</x:f>
        <x:v>0</x:v>
      </x:c>
      <x:c r="BB8" t="n">
        <x:f>IF(AND('01_Run_Config'!$B$52="AN Bud Ignitor &gt; Big Bud &gt; Overdrive",ISNUMBER(AL8),AL8&gt;=8,AL8&lt;=35),2,0)</x:f>
        <x:v>0</x:v>
      </x:c>
      <x:c r="BC8" t="n">
        <x:f>IF(AND('01_Run_Config'!$B$52="AN Bud Ignitor &gt; Big Bud &gt; Overdrive",ISNUMBER(AL8),AL8&gt;=36,AL8&lt;=49),2,0)</x:f>
        <x:v>0</x:v>
      </x:c>
      <x:c r="BD8" t="n">
        <x:f>IF('01_Run_Config'!$B$53="ON / EXPERIMENTAL",IF(OR(AND(A8&gt;='01_Run_Config'!$B$32,A8&lt;'01_Run_Config'!$B$33),AND(ISNUMBER(AL8),AL8&gt;=15,AL8&lt;=49)),2,0),0)</x:f>
        <x:v>0</x:v>
      </x:c>
      <x:c r="BE8" t="n">
        <x:f>IF('01_Run_Config'!$B$54="AN Sensi CalMag Xtra conditional",'01_Run_Config'!$B$17,0)</x:f>
        <x:v>0</x:v>
      </x:c>
      <x:c r="BF8" t="n">
        <x:f>0</x:f>
        <x:v>0</x:v>
      </x:c>
      <x:c r="BG8" t="str">
        <x:f>'01_Run_Config'!$E$57</x:f>
        <x:v>OK</x:v>
      </x:c>
      <x:c r="BH8" t="str">
        <x:f>IF(SUM(AC8,AT8:BF8)=0,"keine AN-Dosis heute",IF(AC8&gt;0,"Voodoo "&amp;AC8&amp;" ml/L; ","")&amp;IF(AT8&gt;0,"Piranha "&amp;AT8&amp;" ml/L; ","")&amp;IF(AU8&gt;0,"Tarantula "&amp;AU8&amp;" ml/L; ","")&amp;IF(AV8&gt;0,"B-52 "&amp;AV8&amp;" ml/L; ","")&amp;IF(AW8&gt;0,"Bud Candy "&amp;AW8&amp;" ml/L; ","")&amp;IF(AX8&gt;0,"Bud Factor X "&amp;AX8&amp;" ml/L; ","")&amp;IF(AY8&gt;0,"Sensizym "&amp;AY8&amp;" ml/L; ","")&amp;IF(AZ8&gt;0,"Rhino Skin "&amp;AZ8&amp;" ml/L; ","")&amp;IF(BA8&gt;0,"Bud Ignitor "&amp;BA8&amp;" ml/L; ","")&amp;IF(BB8&gt;0,"Big Bud "&amp;BB8&amp;" ml/L; ","")&amp;IF(BC8&gt;0,"Overdrive "&amp;BC8&amp;" ml/L; ","")&amp;IF(BD8&gt;0,"Tasty Terpenes "&amp;BD8&amp;" ml/L; ","")&amp;IF(BE8&gt;0,"Sensi CalMag "&amp;BE8&amp;" ml/L",""))</x:f>
        <x:v>Voodoo 2 ml/L; Tarantula 2 ml/L; </x:v>
      </x:c>
      <x:c r="BI8" s="60" t="n">
        <x:f>IF(ISNUMBER('01_Run_Config'!$B$91),IF(B8&lt;'01_Run_Config'!$B$91,"PRE",B8-'01_Run_Config'!$B$91),"PRE")</x:f>
        <x:v>4</x:v>
      </x:c>
      <x:c r="BJ8" s="60" t="str">
        <x:f>IF(ISNUMBER('01_Run_Config'!$B$92),IF(B8&lt;'01_Run_Config'!$B$92,"PRE",B8-'01_Run_Config'!$B$92),"PRE")</x:f>
        <x:v>PRE</x:v>
      </x:c>
      <x:c r="BK8" s="60" t="str">
        <x:f>IF(ISNUMBER('01_Run_Config'!$B$93),IF(B8&lt;'01_Run_Config'!$B$93,"PRE",B8-'01_Run_Config'!$B$93),"PRE")</x:f>
        <x:v>PRE</x:v>
      </x:c>
      <x:c r="BL8" s="2482" t="n">
        <x:f>IF(BM8=5.8,5.8,5.8)</x:f>
        <x:v>5.8</x:v>
      </x:c>
      <x:c r="BM8" s="2482" t="n">
        <x:f>IF(A8&lt;IF(ISNUMBER('01_Run_Config'!$B$81),'01_Run_Config'!$B$81,15),5.8,6)</x:f>
        <x:v>5.8</x:v>
      </x:c>
      <x:c r="BN8" s="2482" t="n">
        <x:f>IF(BM8=5.8,5.8,6.2)</x:f>
        <x:v>5.8</x:v>
      </x:c>
      <x:c r="BO8" s="60" t="str">
        <x:f>IF(BM8=5.8,"Eazy Plug/Block: Herstellerziel 5.80","Final Coco: UKD 6.00 = Mitte HESI 5.8–6.2")</x:f>
        <x:v>Eazy Plug/Block: Herstellerziel 5.80</x:v>
      </x:c>
      <x:c r="BP8" s="60" t="str">
        <x:f>IF(A8&lt;2,"PRE-EMERGENCE: Balance normalerweise nicht nötig",IF(BM8=5.8,"ab Durchbruch AVAILABLE IF endmix &lt; 5.80","AVAILABLE IF endmix &lt; 6.00"))</x:f>
        <x:v>ab Durchbruch AVAILABLE IF endmix &lt; 5.80</x:v>
      </x:c>
      <x:c r="BQ8" s="60" t="str">
        <x:f>IF(A8=0,"Run Day 0 = Aussaat 21.08.2026; Plant Day beginnt erst beim Durchbruch.",IF(A8=2,"P7 Double Grape: 23.08.2026 = Plant Day 0.","Daily pH is a projection; actual root-stage/event overrides calendar."))</x:f>
        <x:v>Daily pH is a projection; actual root-stage/event overrides calendar.</x:v>
      </x:c>
    </x:row>
    <x:row r="9">
      <x:c r="A9" s="34" t="n">
        <x:v>7</x:v>
      </x:c>
      <x:c r="B9" s="129" t="n">
        <x:f>'01_Run_Config'!$B$4+A9</x:f>
        <x:v>46262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f>BM9</x:f>
        <x:v>5.8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IF(A9&lt;=14,2.5,0)</x:f>
        <x:v>2.5</x:v>
      </x:c>
      <x:c r="X9" s="63" t="n">
        <x:f>IF('01_Run_Config'!$B$50="AN Sensizym",0,IF(AND(A9&gt;='01_Run_Config'!$B$32,OR(AL9="",AL9&lt;=49)),2,0))</x:f>
        <x:v>2</x:v>
      </x:c>
      <x:c r="Y9" s="63" t="n">
        <x:f>0.015</x:f>
        <x:v>0.015</x:v>
      </x:c>
      <x:c r="Z9" s="63" t="n">
        <x:f>IF('01_Run_Config'!$B$51="HESI Hesilicio",2,0)</x:f>
        <x:v>0</x:v>
      </x:c>
      <x:c r="AA9" s="63" t="n">
        <x:f>IF('01_Run_Config'!$B$48="AN Bud Candy (replaces HESI Boost)",0,IF(AND(A9&gt;='01_Run_Config'!$B$33,MOD(A9-'01_Run_Config'!$B$33,7)=0),2,0))</x:f>
        <x:v>0</x:v>
      </x:c>
      <x:c r="AB9" s="63" t="n">
        <x:f>IF('01_Run_Config'!$B$52="AN Bud Ignitor &gt; Big Bud &gt; Overdrive",0,IF(AND(ISNUMBER(AL9),AL9&gt;=29,AL9&lt;=42),0.25+((AL9-29)/13)*0.25,0))</x:f>
        <x:v>0</x:v>
      </x:c>
      <x:c r="AC9" s="63" t="n">
        <x:f>IF('01_Run_Config'!$B$46="OFF",0,IF(OR(AND(A9&gt;='01_Run_Config'!$B$32,A9&lt;='01_Run_Config'!$B$32+13),AND(A9&gt;='01_Run_Config'!$B$33,A9&lt;='01_Run_Config'!$B$33+13)),2,0))</x:f>
        <x:v>2</x:v>
      </x:c>
      <x:c r="AD9" s="63" t="str">
        <x:f>IF(BG9="BLOCK","HYBRID BLOCKED - Konfiguration prüfen",IF(SUM(AC9,AT9:BF9)&gt;0,"AN aktiv: "&amp;BH9,"AN: keine Dosis heute / Module aus"))</x:f>
        <x:v>AN aktiv: Voodoo 2 ml/L; Tarantula 2 ml/L; 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9" s="34" t="str">
        <x:f>IF(A9&lt;2,"PRE-EMERGENCE · kein Kalenderwert","AVAILABLE IF NEEDED · nur wenn vollständiger Endmix unter pH-Ziel liegt")</x:f>
        <x:v>AVAILABLE IF NEEDED · nur wenn vollständiger Endmix unter pH-Ziel liegt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  <x:c r="AT9" t="n">
        <x:f>IF(AND('01_Run_Config'!$B$46="Voodoo + Piranha + Tarantula",AC9&gt;0),2,0)</x:f>
        <x:v>0</x:v>
      </x:c>
      <x:c r="AU9" t="n">
        <x:f>IF(AND(OR('01_Run_Config'!$B$46="Voodoo + Tarantula",'01_Run_Config'!$B$46="Voodoo + Piranha + Tarantula"),AC9&gt;0),2,0)</x:f>
        <x:v>2</x:v>
      </x:c>
      <x:c r="AV9" t="n">
        <x:f>IF('01_Run_Config'!$B$47&lt;&gt;"ON / A-B",0,IF(OR(AND(A9&gt;='01_Run_Config'!$B$32,A9&lt;'01_Run_Config'!$B$33),AND(ISNUMBER(AL9),AL9&gt;=15,AL9&lt;=49)),2,0))</x:f>
        <x:v>0</x:v>
      </x:c>
      <x:c r="AW9" t="n">
        <x:f>IF('01_Run_Config'!$B$48="AN Bud Candy (replaces HESI Boost)",IF(AND(A9&gt;='01_Run_Config'!$B$32,OR(AL9="",AL9&lt;=49)),2,0),0)</x:f>
        <x:v>0</x:v>
      </x:c>
      <x:c r="AX9" t="n">
        <x:f>IF('01_Run_Config'!$B$49&lt;&gt;"ON / EXPERIMENTAL",0,IF(OR(AND(A9&gt;='01_Run_Config'!$B$32+7,A9&lt;'01_Run_Config'!$B$33),AND(ISNUMBER(AL9),AL9&gt;=1,AL9&lt;=49)),2,0))</x:f>
        <x:v>0</x:v>
      </x:c>
      <x:c r="AY9" t="n">
        <x:f>IF('01_Run_Config'!$B$50="AN Sensizym",IF(AND(A9&gt;='01_Run_Config'!$B$32,OR(AL9="",AL9&lt;=49)),2,0),0)</x:f>
        <x:v>0</x:v>
      </x:c>
      <x:c r="AZ9" t="n">
        <x:f>IF('01_Run_Config'!$B$51="AN Rhino Skin",IF(AND(A9&gt;='01_Run_Config'!$B$32,OR(AL9="",AL9&lt;=49)),2,0),0)</x:f>
        <x:v>0</x:v>
      </x:c>
      <x:c r="BA9" t="n">
        <x:f>IF(AND('01_Run_Config'!$B$52="AN Bud Ignitor &gt; Big Bud &gt; Overdrive",ISNUMBER(AL9),AL9&gt;=1,AL9&lt;=14),2,0)</x:f>
        <x:v>0</x:v>
      </x:c>
      <x:c r="BB9" t="n">
        <x:f>IF(AND('01_Run_Config'!$B$52="AN Bud Ignitor &gt; Big Bud &gt; Overdrive",ISNUMBER(AL9),AL9&gt;=8,AL9&lt;=35),2,0)</x:f>
        <x:v>0</x:v>
      </x:c>
      <x:c r="BC9" t="n">
        <x:f>IF(AND('01_Run_Config'!$B$52="AN Bud Ignitor &gt; Big Bud &gt; Overdrive",ISNUMBER(AL9),AL9&gt;=36,AL9&lt;=49),2,0)</x:f>
        <x:v>0</x:v>
      </x:c>
      <x:c r="BD9" t="n">
        <x:f>IF('01_Run_Config'!$B$53="ON / EXPERIMENTAL",IF(OR(AND(A9&gt;='01_Run_Config'!$B$32,A9&lt;'01_Run_Config'!$B$33),AND(ISNUMBER(AL9),AL9&gt;=15,AL9&lt;=49)),2,0),0)</x:f>
        <x:v>0</x:v>
      </x:c>
      <x:c r="BE9" t="n">
        <x:f>IF('01_Run_Config'!$B$54="AN Sensi CalMag Xtra conditional",'01_Run_Config'!$B$17,0)</x:f>
        <x:v>0</x:v>
      </x:c>
      <x:c r="BF9" t="n">
        <x:f>0</x:f>
        <x:v>0</x:v>
      </x:c>
      <x:c r="BG9" t="str">
        <x:f>'01_Run_Config'!$E$57</x:f>
        <x:v>OK</x:v>
      </x:c>
      <x:c r="BH9" t="str">
        <x:f>IF(SUM(AC9,AT9:BF9)=0,"keine AN-Dosis heute",IF(AC9&gt;0,"Voodoo "&amp;AC9&amp;" ml/L; ","")&amp;IF(AT9&gt;0,"Piranha "&amp;AT9&amp;" ml/L; ","")&amp;IF(AU9&gt;0,"Tarantula "&amp;AU9&amp;" ml/L; ","")&amp;IF(AV9&gt;0,"B-52 "&amp;AV9&amp;" ml/L; ","")&amp;IF(AW9&gt;0,"Bud Candy "&amp;AW9&amp;" ml/L; ","")&amp;IF(AX9&gt;0,"Bud Factor X "&amp;AX9&amp;" ml/L; ","")&amp;IF(AY9&gt;0,"Sensizym "&amp;AY9&amp;" ml/L; ","")&amp;IF(AZ9&gt;0,"Rhino Skin "&amp;AZ9&amp;" ml/L; ","")&amp;IF(BA9&gt;0,"Bud Ignitor "&amp;BA9&amp;" ml/L; ","")&amp;IF(BB9&gt;0,"Big Bud "&amp;BB9&amp;" ml/L; ","")&amp;IF(BC9&gt;0,"Overdrive "&amp;BC9&amp;" ml/L; ","")&amp;IF(BD9&gt;0,"Tasty Terpenes "&amp;BD9&amp;" ml/L; ","")&amp;IF(BE9&gt;0,"Sensi CalMag "&amp;BE9&amp;" ml/L",""))</x:f>
        <x:v>Voodoo 2 ml/L; Tarantula 2 ml/L; </x:v>
      </x:c>
      <x:c r="BI9" s="60" t="n">
        <x:f>IF(ISNUMBER('01_Run_Config'!$B$91),IF(B9&lt;'01_Run_Config'!$B$91,"PRE",B9-'01_Run_Config'!$B$91),"PRE")</x:f>
        <x:v>5</x:v>
      </x:c>
      <x:c r="BJ9" s="60" t="str">
        <x:f>IF(ISNUMBER('01_Run_Config'!$B$92),IF(B9&lt;'01_Run_Config'!$B$92,"PRE",B9-'01_Run_Config'!$B$92),"PRE")</x:f>
        <x:v>PRE</x:v>
      </x:c>
      <x:c r="BK9" s="60" t="str">
        <x:f>IF(ISNUMBER('01_Run_Config'!$B$93),IF(B9&lt;'01_Run_Config'!$B$93,"PRE",B9-'01_Run_Config'!$B$93),"PRE")</x:f>
        <x:v>PRE</x:v>
      </x:c>
      <x:c r="BL9" s="2482" t="n">
        <x:f>IF(BM9=5.8,5.8,5.8)</x:f>
        <x:v>5.8</x:v>
      </x:c>
      <x:c r="BM9" s="2482" t="n">
        <x:f>IF(A9&lt;IF(ISNUMBER('01_Run_Config'!$B$81),'01_Run_Config'!$B$81,15),5.8,6)</x:f>
        <x:v>5.8</x:v>
      </x:c>
      <x:c r="BN9" s="2482" t="n">
        <x:f>IF(BM9=5.8,5.8,6.2)</x:f>
        <x:v>5.8</x:v>
      </x:c>
      <x:c r="BO9" s="60" t="str">
        <x:f>IF(BM9=5.8,"Eazy Plug/Block: Herstellerziel 5.80","Final Coco: UKD 6.00 = Mitte HESI 5.8–6.2")</x:f>
        <x:v>Eazy Plug/Block: Herstellerziel 5.80</x:v>
      </x:c>
      <x:c r="BP9" s="60" t="str">
        <x:f>IF(A9&lt;2,"PRE-EMERGENCE: Balance normalerweise nicht nötig",IF(BM9=5.8,"ab Durchbruch AVAILABLE IF endmix &lt; 5.80","AVAILABLE IF endmix &lt; 6.00"))</x:f>
        <x:v>ab Durchbruch AVAILABLE IF endmix &lt; 5.80</x:v>
      </x:c>
      <x:c r="BQ9" s="60" t="str">
        <x:f>IF(A9=0,"Run Day 0 = Aussaat 21.08.2026; Plant Day beginnt erst beim Durchbruch.",IF(A9=2,"P8 Double Grape: 23.08.2026 = Plant Day 0.","Daily pH is a projection; actual root-stage/event overrides calendar."))</x:f>
        <x:v>Daily pH is a projection; actual root-stage/event overrides calendar.</x:v>
      </x:c>
    </x:row>
    <x:row r="10">
      <x:c r="A10" s="34" t="n">
        <x:v>8</x:v>
      </x:c>
      <x:c r="B10" s="129" t="n">
        <x:f>'01_Run_Config'!$B$4+A10</x:f>
        <x:v>46263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f>BM10</x:f>
        <x:v>5.8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IF(A10&lt;=14,2.5,0)</x:f>
        <x:v>2.5</x:v>
      </x:c>
      <x:c r="X10" s="63" t="n">
        <x:f>IF('01_Run_Config'!$B$50="AN Sensizym",0,IF(AND(A10&gt;='01_Run_Config'!$B$32,OR(AL10="",AL10&lt;=49)),2,0))</x:f>
        <x:v>2</x:v>
      </x:c>
      <x:c r="Y10" s="63" t="n">
        <x:f>0.015</x:f>
        <x:v>0.015</x:v>
      </x:c>
      <x:c r="Z10" s="63" t="n">
        <x:f>IF('01_Run_Config'!$B$51="HESI Hesilicio",2,0)</x:f>
        <x:v>0</x:v>
      </x:c>
      <x:c r="AA10" s="63" t="n">
        <x:f>IF('01_Run_Config'!$B$48="AN Bud Candy (replaces HESI Boost)",0,IF(AND(A10&gt;='01_Run_Config'!$B$33,MOD(A10-'01_Run_Config'!$B$33,7)=0),2,0))</x:f>
        <x:v>0</x:v>
      </x:c>
      <x:c r="AB10" s="63" t="n">
        <x:f>IF('01_Run_Config'!$B$52="AN Bud Ignitor &gt; Big Bud &gt; Overdrive",0,IF(AND(ISNUMBER(AL10),AL10&gt;=29,AL10&lt;=42),0.25+((AL10-29)/13)*0.25,0))</x:f>
        <x:v>0</x:v>
      </x:c>
      <x:c r="AC10" s="63" t="n">
        <x:f>IF('01_Run_Config'!$B$46="OFF",0,IF(OR(AND(A10&gt;='01_Run_Config'!$B$32,A10&lt;='01_Run_Config'!$B$32+13),AND(A10&gt;='01_Run_Config'!$B$33,A10&lt;='01_Run_Config'!$B$33+13)),2,0))</x:f>
        <x:v>2</x:v>
      </x:c>
      <x:c r="AD10" s="63" t="str">
        <x:f>IF(BG10="BLOCK","HYBRID BLOCKED - Konfiguration prüfen",IF(SUM(AC10,AT10:BF10)&gt;0,"AN aktiv: "&amp;BH10,"AN: keine Dosis heute / Module aus"))</x:f>
        <x:v>AN aktiv: Voodoo 2 ml/L; Tarantula 2 ml/L; 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0" s="34" t="str">
        <x:f>IF(A10&lt;2,"PRE-EMERGENCE · kein Kalenderwert","AVAILABLE IF NEEDED · nur wenn vollständiger Endmix unter pH-Ziel liegt")</x:f>
        <x:v>AVAILABLE IF NEEDED · nur wenn vollständiger Endmix unter pH-Ziel liegt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  <x:c r="AT10" t="n">
        <x:f>IF(AND('01_Run_Config'!$B$46="Voodoo + Piranha + Tarantula",AC10&gt;0),2,0)</x:f>
        <x:v>0</x:v>
      </x:c>
      <x:c r="AU10" t="n">
        <x:f>IF(AND(OR('01_Run_Config'!$B$46="Voodoo + Tarantula",'01_Run_Config'!$B$46="Voodoo + Piranha + Tarantula"),AC10&gt;0),2,0)</x:f>
        <x:v>2</x:v>
      </x:c>
      <x:c r="AV10" t="n">
        <x:f>IF('01_Run_Config'!$B$47&lt;&gt;"ON / A-B",0,IF(OR(AND(A10&gt;='01_Run_Config'!$B$32,A10&lt;'01_Run_Config'!$B$33),AND(ISNUMBER(AL10),AL10&gt;=15,AL10&lt;=49)),2,0))</x:f>
        <x:v>0</x:v>
      </x:c>
      <x:c r="AW10" t="n">
        <x:f>IF('01_Run_Config'!$B$48="AN Bud Candy (replaces HESI Boost)",IF(AND(A10&gt;='01_Run_Config'!$B$32,OR(AL10="",AL10&lt;=49)),2,0),0)</x:f>
        <x:v>0</x:v>
      </x:c>
      <x:c r="AX10" t="n">
        <x:f>IF('01_Run_Config'!$B$49&lt;&gt;"ON / EXPERIMENTAL",0,IF(OR(AND(A10&gt;='01_Run_Config'!$B$32+7,A10&lt;'01_Run_Config'!$B$33),AND(ISNUMBER(AL10),AL10&gt;=1,AL10&lt;=49)),2,0))</x:f>
        <x:v>0</x:v>
      </x:c>
      <x:c r="AY10" t="n">
        <x:f>IF('01_Run_Config'!$B$50="AN Sensizym",IF(AND(A10&gt;='01_Run_Config'!$B$32,OR(AL10="",AL10&lt;=49)),2,0),0)</x:f>
        <x:v>0</x:v>
      </x:c>
      <x:c r="AZ10" t="n">
        <x:f>IF('01_Run_Config'!$B$51="AN Rhino Skin",IF(AND(A10&gt;='01_Run_Config'!$B$32,OR(AL10="",AL10&lt;=49)),2,0),0)</x:f>
        <x:v>0</x:v>
      </x:c>
      <x:c r="BA10" t="n">
        <x:f>IF(AND('01_Run_Config'!$B$52="AN Bud Ignitor &gt; Big Bud &gt; Overdrive",ISNUMBER(AL10),AL10&gt;=1,AL10&lt;=14),2,0)</x:f>
        <x:v>0</x:v>
      </x:c>
      <x:c r="BB10" t="n">
        <x:f>IF(AND('01_Run_Config'!$B$52="AN Bud Ignitor &gt; Big Bud &gt; Overdrive",ISNUMBER(AL10),AL10&gt;=8,AL10&lt;=35),2,0)</x:f>
        <x:v>0</x:v>
      </x:c>
      <x:c r="BC10" t="n">
        <x:f>IF(AND('01_Run_Config'!$B$52="AN Bud Ignitor &gt; Big Bud &gt; Overdrive",ISNUMBER(AL10),AL10&gt;=36,AL10&lt;=49),2,0)</x:f>
        <x:v>0</x:v>
      </x:c>
      <x:c r="BD10" t="n">
        <x:f>IF('01_Run_Config'!$B$53="ON / EXPERIMENTAL",IF(OR(AND(A10&gt;='01_Run_Config'!$B$32,A10&lt;'01_Run_Config'!$B$33),AND(ISNUMBER(AL10),AL10&gt;=15,AL10&lt;=49)),2,0),0)</x:f>
        <x:v>0</x:v>
      </x:c>
      <x:c r="BE10" t="n">
        <x:f>IF('01_Run_Config'!$B$54="AN Sensi CalMag Xtra conditional",'01_Run_Config'!$B$17,0)</x:f>
        <x:v>0</x:v>
      </x:c>
      <x:c r="BF10" t="n">
        <x:f>0</x:f>
        <x:v>0</x:v>
      </x:c>
      <x:c r="BG10" t="str">
        <x:f>'01_Run_Config'!$E$57</x:f>
        <x:v>OK</x:v>
      </x:c>
      <x:c r="BH10" t="str">
        <x:f>IF(SUM(AC10,AT10:BF10)=0,"keine AN-Dosis heute",IF(AC10&gt;0,"Voodoo "&amp;AC10&amp;" ml/L; ","")&amp;IF(AT10&gt;0,"Piranha "&amp;AT10&amp;" ml/L; ","")&amp;IF(AU10&gt;0,"Tarantula "&amp;AU10&amp;" ml/L; ","")&amp;IF(AV10&gt;0,"B-52 "&amp;AV10&amp;" ml/L; ","")&amp;IF(AW10&gt;0,"Bud Candy "&amp;AW10&amp;" ml/L; ","")&amp;IF(AX10&gt;0,"Bud Factor X "&amp;AX10&amp;" ml/L; ","")&amp;IF(AY10&gt;0,"Sensizym "&amp;AY10&amp;" ml/L; ","")&amp;IF(AZ10&gt;0,"Rhino Skin "&amp;AZ10&amp;" ml/L; ","")&amp;IF(BA10&gt;0,"Bud Ignitor "&amp;BA10&amp;" ml/L; ","")&amp;IF(BB10&gt;0,"Big Bud "&amp;BB10&amp;" ml/L; ","")&amp;IF(BC10&gt;0,"Overdrive "&amp;BC10&amp;" ml/L; ","")&amp;IF(BD10&gt;0,"Tasty Terpenes "&amp;BD10&amp;" ml/L; ","")&amp;IF(BE10&gt;0,"Sensi CalMag "&amp;BE10&amp;" ml/L",""))</x:f>
        <x:v>Voodoo 2 ml/L; Tarantula 2 ml/L; </x:v>
      </x:c>
      <x:c r="BI10" s="60" t="n">
        <x:f>IF(ISNUMBER('01_Run_Config'!$B$91),IF(B10&lt;'01_Run_Config'!$B$91,"PRE",B10-'01_Run_Config'!$B$91),"PRE")</x:f>
        <x:v>6</x:v>
      </x:c>
      <x:c r="BJ10" s="60" t="str">
        <x:f>IF(ISNUMBER('01_Run_Config'!$B$92),IF(B10&lt;'01_Run_Config'!$B$92,"PRE",B10-'01_Run_Config'!$B$92),"PRE")</x:f>
        <x:v>PRE</x:v>
      </x:c>
      <x:c r="BK10" s="60" t="str">
        <x:f>IF(ISNUMBER('01_Run_Config'!$B$93),IF(B10&lt;'01_Run_Config'!$B$93,"PRE",B10-'01_Run_Config'!$B$93),"PRE")</x:f>
        <x:v>PRE</x:v>
      </x:c>
      <x:c r="BL10" s="2482" t="n">
        <x:f>IF(BM10=5.8,5.8,5.8)</x:f>
        <x:v>5.8</x:v>
      </x:c>
      <x:c r="BM10" s="2482" t="n">
        <x:f>IF(A10&lt;IF(ISNUMBER('01_Run_Config'!$B$81),'01_Run_Config'!$B$81,15),5.8,6)</x:f>
        <x:v>5.8</x:v>
      </x:c>
      <x:c r="BN10" s="2482" t="n">
        <x:f>IF(BM10=5.8,5.8,6.2)</x:f>
        <x:v>5.8</x:v>
      </x:c>
      <x:c r="BO10" s="60" t="str">
        <x:f>IF(BM10=5.8,"Eazy Plug/Block: Herstellerziel 5.80","Final Coco: UKD 6.00 = Mitte HESI 5.8–6.2")</x:f>
        <x:v>Eazy Plug/Block: Herstellerziel 5.80</x:v>
      </x:c>
      <x:c r="BP10" s="60" t="str">
        <x:f>IF(A10&lt;2,"PRE-EMERGENCE: Balance normalerweise nicht nötig",IF(BM10=5.8,"ab Durchbruch AVAILABLE IF endmix &lt; 5.80","AVAILABLE IF endmix &lt; 6.00"))</x:f>
        <x:v>ab Durchbruch AVAILABLE IF endmix &lt; 5.80</x:v>
      </x:c>
      <x:c r="BQ10" s="60" t="str">
        <x:f>IF(A10=0,"Run Day 0 = Aussaat 21.08.2026; Plant Day beginnt erst beim Durchbruch.",IF(A10=2,"P9 Double Grape: 23.08.2026 = Plant Day 0.","Daily pH is a projection; actual root-stage/event overrides calendar."))</x:f>
        <x:v>Daily pH is a projection; actual root-stage/event overrides calendar.</x:v>
      </x:c>
    </x:row>
    <x:row r="11">
      <x:c r="A11" s="34" t="n">
        <x:v>9</x:v>
      </x:c>
      <x:c r="B11" s="129" t="n">
        <x:f>'01_Run_Config'!$B$4+A11</x:f>
        <x:v>46264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f>BM11</x:f>
        <x:v>5.8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IF(A11&lt;=14,2.5,0)</x:f>
        <x:v>2.5</x:v>
      </x:c>
      <x:c r="X11" s="63" t="n">
        <x:f>IF('01_Run_Config'!$B$50="AN Sensizym",0,IF(AND(A11&gt;='01_Run_Config'!$B$32,OR(AL11="",AL11&lt;=49)),2,0))</x:f>
        <x:v>2</x:v>
      </x:c>
      <x:c r="Y11" s="63" t="n">
        <x:f>0.015</x:f>
        <x:v>0.015</x:v>
      </x:c>
      <x:c r="Z11" s="63" t="n">
        <x:f>IF('01_Run_Config'!$B$51="HESI Hesilicio",2,0)</x:f>
        <x:v>0</x:v>
      </x:c>
      <x:c r="AA11" s="63" t="n">
        <x:f>IF('01_Run_Config'!$B$48="AN Bud Candy (replaces HESI Boost)",0,IF(AND(A11&gt;='01_Run_Config'!$B$33,MOD(A11-'01_Run_Config'!$B$33,7)=0),2,0))</x:f>
        <x:v>0</x:v>
      </x:c>
      <x:c r="AB11" s="63" t="n">
        <x:f>IF('01_Run_Config'!$B$52="AN Bud Ignitor &gt; Big Bud &gt; Overdrive",0,IF(AND(ISNUMBER(AL11),AL11&gt;=29,AL11&lt;=42),0.25+((AL11-29)/13)*0.25,0))</x:f>
        <x:v>0</x:v>
      </x:c>
      <x:c r="AC11" s="63" t="n">
        <x:f>IF('01_Run_Config'!$B$46="OFF",0,IF(OR(AND(A11&gt;='01_Run_Config'!$B$32,A11&lt;='01_Run_Config'!$B$32+13),AND(A11&gt;='01_Run_Config'!$B$33,A11&lt;='01_Run_Config'!$B$33+13)),2,0))</x:f>
        <x:v>2</x:v>
      </x:c>
      <x:c r="AD11" s="63" t="str">
        <x:f>IF(BG11="BLOCK","HYBRID BLOCKED - Konfiguration prüfen",IF(SUM(AC11,AT11:BF11)&gt;0,"AN aktiv: "&amp;BH11,"AN: keine Dosis heute / Module aus"))</x:f>
        <x:v>AN aktiv: Voodoo 2 ml/L; Tarantula 2 ml/L; 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1" s="34" t="str">
        <x:f>IF(A11&lt;2,"PRE-EMERGENCE · kein Kalenderwert","AVAILABLE IF NEEDED · nur wenn vollständiger Endmix unter pH-Ziel liegt")</x:f>
        <x:v>AVAILABLE IF NEEDED · nur wenn vollständiger Endmix unter pH-Ziel liegt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  <x:c r="AT11" t="n">
        <x:f>IF(AND('01_Run_Config'!$B$46="Voodoo + Piranha + Tarantula",AC11&gt;0),2,0)</x:f>
        <x:v>0</x:v>
      </x:c>
      <x:c r="AU11" t="n">
        <x:f>IF(AND(OR('01_Run_Config'!$B$46="Voodoo + Tarantula",'01_Run_Config'!$B$46="Voodoo + Piranha + Tarantula"),AC11&gt;0),2,0)</x:f>
        <x:v>2</x:v>
      </x:c>
      <x:c r="AV11" t="n">
        <x:f>IF('01_Run_Config'!$B$47&lt;&gt;"ON / A-B",0,IF(OR(AND(A11&gt;='01_Run_Config'!$B$32,A11&lt;'01_Run_Config'!$B$33),AND(ISNUMBER(AL11),AL11&gt;=15,AL11&lt;=49)),2,0))</x:f>
        <x:v>0</x:v>
      </x:c>
      <x:c r="AW11" t="n">
        <x:f>IF('01_Run_Config'!$B$48="AN Bud Candy (replaces HESI Boost)",IF(AND(A11&gt;='01_Run_Config'!$B$32,OR(AL11="",AL11&lt;=49)),2,0),0)</x:f>
        <x:v>0</x:v>
      </x:c>
      <x:c r="AX11" t="n">
        <x:f>IF('01_Run_Config'!$B$49&lt;&gt;"ON / EXPERIMENTAL",0,IF(OR(AND(A11&gt;='01_Run_Config'!$B$32+7,A11&lt;'01_Run_Config'!$B$33),AND(ISNUMBER(AL11),AL11&gt;=1,AL11&lt;=49)),2,0))</x:f>
        <x:v>0</x:v>
      </x:c>
      <x:c r="AY11" t="n">
        <x:f>IF('01_Run_Config'!$B$50="AN Sensizym",IF(AND(A11&gt;='01_Run_Config'!$B$32,OR(AL11="",AL11&lt;=49)),2,0),0)</x:f>
        <x:v>0</x:v>
      </x:c>
      <x:c r="AZ11" t="n">
        <x:f>IF('01_Run_Config'!$B$51="AN Rhino Skin",IF(AND(A11&gt;='01_Run_Config'!$B$32,OR(AL11="",AL11&lt;=49)),2,0),0)</x:f>
        <x:v>0</x:v>
      </x:c>
      <x:c r="BA11" t="n">
        <x:f>IF(AND('01_Run_Config'!$B$52="AN Bud Ignitor &gt; Big Bud &gt; Overdrive",ISNUMBER(AL11),AL11&gt;=1,AL11&lt;=14),2,0)</x:f>
        <x:v>0</x:v>
      </x:c>
      <x:c r="BB11" t="n">
        <x:f>IF(AND('01_Run_Config'!$B$52="AN Bud Ignitor &gt; Big Bud &gt; Overdrive",ISNUMBER(AL11),AL11&gt;=8,AL11&lt;=35),2,0)</x:f>
        <x:v>0</x:v>
      </x:c>
      <x:c r="BC11" t="n">
        <x:f>IF(AND('01_Run_Config'!$B$52="AN Bud Ignitor &gt; Big Bud &gt; Overdrive",ISNUMBER(AL11),AL11&gt;=36,AL11&lt;=49),2,0)</x:f>
        <x:v>0</x:v>
      </x:c>
      <x:c r="BD11" t="n">
        <x:f>IF('01_Run_Config'!$B$53="ON / EXPERIMENTAL",IF(OR(AND(A11&gt;='01_Run_Config'!$B$32,A11&lt;'01_Run_Config'!$B$33),AND(ISNUMBER(AL11),AL11&gt;=15,AL11&lt;=49)),2,0),0)</x:f>
        <x:v>0</x:v>
      </x:c>
      <x:c r="BE11" t="n">
        <x:f>IF('01_Run_Config'!$B$54="AN Sensi CalMag Xtra conditional",'01_Run_Config'!$B$17,0)</x:f>
        <x:v>0</x:v>
      </x:c>
      <x:c r="BF11" t="n">
        <x:f>0</x:f>
        <x:v>0</x:v>
      </x:c>
      <x:c r="BG11" t="str">
        <x:f>'01_Run_Config'!$E$57</x:f>
        <x:v>OK</x:v>
      </x:c>
      <x:c r="BH11" t="str">
        <x:f>IF(SUM(AC11,AT11:BF11)=0,"keine AN-Dosis heute",IF(AC11&gt;0,"Voodoo "&amp;AC11&amp;" ml/L; ","")&amp;IF(AT11&gt;0,"Piranha "&amp;AT11&amp;" ml/L; ","")&amp;IF(AU11&gt;0,"Tarantula "&amp;AU11&amp;" ml/L; ","")&amp;IF(AV11&gt;0,"B-52 "&amp;AV11&amp;" ml/L; ","")&amp;IF(AW11&gt;0,"Bud Candy "&amp;AW11&amp;" ml/L; ","")&amp;IF(AX11&gt;0,"Bud Factor X "&amp;AX11&amp;" ml/L; ","")&amp;IF(AY11&gt;0,"Sensizym "&amp;AY11&amp;" ml/L; ","")&amp;IF(AZ11&gt;0,"Rhino Skin "&amp;AZ11&amp;" ml/L; ","")&amp;IF(BA11&gt;0,"Bud Ignitor "&amp;BA11&amp;" ml/L; ","")&amp;IF(BB11&gt;0,"Big Bud "&amp;BB11&amp;" ml/L; ","")&amp;IF(BC11&gt;0,"Overdrive "&amp;BC11&amp;" ml/L; ","")&amp;IF(BD11&gt;0,"Tasty Terpenes "&amp;BD11&amp;" ml/L; ","")&amp;IF(BE11&gt;0,"Sensi CalMag "&amp;BE11&amp;" ml/L",""))</x:f>
        <x:v>Voodoo 2 ml/L; Tarantula 2 ml/L; </x:v>
      </x:c>
      <x:c r="BI11" s="60" t="n">
        <x:f>IF(ISNUMBER('01_Run_Config'!$B$91),IF(B11&lt;'01_Run_Config'!$B$91,"PRE",B11-'01_Run_Config'!$B$91),"PRE")</x:f>
        <x:v>7</x:v>
      </x:c>
      <x:c r="BJ11" s="60" t="str">
        <x:f>IF(ISNUMBER('01_Run_Config'!$B$92),IF(B11&lt;'01_Run_Config'!$B$92,"PRE",B11-'01_Run_Config'!$B$92),"PRE")</x:f>
        <x:v>PRE</x:v>
      </x:c>
      <x:c r="BK11" s="60" t="str">
        <x:f>IF(ISNUMBER('01_Run_Config'!$B$93),IF(B11&lt;'01_Run_Config'!$B$93,"PRE",B11-'01_Run_Config'!$B$93),"PRE")</x:f>
        <x:v>PRE</x:v>
      </x:c>
      <x:c r="BL11" s="2482" t="n">
        <x:f>IF(BM11=5.8,5.8,5.8)</x:f>
        <x:v>5.8</x:v>
      </x:c>
      <x:c r="BM11" s="2482" t="n">
        <x:f>IF(A11&lt;IF(ISNUMBER('01_Run_Config'!$B$81),'01_Run_Config'!$B$81,15),5.8,6)</x:f>
        <x:v>5.8</x:v>
      </x:c>
      <x:c r="BN11" s="2482" t="n">
        <x:f>IF(BM11=5.8,5.8,6.2)</x:f>
        <x:v>5.8</x:v>
      </x:c>
      <x:c r="BO11" s="60" t="str">
        <x:f>IF(BM11=5.8,"Eazy Plug/Block: Herstellerziel 5.80","Final Coco: UKD 6.00 = Mitte HESI 5.8–6.2")</x:f>
        <x:v>Eazy Plug/Block: Herstellerziel 5.80</x:v>
      </x:c>
      <x:c r="BP11" s="60" t="str">
        <x:f>IF(A11&lt;2,"PRE-EMERGENCE: Balance normalerweise nicht nötig",IF(BM11=5.8,"ab Durchbruch AVAILABLE IF endmix &lt; 5.80","AVAILABLE IF endmix &lt; 6.00"))</x:f>
        <x:v>ab Durchbruch AVAILABLE IF endmix &lt; 5.80</x:v>
      </x:c>
      <x:c r="BQ11" s="60" t="str">
        <x:f>IF(A11=0,"Run Day 0 = Aussaat 21.08.2026; Plant Day beginnt erst beim Durchbruch.",IF(A11=2,"P10 Double Grape: 23.08.2026 = Plant Day 0.","Daily pH is a projection; actual root-stage/event overrides calendar."))</x:f>
        <x:v>Daily pH is a projection; actual root-stage/event overrides calendar.</x:v>
      </x:c>
    </x:row>
    <x:row r="12">
      <x:c r="A12" s="34" t="n">
        <x:v>10</x:v>
      </x:c>
      <x:c r="B12" s="129" t="n">
        <x:f>'01_Run_Config'!$B$4+A12</x:f>
        <x:v>46265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f>BM12</x:f>
        <x:v>5.8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IF(A12&lt;=14,2.5,0)</x:f>
        <x:v>2.5</x:v>
      </x:c>
      <x:c r="X12" s="63" t="n">
        <x:f>IF('01_Run_Config'!$B$50="AN Sensizym",0,IF(AND(A12&gt;='01_Run_Config'!$B$32,OR(AL12="",AL12&lt;=49)),2,0))</x:f>
        <x:v>2</x:v>
      </x:c>
      <x:c r="Y12" s="63" t="n">
        <x:f>0.015</x:f>
        <x:v>0.015</x:v>
      </x:c>
      <x:c r="Z12" s="63" t="n">
        <x:f>IF('01_Run_Config'!$B$51="HESI Hesilicio",2,0)</x:f>
        <x:v>0</x:v>
      </x:c>
      <x:c r="AA12" s="63" t="n">
        <x:f>IF('01_Run_Config'!$B$48="AN Bud Candy (replaces HESI Boost)",0,IF(AND(A12&gt;='01_Run_Config'!$B$33,MOD(A12-'01_Run_Config'!$B$33,7)=0),2,0))</x:f>
        <x:v>0</x:v>
      </x:c>
      <x:c r="AB12" s="63" t="n">
        <x:f>IF('01_Run_Config'!$B$52="AN Bud Ignitor &gt; Big Bud &gt; Overdrive",0,IF(AND(ISNUMBER(AL12),AL12&gt;=29,AL12&lt;=42),0.25+((AL12-29)/13)*0.25,0))</x:f>
        <x:v>0</x:v>
      </x:c>
      <x:c r="AC12" s="63" t="n">
        <x:f>IF('01_Run_Config'!$B$46="OFF",0,IF(OR(AND(A12&gt;='01_Run_Config'!$B$32,A12&lt;='01_Run_Config'!$B$32+13),AND(A12&gt;='01_Run_Config'!$B$33,A12&lt;='01_Run_Config'!$B$33+13)),2,0))</x:f>
        <x:v>2</x:v>
      </x:c>
      <x:c r="AD12" s="63" t="str">
        <x:f>IF(BG12="BLOCK","HYBRID BLOCKED - Konfiguration prüfen",IF(SUM(AC12,AT12:BF12)&gt;0,"AN aktiv: "&amp;BH12,"AN: keine Dosis heute / Module aus"))</x:f>
        <x:v>AN aktiv: Voodoo 2 ml/L; Tarantula 2 ml/L; 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2" s="34" t="str">
        <x:f>IF(A12&lt;2,"PRE-EMERGENCE · kein Kalenderwert","AVAILABLE IF NEEDED · nur wenn vollständiger Endmix unter pH-Ziel liegt")</x:f>
        <x:v>AVAILABLE IF NEEDED · nur wenn vollständiger Endmix unter pH-Ziel liegt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  <x:c r="AT12" t="n">
        <x:f>IF(AND('01_Run_Config'!$B$46="Voodoo + Piranha + Tarantula",AC12&gt;0),2,0)</x:f>
        <x:v>0</x:v>
      </x:c>
      <x:c r="AU12" t="n">
        <x:f>IF(AND(OR('01_Run_Config'!$B$46="Voodoo + Tarantula",'01_Run_Config'!$B$46="Voodoo + Piranha + Tarantula"),AC12&gt;0),2,0)</x:f>
        <x:v>2</x:v>
      </x:c>
      <x:c r="AV12" t="n">
        <x:f>IF('01_Run_Config'!$B$47&lt;&gt;"ON / A-B",0,IF(OR(AND(A12&gt;='01_Run_Config'!$B$32,A12&lt;'01_Run_Config'!$B$33),AND(ISNUMBER(AL12),AL12&gt;=15,AL12&lt;=49)),2,0))</x:f>
        <x:v>0</x:v>
      </x:c>
      <x:c r="AW12" t="n">
        <x:f>IF('01_Run_Config'!$B$48="AN Bud Candy (replaces HESI Boost)",IF(AND(A12&gt;='01_Run_Config'!$B$32,OR(AL12="",AL12&lt;=49)),2,0),0)</x:f>
        <x:v>0</x:v>
      </x:c>
      <x:c r="AX12" t="n">
        <x:f>IF('01_Run_Config'!$B$49&lt;&gt;"ON / EXPERIMENTAL",0,IF(OR(AND(A12&gt;='01_Run_Config'!$B$32+7,A12&lt;'01_Run_Config'!$B$33),AND(ISNUMBER(AL12),AL12&gt;=1,AL12&lt;=49)),2,0))</x:f>
        <x:v>0</x:v>
      </x:c>
      <x:c r="AY12" t="n">
        <x:f>IF('01_Run_Config'!$B$50="AN Sensizym",IF(AND(A12&gt;='01_Run_Config'!$B$32,OR(AL12="",AL12&lt;=49)),2,0),0)</x:f>
        <x:v>0</x:v>
      </x:c>
      <x:c r="AZ12" t="n">
        <x:f>IF('01_Run_Config'!$B$51="AN Rhino Skin",IF(AND(A12&gt;='01_Run_Config'!$B$32,OR(AL12="",AL12&lt;=49)),2,0),0)</x:f>
        <x:v>0</x:v>
      </x:c>
      <x:c r="BA12" t="n">
        <x:f>IF(AND('01_Run_Config'!$B$52="AN Bud Ignitor &gt; Big Bud &gt; Overdrive",ISNUMBER(AL12),AL12&gt;=1,AL12&lt;=14),2,0)</x:f>
        <x:v>0</x:v>
      </x:c>
      <x:c r="BB12" t="n">
        <x:f>IF(AND('01_Run_Config'!$B$52="AN Bud Ignitor &gt; Big Bud &gt; Overdrive",ISNUMBER(AL12),AL12&gt;=8,AL12&lt;=35),2,0)</x:f>
        <x:v>0</x:v>
      </x:c>
      <x:c r="BC12" t="n">
        <x:f>IF(AND('01_Run_Config'!$B$52="AN Bud Ignitor &gt; Big Bud &gt; Overdrive",ISNUMBER(AL12),AL12&gt;=36,AL12&lt;=49),2,0)</x:f>
        <x:v>0</x:v>
      </x:c>
      <x:c r="BD12" t="n">
        <x:f>IF('01_Run_Config'!$B$53="ON / EXPERIMENTAL",IF(OR(AND(A12&gt;='01_Run_Config'!$B$32,A12&lt;'01_Run_Config'!$B$33),AND(ISNUMBER(AL12),AL12&gt;=15,AL12&lt;=49)),2,0),0)</x:f>
        <x:v>0</x:v>
      </x:c>
      <x:c r="BE12" t="n">
        <x:f>IF('01_Run_Config'!$B$54="AN Sensi CalMag Xtra conditional",'01_Run_Config'!$B$17,0)</x:f>
        <x:v>0</x:v>
      </x:c>
      <x:c r="BF12" t="n">
        <x:f>0</x:f>
        <x:v>0</x:v>
      </x:c>
      <x:c r="BG12" t="str">
        <x:f>'01_Run_Config'!$E$57</x:f>
        <x:v>OK</x:v>
      </x:c>
      <x:c r="BH12" t="str">
        <x:f>IF(SUM(AC12,AT12:BF12)=0,"keine AN-Dosis heute",IF(AC12&gt;0,"Voodoo "&amp;AC12&amp;" ml/L; ","")&amp;IF(AT12&gt;0,"Piranha "&amp;AT12&amp;" ml/L; ","")&amp;IF(AU12&gt;0,"Tarantula "&amp;AU12&amp;" ml/L; ","")&amp;IF(AV12&gt;0,"B-52 "&amp;AV12&amp;" ml/L; ","")&amp;IF(AW12&gt;0,"Bud Candy "&amp;AW12&amp;" ml/L; ","")&amp;IF(AX12&gt;0,"Bud Factor X "&amp;AX12&amp;" ml/L; ","")&amp;IF(AY12&gt;0,"Sensizym "&amp;AY12&amp;" ml/L; ","")&amp;IF(AZ12&gt;0,"Rhino Skin "&amp;AZ12&amp;" ml/L; ","")&amp;IF(BA12&gt;0,"Bud Ignitor "&amp;BA12&amp;" ml/L; ","")&amp;IF(BB12&gt;0,"Big Bud "&amp;BB12&amp;" ml/L; ","")&amp;IF(BC12&gt;0,"Overdrive "&amp;BC12&amp;" ml/L; ","")&amp;IF(BD12&gt;0,"Tasty Terpenes "&amp;BD12&amp;" ml/L; ","")&amp;IF(BE12&gt;0,"Sensi CalMag "&amp;BE12&amp;" ml/L",""))</x:f>
        <x:v>Voodoo 2 ml/L; Tarantula 2 ml/L; </x:v>
      </x:c>
      <x:c r="BI12" s="60" t="n">
        <x:f>IF(ISNUMBER('01_Run_Config'!$B$91),IF(B12&lt;'01_Run_Config'!$B$91,"PRE",B12-'01_Run_Config'!$B$91),"PRE")</x:f>
        <x:v>8</x:v>
      </x:c>
      <x:c r="BJ12" s="60" t="str">
        <x:f>IF(ISNUMBER('01_Run_Config'!$B$92),IF(B12&lt;'01_Run_Config'!$B$92,"PRE",B12-'01_Run_Config'!$B$92),"PRE")</x:f>
        <x:v>PRE</x:v>
      </x:c>
      <x:c r="BK12" s="60" t="str">
        <x:f>IF(ISNUMBER('01_Run_Config'!$B$93),IF(B12&lt;'01_Run_Config'!$B$93,"PRE",B12-'01_Run_Config'!$B$93),"PRE")</x:f>
        <x:v>PRE</x:v>
      </x:c>
      <x:c r="BL12" s="2482" t="n">
        <x:f>IF(BM12=5.8,5.8,5.8)</x:f>
        <x:v>5.8</x:v>
      </x:c>
      <x:c r="BM12" s="2482" t="n">
        <x:f>IF(A12&lt;IF(ISNUMBER('01_Run_Config'!$B$81),'01_Run_Config'!$B$81,15),5.8,6)</x:f>
        <x:v>5.8</x:v>
      </x:c>
      <x:c r="BN12" s="2482" t="n">
        <x:f>IF(BM12=5.8,5.8,6.2)</x:f>
        <x:v>5.8</x:v>
      </x:c>
      <x:c r="BO12" s="60" t="str">
        <x:f>IF(BM12=5.8,"Eazy Plug/Block: Herstellerziel 5.80","Final Coco: UKD 6.00 = Mitte HESI 5.8–6.2")</x:f>
        <x:v>Eazy Plug/Block: Herstellerziel 5.80</x:v>
      </x:c>
      <x:c r="BP12" s="60" t="str">
        <x:f>IF(A12&lt;2,"PRE-EMERGENCE: Balance normalerweise nicht nötig",IF(BM12=5.8,"ab Durchbruch AVAILABLE IF endmix &lt; 5.80","AVAILABLE IF endmix &lt; 6.00"))</x:f>
        <x:v>ab Durchbruch AVAILABLE IF endmix &lt; 5.80</x:v>
      </x:c>
      <x:c r="BQ12" s="60" t="str">
        <x:f>IF(A12=0,"Run Day 0 = Aussaat 21.08.2026; Plant Day beginnt erst beim Durchbruch.",IF(A12=2,"P11 Double Grape: 23.08.2026 = Plant Day 0.","Daily pH is a projection; actual root-stage/event overrides calendar."))</x:f>
        <x:v>Daily pH is a projection; actual root-stage/event overrides calendar.</x:v>
      </x:c>
    </x:row>
    <x:row r="13">
      <x:c r="A13" s="34" t="n">
        <x:v>11</x:v>
      </x:c>
      <x:c r="B13" s="129" t="n">
        <x:f>'01_Run_Config'!$B$4+A13</x:f>
        <x:v>46266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f>BM13</x:f>
        <x:v>5.8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IF(A13&lt;=14,2.5,0)</x:f>
        <x:v>2.5</x:v>
      </x:c>
      <x:c r="X13" s="63" t="n">
        <x:f>IF('01_Run_Config'!$B$50="AN Sensizym",0,IF(AND(A13&gt;='01_Run_Config'!$B$32,OR(AL13="",AL13&lt;=49)),2,0))</x:f>
        <x:v>2</x:v>
      </x:c>
      <x:c r="Y13" s="63" t="n">
        <x:f>0.015</x:f>
        <x:v>0.015</x:v>
      </x:c>
      <x:c r="Z13" s="63" t="n">
        <x:f>IF('01_Run_Config'!$B$51="HESI Hesilicio",2,0)</x:f>
        <x:v>0</x:v>
      </x:c>
      <x:c r="AA13" s="63" t="n">
        <x:f>IF('01_Run_Config'!$B$48="AN Bud Candy (replaces HESI Boost)",0,IF(AND(A13&gt;='01_Run_Config'!$B$33,MOD(A13-'01_Run_Config'!$B$33,7)=0),2,0))</x:f>
        <x:v>0</x:v>
      </x:c>
      <x:c r="AB13" s="63" t="n">
        <x:f>IF('01_Run_Config'!$B$52="AN Bud Ignitor &gt; Big Bud &gt; Overdrive",0,IF(AND(ISNUMBER(AL13),AL13&gt;=29,AL13&lt;=42),0.25+((AL13-29)/13)*0.25,0))</x:f>
        <x:v>0</x:v>
      </x:c>
      <x:c r="AC13" s="63" t="n">
        <x:f>IF('01_Run_Config'!$B$46="OFF",0,IF(OR(AND(A13&gt;='01_Run_Config'!$B$32,A13&lt;='01_Run_Config'!$B$32+13),AND(A13&gt;='01_Run_Config'!$B$33,A13&lt;='01_Run_Config'!$B$33+13)),2,0))</x:f>
        <x:v>2</x:v>
      </x:c>
      <x:c r="AD13" s="63" t="str">
        <x:f>IF(BG13="BLOCK","HYBRID BLOCKED - Konfiguration prüfen",IF(SUM(AC13,AT13:BF13)&gt;0,"AN aktiv: "&amp;BH13,"AN: keine Dosis heute / Module aus"))</x:f>
        <x:v>AN aktiv: Voodoo 2 ml/L; Tarantula 2 ml/L; 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3" s="34" t="str">
        <x:f>IF(A13&lt;2,"PRE-EMERGENCE · kein Kalenderwert","AVAILABLE IF NEEDED · nur wenn vollständiger Endmix unter pH-Ziel liegt")</x:f>
        <x:v>AVAILABLE IF NEEDED · nur wenn vollständiger Endmix unter pH-Ziel liegt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  <x:c r="AT13" t="n">
        <x:f>IF(AND('01_Run_Config'!$B$46="Voodoo + Piranha + Tarantula",AC13&gt;0),2,0)</x:f>
        <x:v>0</x:v>
      </x:c>
      <x:c r="AU13" t="n">
        <x:f>IF(AND(OR('01_Run_Config'!$B$46="Voodoo + Tarantula",'01_Run_Config'!$B$46="Voodoo + Piranha + Tarantula"),AC13&gt;0),2,0)</x:f>
        <x:v>2</x:v>
      </x:c>
      <x:c r="AV13" t="n">
        <x:f>IF('01_Run_Config'!$B$47&lt;&gt;"ON / A-B",0,IF(OR(AND(A13&gt;='01_Run_Config'!$B$32,A13&lt;'01_Run_Config'!$B$33),AND(ISNUMBER(AL13),AL13&gt;=15,AL13&lt;=49)),2,0))</x:f>
        <x:v>0</x:v>
      </x:c>
      <x:c r="AW13" t="n">
        <x:f>IF('01_Run_Config'!$B$48="AN Bud Candy (replaces HESI Boost)",IF(AND(A13&gt;='01_Run_Config'!$B$32,OR(AL13="",AL13&lt;=49)),2,0),0)</x:f>
        <x:v>0</x:v>
      </x:c>
      <x:c r="AX13" t="n">
        <x:f>IF('01_Run_Config'!$B$49&lt;&gt;"ON / EXPERIMENTAL",0,IF(OR(AND(A13&gt;='01_Run_Config'!$B$32+7,A13&lt;'01_Run_Config'!$B$33),AND(ISNUMBER(AL13),AL13&gt;=1,AL13&lt;=49)),2,0))</x:f>
        <x:v>0</x:v>
      </x:c>
      <x:c r="AY13" t="n">
        <x:f>IF('01_Run_Config'!$B$50="AN Sensizym",IF(AND(A13&gt;='01_Run_Config'!$B$32,OR(AL13="",AL13&lt;=49)),2,0),0)</x:f>
        <x:v>0</x:v>
      </x:c>
      <x:c r="AZ13" t="n">
        <x:f>IF('01_Run_Config'!$B$51="AN Rhino Skin",IF(AND(A13&gt;='01_Run_Config'!$B$32,OR(AL13="",AL13&lt;=49)),2,0),0)</x:f>
        <x:v>0</x:v>
      </x:c>
      <x:c r="BA13" t="n">
        <x:f>IF(AND('01_Run_Config'!$B$52="AN Bud Ignitor &gt; Big Bud &gt; Overdrive",ISNUMBER(AL13),AL13&gt;=1,AL13&lt;=14),2,0)</x:f>
        <x:v>0</x:v>
      </x:c>
      <x:c r="BB13" t="n">
        <x:f>IF(AND('01_Run_Config'!$B$52="AN Bud Ignitor &gt; Big Bud &gt; Overdrive",ISNUMBER(AL13),AL13&gt;=8,AL13&lt;=35),2,0)</x:f>
        <x:v>0</x:v>
      </x:c>
      <x:c r="BC13" t="n">
        <x:f>IF(AND('01_Run_Config'!$B$52="AN Bud Ignitor &gt; Big Bud &gt; Overdrive",ISNUMBER(AL13),AL13&gt;=36,AL13&lt;=49),2,0)</x:f>
        <x:v>0</x:v>
      </x:c>
      <x:c r="BD13" t="n">
        <x:f>IF('01_Run_Config'!$B$53="ON / EXPERIMENTAL",IF(OR(AND(A13&gt;='01_Run_Config'!$B$32,A13&lt;'01_Run_Config'!$B$33),AND(ISNUMBER(AL13),AL13&gt;=15,AL13&lt;=49)),2,0),0)</x:f>
        <x:v>0</x:v>
      </x:c>
      <x:c r="BE13" t="n">
        <x:f>IF('01_Run_Config'!$B$54="AN Sensi CalMag Xtra conditional",'01_Run_Config'!$B$17,0)</x:f>
        <x:v>0</x:v>
      </x:c>
      <x:c r="BF13" t="n">
        <x:f>0</x:f>
        <x:v>0</x:v>
      </x:c>
      <x:c r="BG13" t="str">
        <x:f>'01_Run_Config'!$E$57</x:f>
        <x:v>OK</x:v>
      </x:c>
      <x:c r="BH13" t="str">
        <x:f>IF(SUM(AC13,AT13:BF13)=0,"keine AN-Dosis heute",IF(AC13&gt;0,"Voodoo "&amp;AC13&amp;" ml/L; ","")&amp;IF(AT13&gt;0,"Piranha "&amp;AT13&amp;" ml/L; ","")&amp;IF(AU13&gt;0,"Tarantula "&amp;AU13&amp;" ml/L; ","")&amp;IF(AV13&gt;0,"B-52 "&amp;AV13&amp;" ml/L; ","")&amp;IF(AW13&gt;0,"Bud Candy "&amp;AW13&amp;" ml/L; ","")&amp;IF(AX13&gt;0,"Bud Factor X "&amp;AX13&amp;" ml/L; ","")&amp;IF(AY13&gt;0,"Sensizym "&amp;AY13&amp;" ml/L; ","")&amp;IF(AZ13&gt;0,"Rhino Skin "&amp;AZ13&amp;" ml/L; ","")&amp;IF(BA13&gt;0,"Bud Ignitor "&amp;BA13&amp;" ml/L; ","")&amp;IF(BB13&gt;0,"Big Bud "&amp;BB13&amp;" ml/L; ","")&amp;IF(BC13&gt;0,"Overdrive "&amp;BC13&amp;" ml/L; ","")&amp;IF(BD13&gt;0,"Tasty Terpenes "&amp;BD13&amp;" ml/L; ","")&amp;IF(BE13&gt;0,"Sensi CalMag "&amp;BE13&amp;" ml/L",""))</x:f>
        <x:v>Voodoo 2 ml/L; Tarantula 2 ml/L; </x:v>
      </x:c>
      <x:c r="BI13" s="60" t="n">
        <x:f>IF(ISNUMBER('01_Run_Config'!$B$91),IF(B13&lt;'01_Run_Config'!$B$91,"PRE",B13-'01_Run_Config'!$B$91),"PRE")</x:f>
        <x:v>9</x:v>
      </x:c>
      <x:c r="BJ13" s="60" t="str">
        <x:f>IF(ISNUMBER('01_Run_Config'!$B$92),IF(B13&lt;'01_Run_Config'!$B$92,"PRE",B13-'01_Run_Config'!$B$92),"PRE")</x:f>
        <x:v>PRE</x:v>
      </x:c>
      <x:c r="BK13" s="60" t="str">
        <x:f>IF(ISNUMBER('01_Run_Config'!$B$93),IF(B13&lt;'01_Run_Config'!$B$93,"PRE",B13-'01_Run_Config'!$B$93),"PRE")</x:f>
        <x:v>PRE</x:v>
      </x:c>
      <x:c r="BL13" s="2482" t="n">
        <x:f>IF(BM13=5.8,5.8,5.8)</x:f>
        <x:v>5.8</x:v>
      </x:c>
      <x:c r="BM13" s="2482" t="n">
        <x:f>IF(A13&lt;IF(ISNUMBER('01_Run_Config'!$B$81),'01_Run_Config'!$B$81,15),5.8,6)</x:f>
        <x:v>5.8</x:v>
      </x:c>
      <x:c r="BN13" s="2482" t="n">
        <x:f>IF(BM13=5.8,5.8,6.2)</x:f>
        <x:v>5.8</x:v>
      </x:c>
      <x:c r="BO13" s="60" t="str">
        <x:f>IF(BM13=5.8,"Eazy Plug/Block: Herstellerziel 5.80","Final Coco: UKD 6.00 = Mitte HESI 5.8–6.2")</x:f>
        <x:v>Eazy Plug/Block: Herstellerziel 5.80</x:v>
      </x:c>
      <x:c r="BP13" s="60" t="str">
        <x:f>IF(A13&lt;2,"PRE-EMERGENCE: Balance normalerweise nicht nötig",IF(BM13=5.8,"ab Durchbruch AVAILABLE IF endmix &lt; 5.80","AVAILABLE IF endmix &lt; 6.00"))</x:f>
        <x:v>ab Durchbruch AVAILABLE IF endmix &lt; 5.80</x:v>
      </x:c>
      <x:c r="BQ13" s="60" t="str">
        <x:f>IF(A13=0,"Run Day 0 = Aussaat 21.08.2026; Plant Day beginnt erst beim Durchbruch.",IF(A13=2,"P12 Double Grape: 23.08.2026 = Plant Day 0.","Daily pH is a projection; actual root-stage/event overrides calendar."))</x:f>
        <x:v>Daily pH is a projection; actual root-stage/event overrides calendar.</x:v>
      </x:c>
    </x:row>
    <x:row r="14">
      <x:c r="A14" s="34" t="n">
        <x:v>12</x:v>
      </x:c>
      <x:c r="B14" s="129" t="n">
        <x:f>'01_Run_Config'!$B$4+A14</x:f>
        <x:v>46267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f>BM14</x:f>
        <x:v>5.8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IF(A14&lt;=14,2.5,0)</x:f>
        <x:v>2.5</x:v>
      </x:c>
      <x:c r="X14" s="63" t="n">
        <x:f>IF('01_Run_Config'!$B$50="AN Sensizym",0,IF(AND(A14&gt;='01_Run_Config'!$B$32,OR(AL14="",AL14&lt;=49)),2,0))</x:f>
        <x:v>2</x:v>
      </x:c>
      <x:c r="Y14" s="63" t="n">
        <x:f>0.015</x:f>
        <x:v>0.015</x:v>
      </x:c>
      <x:c r="Z14" s="63" t="n">
        <x:f>IF('01_Run_Config'!$B$51="HESI Hesilicio",2,0)</x:f>
        <x:v>0</x:v>
      </x:c>
      <x:c r="AA14" s="63" t="n">
        <x:f>IF('01_Run_Config'!$B$48="AN Bud Candy (replaces HESI Boost)",0,IF(AND(A14&gt;='01_Run_Config'!$B$33,MOD(A14-'01_Run_Config'!$B$33,7)=0),2,0))</x:f>
        <x:v>0</x:v>
      </x:c>
      <x:c r="AB14" s="63" t="n">
        <x:f>IF('01_Run_Config'!$B$52="AN Bud Ignitor &gt; Big Bud &gt; Overdrive",0,IF(AND(ISNUMBER(AL14),AL14&gt;=29,AL14&lt;=42),0.25+((AL14-29)/13)*0.25,0))</x:f>
        <x:v>0</x:v>
      </x:c>
      <x:c r="AC14" s="63" t="n">
        <x:f>IF('01_Run_Config'!$B$46="OFF",0,IF(OR(AND(A14&gt;='01_Run_Config'!$B$32,A14&lt;='01_Run_Config'!$B$32+13),AND(A14&gt;='01_Run_Config'!$B$33,A14&lt;='01_Run_Config'!$B$33+13)),2,0))</x:f>
        <x:v>2</x:v>
      </x:c>
      <x:c r="AD14" s="63" t="str">
        <x:f>IF(BG14="BLOCK","HYBRID BLOCKED - Konfiguration prüfen",IF(SUM(AC14,AT14:BF14)&gt;0,"AN aktiv: "&amp;BH14,"AN: keine Dosis heute / Module aus"))</x:f>
        <x:v>AN aktiv: Voodoo 2 ml/L; Tarantula 2 ml/L; 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4" s="34" t="str">
        <x:f>IF(A14&lt;2,"PRE-EMERGENCE · kein Kalenderwert","AVAILABLE IF NEEDED · nur wenn vollständiger Endmix unter pH-Ziel liegt")</x:f>
        <x:v>AVAILABLE IF NEEDED · nur wenn vollständiger Endmix unter pH-Ziel liegt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  <x:c r="AT14" t="n">
        <x:f>IF(AND('01_Run_Config'!$B$46="Voodoo + Piranha + Tarantula",AC14&gt;0),2,0)</x:f>
        <x:v>0</x:v>
      </x:c>
      <x:c r="AU14" t="n">
        <x:f>IF(AND(OR('01_Run_Config'!$B$46="Voodoo + Tarantula",'01_Run_Config'!$B$46="Voodoo + Piranha + Tarantula"),AC14&gt;0),2,0)</x:f>
        <x:v>2</x:v>
      </x:c>
      <x:c r="AV14" t="n">
        <x:f>IF('01_Run_Config'!$B$47&lt;&gt;"ON / A-B",0,IF(OR(AND(A14&gt;='01_Run_Config'!$B$32,A14&lt;'01_Run_Config'!$B$33),AND(ISNUMBER(AL14),AL14&gt;=15,AL14&lt;=49)),2,0))</x:f>
        <x:v>0</x:v>
      </x:c>
      <x:c r="AW14" t="n">
        <x:f>IF('01_Run_Config'!$B$48="AN Bud Candy (replaces HESI Boost)",IF(AND(A14&gt;='01_Run_Config'!$B$32,OR(AL14="",AL14&lt;=49)),2,0),0)</x:f>
        <x:v>0</x:v>
      </x:c>
      <x:c r="AX14" t="n">
        <x:f>IF('01_Run_Config'!$B$49&lt;&gt;"ON / EXPERIMENTAL",0,IF(OR(AND(A14&gt;='01_Run_Config'!$B$32+7,A14&lt;'01_Run_Config'!$B$33),AND(ISNUMBER(AL14),AL14&gt;=1,AL14&lt;=49)),2,0))</x:f>
        <x:v>0</x:v>
      </x:c>
      <x:c r="AY14" t="n">
        <x:f>IF('01_Run_Config'!$B$50="AN Sensizym",IF(AND(A14&gt;='01_Run_Config'!$B$32,OR(AL14="",AL14&lt;=49)),2,0),0)</x:f>
        <x:v>0</x:v>
      </x:c>
      <x:c r="AZ14" t="n">
        <x:f>IF('01_Run_Config'!$B$51="AN Rhino Skin",IF(AND(A14&gt;='01_Run_Config'!$B$32,OR(AL14="",AL14&lt;=49)),2,0),0)</x:f>
        <x:v>0</x:v>
      </x:c>
      <x:c r="BA14" t="n">
        <x:f>IF(AND('01_Run_Config'!$B$52="AN Bud Ignitor &gt; Big Bud &gt; Overdrive",ISNUMBER(AL14),AL14&gt;=1,AL14&lt;=14),2,0)</x:f>
        <x:v>0</x:v>
      </x:c>
      <x:c r="BB14" t="n">
        <x:f>IF(AND('01_Run_Config'!$B$52="AN Bud Ignitor &gt; Big Bud &gt; Overdrive",ISNUMBER(AL14),AL14&gt;=8,AL14&lt;=35),2,0)</x:f>
        <x:v>0</x:v>
      </x:c>
      <x:c r="BC14" t="n">
        <x:f>IF(AND('01_Run_Config'!$B$52="AN Bud Ignitor &gt; Big Bud &gt; Overdrive",ISNUMBER(AL14),AL14&gt;=36,AL14&lt;=49),2,0)</x:f>
        <x:v>0</x:v>
      </x:c>
      <x:c r="BD14" t="n">
        <x:f>IF('01_Run_Config'!$B$53="ON / EXPERIMENTAL",IF(OR(AND(A14&gt;='01_Run_Config'!$B$32,A14&lt;'01_Run_Config'!$B$33),AND(ISNUMBER(AL14),AL14&gt;=15,AL14&lt;=49)),2,0),0)</x:f>
        <x:v>0</x:v>
      </x:c>
      <x:c r="BE14" t="n">
        <x:f>IF('01_Run_Config'!$B$54="AN Sensi CalMag Xtra conditional",'01_Run_Config'!$B$17,0)</x:f>
        <x:v>0</x:v>
      </x:c>
      <x:c r="BF14" t="n">
        <x:f>0</x:f>
        <x:v>0</x:v>
      </x:c>
      <x:c r="BG14" t="str">
        <x:f>'01_Run_Config'!$E$57</x:f>
        <x:v>OK</x:v>
      </x:c>
      <x:c r="BH14" t="str">
        <x:f>IF(SUM(AC14,AT14:BF14)=0,"keine AN-Dosis heute",IF(AC14&gt;0,"Voodoo "&amp;AC14&amp;" ml/L; ","")&amp;IF(AT14&gt;0,"Piranha "&amp;AT14&amp;" ml/L; ","")&amp;IF(AU14&gt;0,"Tarantula "&amp;AU14&amp;" ml/L; ","")&amp;IF(AV14&gt;0,"B-52 "&amp;AV14&amp;" ml/L; ","")&amp;IF(AW14&gt;0,"Bud Candy "&amp;AW14&amp;" ml/L; ","")&amp;IF(AX14&gt;0,"Bud Factor X "&amp;AX14&amp;" ml/L; ","")&amp;IF(AY14&gt;0,"Sensizym "&amp;AY14&amp;" ml/L; ","")&amp;IF(AZ14&gt;0,"Rhino Skin "&amp;AZ14&amp;" ml/L; ","")&amp;IF(BA14&gt;0,"Bud Ignitor "&amp;BA14&amp;" ml/L; ","")&amp;IF(BB14&gt;0,"Big Bud "&amp;BB14&amp;" ml/L; ","")&amp;IF(BC14&gt;0,"Overdrive "&amp;BC14&amp;" ml/L; ","")&amp;IF(BD14&gt;0,"Tasty Terpenes "&amp;BD14&amp;" ml/L; ","")&amp;IF(BE14&gt;0,"Sensi CalMag "&amp;BE14&amp;" ml/L",""))</x:f>
        <x:v>Voodoo 2 ml/L; Tarantula 2 ml/L; </x:v>
      </x:c>
      <x:c r="BI14" s="60" t="n">
        <x:f>IF(ISNUMBER('01_Run_Config'!$B$91),IF(B14&lt;'01_Run_Config'!$B$91,"PRE",B14-'01_Run_Config'!$B$91),"PRE")</x:f>
        <x:v>10</x:v>
      </x:c>
      <x:c r="BJ14" s="60" t="str">
        <x:f>IF(ISNUMBER('01_Run_Config'!$B$92),IF(B14&lt;'01_Run_Config'!$B$92,"PRE",B14-'01_Run_Config'!$B$92),"PRE")</x:f>
        <x:v>PRE</x:v>
      </x:c>
      <x:c r="BK14" s="60" t="str">
        <x:f>IF(ISNUMBER('01_Run_Config'!$B$93),IF(B14&lt;'01_Run_Config'!$B$93,"PRE",B14-'01_Run_Config'!$B$93),"PRE")</x:f>
        <x:v>PRE</x:v>
      </x:c>
      <x:c r="BL14" s="2482" t="n">
        <x:f>IF(BM14=5.8,5.8,5.8)</x:f>
        <x:v>5.8</x:v>
      </x:c>
      <x:c r="BM14" s="2482" t="n">
        <x:f>IF(A14&lt;IF(ISNUMBER('01_Run_Config'!$B$81),'01_Run_Config'!$B$81,15),5.8,6)</x:f>
        <x:v>5.8</x:v>
      </x:c>
      <x:c r="BN14" s="2482" t="n">
        <x:f>IF(BM14=5.8,5.8,6.2)</x:f>
        <x:v>5.8</x:v>
      </x:c>
      <x:c r="BO14" s="60" t="str">
        <x:f>IF(BM14=5.8,"Eazy Plug/Block: Herstellerziel 5.80","Final Coco: UKD 6.00 = Mitte HESI 5.8–6.2")</x:f>
        <x:v>Eazy Plug/Block: Herstellerziel 5.80</x:v>
      </x:c>
      <x:c r="BP14" s="60" t="str">
        <x:f>IF(A14&lt;2,"PRE-EMERGENCE: Balance normalerweise nicht nötig",IF(BM14=5.8,"ab Durchbruch AVAILABLE IF endmix &lt; 5.80","AVAILABLE IF endmix &lt; 6.00"))</x:f>
        <x:v>ab Durchbruch AVAILABLE IF endmix &lt; 5.80</x:v>
      </x:c>
      <x:c r="BQ14" s="60" t="str">
        <x:f>IF(A14=0,"Run Day 0 = Aussaat 21.08.2026; Plant Day beginnt erst beim Durchbruch.",IF(A14=2,"P13 Double Grape: 23.08.2026 = Plant Day 0.","Daily pH is a projection; actual root-stage/event overrides calendar."))</x:f>
        <x:v>Daily pH is a projection; actual root-stage/event overrides calendar.</x:v>
      </x:c>
    </x:row>
    <x:row r="15">
      <x:c r="A15" s="34" t="n">
        <x:v>13</x:v>
      </x:c>
      <x:c r="B15" s="129" t="n">
        <x:f>'01_Run_Config'!$B$4+A15</x:f>
        <x:v>46268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f>BM15</x:f>
        <x:v>5.8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IF(A15&lt;=14,2.5,0)</x:f>
        <x:v>2.5</x:v>
      </x:c>
      <x:c r="X15" s="63" t="n">
        <x:f>IF('01_Run_Config'!$B$50="AN Sensizym",0,IF(AND(A15&gt;='01_Run_Config'!$B$32,OR(AL15="",AL15&lt;=49)),2,0))</x:f>
        <x:v>2</x:v>
      </x:c>
      <x:c r="Y15" s="63" t="n">
        <x:f>0.015</x:f>
        <x:v>0.015</x:v>
      </x:c>
      <x:c r="Z15" s="63" t="n">
        <x:f>IF('01_Run_Config'!$B$51="HESI Hesilicio",2,0)</x:f>
        <x:v>0</x:v>
      </x:c>
      <x:c r="AA15" s="63" t="n">
        <x:f>IF('01_Run_Config'!$B$48="AN Bud Candy (replaces HESI Boost)",0,IF(AND(A15&gt;='01_Run_Config'!$B$33,MOD(A15-'01_Run_Config'!$B$33,7)=0),2,0))</x:f>
        <x:v>0</x:v>
      </x:c>
      <x:c r="AB15" s="63" t="n">
        <x:f>IF('01_Run_Config'!$B$52="AN Bud Ignitor &gt; Big Bud &gt; Overdrive",0,IF(AND(ISNUMBER(AL15),AL15&gt;=29,AL15&lt;=42),0.25+((AL15-29)/13)*0.25,0))</x:f>
        <x:v>0</x:v>
      </x:c>
      <x:c r="AC15" s="63" t="n">
        <x:f>IF('01_Run_Config'!$B$46="OFF",0,IF(OR(AND(A15&gt;='01_Run_Config'!$B$32,A15&lt;='01_Run_Config'!$B$32+13),AND(A15&gt;='01_Run_Config'!$B$33,A15&lt;='01_Run_Config'!$B$33+13)),2,0))</x:f>
        <x:v>2</x:v>
      </x:c>
      <x:c r="AD15" s="63" t="str">
        <x:f>IF(BG15="BLOCK","HYBRID BLOCKED - Konfiguration prüfen",IF(SUM(AC15,AT15:BF15)&gt;0,"AN aktiv: "&amp;BH15,"AN: keine Dosis heute / Module aus"))</x:f>
        <x:v>AN aktiv: Voodoo 2 ml/L; Tarantula 2 ml/L; 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5" s="34" t="str">
        <x:f>IF(A15&lt;2,"PRE-EMERGENCE · kein Kalenderwert","AVAILABLE IF NEEDED · nur wenn vollständiger Endmix unter pH-Ziel liegt")</x:f>
        <x:v>AVAILABLE IF NEEDED · nur wenn vollständiger Endmix unter pH-Ziel liegt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  <x:c r="AT15" t="n">
        <x:f>IF(AND('01_Run_Config'!$B$46="Voodoo + Piranha + Tarantula",AC15&gt;0),2,0)</x:f>
        <x:v>0</x:v>
      </x:c>
      <x:c r="AU15" t="n">
        <x:f>IF(AND(OR('01_Run_Config'!$B$46="Voodoo + Tarantula",'01_Run_Config'!$B$46="Voodoo + Piranha + Tarantula"),AC15&gt;0),2,0)</x:f>
        <x:v>2</x:v>
      </x:c>
      <x:c r="AV15" t="n">
        <x:f>IF('01_Run_Config'!$B$47&lt;&gt;"ON / A-B",0,IF(OR(AND(A15&gt;='01_Run_Config'!$B$32,A15&lt;'01_Run_Config'!$B$33),AND(ISNUMBER(AL15),AL15&gt;=15,AL15&lt;=49)),2,0))</x:f>
        <x:v>0</x:v>
      </x:c>
      <x:c r="AW15" t="n">
        <x:f>IF('01_Run_Config'!$B$48="AN Bud Candy (replaces HESI Boost)",IF(AND(A15&gt;='01_Run_Config'!$B$32,OR(AL15="",AL15&lt;=49)),2,0),0)</x:f>
        <x:v>0</x:v>
      </x:c>
      <x:c r="AX15" t="n">
        <x:f>IF('01_Run_Config'!$B$49&lt;&gt;"ON / EXPERIMENTAL",0,IF(OR(AND(A15&gt;='01_Run_Config'!$B$32+7,A15&lt;'01_Run_Config'!$B$33),AND(ISNUMBER(AL15),AL15&gt;=1,AL15&lt;=49)),2,0))</x:f>
        <x:v>0</x:v>
      </x:c>
      <x:c r="AY15" t="n">
        <x:f>IF('01_Run_Config'!$B$50="AN Sensizym",IF(AND(A15&gt;='01_Run_Config'!$B$32,OR(AL15="",AL15&lt;=49)),2,0),0)</x:f>
        <x:v>0</x:v>
      </x:c>
      <x:c r="AZ15" t="n">
        <x:f>IF('01_Run_Config'!$B$51="AN Rhino Skin",IF(AND(A15&gt;='01_Run_Config'!$B$32,OR(AL15="",AL15&lt;=49)),2,0),0)</x:f>
        <x:v>0</x:v>
      </x:c>
      <x:c r="BA15" t="n">
        <x:f>IF(AND('01_Run_Config'!$B$52="AN Bud Ignitor &gt; Big Bud &gt; Overdrive",ISNUMBER(AL15),AL15&gt;=1,AL15&lt;=14),2,0)</x:f>
        <x:v>0</x:v>
      </x:c>
      <x:c r="BB15" t="n">
        <x:f>IF(AND('01_Run_Config'!$B$52="AN Bud Ignitor &gt; Big Bud &gt; Overdrive",ISNUMBER(AL15),AL15&gt;=8,AL15&lt;=35),2,0)</x:f>
        <x:v>0</x:v>
      </x:c>
      <x:c r="BC15" t="n">
        <x:f>IF(AND('01_Run_Config'!$B$52="AN Bud Ignitor &gt; Big Bud &gt; Overdrive",ISNUMBER(AL15),AL15&gt;=36,AL15&lt;=49),2,0)</x:f>
        <x:v>0</x:v>
      </x:c>
      <x:c r="BD15" t="n">
        <x:f>IF('01_Run_Config'!$B$53="ON / EXPERIMENTAL",IF(OR(AND(A15&gt;='01_Run_Config'!$B$32,A15&lt;'01_Run_Config'!$B$33),AND(ISNUMBER(AL15),AL15&gt;=15,AL15&lt;=49)),2,0),0)</x:f>
        <x:v>0</x:v>
      </x:c>
      <x:c r="BE15" t="n">
        <x:f>IF('01_Run_Config'!$B$54="AN Sensi CalMag Xtra conditional",'01_Run_Config'!$B$17,0)</x:f>
        <x:v>0</x:v>
      </x:c>
      <x:c r="BF15" t="n">
        <x:f>0</x:f>
        <x:v>0</x:v>
      </x:c>
      <x:c r="BG15" t="str">
        <x:f>'01_Run_Config'!$E$57</x:f>
        <x:v>OK</x:v>
      </x:c>
      <x:c r="BH15" t="str">
        <x:f>IF(SUM(AC15,AT15:BF15)=0,"keine AN-Dosis heute",IF(AC15&gt;0,"Voodoo "&amp;AC15&amp;" ml/L; ","")&amp;IF(AT15&gt;0,"Piranha "&amp;AT15&amp;" ml/L; ","")&amp;IF(AU15&gt;0,"Tarantula "&amp;AU15&amp;" ml/L; ","")&amp;IF(AV15&gt;0,"B-52 "&amp;AV15&amp;" ml/L; ","")&amp;IF(AW15&gt;0,"Bud Candy "&amp;AW15&amp;" ml/L; ","")&amp;IF(AX15&gt;0,"Bud Factor X "&amp;AX15&amp;" ml/L; ","")&amp;IF(AY15&gt;0,"Sensizym "&amp;AY15&amp;" ml/L; ","")&amp;IF(AZ15&gt;0,"Rhino Skin "&amp;AZ15&amp;" ml/L; ","")&amp;IF(BA15&gt;0,"Bud Ignitor "&amp;BA15&amp;" ml/L; ","")&amp;IF(BB15&gt;0,"Big Bud "&amp;BB15&amp;" ml/L; ","")&amp;IF(BC15&gt;0,"Overdrive "&amp;BC15&amp;" ml/L; ","")&amp;IF(BD15&gt;0,"Tasty Terpenes "&amp;BD15&amp;" ml/L; ","")&amp;IF(BE15&gt;0,"Sensi CalMag "&amp;BE15&amp;" ml/L",""))</x:f>
        <x:v>Voodoo 2 ml/L; Tarantula 2 ml/L; </x:v>
      </x:c>
      <x:c r="BI15" s="60" t="n">
        <x:f>IF(ISNUMBER('01_Run_Config'!$B$91),IF(B15&lt;'01_Run_Config'!$B$91,"PRE",B15-'01_Run_Config'!$B$91),"PRE")</x:f>
        <x:v>11</x:v>
      </x:c>
      <x:c r="BJ15" s="60" t="str">
        <x:f>IF(ISNUMBER('01_Run_Config'!$B$92),IF(B15&lt;'01_Run_Config'!$B$92,"PRE",B15-'01_Run_Config'!$B$92),"PRE")</x:f>
        <x:v>PRE</x:v>
      </x:c>
      <x:c r="BK15" s="60" t="str">
        <x:f>IF(ISNUMBER('01_Run_Config'!$B$93),IF(B15&lt;'01_Run_Config'!$B$93,"PRE",B15-'01_Run_Config'!$B$93),"PRE")</x:f>
        <x:v>PRE</x:v>
      </x:c>
      <x:c r="BL15" s="2482" t="n">
        <x:f>IF(BM15=5.8,5.8,5.8)</x:f>
        <x:v>5.8</x:v>
      </x:c>
      <x:c r="BM15" s="2482" t="n">
        <x:f>IF(A15&lt;IF(ISNUMBER('01_Run_Config'!$B$81),'01_Run_Config'!$B$81,15),5.8,6)</x:f>
        <x:v>5.8</x:v>
      </x:c>
      <x:c r="BN15" s="2482" t="n">
        <x:f>IF(BM15=5.8,5.8,6.2)</x:f>
        <x:v>5.8</x:v>
      </x:c>
      <x:c r="BO15" s="60" t="str">
        <x:f>IF(BM15=5.8,"Eazy Plug/Block: Herstellerziel 5.80","Final Coco: UKD 6.00 = Mitte HESI 5.8–6.2")</x:f>
        <x:v>Eazy Plug/Block: Herstellerziel 5.80</x:v>
      </x:c>
      <x:c r="BP15" s="60" t="str">
        <x:f>IF(A15&lt;2,"PRE-EMERGENCE: Balance normalerweise nicht nötig",IF(BM15=5.8,"ab Durchbruch AVAILABLE IF endmix &lt; 5.80","AVAILABLE IF endmix &lt; 6.00"))</x:f>
        <x:v>ab Durchbruch AVAILABLE IF endmix &lt; 5.80</x:v>
      </x:c>
      <x:c r="BQ15" s="60" t="str">
        <x:f>IF(A15=0,"Run Day 0 = Aussaat 21.08.2026; Plant Day beginnt erst beim Durchbruch.",IF(A15=2,"P14 Double Grape: 23.08.2026 = Plant Day 0.","Daily pH is a projection; actual root-stage/event overrides calendar."))</x:f>
        <x:v>Daily pH is a projection; actual root-stage/event overrides calendar.</x:v>
      </x:c>
    </x:row>
    <x:row r="16">
      <x:c r="A16" s="34" t="n">
        <x:v>14</x:v>
      </x:c>
      <x:c r="B16" s="129" t="n">
        <x:f>'01_Run_Config'!$B$4+A16</x:f>
        <x:v>46269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f>BM16</x:f>
        <x:v>5.8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IF(A16&lt;=14,2.5,0)</x:f>
        <x:v>2.5</x:v>
      </x:c>
      <x:c r="X16" s="63" t="n">
        <x:f>IF('01_Run_Config'!$B$50="AN Sensizym",0,IF(AND(A16&gt;='01_Run_Config'!$B$32,OR(AL16="",AL16&lt;=49)),2,0))</x:f>
        <x:v>2</x:v>
      </x:c>
      <x:c r="Y16" s="63" t="n">
        <x:f>0.015</x:f>
        <x:v>0.015</x:v>
      </x:c>
      <x:c r="Z16" s="63" t="n">
        <x:f>IF('01_Run_Config'!$B$51="HESI Hesilicio",2,0)</x:f>
        <x:v>0</x:v>
      </x:c>
      <x:c r="AA16" s="63" t="n">
        <x:f>IF('01_Run_Config'!$B$48="AN Bud Candy (replaces HESI Boost)",0,IF(AND(A16&gt;='01_Run_Config'!$B$33,MOD(A16-'01_Run_Config'!$B$33,7)=0),2,0))</x:f>
        <x:v>0</x:v>
      </x:c>
      <x:c r="AB16" s="63" t="n">
        <x:f>IF('01_Run_Config'!$B$52="AN Bud Ignitor &gt; Big Bud &gt; Overdrive",0,IF(AND(ISNUMBER(AL16),AL16&gt;=29,AL16&lt;=42),0.25+((AL16-29)/13)*0.25,0))</x:f>
        <x:v>0</x:v>
      </x:c>
      <x:c r="AC16" s="63" t="n">
        <x:f>IF('01_Run_Config'!$B$46="OFF",0,IF(OR(AND(A16&gt;='01_Run_Config'!$B$32,A16&lt;='01_Run_Config'!$B$32+13),AND(A16&gt;='01_Run_Config'!$B$33,A16&lt;='01_Run_Config'!$B$33+13)),2,0))</x:f>
        <x:v>2</x:v>
      </x:c>
      <x:c r="AD16" s="63" t="str">
        <x:f>IF(BG16="BLOCK","HYBRID BLOCKED - Konfiguration prüfen",IF(SUM(AC16,AT16:BF16)&gt;0,"AN aktiv: "&amp;BH16,"AN: keine Dosis heute / Module aus"))</x:f>
        <x:v>AN aktiv: Voodoo 2 ml/L; Tarantula 2 ml/L; 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6" s="34" t="str">
        <x:f>IF(A16&lt;2,"PRE-EMERGENCE · kein Kalenderwert","AVAILABLE IF NEEDED · nur wenn vollständiger Endmix unter pH-Ziel liegt")</x:f>
        <x:v>AVAILABLE IF NEEDED · nur wenn vollständiger Endmix unter pH-Ziel liegt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  <x:c r="AT16" t="n">
        <x:f>IF(AND('01_Run_Config'!$B$46="Voodoo + Piranha + Tarantula",AC16&gt;0),2,0)</x:f>
        <x:v>0</x:v>
      </x:c>
      <x:c r="AU16" t="n">
        <x:f>IF(AND(OR('01_Run_Config'!$B$46="Voodoo + Tarantula",'01_Run_Config'!$B$46="Voodoo + Piranha + Tarantula"),AC16&gt;0),2,0)</x:f>
        <x:v>2</x:v>
      </x:c>
      <x:c r="AV16" t="n">
        <x:f>IF('01_Run_Config'!$B$47&lt;&gt;"ON / A-B",0,IF(OR(AND(A16&gt;='01_Run_Config'!$B$32,A16&lt;'01_Run_Config'!$B$33),AND(ISNUMBER(AL16),AL16&gt;=15,AL16&lt;=49)),2,0))</x:f>
        <x:v>0</x:v>
      </x:c>
      <x:c r="AW16" t="n">
        <x:f>IF('01_Run_Config'!$B$48="AN Bud Candy (replaces HESI Boost)",IF(AND(A16&gt;='01_Run_Config'!$B$32,OR(AL16="",AL16&lt;=49)),2,0),0)</x:f>
        <x:v>0</x:v>
      </x:c>
      <x:c r="AX16" t="n">
        <x:f>IF('01_Run_Config'!$B$49&lt;&gt;"ON / EXPERIMENTAL",0,IF(OR(AND(A16&gt;='01_Run_Config'!$B$32+7,A16&lt;'01_Run_Config'!$B$33),AND(ISNUMBER(AL16),AL16&gt;=1,AL16&lt;=49)),2,0))</x:f>
        <x:v>0</x:v>
      </x:c>
      <x:c r="AY16" t="n">
        <x:f>IF('01_Run_Config'!$B$50="AN Sensizym",IF(AND(A16&gt;='01_Run_Config'!$B$32,OR(AL16="",AL16&lt;=49)),2,0),0)</x:f>
        <x:v>0</x:v>
      </x:c>
      <x:c r="AZ16" t="n">
        <x:f>IF('01_Run_Config'!$B$51="AN Rhino Skin",IF(AND(A16&gt;='01_Run_Config'!$B$32,OR(AL16="",AL16&lt;=49)),2,0),0)</x:f>
        <x:v>0</x:v>
      </x:c>
      <x:c r="BA16" t="n">
        <x:f>IF(AND('01_Run_Config'!$B$52="AN Bud Ignitor &gt; Big Bud &gt; Overdrive",ISNUMBER(AL16),AL16&gt;=1,AL16&lt;=14),2,0)</x:f>
        <x:v>0</x:v>
      </x:c>
      <x:c r="BB16" t="n">
        <x:f>IF(AND('01_Run_Config'!$B$52="AN Bud Ignitor &gt; Big Bud &gt; Overdrive",ISNUMBER(AL16),AL16&gt;=8,AL16&lt;=35),2,0)</x:f>
        <x:v>0</x:v>
      </x:c>
      <x:c r="BC16" t="n">
        <x:f>IF(AND('01_Run_Config'!$B$52="AN Bud Ignitor &gt; Big Bud &gt; Overdrive",ISNUMBER(AL16),AL16&gt;=36,AL16&lt;=49),2,0)</x:f>
        <x:v>0</x:v>
      </x:c>
      <x:c r="BD16" t="n">
        <x:f>IF('01_Run_Config'!$B$53="ON / EXPERIMENTAL",IF(OR(AND(A16&gt;='01_Run_Config'!$B$32,A16&lt;'01_Run_Config'!$B$33),AND(ISNUMBER(AL16),AL16&gt;=15,AL16&lt;=49)),2,0),0)</x:f>
        <x:v>0</x:v>
      </x:c>
      <x:c r="BE16" t="n">
        <x:f>IF('01_Run_Config'!$B$54="AN Sensi CalMag Xtra conditional",'01_Run_Config'!$B$17,0)</x:f>
        <x:v>0</x:v>
      </x:c>
      <x:c r="BF16" t="n">
        <x:f>0</x:f>
        <x:v>0</x:v>
      </x:c>
      <x:c r="BG16" t="str">
        <x:f>'01_Run_Config'!$E$57</x:f>
        <x:v>OK</x:v>
      </x:c>
      <x:c r="BH16" t="str">
        <x:f>IF(SUM(AC16,AT16:BF16)=0,"keine AN-Dosis heute",IF(AC16&gt;0,"Voodoo "&amp;AC16&amp;" ml/L; ","")&amp;IF(AT16&gt;0,"Piranha "&amp;AT16&amp;" ml/L; ","")&amp;IF(AU16&gt;0,"Tarantula "&amp;AU16&amp;" ml/L; ","")&amp;IF(AV16&gt;0,"B-52 "&amp;AV16&amp;" ml/L; ","")&amp;IF(AW16&gt;0,"Bud Candy "&amp;AW16&amp;" ml/L; ","")&amp;IF(AX16&gt;0,"Bud Factor X "&amp;AX16&amp;" ml/L; ","")&amp;IF(AY16&gt;0,"Sensizym "&amp;AY16&amp;" ml/L; ","")&amp;IF(AZ16&gt;0,"Rhino Skin "&amp;AZ16&amp;" ml/L; ","")&amp;IF(BA16&gt;0,"Bud Ignitor "&amp;BA16&amp;" ml/L; ","")&amp;IF(BB16&gt;0,"Big Bud "&amp;BB16&amp;" ml/L; ","")&amp;IF(BC16&gt;0,"Overdrive "&amp;BC16&amp;" ml/L; ","")&amp;IF(BD16&gt;0,"Tasty Terpenes "&amp;BD16&amp;" ml/L; ","")&amp;IF(BE16&gt;0,"Sensi CalMag "&amp;BE16&amp;" ml/L",""))</x:f>
        <x:v>Voodoo 2 ml/L; Tarantula 2 ml/L; </x:v>
      </x:c>
      <x:c r="BI16" s="60" t="n">
        <x:f>IF(ISNUMBER('01_Run_Config'!$B$91),IF(B16&lt;'01_Run_Config'!$B$91,"PRE",B16-'01_Run_Config'!$B$91),"PRE")</x:f>
        <x:v>12</x:v>
      </x:c>
      <x:c r="BJ16" s="60" t="str">
        <x:f>IF(ISNUMBER('01_Run_Config'!$B$92),IF(B16&lt;'01_Run_Config'!$B$92,"PRE",B16-'01_Run_Config'!$B$92),"PRE")</x:f>
        <x:v>PRE</x:v>
      </x:c>
      <x:c r="BK16" s="60" t="str">
        <x:f>IF(ISNUMBER('01_Run_Config'!$B$93),IF(B16&lt;'01_Run_Config'!$B$93,"PRE",B16-'01_Run_Config'!$B$93),"PRE")</x:f>
        <x:v>PRE</x:v>
      </x:c>
      <x:c r="BL16" s="2482" t="n">
        <x:f>IF(BM16=5.8,5.8,5.8)</x:f>
        <x:v>5.8</x:v>
      </x:c>
      <x:c r="BM16" s="2482" t="n">
        <x:f>IF(A16&lt;IF(ISNUMBER('01_Run_Config'!$B$81),'01_Run_Config'!$B$81,15),5.8,6)</x:f>
        <x:v>5.8</x:v>
      </x:c>
      <x:c r="BN16" s="2482" t="n">
        <x:f>IF(BM16=5.8,5.8,6.2)</x:f>
        <x:v>5.8</x:v>
      </x:c>
      <x:c r="BO16" s="60" t="str">
        <x:f>IF(BM16=5.8,"Eazy Plug/Block: Herstellerziel 5.80","Final Coco: UKD 6.00 = Mitte HESI 5.8–6.2")</x:f>
        <x:v>Eazy Plug/Block: Herstellerziel 5.80</x:v>
      </x:c>
      <x:c r="BP16" s="60" t="str">
        <x:f>IF(A16&lt;2,"PRE-EMERGENCE: Balance normalerweise nicht nötig",IF(BM16=5.8,"ab Durchbruch AVAILABLE IF endmix &lt; 5.80","AVAILABLE IF endmix &lt; 6.00"))</x:f>
        <x:v>ab Durchbruch AVAILABLE IF endmix &lt; 5.80</x:v>
      </x:c>
      <x:c r="BQ16" s="60" t="str">
        <x:f>IF(A16=0,"Run Day 0 = Aussaat 21.08.2026; Plant Day beginnt erst beim Durchbruch.",IF(A16=2,"P15 Double Grape: 23.08.2026 = Plant Day 0.","Daily pH is a projection; actual root-stage/event overrides calendar."))</x:f>
        <x:v>Daily pH is a projection; actual root-stage/event overrides calendar.</x:v>
      </x:c>
    </x:row>
    <x:row r="17">
      <x:c r="A17" s="34" t="n">
        <x:v>15</x:v>
      </x:c>
      <x:c r="B17" s="129" t="n">
        <x:f>'01_Run_Config'!$B$4+A17</x:f>
        <x:v>46270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f>BM17</x:f>
        <x:v>6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IF(A17&lt;=14,2.5,0)</x:f>
        <x:v>0</x:v>
      </x:c>
      <x:c r="X17" s="63" t="n">
        <x:f>IF('01_Run_Config'!$B$50="AN Sensizym",0,IF(AND(A17&gt;='01_Run_Config'!$B$32,OR(AL17="",AL17&lt;=49)),2,0))</x:f>
        <x:v>2</x:v>
      </x:c>
      <x:c r="Y17" s="63" t="n">
        <x:f>0.015</x:f>
        <x:v>0.015</x:v>
      </x:c>
      <x:c r="Z17" s="63" t="n">
        <x:f>IF('01_Run_Config'!$B$51="HESI Hesilicio",2,0)</x:f>
        <x:v>0</x:v>
      </x:c>
      <x:c r="AA17" s="63" t="n">
        <x:f>IF('01_Run_Config'!$B$48="AN Bud Candy (replaces HESI Boost)",0,IF(AND(A17&gt;='01_Run_Config'!$B$33,MOD(A17-'01_Run_Config'!$B$33,7)=0),2,0))</x:f>
        <x:v>0</x:v>
      </x:c>
      <x:c r="AB17" s="63" t="n">
        <x:f>IF('01_Run_Config'!$B$52="AN Bud Ignitor &gt; Big Bud &gt; Overdrive",0,IF(AND(ISNUMBER(AL17),AL17&gt;=29,AL17&lt;=42),0.25+((AL17-29)/13)*0.25,0))</x:f>
        <x:v>0</x:v>
      </x:c>
      <x:c r="AC17" s="63" t="n">
        <x:f>IF('01_Run_Config'!$B$46="OFF",0,IF(OR(AND(A17&gt;='01_Run_Config'!$B$32,A17&lt;='01_Run_Config'!$B$32+13),AND(A17&gt;='01_Run_Config'!$B$33,A17&lt;='01_Run_Config'!$B$33+13)),2,0))</x:f>
        <x:v>2</x:v>
      </x:c>
      <x:c r="AD17" s="63" t="str">
        <x:f>IF(BG17="BLOCK","HYBRID BLOCKED - Konfiguration prüfen",IF(SUM(AC17,AT17:BF17)&gt;0,"AN aktiv: "&amp;BH17,"AN: keine Dosis heute / Module aus"))</x:f>
        <x:v>AN aktiv: Voodoo 2 ml/L; Tarantula 2 ml/L; 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7" s="34" t="str">
        <x:f>IF(A17&lt;2,"PRE-EMERGENCE · kein Kalenderwert","AVAILABLE IF NEEDED · nur wenn vollständiger Endmix unter pH-Ziel liegt")</x:f>
        <x:v>AVAILABLE IF NEEDED · nur wenn vollständiger Endmix unter pH-Ziel liegt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  <x:c r="AT17" t="n">
        <x:f>IF(AND('01_Run_Config'!$B$46="Voodoo + Piranha + Tarantula",AC17&gt;0),2,0)</x:f>
        <x:v>0</x:v>
      </x:c>
      <x:c r="AU17" t="n">
        <x:f>IF(AND(OR('01_Run_Config'!$B$46="Voodoo + Tarantula",'01_Run_Config'!$B$46="Voodoo + Piranha + Tarantula"),AC17&gt;0),2,0)</x:f>
        <x:v>2</x:v>
      </x:c>
      <x:c r="AV17" t="n">
        <x:f>IF('01_Run_Config'!$B$47&lt;&gt;"ON / A-B",0,IF(OR(AND(A17&gt;='01_Run_Config'!$B$32,A17&lt;'01_Run_Config'!$B$33),AND(ISNUMBER(AL17),AL17&gt;=15,AL17&lt;=49)),2,0))</x:f>
        <x:v>0</x:v>
      </x:c>
      <x:c r="AW17" t="n">
        <x:f>IF('01_Run_Config'!$B$48="AN Bud Candy (replaces HESI Boost)",IF(AND(A17&gt;='01_Run_Config'!$B$32,OR(AL17="",AL17&lt;=49)),2,0),0)</x:f>
        <x:v>0</x:v>
      </x:c>
      <x:c r="AX17" t="n">
        <x:f>IF('01_Run_Config'!$B$49&lt;&gt;"ON / EXPERIMENTAL",0,IF(OR(AND(A17&gt;='01_Run_Config'!$B$32+7,A17&lt;'01_Run_Config'!$B$33),AND(ISNUMBER(AL17),AL17&gt;=1,AL17&lt;=49)),2,0))</x:f>
        <x:v>0</x:v>
      </x:c>
      <x:c r="AY17" t="n">
        <x:f>IF('01_Run_Config'!$B$50="AN Sensizym",IF(AND(A17&gt;='01_Run_Config'!$B$32,OR(AL17="",AL17&lt;=49)),2,0),0)</x:f>
        <x:v>0</x:v>
      </x:c>
      <x:c r="AZ17" t="n">
        <x:f>IF('01_Run_Config'!$B$51="AN Rhino Skin",IF(AND(A17&gt;='01_Run_Config'!$B$32,OR(AL17="",AL17&lt;=49)),2,0),0)</x:f>
        <x:v>0</x:v>
      </x:c>
      <x:c r="BA17" t="n">
        <x:f>IF(AND('01_Run_Config'!$B$52="AN Bud Ignitor &gt; Big Bud &gt; Overdrive",ISNUMBER(AL17),AL17&gt;=1,AL17&lt;=14),2,0)</x:f>
        <x:v>0</x:v>
      </x:c>
      <x:c r="BB17" t="n">
        <x:f>IF(AND('01_Run_Config'!$B$52="AN Bud Ignitor &gt; Big Bud &gt; Overdrive",ISNUMBER(AL17),AL17&gt;=8,AL17&lt;=35),2,0)</x:f>
        <x:v>0</x:v>
      </x:c>
      <x:c r="BC17" t="n">
        <x:f>IF(AND('01_Run_Config'!$B$52="AN Bud Ignitor &gt; Big Bud &gt; Overdrive",ISNUMBER(AL17),AL17&gt;=36,AL17&lt;=49),2,0)</x:f>
        <x:v>0</x:v>
      </x:c>
      <x:c r="BD17" t="n">
        <x:f>IF('01_Run_Config'!$B$53="ON / EXPERIMENTAL",IF(OR(AND(A17&gt;='01_Run_Config'!$B$32,A17&lt;'01_Run_Config'!$B$33),AND(ISNUMBER(AL17),AL17&gt;=15,AL17&lt;=49)),2,0),0)</x:f>
        <x:v>0</x:v>
      </x:c>
      <x:c r="BE17" t="n">
        <x:f>IF('01_Run_Config'!$B$54="AN Sensi CalMag Xtra conditional",'01_Run_Config'!$B$17,0)</x:f>
        <x:v>0</x:v>
      </x:c>
      <x:c r="BF17" t="n">
        <x:f>0</x:f>
        <x:v>0</x:v>
      </x:c>
      <x:c r="BG17" t="str">
        <x:f>'01_Run_Config'!$E$57</x:f>
        <x:v>OK</x:v>
      </x:c>
      <x:c r="BH17" t="str">
        <x:f>IF(SUM(AC17,AT17:BF17)=0,"keine AN-Dosis heute",IF(AC17&gt;0,"Voodoo "&amp;AC17&amp;" ml/L; ","")&amp;IF(AT17&gt;0,"Piranha "&amp;AT17&amp;" ml/L; ","")&amp;IF(AU17&gt;0,"Tarantula "&amp;AU17&amp;" ml/L; ","")&amp;IF(AV17&gt;0,"B-52 "&amp;AV17&amp;" ml/L; ","")&amp;IF(AW17&gt;0,"Bud Candy "&amp;AW17&amp;" ml/L; ","")&amp;IF(AX17&gt;0,"Bud Factor X "&amp;AX17&amp;" ml/L; ","")&amp;IF(AY17&gt;0,"Sensizym "&amp;AY17&amp;" ml/L; ","")&amp;IF(AZ17&gt;0,"Rhino Skin "&amp;AZ17&amp;" ml/L; ","")&amp;IF(BA17&gt;0,"Bud Ignitor "&amp;BA17&amp;" ml/L; ","")&amp;IF(BB17&gt;0,"Big Bud "&amp;BB17&amp;" ml/L; ","")&amp;IF(BC17&gt;0,"Overdrive "&amp;BC17&amp;" ml/L; ","")&amp;IF(BD17&gt;0,"Tasty Terpenes "&amp;BD17&amp;" ml/L; ","")&amp;IF(BE17&gt;0,"Sensi CalMag "&amp;BE17&amp;" ml/L",""))</x:f>
        <x:v>Voodoo 2 ml/L; Tarantula 2 ml/L; </x:v>
      </x:c>
      <x:c r="BI17" s="60" t="n">
        <x:f>IF(ISNUMBER('01_Run_Config'!$B$91),IF(B17&lt;'01_Run_Config'!$B$91,"PRE",B17-'01_Run_Config'!$B$91),"PRE")</x:f>
        <x:v>13</x:v>
      </x:c>
      <x:c r="BJ17" s="60" t="str">
        <x:f>IF(ISNUMBER('01_Run_Config'!$B$92),IF(B17&lt;'01_Run_Config'!$B$92,"PRE",B17-'01_Run_Config'!$B$92),"PRE")</x:f>
        <x:v>PRE</x:v>
      </x:c>
      <x:c r="BK17" s="60" t="str">
        <x:f>IF(ISNUMBER('01_Run_Config'!$B$93),IF(B17&lt;'01_Run_Config'!$B$93,"PRE",B17-'01_Run_Config'!$B$93),"PRE")</x:f>
        <x:v>PRE</x:v>
      </x:c>
      <x:c r="BL17" s="2482" t="n">
        <x:f>IF(BM17=5.8,5.8,5.8)</x:f>
        <x:v>5.8</x:v>
      </x:c>
      <x:c r="BM17" s="2482" t="n">
        <x:f>IF(A17&lt;IF(ISNUMBER('01_Run_Config'!$B$81),'01_Run_Config'!$B$81,15),5.8,6)</x:f>
        <x:v>6</x:v>
      </x:c>
      <x:c r="BN17" s="2482" t="n">
        <x:f>IF(BM17=5.8,5.8,6.2)</x:f>
        <x:v>6.2</x:v>
      </x:c>
      <x:c r="BO17" s="60" t="str">
        <x:f>IF(BM17=5.8,"Eazy Plug/Block: Herstellerziel 5.80","Final Coco: UKD 6.00 = Mitte HESI 5.8–6.2")</x:f>
        <x:v>Final Coco: UKD 6.00 = Mitte HESI 5.8–6.2</x:v>
      </x:c>
      <x:c r="BP17" s="60" t="str">
        <x:f>IF(A17&lt;2,"PRE-EMERGENCE: Balance normalerweise nicht nötig",IF(BM17=5.8,"ab Durchbruch AVAILABLE IF endmix &lt; 5.80","AVAILABLE IF endmix &lt; 6.00"))</x:f>
        <x:v>AVAILABLE IF endmix &lt; 6.00</x:v>
      </x:c>
      <x:c r="BQ17" s="60" t="str">
        <x:f>IF(A17=0,"Run Day 0 = Aussaat 21.08.2026; Plant Day beginnt erst beim Durchbruch.",IF(A17=2,"P16 Double Grape: 23.08.2026 = Plant Day 0.","Daily pH is a projection; actual root-stage/event overrides calendar."))</x:f>
        <x:v>Daily pH is a projection; actual root-stage/event overrides calendar.</x:v>
      </x:c>
    </x:row>
    <x:row r="18">
      <x:c r="A18" s="34" t="n">
        <x:v>16</x:v>
      </x:c>
      <x:c r="B18" s="129" t="n">
        <x:f>'01_Run_Config'!$B$4+A18</x:f>
        <x:v>46271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f>BM18</x:f>
        <x:v>6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IF(A18&lt;=14,2.5,0)</x:f>
        <x:v>0</x:v>
      </x:c>
      <x:c r="X18" s="63" t="n">
        <x:f>IF('01_Run_Config'!$B$50="AN Sensizym",0,IF(AND(A18&gt;='01_Run_Config'!$B$32,OR(AL18="",AL18&lt;=49)),2,0))</x:f>
        <x:v>2</x:v>
      </x:c>
      <x:c r="Y18" s="63" t="n">
        <x:f>0.015</x:f>
        <x:v>0.015</x:v>
      </x:c>
      <x:c r="Z18" s="63" t="n">
        <x:f>IF('01_Run_Config'!$B$51="HESI Hesilicio",2,0)</x:f>
        <x:v>0</x:v>
      </x:c>
      <x:c r="AA18" s="63" t="n">
        <x:f>IF('01_Run_Config'!$B$48="AN Bud Candy (replaces HESI Boost)",0,IF(AND(A18&gt;='01_Run_Config'!$B$33,MOD(A18-'01_Run_Config'!$B$33,7)=0),2,0))</x:f>
        <x:v>0</x:v>
      </x:c>
      <x:c r="AB18" s="63" t="n">
        <x:f>IF('01_Run_Config'!$B$52="AN Bud Ignitor &gt; Big Bud &gt; Overdrive",0,IF(AND(ISNUMBER(AL18),AL18&gt;=29,AL18&lt;=42),0.25+((AL18-29)/13)*0.25,0))</x:f>
        <x:v>0</x:v>
      </x:c>
      <x:c r="AC18" s="63" t="n">
        <x:f>IF('01_Run_Config'!$B$46="OFF",0,IF(OR(AND(A18&gt;='01_Run_Config'!$B$32,A18&lt;='01_Run_Config'!$B$32+13),AND(A18&gt;='01_Run_Config'!$B$33,A18&lt;='01_Run_Config'!$B$33+13)),2,0))</x:f>
        <x:v>2</x:v>
      </x:c>
      <x:c r="AD18" s="63" t="str">
        <x:f>IF(BG18="BLOCK","HYBRID BLOCKED - Konfiguration prüfen",IF(SUM(AC18,AT18:BF18)&gt;0,"AN aktiv: "&amp;BH18,"AN: keine Dosis heute / Module aus"))</x:f>
        <x:v>AN aktiv: Voodoo 2 ml/L; Tarantula 2 ml/L; 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8" s="34" t="str">
        <x:f>IF(A18&lt;2,"PRE-EMERGENCE · kein Kalenderwert","AVAILABLE IF NEEDED · nur wenn vollständiger Endmix unter pH-Ziel liegt")</x:f>
        <x:v>AVAILABLE IF NEEDED · nur wenn vollständiger Endmix unter pH-Ziel liegt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  <x:c r="AT18" t="n">
        <x:f>IF(AND('01_Run_Config'!$B$46="Voodoo + Piranha + Tarantula",AC18&gt;0),2,0)</x:f>
        <x:v>0</x:v>
      </x:c>
      <x:c r="AU18" t="n">
        <x:f>IF(AND(OR('01_Run_Config'!$B$46="Voodoo + Tarantula",'01_Run_Config'!$B$46="Voodoo + Piranha + Tarantula"),AC18&gt;0),2,0)</x:f>
        <x:v>2</x:v>
      </x:c>
      <x:c r="AV18" t="n">
        <x:f>IF('01_Run_Config'!$B$47&lt;&gt;"ON / A-B",0,IF(OR(AND(A18&gt;='01_Run_Config'!$B$32,A18&lt;'01_Run_Config'!$B$33),AND(ISNUMBER(AL18),AL18&gt;=15,AL18&lt;=49)),2,0))</x:f>
        <x:v>0</x:v>
      </x:c>
      <x:c r="AW18" t="n">
        <x:f>IF('01_Run_Config'!$B$48="AN Bud Candy (replaces HESI Boost)",IF(AND(A18&gt;='01_Run_Config'!$B$32,OR(AL18="",AL18&lt;=49)),2,0),0)</x:f>
        <x:v>0</x:v>
      </x:c>
      <x:c r="AX18" t="n">
        <x:f>IF('01_Run_Config'!$B$49&lt;&gt;"ON / EXPERIMENTAL",0,IF(OR(AND(A18&gt;='01_Run_Config'!$B$32+7,A18&lt;'01_Run_Config'!$B$33),AND(ISNUMBER(AL18),AL18&gt;=1,AL18&lt;=49)),2,0))</x:f>
        <x:v>0</x:v>
      </x:c>
      <x:c r="AY18" t="n">
        <x:f>IF('01_Run_Config'!$B$50="AN Sensizym",IF(AND(A18&gt;='01_Run_Config'!$B$32,OR(AL18="",AL18&lt;=49)),2,0),0)</x:f>
        <x:v>0</x:v>
      </x:c>
      <x:c r="AZ18" t="n">
        <x:f>IF('01_Run_Config'!$B$51="AN Rhino Skin",IF(AND(A18&gt;='01_Run_Config'!$B$32,OR(AL18="",AL18&lt;=49)),2,0),0)</x:f>
        <x:v>0</x:v>
      </x:c>
      <x:c r="BA18" t="n">
        <x:f>IF(AND('01_Run_Config'!$B$52="AN Bud Ignitor &gt; Big Bud &gt; Overdrive",ISNUMBER(AL18),AL18&gt;=1,AL18&lt;=14),2,0)</x:f>
        <x:v>0</x:v>
      </x:c>
      <x:c r="BB18" t="n">
        <x:f>IF(AND('01_Run_Config'!$B$52="AN Bud Ignitor &gt; Big Bud &gt; Overdrive",ISNUMBER(AL18),AL18&gt;=8,AL18&lt;=35),2,0)</x:f>
        <x:v>0</x:v>
      </x:c>
      <x:c r="BC18" t="n">
        <x:f>IF(AND('01_Run_Config'!$B$52="AN Bud Ignitor &gt; Big Bud &gt; Overdrive",ISNUMBER(AL18),AL18&gt;=36,AL18&lt;=49),2,0)</x:f>
        <x:v>0</x:v>
      </x:c>
      <x:c r="BD18" t="n">
        <x:f>IF('01_Run_Config'!$B$53="ON / EXPERIMENTAL",IF(OR(AND(A18&gt;='01_Run_Config'!$B$32,A18&lt;'01_Run_Config'!$B$33),AND(ISNUMBER(AL18),AL18&gt;=15,AL18&lt;=49)),2,0),0)</x:f>
        <x:v>0</x:v>
      </x:c>
      <x:c r="BE18" t="n">
        <x:f>IF('01_Run_Config'!$B$54="AN Sensi CalMag Xtra conditional",'01_Run_Config'!$B$17,0)</x:f>
        <x:v>0</x:v>
      </x:c>
      <x:c r="BF18" t="n">
        <x:f>0</x:f>
        <x:v>0</x:v>
      </x:c>
      <x:c r="BG18" t="str">
        <x:f>'01_Run_Config'!$E$57</x:f>
        <x:v>OK</x:v>
      </x:c>
      <x:c r="BH18" t="str">
        <x:f>IF(SUM(AC18,AT18:BF18)=0,"keine AN-Dosis heute",IF(AC18&gt;0,"Voodoo "&amp;AC18&amp;" ml/L; ","")&amp;IF(AT18&gt;0,"Piranha "&amp;AT18&amp;" ml/L; ","")&amp;IF(AU18&gt;0,"Tarantula "&amp;AU18&amp;" ml/L; ","")&amp;IF(AV18&gt;0,"B-52 "&amp;AV18&amp;" ml/L; ","")&amp;IF(AW18&gt;0,"Bud Candy "&amp;AW18&amp;" ml/L; ","")&amp;IF(AX18&gt;0,"Bud Factor X "&amp;AX18&amp;" ml/L; ","")&amp;IF(AY18&gt;0,"Sensizym "&amp;AY18&amp;" ml/L; ","")&amp;IF(AZ18&gt;0,"Rhino Skin "&amp;AZ18&amp;" ml/L; ","")&amp;IF(BA18&gt;0,"Bud Ignitor "&amp;BA18&amp;" ml/L; ","")&amp;IF(BB18&gt;0,"Big Bud "&amp;BB18&amp;" ml/L; ","")&amp;IF(BC18&gt;0,"Overdrive "&amp;BC18&amp;" ml/L; ","")&amp;IF(BD18&gt;0,"Tasty Terpenes "&amp;BD18&amp;" ml/L; ","")&amp;IF(BE18&gt;0,"Sensi CalMag "&amp;BE18&amp;" ml/L",""))</x:f>
        <x:v>Voodoo 2 ml/L; Tarantula 2 ml/L; </x:v>
      </x:c>
      <x:c r="BI18" s="60" t="n">
        <x:f>IF(ISNUMBER('01_Run_Config'!$B$91),IF(B18&lt;'01_Run_Config'!$B$91,"PRE",B18-'01_Run_Config'!$B$91),"PRE")</x:f>
        <x:v>14</x:v>
      </x:c>
      <x:c r="BJ18" s="60" t="str">
        <x:f>IF(ISNUMBER('01_Run_Config'!$B$92),IF(B18&lt;'01_Run_Config'!$B$92,"PRE",B18-'01_Run_Config'!$B$92),"PRE")</x:f>
        <x:v>PRE</x:v>
      </x:c>
      <x:c r="BK18" s="60" t="str">
        <x:f>IF(ISNUMBER('01_Run_Config'!$B$93),IF(B18&lt;'01_Run_Config'!$B$93,"PRE",B18-'01_Run_Config'!$B$93),"PRE")</x:f>
        <x:v>PRE</x:v>
      </x:c>
      <x:c r="BL18" s="2482" t="n">
        <x:f>IF(BM18=5.8,5.8,5.8)</x:f>
        <x:v>5.8</x:v>
      </x:c>
      <x:c r="BM18" s="2482" t="n">
        <x:f>IF(A18&lt;IF(ISNUMBER('01_Run_Config'!$B$81),'01_Run_Config'!$B$81,15),5.8,6)</x:f>
        <x:v>6</x:v>
      </x:c>
      <x:c r="BN18" s="2482" t="n">
        <x:f>IF(BM18=5.8,5.8,6.2)</x:f>
        <x:v>6.2</x:v>
      </x:c>
      <x:c r="BO18" s="60" t="str">
        <x:f>IF(BM18=5.8,"Eazy Plug/Block: Herstellerziel 5.80","Final Coco: UKD 6.00 = Mitte HESI 5.8–6.2")</x:f>
        <x:v>Final Coco: UKD 6.00 = Mitte HESI 5.8–6.2</x:v>
      </x:c>
      <x:c r="BP18" s="60" t="str">
        <x:f>IF(A18&lt;2,"PRE-EMERGENCE: Balance normalerweise nicht nötig",IF(BM18=5.8,"ab Durchbruch AVAILABLE IF endmix &lt; 5.80","AVAILABLE IF endmix &lt; 6.00"))</x:f>
        <x:v>AVAILABLE IF endmix &lt; 6.00</x:v>
      </x:c>
      <x:c r="BQ18" s="60" t="str">
        <x:f>IF(A18=0,"Run Day 0 = Aussaat 21.08.2026; Plant Day beginnt erst beim Durchbruch.",IF(A18=2,"P17 Double Grape: 23.08.2026 = Plant Day 0.","Daily pH is a projection; actual root-stage/event overrides calendar."))</x:f>
        <x:v>Daily pH is a projection; actual root-stage/event overrides calendar.</x:v>
      </x:c>
    </x:row>
    <x:row r="19">
      <x:c r="A19" s="34" t="n">
        <x:v>17</x:v>
      </x:c>
      <x:c r="B19" s="129" t="n">
        <x:f>'01_Run_Config'!$B$4+A19</x:f>
        <x:v>46272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f>BM19</x:f>
        <x:v>6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IF(A19&lt;=14,2.5,0)</x:f>
        <x:v>0</x:v>
      </x:c>
      <x:c r="X19" s="63" t="n">
        <x:f>IF('01_Run_Config'!$B$50="AN Sensizym",0,IF(AND(A19&gt;='01_Run_Config'!$B$32,OR(AL19="",AL19&lt;=49)),2,0))</x:f>
        <x:v>2</x:v>
      </x:c>
      <x:c r="Y19" s="63" t="n">
        <x:f>0.015</x:f>
        <x:v>0.015</x:v>
      </x:c>
      <x:c r="Z19" s="63" t="n">
        <x:f>IF('01_Run_Config'!$B$51="HESI Hesilicio",2,0)</x:f>
        <x:v>0</x:v>
      </x:c>
      <x:c r="AA19" s="63" t="n">
        <x:f>IF('01_Run_Config'!$B$48="AN Bud Candy (replaces HESI Boost)",0,IF(AND(A19&gt;='01_Run_Config'!$B$33,MOD(A19-'01_Run_Config'!$B$33,7)=0),2,0))</x:f>
        <x:v>0</x:v>
      </x:c>
      <x:c r="AB19" s="63" t="n">
        <x:f>IF('01_Run_Config'!$B$52="AN Bud Ignitor &gt; Big Bud &gt; Overdrive",0,IF(AND(ISNUMBER(AL19),AL19&gt;=29,AL19&lt;=42),0.25+((AL19-29)/13)*0.25,0))</x:f>
        <x:v>0</x:v>
      </x:c>
      <x:c r="AC19" s="63" t="n">
        <x:f>IF('01_Run_Config'!$B$46="OFF",0,IF(OR(AND(A19&gt;='01_Run_Config'!$B$32,A19&lt;='01_Run_Config'!$B$32+13),AND(A19&gt;='01_Run_Config'!$B$33,A19&lt;='01_Run_Config'!$B$33+13)),2,0))</x:f>
        <x:v>2</x:v>
      </x:c>
      <x:c r="AD19" s="63" t="str">
        <x:f>IF(BG19="BLOCK","HYBRID BLOCKED - Konfiguration prüfen",IF(SUM(AC19,AT19:BF19)&gt;0,"AN aktiv: "&amp;BH19,"AN: keine Dosis heute / Module aus"))</x:f>
        <x:v>AN aktiv: Voodoo 2 ml/L; Tarantula 2 ml/L; 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9" s="34" t="str">
        <x:f>IF(A19&lt;2,"PRE-EMERGENCE · kein Kalenderwert","AVAILABLE IF NEEDED · nur wenn vollständiger Endmix unter pH-Ziel liegt")</x:f>
        <x:v>AVAILABLE IF NEEDED · nur wenn vollständiger Endmix unter pH-Ziel liegt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  <x:c r="AT19" t="n">
        <x:f>IF(AND('01_Run_Config'!$B$46="Voodoo + Piranha + Tarantula",AC19&gt;0),2,0)</x:f>
        <x:v>0</x:v>
      </x:c>
      <x:c r="AU19" t="n">
        <x:f>IF(AND(OR('01_Run_Config'!$B$46="Voodoo + Tarantula",'01_Run_Config'!$B$46="Voodoo + Piranha + Tarantula"),AC19&gt;0),2,0)</x:f>
        <x:v>2</x:v>
      </x:c>
      <x:c r="AV19" t="n">
        <x:f>IF('01_Run_Config'!$B$47&lt;&gt;"ON / A-B",0,IF(OR(AND(A19&gt;='01_Run_Config'!$B$32,A19&lt;'01_Run_Config'!$B$33),AND(ISNUMBER(AL19),AL19&gt;=15,AL19&lt;=49)),2,0))</x:f>
        <x:v>0</x:v>
      </x:c>
      <x:c r="AW19" t="n">
        <x:f>IF('01_Run_Config'!$B$48="AN Bud Candy (replaces HESI Boost)",IF(AND(A19&gt;='01_Run_Config'!$B$32,OR(AL19="",AL19&lt;=49)),2,0),0)</x:f>
        <x:v>0</x:v>
      </x:c>
      <x:c r="AX19" t="n">
        <x:f>IF('01_Run_Config'!$B$49&lt;&gt;"ON / EXPERIMENTAL",0,IF(OR(AND(A19&gt;='01_Run_Config'!$B$32+7,A19&lt;'01_Run_Config'!$B$33),AND(ISNUMBER(AL19),AL19&gt;=1,AL19&lt;=49)),2,0))</x:f>
        <x:v>0</x:v>
      </x:c>
      <x:c r="AY19" t="n">
        <x:f>IF('01_Run_Config'!$B$50="AN Sensizym",IF(AND(A19&gt;='01_Run_Config'!$B$32,OR(AL19="",AL19&lt;=49)),2,0),0)</x:f>
        <x:v>0</x:v>
      </x:c>
      <x:c r="AZ19" t="n">
        <x:f>IF('01_Run_Config'!$B$51="AN Rhino Skin",IF(AND(A19&gt;='01_Run_Config'!$B$32,OR(AL19="",AL19&lt;=49)),2,0),0)</x:f>
        <x:v>0</x:v>
      </x:c>
      <x:c r="BA19" t="n">
        <x:f>IF(AND('01_Run_Config'!$B$52="AN Bud Ignitor &gt; Big Bud &gt; Overdrive",ISNUMBER(AL19),AL19&gt;=1,AL19&lt;=14),2,0)</x:f>
        <x:v>0</x:v>
      </x:c>
      <x:c r="BB19" t="n">
        <x:f>IF(AND('01_Run_Config'!$B$52="AN Bud Ignitor &gt; Big Bud &gt; Overdrive",ISNUMBER(AL19),AL19&gt;=8,AL19&lt;=35),2,0)</x:f>
        <x:v>0</x:v>
      </x:c>
      <x:c r="BC19" t="n">
        <x:f>IF(AND('01_Run_Config'!$B$52="AN Bud Ignitor &gt; Big Bud &gt; Overdrive",ISNUMBER(AL19),AL19&gt;=36,AL19&lt;=49),2,0)</x:f>
        <x:v>0</x:v>
      </x:c>
      <x:c r="BD19" t="n">
        <x:f>IF('01_Run_Config'!$B$53="ON / EXPERIMENTAL",IF(OR(AND(A19&gt;='01_Run_Config'!$B$32,A19&lt;'01_Run_Config'!$B$33),AND(ISNUMBER(AL19),AL19&gt;=15,AL19&lt;=49)),2,0),0)</x:f>
        <x:v>0</x:v>
      </x:c>
      <x:c r="BE19" t="n">
        <x:f>IF('01_Run_Config'!$B$54="AN Sensi CalMag Xtra conditional",'01_Run_Config'!$B$17,0)</x:f>
        <x:v>0</x:v>
      </x:c>
      <x:c r="BF19" t="n">
        <x:f>0</x:f>
        <x:v>0</x:v>
      </x:c>
      <x:c r="BG19" t="str">
        <x:f>'01_Run_Config'!$E$57</x:f>
        <x:v>OK</x:v>
      </x:c>
      <x:c r="BH19" t="str">
        <x:f>IF(SUM(AC19,AT19:BF19)=0,"keine AN-Dosis heute",IF(AC19&gt;0,"Voodoo "&amp;AC19&amp;" ml/L; ","")&amp;IF(AT19&gt;0,"Piranha "&amp;AT19&amp;" ml/L; ","")&amp;IF(AU19&gt;0,"Tarantula "&amp;AU19&amp;" ml/L; ","")&amp;IF(AV19&gt;0,"B-52 "&amp;AV19&amp;" ml/L; ","")&amp;IF(AW19&gt;0,"Bud Candy "&amp;AW19&amp;" ml/L; ","")&amp;IF(AX19&gt;0,"Bud Factor X "&amp;AX19&amp;" ml/L; ","")&amp;IF(AY19&gt;0,"Sensizym "&amp;AY19&amp;" ml/L; ","")&amp;IF(AZ19&gt;0,"Rhino Skin "&amp;AZ19&amp;" ml/L; ","")&amp;IF(BA19&gt;0,"Bud Ignitor "&amp;BA19&amp;" ml/L; ","")&amp;IF(BB19&gt;0,"Big Bud "&amp;BB19&amp;" ml/L; ","")&amp;IF(BC19&gt;0,"Overdrive "&amp;BC19&amp;" ml/L; ","")&amp;IF(BD19&gt;0,"Tasty Terpenes "&amp;BD19&amp;" ml/L; ","")&amp;IF(BE19&gt;0,"Sensi CalMag "&amp;BE19&amp;" ml/L",""))</x:f>
        <x:v>Voodoo 2 ml/L; Tarantula 2 ml/L; </x:v>
      </x:c>
      <x:c r="BI19" s="60" t="n">
        <x:f>IF(ISNUMBER('01_Run_Config'!$B$91),IF(B19&lt;'01_Run_Config'!$B$91,"PRE",B19-'01_Run_Config'!$B$91),"PRE")</x:f>
        <x:v>15</x:v>
      </x:c>
      <x:c r="BJ19" s="60" t="str">
        <x:f>IF(ISNUMBER('01_Run_Config'!$B$92),IF(B19&lt;'01_Run_Config'!$B$92,"PRE",B19-'01_Run_Config'!$B$92),"PRE")</x:f>
        <x:v>PRE</x:v>
      </x:c>
      <x:c r="BK19" s="60" t="str">
        <x:f>IF(ISNUMBER('01_Run_Config'!$B$93),IF(B19&lt;'01_Run_Config'!$B$93,"PRE",B19-'01_Run_Config'!$B$93),"PRE")</x:f>
        <x:v>PRE</x:v>
      </x:c>
      <x:c r="BL19" s="2482" t="n">
        <x:f>IF(BM19=5.8,5.8,5.8)</x:f>
        <x:v>5.8</x:v>
      </x:c>
      <x:c r="BM19" s="2482" t="n">
        <x:f>IF(A19&lt;IF(ISNUMBER('01_Run_Config'!$B$81),'01_Run_Config'!$B$81,15),5.8,6)</x:f>
        <x:v>6</x:v>
      </x:c>
      <x:c r="BN19" s="2482" t="n">
        <x:f>IF(BM19=5.8,5.8,6.2)</x:f>
        <x:v>6.2</x:v>
      </x:c>
      <x:c r="BO19" s="60" t="str">
        <x:f>IF(BM19=5.8,"Eazy Plug/Block: Herstellerziel 5.80","Final Coco: UKD 6.00 = Mitte HESI 5.8–6.2")</x:f>
        <x:v>Final Coco: UKD 6.00 = Mitte HESI 5.8–6.2</x:v>
      </x:c>
      <x:c r="BP19" s="60" t="str">
        <x:f>IF(A19&lt;2,"PRE-EMERGENCE: Balance normalerweise nicht nötig",IF(BM19=5.8,"ab Durchbruch AVAILABLE IF endmix &lt; 5.80","AVAILABLE IF endmix &lt; 6.00"))</x:f>
        <x:v>AVAILABLE IF endmix &lt; 6.00</x:v>
      </x:c>
      <x:c r="BQ19" s="60" t="str">
        <x:f>IF(A19=0,"Run Day 0 = Aussaat 21.08.2026; Plant Day beginnt erst beim Durchbruch.",IF(A19=2,"P18 Double Grape: 23.08.2026 = Plant Day 0.","Daily pH is a projection; actual root-stage/event overrides calendar."))</x:f>
        <x:v>Daily pH is a projection; actual root-stage/event overrides calendar.</x:v>
      </x:c>
    </x:row>
    <x:row r="20">
      <x:c r="A20" s="34" t="n">
        <x:v>18</x:v>
      </x:c>
      <x:c r="B20" s="129" t="n">
        <x:f>'01_Run_Config'!$B$4+A20</x:f>
        <x:v>46273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f>BM20</x:f>
        <x:v>6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IF(A20&lt;=14,2.5,0)</x:f>
        <x:v>0</x:v>
      </x:c>
      <x:c r="X20" s="63" t="n">
        <x:f>IF('01_Run_Config'!$B$50="AN Sensizym",0,IF(AND(A20&gt;='01_Run_Config'!$B$32,OR(AL20="",AL20&lt;=49)),2,0))</x:f>
        <x:v>2</x:v>
      </x:c>
      <x:c r="Y20" s="63" t="n">
        <x:f>0.015</x:f>
        <x:v>0.015</x:v>
      </x:c>
      <x:c r="Z20" s="63" t="n">
        <x:f>IF('01_Run_Config'!$B$51="HESI Hesilicio",2,0)</x:f>
        <x:v>0</x:v>
      </x:c>
      <x:c r="AA20" s="63" t="n">
        <x:f>IF('01_Run_Config'!$B$48="AN Bud Candy (replaces HESI Boost)",0,IF(AND(A20&gt;='01_Run_Config'!$B$33,MOD(A20-'01_Run_Config'!$B$33,7)=0),2,0))</x:f>
        <x:v>0</x:v>
      </x:c>
      <x:c r="AB20" s="63" t="n">
        <x:f>IF('01_Run_Config'!$B$52="AN Bud Ignitor &gt; Big Bud &gt; Overdrive",0,IF(AND(ISNUMBER(AL20),AL20&gt;=29,AL20&lt;=42),0.25+((AL20-29)/13)*0.25,0))</x:f>
        <x:v>0</x:v>
      </x:c>
      <x:c r="AC20" s="63" t="n">
        <x:f>IF('01_Run_Config'!$B$46="OFF",0,IF(OR(AND(A20&gt;='01_Run_Config'!$B$32,A20&lt;='01_Run_Config'!$B$32+13),AND(A20&gt;='01_Run_Config'!$B$33,A20&lt;='01_Run_Config'!$B$33+13)),2,0))</x:f>
        <x:v>0</x:v>
      </x:c>
      <x:c r="AD20" s="63" t="str">
        <x:f>IF(BG20="BLOCK","HYBRID BLOCKED - Konfiguration prüfen",IF(SUM(AC20,AT20:BF20)&gt;0,"AN aktiv: "&amp;BH20,"AN: keine Dosis heute / Module aus"))</x:f>
        <x:v>AN: keine Dosis heute / Module aus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0" s="34" t="str">
        <x:f>IF(A20&lt;2,"PRE-EMERGENCE · kein Kalenderwert","AVAILABLE IF NEEDED · nur wenn vollständiger Endmix unter pH-Ziel liegt")</x:f>
        <x:v>AVAILABLE IF NEEDED · nur wenn vollständiger Endmix unter pH-Ziel liegt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  <x:c r="AT20" t="n">
        <x:f>IF(AND('01_Run_Config'!$B$46="Voodoo + Piranha + Tarantula",AC20&gt;0),2,0)</x:f>
        <x:v>0</x:v>
      </x:c>
      <x:c r="AU20" t="n">
        <x:f>IF(AND(OR('01_Run_Config'!$B$46="Voodoo + Tarantula",'01_Run_Config'!$B$46="Voodoo + Piranha + Tarantula"),AC20&gt;0),2,0)</x:f>
        <x:v>0</x:v>
      </x:c>
      <x:c r="AV20" t="n">
        <x:f>IF('01_Run_Config'!$B$47&lt;&gt;"ON / A-B",0,IF(OR(AND(A20&gt;='01_Run_Config'!$B$32,A20&lt;'01_Run_Config'!$B$33),AND(ISNUMBER(AL20),AL20&gt;=15,AL20&lt;=49)),2,0))</x:f>
        <x:v>0</x:v>
      </x:c>
      <x:c r="AW20" t="n">
        <x:f>IF('01_Run_Config'!$B$48="AN Bud Candy (replaces HESI Boost)",IF(AND(A20&gt;='01_Run_Config'!$B$32,OR(AL20="",AL20&lt;=49)),2,0),0)</x:f>
        <x:v>0</x:v>
      </x:c>
      <x:c r="AX20" t="n">
        <x:f>IF('01_Run_Config'!$B$49&lt;&gt;"ON / EXPERIMENTAL",0,IF(OR(AND(A20&gt;='01_Run_Config'!$B$32+7,A20&lt;'01_Run_Config'!$B$33),AND(ISNUMBER(AL20),AL20&gt;=1,AL20&lt;=49)),2,0))</x:f>
        <x:v>0</x:v>
      </x:c>
      <x:c r="AY20" t="n">
        <x:f>IF('01_Run_Config'!$B$50="AN Sensizym",IF(AND(A20&gt;='01_Run_Config'!$B$32,OR(AL20="",AL20&lt;=49)),2,0),0)</x:f>
        <x:v>0</x:v>
      </x:c>
      <x:c r="AZ20" t="n">
        <x:f>IF('01_Run_Config'!$B$51="AN Rhino Skin",IF(AND(A20&gt;='01_Run_Config'!$B$32,OR(AL20="",AL20&lt;=49)),2,0),0)</x:f>
        <x:v>0</x:v>
      </x:c>
      <x:c r="BA20" t="n">
        <x:f>IF(AND('01_Run_Config'!$B$52="AN Bud Ignitor &gt; Big Bud &gt; Overdrive",ISNUMBER(AL20),AL20&gt;=1,AL20&lt;=14),2,0)</x:f>
        <x:v>0</x:v>
      </x:c>
      <x:c r="BB20" t="n">
        <x:f>IF(AND('01_Run_Config'!$B$52="AN Bud Ignitor &gt; Big Bud &gt; Overdrive",ISNUMBER(AL20),AL20&gt;=8,AL20&lt;=35),2,0)</x:f>
        <x:v>0</x:v>
      </x:c>
      <x:c r="BC20" t="n">
        <x:f>IF(AND('01_Run_Config'!$B$52="AN Bud Ignitor &gt; Big Bud &gt; Overdrive",ISNUMBER(AL20),AL20&gt;=36,AL20&lt;=49),2,0)</x:f>
        <x:v>0</x:v>
      </x:c>
      <x:c r="BD20" t="n">
        <x:f>IF('01_Run_Config'!$B$53="ON / EXPERIMENTAL",IF(OR(AND(A20&gt;='01_Run_Config'!$B$32,A20&lt;'01_Run_Config'!$B$33),AND(ISNUMBER(AL20),AL20&gt;=15,AL20&lt;=49)),2,0),0)</x:f>
        <x:v>0</x:v>
      </x:c>
      <x:c r="BE20" t="n">
        <x:f>IF('01_Run_Config'!$B$54="AN Sensi CalMag Xtra conditional",'01_Run_Config'!$B$17,0)</x:f>
        <x:v>0</x:v>
      </x:c>
      <x:c r="BF20" t="n">
        <x:f>0</x:f>
        <x:v>0</x:v>
      </x:c>
      <x:c r="BG20" t="str">
        <x:f>'01_Run_Config'!$E$57</x:f>
        <x:v>OK</x:v>
      </x:c>
      <x:c r="BH20" t="str">
        <x:f>IF(SUM(AC20,AT20:BF20)=0,"keine AN-Dosis heute",IF(AC20&gt;0,"Voodoo "&amp;AC20&amp;" ml/L; ","")&amp;IF(AT20&gt;0,"Piranha "&amp;AT20&amp;" ml/L; ","")&amp;IF(AU20&gt;0,"Tarantula "&amp;AU20&amp;" ml/L; ","")&amp;IF(AV20&gt;0,"B-52 "&amp;AV20&amp;" ml/L; ","")&amp;IF(AW20&gt;0,"Bud Candy "&amp;AW20&amp;" ml/L; ","")&amp;IF(AX20&gt;0,"Bud Factor X "&amp;AX20&amp;" ml/L; ","")&amp;IF(AY20&gt;0,"Sensizym "&amp;AY20&amp;" ml/L; ","")&amp;IF(AZ20&gt;0,"Rhino Skin "&amp;AZ20&amp;" ml/L; ","")&amp;IF(BA20&gt;0,"Bud Ignitor "&amp;BA20&amp;" ml/L; ","")&amp;IF(BB20&gt;0,"Big Bud "&amp;BB20&amp;" ml/L; ","")&amp;IF(BC20&gt;0,"Overdrive "&amp;BC20&amp;" ml/L; ","")&amp;IF(BD20&gt;0,"Tasty Terpenes "&amp;BD20&amp;" ml/L; ","")&amp;IF(BE20&gt;0,"Sensi CalMag "&amp;BE20&amp;" ml/L",""))</x:f>
        <x:v>keine AN-Dosis heute</x:v>
      </x:c>
      <x:c r="BI20" s="60" t="n">
        <x:f>IF(ISNUMBER('01_Run_Config'!$B$91),IF(B20&lt;'01_Run_Config'!$B$91,"PRE",B20-'01_Run_Config'!$B$91),"PRE")</x:f>
        <x:v>16</x:v>
      </x:c>
      <x:c r="BJ20" s="60" t="str">
        <x:f>IF(ISNUMBER('01_Run_Config'!$B$92),IF(B20&lt;'01_Run_Config'!$B$92,"PRE",B20-'01_Run_Config'!$B$92),"PRE")</x:f>
        <x:v>PRE</x:v>
      </x:c>
      <x:c r="BK20" s="60" t="str">
        <x:f>IF(ISNUMBER('01_Run_Config'!$B$93),IF(B20&lt;'01_Run_Config'!$B$93,"PRE",B20-'01_Run_Config'!$B$93),"PRE")</x:f>
        <x:v>PRE</x:v>
      </x:c>
      <x:c r="BL20" s="2482" t="n">
        <x:f>IF(BM20=5.8,5.8,5.8)</x:f>
        <x:v>5.8</x:v>
      </x:c>
      <x:c r="BM20" s="2482" t="n">
        <x:f>IF(A20&lt;IF(ISNUMBER('01_Run_Config'!$B$81),'01_Run_Config'!$B$81,15),5.8,6)</x:f>
        <x:v>6</x:v>
      </x:c>
      <x:c r="BN20" s="2482" t="n">
        <x:f>IF(BM20=5.8,5.8,6.2)</x:f>
        <x:v>6.2</x:v>
      </x:c>
      <x:c r="BO20" s="60" t="str">
        <x:f>IF(BM20=5.8,"Eazy Plug/Block: Herstellerziel 5.80","Final Coco: UKD 6.00 = Mitte HESI 5.8–6.2")</x:f>
        <x:v>Final Coco: UKD 6.00 = Mitte HESI 5.8–6.2</x:v>
      </x:c>
      <x:c r="BP20" s="60" t="str">
        <x:f>IF(A20&lt;2,"PRE-EMERGENCE: Balance normalerweise nicht nötig",IF(BM20=5.8,"ab Durchbruch AVAILABLE IF endmix &lt; 5.80","AVAILABLE IF endmix &lt; 6.00"))</x:f>
        <x:v>AVAILABLE IF endmix &lt; 6.00</x:v>
      </x:c>
      <x:c r="BQ20" s="60" t="str">
        <x:f>IF(A20=0,"Run Day 0 = Aussaat 21.08.2026; Plant Day beginnt erst beim Durchbruch.",IF(A20=2,"P19 Double Grape: 23.08.2026 = Plant Day 0.","Daily pH is a projection; actual root-stage/event overrides calendar."))</x:f>
        <x:v>Daily pH is a projection; actual root-stage/event overrides calendar.</x:v>
      </x:c>
    </x:row>
    <x:row r="21">
      <x:c r="A21" s="34" t="n">
        <x:v>19</x:v>
      </x:c>
      <x:c r="B21" s="129" t="n">
        <x:f>'01_Run_Config'!$B$4+A21</x:f>
        <x:v>46274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f>BM21</x:f>
        <x:v>6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IF(A21&lt;=14,2.5,0)</x:f>
        <x:v>0</x:v>
      </x:c>
      <x:c r="X21" s="63" t="n">
        <x:f>IF('01_Run_Config'!$B$50="AN Sensizym",0,IF(AND(A21&gt;='01_Run_Config'!$B$32,OR(AL21="",AL21&lt;=49)),2,0))</x:f>
        <x:v>2</x:v>
      </x:c>
      <x:c r="Y21" s="63" t="n">
        <x:f>0.015</x:f>
        <x:v>0.015</x:v>
      </x:c>
      <x:c r="Z21" s="63" t="n">
        <x:f>IF('01_Run_Config'!$B$51="HESI Hesilicio",2,0)</x:f>
        <x:v>0</x:v>
      </x:c>
      <x:c r="AA21" s="63" t="n">
        <x:f>IF('01_Run_Config'!$B$48="AN Bud Candy (replaces HESI Boost)",0,IF(AND(A21&gt;='01_Run_Config'!$B$33,MOD(A21-'01_Run_Config'!$B$33,7)=0),2,0))</x:f>
        <x:v>0</x:v>
      </x:c>
      <x:c r="AB21" s="63" t="n">
        <x:f>IF('01_Run_Config'!$B$52="AN Bud Ignitor &gt; Big Bud &gt; Overdrive",0,IF(AND(ISNUMBER(AL21),AL21&gt;=29,AL21&lt;=42),0.25+((AL21-29)/13)*0.25,0))</x:f>
        <x:v>0</x:v>
      </x:c>
      <x:c r="AC21" s="63" t="n">
        <x:f>IF('01_Run_Config'!$B$46="OFF",0,IF(OR(AND(A21&gt;='01_Run_Config'!$B$32,A21&lt;='01_Run_Config'!$B$32+13),AND(A21&gt;='01_Run_Config'!$B$33,A21&lt;='01_Run_Config'!$B$33+13)),2,0))</x:f>
        <x:v>0</x:v>
      </x:c>
      <x:c r="AD21" s="63" t="str">
        <x:f>IF(BG21="BLOCK","HYBRID BLOCKED - Konfiguration prüfen",IF(SUM(AC21,AT21:BF21)&gt;0,"AN aktiv: "&amp;BH21,"AN: keine Dosis heute / Module aus"))</x:f>
        <x:v>AN: keine Dosis heute / Module aus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1" s="34" t="str">
        <x:f>IF(A21&lt;2,"PRE-EMERGENCE · kein Kalenderwert","AVAILABLE IF NEEDED · nur wenn vollständiger Endmix unter pH-Ziel liegt")</x:f>
        <x:v>AVAILABLE IF NEEDED · nur wenn vollständiger Endmix unter pH-Ziel liegt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  <x:c r="AT21" t="n">
        <x:f>IF(AND('01_Run_Config'!$B$46="Voodoo + Piranha + Tarantula",AC21&gt;0),2,0)</x:f>
        <x:v>0</x:v>
      </x:c>
      <x:c r="AU21" t="n">
        <x:f>IF(AND(OR('01_Run_Config'!$B$46="Voodoo + Tarantula",'01_Run_Config'!$B$46="Voodoo + Piranha + Tarantula"),AC21&gt;0),2,0)</x:f>
        <x:v>0</x:v>
      </x:c>
      <x:c r="AV21" t="n">
        <x:f>IF('01_Run_Config'!$B$47&lt;&gt;"ON / A-B",0,IF(OR(AND(A21&gt;='01_Run_Config'!$B$32,A21&lt;'01_Run_Config'!$B$33),AND(ISNUMBER(AL21),AL21&gt;=15,AL21&lt;=49)),2,0))</x:f>
        <x:v>0</x:v>
      </x:c>
      <x:c r="AW21" t="n">
        <x:f>IF('01_Run_Config'!$B$48="AN Bud Candy (replaces HESI Boost)",IF(AND(A21&gt;='01_Run_Config'!$B$32,OR(AL21="",AL21&lt;=49)),2,0),0)</x:f>
        <x:v>0</x:v>
      </x:c>
      <x:c r="AX21" t="n">
        <x:f>IF('01_Run_Config'!$B$49&lt;&gt;"ON / EXPERIMENTAL",0,IF(OR(AND(A21&gt;='01_Run_Config'!$B$32+7,A21&lt;'01_Run_Config'!$B$33),AND(ISNUMBER(AL21),AL21&gt;=1,AL21&lt;=49)),2,0))</x:f>
        <x:v>0</x:v>
      </x:c>
      <x:c r="AY21" t="n">
        <x:f>IF('01_Run_Config'!$B$50="AN Sensizym",IF(AND(A21&gt;='01_Run_Config'!$B$32,OR(AL21="",AL21&lt;=49)),2,0),0)</x:f>
        <x:v>0</x:v>
      </x:c>
      <x:c r="AZ21" t="n">
        <x:f>IF('01_Run_Config'!$B$51="AN Rhino Skin",IF(AND(A21&gt;='01_Run_Config'!$B$32,OR(AL21="",AL21&lt;=49)),2,0),0)</x:f>
        <x:v>0</x:v>
      </x:c>
      <x:c r="BA21" t="n">
        <x:f>IF(AND('01_Run_Config'!$B$52="AN Bud Ignitor &gt; Big Bud &gt; Overdrive",ISNUMBER(AL21),AL21&gt;=1,AL21&lt;=14),2,0)</x:f>
        <x:v>0</x:v>
      </x:c>
      <x:c r="BB21" t="n">
        <x:f>IF(AND('01_Run_Config'!$B$52="AN Bud Ignitor &gt; Big Bud &gt; Overdrive",ISNUMBER(AL21),AL21&gt;=8,AL21&lt;=35),2,0)</x:f>
        <x:v>0</x:v>
      </x:c>
      <x:c r="BC21" t="n">
        <x:f>IF(AND('01_Run_Config'!$B$52="AN Bud Ignitor &gt; Big Bud &gt; Overdrive",ISNUMBER(AL21),AL21&gt;=36,AL21&lt;=49),2,0)</x:f>
        <x:v>0</x:v>
      </x:c>
      <x:c r="BD21" t="n">
        <x:f>IF('01_Run_Config'!$B$53="ON / EXPERIMENTAL",IF(OR(AND(A21&gt;='01_Run_Config'!$B$32,A21&lt;'01_Run_Config'!$B$33),AND(ISNUMBER(AL21),AL21&gt;=15,AL21&lt;=49)),2,0),0)</x:f>
        <x:v>0</x:v>
      </x:c>
      <x:c r="BE21" t="n">
        <x:f>IF('01_Run_Config'!$B$54="AN Sensi CalMag Xtra conditional",'01_Run_Config'!$B$17,0)</x:f>
        <x:v>0</x:v>
      </x:c>
      <x:c r="BF21" t="n">
        <x:f>0</x:f>
        <x:v>0</x:v>
      </x:c>
      <x:c r="BG21" t="str">
        <x:f>'01_Run_Config'!$E$57</x:f>
        <x:v>OK</x:v>
      </x:c>
      <x:c r="BH21" t="str">
        <x:f>IF(SUM(AC21,AT21:BF21)=0,"keine AN-Dosis heute",IF(AC21&gt;0,"Voodoo "&amp;AC21&amp;" ml/L; ","")&amp;IF(AT21&gt;0,"Piranha "&amp;AT21&amp;" ml/L; ","")&amp;IF(AU21&gt;0,"Tarantula "&amp;AU21&amp;" ml/L; ","")&amp;IF(AV21&gt;0,"B-52 "&amp;AV21&amp;" ml/L; ","")&amp;IF(AW21&gt;0,"Bud Candy "&amp;AW21&amp;" ml/L; ","")&amp;IF(AX21&gt;0,"Bud Factor X "&amp;AX21&amp;" ml/L; ","")&amp;IF(AY21&gt;0,"Sensizym "&amp;AY21&amp;" ml/L; ","")&amp;IF(AZ21&gt;0,"Rhino Skin "&amp;AZ21&amp;" ml/L; ","")&amp;IF(BA21&gt;0,"Bud Ignitor "&amp;BA21&amp;" ml/L; ","")&amp;IF(BB21&gt;0,"Big Bud "&amp;BB21&amp;" ml/L; ","")&amp;IF(BC21&gt;0,"Overdrive "&amp;BC21&amp;" ml/L; ","")&amp;IF(BD21&gt;0,"Tasty Terpenes "&amp;BD21&amp;" ml/L; ","")&amp;IF(BE21&gt;0,"Sensi CalMag "&amp;BE21&amp;" ml/L",""))</x:f>
        <x:v>keine AN-Dosis heute</x:v>
      </x:c>
      <x:c r="BI21" s="60" t="n">
        <x:f>IF(ISNUMBER('01_Run_Config'!$B$91),IF(B21&lt;'01_Run_Config'!$B$91,"PRE",B21-'01_Run_Config'!$B$91),"PRE")</x:f>
        <x:v>17</x:v>
      </x:c>
      <x:c r="BJ21" s="60" t="str">
        <x:f>IF(ISNUMBER('01_Run_Config'!$B$92),IF(B21&lt;'01_Run_Config'!$B$92,"PRE",B21-'01_Run_Config'!$B$92),"PRE")</x:f>
        <x:v>PRE</x:v>
      </x:c>
      <x:c r="BK21" s="60" t="str">
        <x:f>IF(ISNUMBER('01_Run_Config'!$B$93),IF(B21&lt;'01_Run_Config'!$B$93,"PRE",B21-'01_Run_Config'!$B$93),"PRE")</x:f>
        <x:v>PRE</x:v>
      </x:c>
      <x:c r="BL21" s="2482" t="n">
        <x:f>IF(BM21=5.8,5.8,5.8)</x:f>
        <x:v>5.8</x:v>
      </x:c>
      <x:c r="BM21" s="2482" t="n">
        <x:f>IF(A21&lt;IF(ISNUMBER('01_Run_Config'!$B$81),'01_Run_Config'!$B$81,15),5.8,6)</x:f>
        <x:v>6</x:v>
      </x:c>
      <x:c r="BN21" s="2482" t="n">
        <x:f>IF(BM21=5.8,5.8,6.2)</x:f>
        <x:v>6.2</x:v>
      </x:c>
      <x:c r="BO21" s="60" t="str">
        <x:f>IF(BM21=5.8,"Eazy Plug/Block: Herstellerziel 5.80","Final Coco: UKD 6.00 = Mitte HESI 5.8–6.2")</x:f>
        <x:v>Final Coco: UKD 6.00 = Mitte HESI 5.8–6.2</x:v>
      </x:c>
      <x:c r="BP21" s="60" t="str">
        <x:f>IF(A21&lt;2,"PRE-EMERGENCE: Balance normalerweise nicht nötig",IF(BM21=5.8,"ab Durchbruch AVAILABLE IF endmix &lt; 5.80","AVAILABLE IF endmix &lt; 6.00"))</x:f>
        <x:v>AVAILABLE IF endmix &lt; 6.00</x:v>
      </x:c>
      <x:c r="BQ21" s="60" t="str">
        <x:f>IF(A21=0,"Run Day 0 = Aussaat 21.08.2026; Plant Day beginnt erst beim Durchbruch.",IF(A21=2,"P20 Double Grape: 23.08.2026 = Plant Day 0.","Daily pH is a projection; actual root-stage/event overrides calendar."))</x:f>
        <x:v>Daily pH is a projection; actual root-stage/event overrides calendar.</x:v>
      </x:c>
    </x:row>
    <x:row r="22">
      <x:c r="A22" s="34" t="n">
        <x:v>20</x:v>
      </x:c>
      <x:c r="B22" s="129" t="n">
        <x:f>'01_Run_Config'!$B$4+A22</x:f>
        <x:v>46275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f>BM22</x:f>
        <x:v>6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IF(A22&lt;=14,2.5,0)</x:f>
        <x:v>0</x:v>
      </x:c>
      <x:c r="X22" s="63" t="n">
        <x:f>IF('01_Run_Config'!$B$50="AN Sensizym",0,IF(AND(A22&gt;='01_Run_Config'!$B$32,OR(AL22="",AL22&lt;=49)),2,0))</x:f>
        <x:v>2</x:v>
      </x:c>
      <x:c r="Y22" s="63" t="n">
        <x:f>0.015</x:f>
        <x:v>0.015</x:v>
      </x:c>
      <x:c r="Z22" s="63" t="n">
        <x:f>IF('01_Run_Config'!$B$51="HESI Hesilicio",2,0)</x:f>
        <x:v>0</x:v>
      </x:c>
      <x:c r="AA22" s="63" t="n">
        <x:f>IF('01_Run_Config'!$B$48="AN Bud Candy (replaces HESI Boost)",0,IF(AND(A22&gt;='01_Run_Config'!$B$33,MOD(A22-'01_Run_Config'!$B$33,7)=0),2,0))</x:f>
        <x:v>0</x:v>
      </x:c>
      <x:c r="AB22" s="63" t="n">
        <x:f>IF('01_Run_Config'!$B$52="AN Bud Ignitor &gt; Big Bud &gt; Overdrive",0,IF(AND(ISNUMBER(AL22),AL22&gt;=29,AL22&lt;=42),0.25+((AL22-29)/13)*0.25,0))</x:f>
        <x:v>0</x:v>
      </x:c>
      <x:c r="AC22" s="63" t="n">
        <x:f>IF('01_Run_Config'!$B$46="OFF",0,IF(OR(AND(A22&gt;='01_Run_Config'!$B$32,A22&lt;='01_Run_Config'!$B$32+13),AND(A22&gt;='01_Run_Config'!$B$33,A22&lt;='01_Run_Config'!$B$33+13)),2,0))</x:f>
        <x:v>0</x:v>
      </x:c>
      <x:c r="AD22" s="63" t="str">
        <x:f>IF(BG22="BLOCK","HYBRID BLOCKED - Konfiguration prüfen",IF(SUM(AC22,AT22:BF22)&gt;0,"AN aktiv: "&amp;BH22,"AN: keine Dosis heute / Module aus"))</x:f>
        <x:v>AN: keine Dosis heute / Module aus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2" s="34" t="str">
        <x:f>IF(A22&lt;2,"PRE-EMERGENCE · kein Kalenderwert","AVAILABLE IF NEEDED · nur wenn vollständiger Endmix unter pH-Ziel liegt")</x:f>
        <x:v>AVAILABLE IF NEEDED · nur wenn vollständiger Endmix unter pH-Ziel liegt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  <x:c r="AT22" t="n">
        <x:f>IF(AND('01_Run_Config'!$B$46="Voodoo + Piranha + Tarantula",AC22&gt;0),2,0)</x:f>
        <x:v>0</x:v>
      </x:c>
      <x:c r="AU22" t="n">
        <x:f>IF(AND(OR('01_Run_Config'!$B$46="Voodoo + Tarantula",'01_Run_Config'!$B$46="Voodoo + Piranha + Tarantula"),AC22&gt;0),2,0)</x:f>
        <x:v>0</x:v>
      </x:c>
      <x:c r="AV22" t="n">
        <x:f>IF('01_Run_Config'!$B$47&lt;&gt;"ON / A-B",0,IF(OR(AND(A22&gt;='01_Run_Config'!$B$32,A22&lt;'01_Run_Config'!$B$33),AND(ISNUMBER(AL22),AL22&gt;=15,AL22&lt;=49)),2,0))</x:f>
        <x:v>0</x:v>
      </x:c>
      <x:c r="AW22" t="n">
        <x:f>IF('01_Run_Config'!$B$48="AN Bud Candy (replaces HESI Boost)",IF(AND(A22&gt;='01_Run_Config'!$B$32,OR(AL22="",AL22&lt;=49)),2,0),0)</x:f>
        <x:v>0</x:v>
      </x:c>
      <x:c r="AX22" t="n">
        <x:f>IF('01_Run_Config'!$B$49&lt;&gt;"ON / EXPERIMENTAL",0,IF(OR(AND(A22&gt;='01_Run_Config'!$B$32+7,A22&lt;'01_Run_Config'!$B$33),AND(ISNUMBER(AL22),AL22&gt;=1,AL22&lt;=49)),2,0))</x:f>
        <x:v>0</x:v>
      </x:c>
      <x:c r="AY22" t="n">
        <x:f>IF('01_Run_Config'!$B$50="AN Sensizym",IF(AND(A22&gt;='01_Run_Config'!$B$32,OR(AL22="",AL22&lt;=49)),2,0),0)</x:f>
        <x:v>0</x:v>
      </x:c>
      <x:c r="AZ22" t="n">
        <x:f>IF('01_Run_Config'!$B$51="AN Rhino Skin",IF(AND(A22&gt;='01_Run_Config'!$B$32,OR(AL22="",AL22&lt;=49)),2,0),0)</x:f>
        <x:v>0</x:v>
      </x:c>
      <x:c r="BA22" t="n">
        <x:f>IF(AND('01_Run_Config'!$B$52="AN Bud Ignitor &gt; Big Bud &gt; Overdrive",ISNUMBER(AL22),AL22&gt;=1,AL22&lt;=14),2,0)</x:f>
        <x:v>0</x:v>
      </x:c>
      <x:c r="BB22" t="n">
        <x:f>IF(AND('01_Run_Config'!$B$52="AN Bud Ignitor &gt; Big Bud &gt; Overdrive",ISNUMBER(AL22),AL22&gt;=8,AL22&lt;=35),2,0)</x:f>
        <x:v>0</x:v>
      </x:c>
      <x:c r="BC22" t="n">
        <x:f>IF(AND('01_Run_Config'!$B$52="AN Bud Ignitor &gt; Big Bud &gt; Overdrive",ISNUMBER(AL22),AL22&gt;=36,AL22&lt;=49),2,0)</x:f>
        <x:v>0</x:v>
      </x:c>
      <x:c r="BD22" t="n">
        <x:f>IF('01_Run_Config'!$B$53="ON / EXPERIMENTAL",IF(OR(AND(A22&gt;='01_Run_Config'!$B$32,A22&lt;'01_Run_Config'!$B$33),AND(ISNUMBER(AL22),AL22&gt;=15,AL22&lt;=49)),2,0),0)</x:f>
        <x:v>0</x:v>
      </x:c>
      <x:c r="BE22" t="n">
        <x:f>IF('01_Run_Config'!$B$54="AN Sensi CalMag Xtra conditional",'01_Run_Config'!$B$17,0)</x:f>
        <x:v>0</x:v>
      </x:c>
      <x:c r="BF22" t="n">
        <x:f>0</x:f>
        <x:v>0</x:v>
      </x:c>
      <x:c r="BG22" t="str">
        <x:f>'01_Run_Config'!$E$57</x:f>
        <x:v>OK</x:v>
      </x:c>
      <x:c r="BH22" t="str">
        <x:f>IF(SUM(AC22,AT22:BF22)=0,"keine AN-Dosis heute",IF(AC22&gt;0,"Voodoo "&amp;AC22&amp;" ml/L; ","")&amp;IF(AT22&gt;0,"Piranha "&amp;AT22&amp;" ml/L; ","")&amp;IF(AU22&gt;0,"Tarantula "&amp;AU22&amp;" ml/L; ","")&amp;IF(AV22&gt;0,"B-52 "&amp;AV22&amp;" ml/L; ","")&amp;IF(AW22&gt;0,"Bud Candy "&amp;AW22&amp;" ml/L; ","")&amp;IF(AX22&gt;0,"Bud Factor X "&amp;AX22&amp;" ml/L; ","")&amp;IF(AY22&gt;0,"Sensizym "&amp;AY22&amp;" ml/L; ","")&amp;IF(AZ22&gt;0,"Rhino Skin "&amp;AZ22&amp;" ml/L; ","")&amp;IF(BA22&gt;0,"Bud Ignitor "&amp;BA22&amp;" ml/L; ","")&amp;IF(BB22&gt;0,"Big Bud "&amp;BB22&amp;" ml/L; ","")&amp;IF(BC22&gt;0,"Overdrive "&amp;BC22&amp;" ml/L; ","")&amp;IF(BD22&gt;0,"Tasty Terpenes "&amp;BD22&amp;" ml/L; ","")&amp;IF(BE22&gt;0,"Sensi CalMag "&amp;BE22&amp;" ml/L",""))</x:f>
        <x:v>keine AN-Dosis heute</x:v>
      </x:c>
      <x:c r="BI22" s="60" t="n">
        <x:f>IF(ISNUMBER('01_Run_Config'!$B$91),IF(B22&lt;'01_Run_Config'!$B$91,"PRE",B22-'01_Run_Config'!$B$91),"PRE")</x:f>
        <x:v>18</x:v>
      </x:c>
      <x:c r="BJ22" s="60" t="str">
        <x:f>IF(ISNUMBER('01_Run_Config'!$B$92),IF(B22&lt;'01_Run_Config'!$B$92,"PRE",B22-'01_Run_Config'!$B$92),"PRE")</x:f>
        <x:v>PRE</x:v>
      </x:c>
      <x:c r="BK22" s="60" t="str">
        <x:f>IF(ISNUMBER('01_Run_Config'!$B$93),IF(B22&lt;'01_Run_Config'!$B$93,"PRE",B22-'01_Run_Config'!$B$93),"PRE")</x:f>
        <x:v>PRE</x:v>
      </x:c>
      <x:c r="BL22" s="2482" t="n">
        <x:f>IF(BM22=5.8,5.8,5.8)</x:f>
        <x:v>5.8</x:v>
      </x:c>
      <x:c r="BM22" s="2482" t="n">
        <x:f>IF(A22&lt;IF(ISNUMBER('01_Run_Config'!$B$81),'01_Run_Config'!$B$81,15),5.8,6)</x:f>
        <x:v>6</x:v>
      </x:c>
      <x:c r="BN22" s="2482" t="n">
        <x:f>IF(BM22=5.8,5.8,6.2)</x:f>
        <x:v>6.2</x:v>
      </x:c>
      <x:c r="BO22" s="60" t="str">
        <x:f>IF(BM22=5.8,"Eazy Plug/Block: Herstellerziel 5.80","Final Coco: UKD 6.00 = Mitte HESI 5.8–6.2")</x:f>
        <x:v>Final Coco: UKD 6.00 = Mitte HESI 5.8–6.2</x:v>
      </x:c>
      <x:c r="BP22" s="60" t="str">
        <x:f>IF(A22&lt;2,"PRE-EMERGENCE: Balance normalerweise nicht nötig",IF(BM22=5.8,"ab Durchbruch AVAILABLE IF endmix &lt; 5.80","AVAILABLE IF endmix &lt; 6.00"))</x:f>
        <x:v>AVAILABLE IF endmix &lt; 6.00</x:v>
      </x:c>
      <x:c r="BQ22" s="60" t="str">
        <x:f>IF(A22=0,"Run Day 0 = Aussaat 21.08.2026; Plant Day beginnt erst beim Durchbruch.",IF(A22=2,"P21 Double Grape: 23.08.2026 = Plant Day 0.","Daily pH is a projection; actual root-stage/event overrides calendar."))</x:f>
        <x:v>Daily pH is a projection; actual root-stage/event overrides calendar.</x:v>
      </x:c>
    </x:row>
    <x:row r="23">
      <x:c r="A23" s="34" t="n">
        <x:v>21</x:v>
      </x:c>
      <x:c r="B23" s="129" t="n">
        <x:f>'01_Run_Config'!$B$4+A23</x:f>
        <x:v>46276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f>BM23</x:f>
        <x:v>6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IF(A23&lt;=14,2.5,0)</x:f>
        <x:v>0</x:v>
      </x:c>
      <x:c r="X23" s="63" t="n">
        <x:f>IF('01_Run_Config'!$B$50="AN Sensizym",0,IF(AND(A23&gt;='01_Run_Config'!$B$32,OR(AL23="",AL23&lt;=49)),2,0))</x:f>
        <x:v>2</x:v>
      </x:c>
      <x:c r="Y23" s="63" t="n">
        <x:f>0.015</x:f>
        <x:v>0.015</x:v>
      </x:c>
      <x:c r="Z23" s="63" t="n">
        <x:f>IF('01_Run_Config'!$B$51="HESI Hesilicio",2,0)</x:f>
        <x:v>0</x:v>
      </x:c>
      <x:c r="AA23" s="63" t="n">
        <x:f>IF('01_Run_Config'!$B$48="AN Bud Candy (replaces HESI Boost)",0,IF(AND(A23&gt;='01_Run_Config'!$B$33,MOD(A23-'01_Run_Config'!$B$33,7)=0),2,0))</x:f>
        <x:v>0</x:v>
      </x:c>
      <x:c r="AB23" s="63" t="n">
        <x:f>IF('01_Run_Config'!$B$52="AN Bud Ignitor &gt; Big Bud &gt; Overdrive",0,IF(AND(ISNUMBER(AL23),AL23&gt;=29,AL23&lt;=42),0.25+((AL23-29)/13)*0.25,0))</x:f>
        <x:v>0</x:v>
      </x:c>
      <x:c r="AC23" s="63" t="n">
        <x:f>IF('01_Run_Config'!$B$46="OFF",0,IF(OR(AND(A23&gt;='01_Run_Config'!$B$32,A23&lt;='01_Run_Config'!$B$32+13),AND(A23&gt;='01_Run_Config'!$B$33,A23&lt;='01_Run_Config'!$B$33+13)),2,0))</x:f>
        <x:v>0</x:v>
      </x:c>
      <x:c r="AD23" s="63" t="str">
        <x:f>IF(BG23="BLOCK","HYBRID BLOCKED - Konfiguration prüfen",IF(SUM(AC23,AT23:BF23)&gt;0,"AN aktiv: "&amp;BH23,"AN: keine Dosis heute / Module aus"))</x:f>
        <x:v>AN: keine Dosis heute / Module aus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3" s="34" t="str">
        <x:f>IF(A23&lt;2,"PRE-EMERGENCE · kein Kalenderwert","AVAILABLE IF NEEDED · nur wenn vollständiger Endmix unter pH-Ziel liegt")</x:f>
        <x:v>AVAILABLE IF NEEDED · nur wenn vollständiger Endmix unter pH-Ziel liegt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  <x:c r="AT23" t="n">
        <x:f>IF(AND('01_Run_Config'!$B$46="Voodoo + Piranha + Tarantula",AC23&gt;0),2,0)</x:f>
        <x:v>0</x:v>
      </x:c>
      <x:c r="AU23" t="n">
        <x:f>IF(AND(OR('01_Run_Config'!$B$46="Voodoo + Tarantula",'01_Run_Config'!$B$46="Voodoo + Piranha + Tarantula"),AC23&gt;0),2,0)</x:f>
        <x:v>0</x:v>
      </x:c>
      <x:c r="AV23" t="n">
        <x:f>IF('01_Run_Config'!$B$47&lt;&gt;"ON / A-B",0,IF(OR(AND(A23&gt;='01_Run_Config'!$B$32,A23&lt;'01_Run_Config'!$B$33),AND(ISNUMBER(AL23),AL23&gt;=15,AL23&lt;=49)),2,0))</x:f>
        <x:v>0</x:v>
      </x:c>
      <x:c r="AW23" t="n">
        <x:f>IF('01_Run_Config'!$B$48="AN Bud Candy (replaces HESI Boost)",IF(AND(A23&gt;='01_Run_Config'!$B$32,OR(AL23="",AL23&lt;=49)),2,0),0)</x:f>
        <x:v>0</x:v>
      </x:c>
      <x:c r="AX23" t="n">
        <x:f>IF('01_Run_Config'!$B$49&lt;&gt;"ON / EXPERIMENTAL",0,IF(OR(AND(A23&gt;='01_Run_Config'!$B$32+7,A23&lt;'01_Run_Config'!$B$33),AND(ISNUMBER(AL23),AL23&gt;=1,AL23&lt;=49)),2,0))</x:f>
        <x:v>0</x:v>
      </x:c>
      <x:c r="AY23" t="n">
        <x:f>IF('01_Run_Config'!$B$50="AN Sensizym",IF(AND(A23&gt;='01_Run_Config'!$B$32,OR(AL23="",AL23&lt;=49)),2,0),0)</x:f>
        <x:v>0</x:v>
      </x:c>
      <x:c r="AZ23" t="n">
        <x:f>IF('01_Run_Config'!$B$51="AN Rhino Skin",IF(AND(A23&gt;='01_Run_Config'!$B$32,OR(AL23="",AL23&lt;=49)),2,0),0)</x:f>
        <x:v>0</x:v>
      </x:c>
      <x:c r="BA23" t="n">
        <x:f>IF(AND('01_Run_Config'!$B$52="AN Bud Ignitor &gt; Big Bud &gt; Overdrive",ISNUMBER(AL23),AL23&gt;=1,AL23&lt;=14),2,0)</x:f>
        <x:v>0</x:v>
      </x:c>
      <x:c r="BB23" t="n">
        <x:f>IF(AND('01_Run_Config'!$B$52="AN Bud Ignitor &gt; Big Bud &gt; Overdrive",ISNUMBER(AL23),AL23&gt;=8,AL23&lt;=35),2,0)</x:f>
        <x:v>0</x:v>
      </x:c>
      <x:c r="BC23" t="n">
        <x:f>IF(AND('01_Run_Config'!$B$52="AN Bud Ignitor &gt; Big Bud &gt; Overdrive",ISNUMBER(AL23),AL23&gt;=36,AL23&lt;=49),2,0)</x:f>
        <x:v>0</x:v>
      </x:c>
      <x:c r="BD23" t="n">
        <x:f>IF('01_Run_Config'!$B$53="ON / EXPERIMENTAL",IF(OR(AND(A23&gt;='01_Run_Config'!$B$32,A23&lt;'01_Run_Config'!$B$33),AND(ISNUMBER(AL23),AL23&gt;=15,AL23&lt;=49)),2,0),0)</x:f>
        <x:v>0</x:v>
      </x:c>
      <x:c r="BE23" t="n">
        <x:f>IF('01_Run_Config'!$B$54="AN Sensi CalMag Xtra conditional",'01_Run_Config'!$B$17,0)</x:f>
        <x:v>0</x:v>
      </x:c>
      <x:c r="BF23" t="n">
        <x:f>0</x:f>
        <x:v>0</x:v>
      </x:c>
      <x:c r="BG23" t="str">
        <x:f>'01_Run_Config'!$E$57</x:f>
        <x:v>OK</x:v>
      </x:c>
      <x:c r="BH23" t="str">
        <x:f>IF(SUM(AC23,AT23:BF23)=0,"keine AN-Dosis heute",IF(AC23&gt;0,"Voodoo "&amp;AC23&amp;" ml/L; ","")&amp;IF(AT23&gt;0,"Piranha "&amp;AT23&amp;" ml/L; ","")&amp;IF(AU23&gt;0,"Tarantula "&amp;AU23&amp;" ml/L; ","")&amp;IF(AV23&gt;0,"B-52 "&amp;AV23&amp;" ml/L; ","")&amp;IF(AW23&gt;0,"Bud Candy "&amp;AW23&amp;" ml/L; ","")&amp;IF(AX23&gt;0,"Bud Factor X "&amp;AX23&amp;" ml/L; ","")&amp;IF(AY23&gt;0,"Sensizym "&amp;AY23&amp;" ml/L; ","")&amp;IF(AZ23&gt;0,"Rhino Skin "&amp;AZ23&amp;" ml/L; ","")&amp;IF(BA23&gt;0,"Bud Ignitor "&amp;BA23&amp;" ml/L; ","")&amp;IF(BB23&gt;0,"Big Bud "&amp;BB23&amp;" ml/L; ","")&amp;IF(BC23&gt;0,"Overdrive "&amp;BC23&amp;" ml/L; ","")&amp;IF(BD23&gt;0,"Tasty Terpenes "&amp;BD23&amp;" ml/L; ","")&amp;IF(BE23&gt;0,"Sensi CalMag "&amp;BE23&amp;" ml/L",""))</x:f>
        <x:v>keine AN-Dosis heute</x:v>
      </x:c>
      <x:c r="BI23" s="60" t="n">
        <x:f>IF(ISNUMBER('01_Run_Config'!$B$91),IF(B23&lt;'01_Run_Config'!$B$91,"PRE",B23-'01_Run_Config'!$B$91),"PRE")</x:f>
        <x:v>19</x:v>
      </x:c>
      <x:c r="BJ23" s="60" t="str">
        <x:f>IF(ISNUMBER('01_Run_Config'!$B$92),IF(B23&lt;'01_Run_Config'!$B$92,"PRE",B23-'01_Run_Config'!$B$92),"PRE")</x:f>
        <x:v>PRE</x:v>
      </x:c>
      <x:c r="BK23" s="60" t="str">
        <x:f>IF(ISNUMBER('01_Run_Config'!$B$93),IF(B23&lt;'01_Run_Config'!$B$93,"PRE",B23-'01_Run_Config'!$B$93),"PRE")</x:f>
        <x:v>PRE</x:v>
      </x:c>
      <x:c r="BL23" s="2482" t="n">
        <x:f>IF(BM23=5.8,5.8,5.8)</x:f>
        <x:v>5.8</x:v>
      </x:c>
      <x:c r="BM23" s="2482" t="n">
        <x:f>IF(A23&lt;IF(ISNUMBER('01_Run_Config'!$B$81),'01_Run_Config'!$B$81,15),5.8,6)</x:f>
        <x:v>6</x:v>
      </x:c>
      <x:c r="BN23" s="2482" t="n">
        <x:f>IF(BM23=5.8,5.8,6.2)</x:f>
        <x:v>6.2</x:v>
      </x:c>
      <x:c r="BO23" s="60" t="str">
        <x:f>IF(BM23=5.8,"Eazy Plug/Block: Herstellerziel 5.80","Final Coco: UKD 6.00 = Mitte HESI 5.8–6.2")</x:f>
        <x:v>Final Coco: UKD 6.00 = Mitte HESI 5.8–6.2</x:v>
      </x:c>
      <x:c r="BP23" s="60" t="str">
        <x:f>IF(A23&lt;2,"PRE-EMERGENCE: Balance normalerweise nicht nötig",IF(BM23=5.8,"ab Durchbruch AVAILABLE IF endmix &lt; 5.80","AVAILABLE IF endmix &lt; 6.00"))</x:f>
        <x:v>AVAILABLE IF endmix &lt; 6.00</x:v>
      </x:c>
      <x:c r="BQ23" s="60" t="str">
        <x:f>IF(A23=0,"Run Day 0 = Aussaat 21.08.2026; Plant Day beginnt erst beim Durchbruch.",IF(A23=2,"P22 Double Grape: 23.08.2026 = Plant Day 0.","Daily pH is a projection; actual root-stage/event overrides calendar."))</x:f>
        <x:v>Daily pH is a projection; actual root-stage/event overrides calendar.</x:v>
      </x:c>
    </x:row>
    <x:row r="24">
      <x:c r="A24" s="34" t="n">
        <x:v>22</x:v>
      </x:c>
      <x:c r="B24" s="129" t="n">
        <x:f>'01_Run_Config'!$B$4+A24</x:f>
        <x:v>46277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f>BM24</x:f>
        <x:v>6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IF(A24&lt;=14,2.5,0)</x:f>
        <x:v>0</x:v>
      </x:c>
      <x:c r="X24" s="63" t="n">
        <x:f>IF('01_Run_Config'!$B$50="AN Sensizym",0,IF(AND(A24&gt;='01_Run_Config'!$B$32,OR(AL24="",AL24&lt;=49)),2,0))</x:f>
        <x:v>2</x:v>
      </x:c>
      <x:c r="Y24" s="63" t="n">
        <x:f>0.015</x:f>
        <x:v>0.015</x:v>
      </x:c>
      <x:c r="Z24" s="63" t="n">
        <x:f>IF('01_Run_Config'!$B$51="HESI Hesilicio",2,0)</x:f>
        <x:v>0</x:v>
      </x:c>
      <x:c r="AA24" s="63" t="n">
        <x:f>IF('01_Run_Config'!$B$48="AN Bud Candy (replaces HESI Boost)",0,IF(AND(A24&gt;='01_Run_Config'!$B$33,MOD(A24-'01_Run_Config'!$B$33,7)=0),2,0))</x:f>
        <x:v>0</x:v>
      </x:c>
      <x:c r="AB24" s="63" t="n">
        <x:f>IF('01_Run_Config'!$B$52="AN Bud Ignitor &gt; Big Bud &gt; Overdrive",0,IF(AND(ISNUMBER(AL24),AL24&gt;=29,AL24&lt;=42),0.25+((AL24-29)/13)*0.25,0))</x:f>
        <x:v>0</x:v>
      </x:c>
      <x:c r="AC24" s="63" t="n">
        <x:f>IF('01_Run_Config'!$B$46="OFF",0,IF(OR(AND(A24&gt;='01_Run_Config'!$B$32,A24&lt;='01_Run_Config'!$B$32+13),AND(A24&gt;='01_Run_Config'!$B$33,A24&lt;='01_Run_Config'!$B$33+13)),2,0))</x:f>
        <x:v>0</x:v>
      </x:c>
      <x:c r="AD24" s="63" t="str">
        <x:f>IF(BG24="BLOCK","HYBRID BLOCKED - Konfiguration prüfen",IF(SUM(AC24,AT24:BF24)&gt;0,"AN aktiv: "&amp;BH24,"AN: keine Dosis heute / Module aus"))</x:f>
        <x:v>AN: keine Dosis heute / Module aus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4" s="34" t="str">
        <x:f>IF(A24&lt;2,"PRE-EMERGENCE · kein Kalenderwert","AVAILABLE IF NEEDED · nur wenn vollständiger Endmix unter pH-Ziel liegt")</x:f>
        <x:v>AVAILABLE IF NEEDED · nur wenn vollständiger Endmix unter pH-Ziel liegt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  <x:c r="AT24" t="n">
        <x:f>IF(AND('01_Run_Config'!$B$46="Voodoo + Piranha + Tarantula",AC24&gt;0),2,0)</x:f>
        <x:v>0</x:v>
      </x:c>
      <x:c r="AU24" t="n">
        <x:f>IF(AND(OR('01_Run_Config'!$B$46="Voodoo + Tarantula",'01_Run_Config'!$B$46="Voodoo + Piranha + Tarantula"),AC24&gt;0),2,0)</x:f>
        <x:v>0</x:v>
      </x:c>
      <x:c r="AV24" t="n">
        <x:f>IF('01_Run_Config'!$B$47&lt;&gt;"ON / A-B",0,IF(OR(AND(A24&gt;='01_Run_Config'!$B$32,A24&lt;'01_Run_Config'!$B$33),AND(ISNUMBER(AL24),AL24&gt;=15,AL24&lt;=49)),2,0))</x:f>
        <x:v>0</x:v>
      </x:c>
      <x:c r="AW24" t="n">
        <x:f>IF('01_Run_Config'!$B$48="AN Bud Candy (replaces HESI Boost)",IF(AND(A24&gt;='01_Run_Config'!$B$32,OR(AL24="",AL24&lt;=49)),2,0),0)</x:f>
        <x:v>0</x:v>
      </x:c>
      <x:c r="AX24" t="n">
        <x:f>IF('01_Run_Config'!$B$49&lt;&gt;"ON / EXPERIMENTAL",0,IF(OR(AND(A24&gt;='01_Run_Config'!$B$32+7,A24&lt;'01_Run_Config'!$B$33),AND(ISNUMBER(AL24),AL24&gt;=1,AL24&lt;=49)),2,0))</x:f>
        <x:v>0</x:v>
      </x:c>
      <x:c r="AY24" t="n">
        <x:f>IF('01_Run_Config'!$B$50="AN Sensizym",IF(AND(A24&gt;='01_Run_Config'!$B$32,OR(AL24="",AL24&lt;=49)),2,0),0)</x:f>
        <x:v>0</x:v>
      </x:c>
      <x:c r="AZ24" t="n">
        <x:f>IF('01_Run_Config'!$B$51="AN Rhino Skin",IF(AND(A24&gt;='01_Run_Config'!$B$32,OR(AL24="",AL24&lt;=49)),2,0),0)</x:f>
        <x:v>0</x:v>
      </x:c>
      <x:c r="BA24" t="n">
        <x:f>IF(AND('01_Run_Config'!$B$52="AN Bud Ignitor &gt; Big Bud &gt; Overdrive",ISNUMBER(AL24),AL24&gt;=1,AL24&lt;=14),2,0)</x:f>
        <x:v>0</x:v>
      </x:c>
      <x:c r="BB24" t="n">
        <x:f>IF(AND('01_Run_Config'!$B$52="AN Bud Ignitor &gt; Big Bud &gt; Overdrive",ISNUMBER(AL24),AL24&gt;=8,AL24&lt;=35),2,0)</x:f>
        <x:v>0</x:v>
      </x:c>
      <x:c r="BC24" t="n">
        <x:f>IF(AND('01_Run_Config'!$B$52="AN Bud Ignitor &gt; Big Bud &gt; Overdrive",ISNUMBER(AL24),AL24&gt;=36,AL24&lt;=49),2,0)</x:f>
        <x:v>0</x:v>
      </x:c>
      <x:c r="BD24" t="n">
        <x:f>IF('01_Run_Config'!$B$53="ON / EXPERIMENTAL",IF(OR(AND(A24&gt;='01_Run_Config'!$B$32,A24&lt;'01_Run_Config'!$B$33),AND(ISNUMBER(AL24),AL24&gt;=15,AL24&lt;=49)),2,0),0)</x:f>
        <x:v>0</x:v>
      </x:c>
      <x:c r="BE24" t="n">
        <x:f>IF('01_Run_Config'!$B$54="AN Sensi CalMag Xtra conditional",'01_Run_Config'!$B$17,0)</x:f>
        <x:v>0</x:v>
      </x:c>
      <x:c r="BF24" t="n">
        <x:f>0</x:f>
        <x:v>0</x:v>
      </x:c>
      <x:c r="BG24" t="str">
        <x:f>'01_Run_Config'!$E$57</x:f>
        <x:v>OK</x:v>
      </x:c>
      <x:c r="BH24" t="str">
        <x:f>IF(SUM(AC24,AT24:BF24)=0,"keine AN-Dosis heute",IF(AC24&gt;0,"Voodoo "&amp;AC24&amp;" ml/L; ","")&amp;IF(AT24&gt;0,"Piranha "&amp;AT24&amp;" ml/L; ","")&amp;IF(AU24&gt;0,"Tarantula "&amp;AU24&amp;" ml/L; ","")&amp;IF(AV24&gt;0,"B-52 "&amp;AV24&amp;" ml/L; ","")&amp;IF(AW24&gt;0,"Bud Candy "&amp;AW24&amp;" ml/L; ","")&amp;IF(AX24&gt;0,"Bud Factor X "&amp;AX24&amp;" ml/L; ","")&amp;IF(AY24&gt;0,"Sensizym "&amp;AY24&amp;" ml/L; ","")&amp;IF(AZ24&gt;0,"Rhino Skin "&amp;AZ24&amp;" ml/L; ","")&amp;IF(BA24&gt;0,"Bud Ignitor "&amp;BA24&amp;" ml/L; ","")&amp;IF(BB24&gt;0,"Big Bud "&amp;BB24&amp;" ml/L; ","")&amp;IF(BC24&gt;0,"Overdrive "&amp;BC24&amp;" ml/L; ","")&amp;IF(BD24&gt;0,"Tasty Terpenes "&amp;BD24&amp;" ml/L; ","")&amp;IF(BE24&gt;0,"Sensi CalMag "&amp;BE24&amp;" ml/L",""))</x:f>
        <x:v>keine AN-Dosis heute</x:v>
      </x:c>
      <x:c r="BI24" s="60" t="n">
        <x:f>IF(ISNUMBER('01_Run_Config'!$B$91),IF(B24&lt;'01_Run_Config'!$B$91,"PRE",B24-'01_Run_Config'!$B$91),"PRE")</x:f>
        <x:v>20</x:v>
      </x:c>
      <x:c r="BJ24" s="60" t="str">
        <x:f>IF(ISNUMBER('01_Run_Config'!$B$92),IF(B24&lt;'01_Run_Config'!$B$92,"PRE",B24-'01_Run_Config'!$B$92),"PRE")</x:f>
        <x:v>PRE</x:v>
      </x:c>
      <x:c r="BK24" s="60" t="str">
        <x:f>IF(ISNUMBER('01_Run_Config'!$B$93),IF(B24&lt;'01_Run_Config'!$B$93,"PRE",B24-'01_Run_Config'!$B$93),"PRE")</x:f>
        <x:v>PRE</x:v>
      </x:c>
      <x:c r="BL24" s="2482" t="n">
        <x:f>IF(BM24=5.8,5.8,5.8)</x:f>
        <x:v>5.8</x:v>
      </x:c>
      <x:c r="BM24" s="2482" t="n">
        <x:f>IF(A24&lt;IF(ISNUMBER('01_Run_Config'!$B$81),'01_Run_Config'!$B$81,15),5.8,6)</x:f>
        <x:v>6</x:v>
      </x:c>
      <x:c r="BN24" s="2482" t="n">
        <x:f>IF(BM24=5.8,5.8,6.2)</x:f>
        <x:v>6.2</x:v>
      </x:c>
      <x:c r="BO24" s="60" t="str">
        <x:f>IF(BM24=5.8,"Eazy Plug/Block: Herstellerziel 5.80","Final Coco: UKD 6.00 = Mitte HESI 5.8–6.2")</x:f>
        <x:v>Final Coco: UKD 6.00 = Mitte HESI 5.8–6.2</x:v>
      </x:c>
      <x:c r="BP24" s="60" t="str">
        <x:f>IF(A24&lt;2,"PRE-EMERGENCE: Balance normalerweise nicht nötig",IF(BM24=5.8,"ab Durchbruch AVAILABLE IF endmix &lt; 5.80","AVAILABLE IF endmix &lt; 6.00"))</x:f>
        <x:v>AVAILABLE IF endmix &lt; 6.00</x:v>
      </x:c>
      <x:c r="BQ24" s="60" t="str">
        <x:f>IF(A24=0,"Run Day 0 = Aussaat 21.08.2026; Plant Day beginnt erst beim Durchbruch.",IF(A24=2,"P23 Double Grape: 23.08.2026 = Plant Day 0.","Daily pH is a projection; actual root-stage/event overrides calendar."))</x:f>
        <x:v>Daily pH is a projection; actual root-stage/event overrides calendar.</x:v>
      </x:c>
    </x:row>
    <x:row r="25">
      <x:c r="A25" s="34" t="n">
        <x:v>23</x:v>
      </x:c>
      <x:c r="B25" s="129" t="n">
        <x:f>'01_Run_Config'!$B$4+A25</x:f>
        <x:v>46278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f>BM25</x:f>
        <x:v>6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IF(A25&lt;=14,2.5,0)</x:f>
        <x:v>0</x:v>
      </x:c>
      <x:c r="X25" s="63" t="n">
        <x:f>IF('01_Run_Config'!$B$50="AN Sensizym",0,IF(AND(A25&gt;='01_Run_Config'!$B$32,OR(AL25="",AL25&lt;=49)),2,0))</x:f>
        <x:v>2</x:v>
      </x:c>
      <x:c r="Y25" s="63" t="n">
        <x:f>0.015</x:f>
        <x:v>0.015</x:v>
      </x:c>
      <x:c r="Z25" s="63" t="n">
        <x:f>IF('01_Run_Config'!$B$51="HESI Hesilicio",2,0)</x:f>
        <x:v>0</x:v>
      </x:c>
      <x:c r="AA25" s="63" t="n">
        <x:f>IF('01_Run_Config'!$B$48="AN Bud Candy (replaces HESI Boost)",0,IF(AND(A25&gt;='01_Run_Config'!$B$33,MOD(A25-'01_Run_Config'!$B$33,7)=0),2,0))</x:f>
        <x:v>0</x:v>
      </x:c>
      <x:c r="AB25" s="63" t="n">
        <x:f>IF('01_Run_Config'!$B$52="AN Bud Ignitor &gt; Big Bud &gt; Overdrive",0,IF(AND(ISNUMBER(AL25),AL25&gt;=29,AL25&lt;=42),0.25+((AL25-29)/13)*0.25,0))</x:f>
        <x:v>0</x:v>
      </x:c>
      <x:c r="AC25" s="63" t="n">
        <x:f>IF('01_Run_Config'!$B$46="OFF",0,IF(OR(AND(A25&gt;='01_Run_Config'!$B$32,A25&lt;='01_Run_Config'!$B$32+13),AND(A25&gt;='01_Run_Config'!$B$33,A25&lt;='01_Run_Config'!$B$33+13)),2,0))</x:f>
        <x:v>0</x:v>
      </x:c>
      <x:c r="AD25" s="63" t="str">
        <x:f>IF(BG25="BLOCK","HYBRID BLOCKED - Konfiguration prüfen",IF(SUM(AC25,AT25:BF25)&gt;0,"AN aktiv: "&amp;BH25,"AN: keine Dosis heute / Module aus"))</x:f>
        <x:v>AN: keine Dosis heute / Module aus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5" s="34" t="str">
        <x:f>IF(A25&lt;2,"PRE-EMERGENCE · kein Kalenderwert","AVAILABLE IF NEEDED · nur wenn vollständiger Endmix unter pH-Ziel liegt")</x:f>
        <x:v>AVAILABLE IF NEEDED · nur wenn vollständiger Endmix unter pH-Ziel liegt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  <x:c r="AT25" t="n">
        <x:f>IF(AND('01_Run_Config'!$B$46="Voodoo + Piranha + Tarantula",AC25&gt;0),2,0)</x:f>
        <x:v>0</x:v>
      </x:c>
      <x:c r="AU25" t="n">
        <x:f>IF(AND(OR('01_Run_Config'!$B$46="Voodoo + Tarantula",'01_Run_Config'!$B$46="Voodoo + Piranha + Tarantula"),AC25&gt;0),2,0)</x:f>
        <x:v>0</x:v>
      </x:c>
      <x:c r="AV25" t="n">
        <x:f>IF('01_Run_Config'!$B$47&lt;&gt;"ON / A-B",0,IF(OR(AND(A25&gt;='01_Run_Config'!$B$32,A25&lt;'01_Run_Config'!$B$33),AND(ISNUMBER(AL25),AL25&gt;=15,AL25&lt;=49)),2,0))</x:f>
        <x:v>0</x:v>
      </x:c>
      <x:c r="AW25" t="n">
        <x:f>IF('01_Run_Config'!$B$48="AN Bud Candy (replaces HESI Boost)",IF(AND(A25&gt;='01_Run_Config'!$B$32,OR(AL25="",AL25&lt;=49)),2,0),0)</x:f>
        <x:v>0</x:v>
      </x:c>
      <x:c r="AX25" t="n">
        <x:f>IF('01_Run_Config'!$B$49&lt;&gt;"ON / EXPERIMENTAL",0,IF(OR(AND(A25&gt;='01_Run_Config'!$B$32+7,A25&lt;'01_Run_Config'!$B$33),AND(ISNUMBER(AL25),AL25&gt;=1,AL25&lt;=49)),2,0))</x:f>
        <x:v>0</x:v>
      </x:c>
      <x:c r="AY25" t="n">
        <x:f>IF('01_Run_Config'!$B$50="AN Sensizym",IF(AND(A25&gt;='01_Run_Config'!$B$32,OR(AL25="",AL25&lt;=49)),2,0),0)</x:f>
        <x:v>0</x:v>
      </x:c>
      <x:c r="AZ25" t="n">
        <x:f>IF('01_Run_Config'!$B$51="AN Rhino Skin",IF(AND(A25&gt;='01_Run_Config'!$B$32,OR(AL25="",AL25&lt;=49)),2,0),0)</x:f>
        <x:v>0</x:v>
      </x:c>
      <x:c r="BA25" t="n">
        <x:f>IF(AND('01_Run_Config'!$B$52="AN Bud Ignitor &gt; Big Bud &gt; Overdrive",ISNUMBER(AL25),AL25&gt;=1,AL25&lt;=14),2,0)</x:f>
        <x:v>0</x:v>
      </x:c>
      <x:c r="BB25" t="n">
        <x:f>IF(AND('01_Run_Config'!$B$52="AN Bud Ignitor &gt; Big Bud &gt; Overdrive",ISNUMBER(AL25),AL25&gt;=8,AL25&lt;=35),2,0)</x:f>
        <x:v>0</x:v>
      </x:c>
      <x:c r="BC25" t="n">
        <x:f>IF(AND('01_Run_Config'!$B$52="AN Bud Ignitor &gt; Big Bud &gt; Overdrive",ISNUMBER(AL25),AL25&gt;=36,AL25&lt;=49),2,0)</x:f>
        <x:v>0</x:v>
      </x:c>
      <x:c r="BD25" t="n">
        <x:f>IF('01_Run_Config'!$B$53="ON / EXPERIMENTAL",IF(OR(AND(A25&gt;='01_Run_Config'!$B$32,A25&lt;'01_Run_Config'!$B$33),AND(ISNUMBER(AL25),AL25&gt;=15,AL25&lt;=49)),2,0),0)</x:f>
        <x:v>0</x:v>
      </x:c>
      <x:c r="BE25" t="n">
        <x:f>IF('01_Run_Config'!$B$54="AN Sensi CalMag Xtra conditional",'01_Run_Config'!$B$17,0)</x:f>
        <x:v>0</x:v>
      </x:c>
      <x:c r="BF25" t="n">
        <x:f>0</x:f>
        <x:v>0</x:v>
      </x:c>
      <x:c r="BG25" t="str">
        <x:f>'01_Run_Config'!$E$57</x:f>
        <x:v>OK</x:v>
      </x:c>
      <x:c r="BH25" t="str">
        <x:f>IF(SUM(AC25,AT25:BF25)=0,"keine AN-Dosis heute",IF(AC25&gt;0,"Voodoo "&amp;AC25&amp;" ml/L; ","")&amp;IF(AT25&gt;0,"Piranha "&amp;AT25&amp;" ml/L; ","")&amp;IF(AU25&gt;0,"Tarantula "&amp;AU25&amp;" ml/L; ","")&amp;IF(AV25&gt;0,"B-52 "&amp;AV25&amp;" ml/L; ","")&amp;IF(AW25&gt;0,"Bud Candy "&amp;AW25&amp;" ml/L; ","")&amp;IF(AX25&gt;0,"Bud Factor X "&amp;AX25&amp;" ml/L; ","")&amp;IF(AY25&gt;0,"Sensizym "&amp;AY25&amp;" ml/L; ","")&amp;IF(AZ25&gt;0,"Rhino Skin "&amp;AZ25&amp;" ml/L; ","")&amp;IF(BA25&gt;0,"Bud Ignitor "&amp;BA25&amp;" ml/L; ","")&amp;IF(BB25&gt;0,"Big Bud "&amp;BB25&amp;" ml/L; ","")&amp;IF(BC25&gt;0,"Overdrive "&amp;BC25&amp;" ml/L; ","")&amp;IF(BD25&gt;0,"Tasty Terpenes "&amp;BD25&amp;" ml/L; ","")&amp;IF(BE25&gt;0,"Sensi CalMag "&amp;BE25&amp;" ml/L",""))</x:f>
        <x:v>keine AN-Dosis heute</x:v>
      </x:c>
      <x:c r="BI25" s="60" t="n">
        <x:f>IF(ISNUMBER('01_Run_Config'!$B$91),IF(B25&lt;'01_Run_Config'!$B$91,"PRE",B25-'01_Run_Config'!$B$91),"PRE")</x:f>
        <x:v>21</x:v>
      </x:c>
      <x:c r="BJ25" s="60" t="str">
        <x:f>IF(ISNUMBER('01_Run_Config'!$B$92),IF(B25&lt;'01_Run_Config'!$B$92,"PRE",B25-'01_Run_Config'!$B$92),"PRE")</x:f>
        <x:v>PRE</x:v>
      </x:c>
      <x:c r="BK25" s="60" t="str">
        <x:f>IF(ISNUMBER('01_Run_Config'!$B$93),IF(B25&lt;'01_Run_Config'!$B$93,"PRE",B25-'01_Run_Config'!$B$93),"PRE")</x:f>
        <x:v>PRE</x:v>
      </x:c>
      <x:c r="BL25" s="2482" t="n">
        <x:f>IF(BM25=5.8,5.8,5.8)</x:f>
        <x:v>5.8</x:v>
      </x:c>
      <x:c r="BM25" s="2482" t="n">
        <x:f>IF(A25&lt;IF(ISNUMBER('01_Run_Config'!$B$81),'01_Run_Config'!$B$81,15),5.8,6)</x:f>
        <x:v>6</x:v>
      </x:c>
      <x:c r="BN25" s="2482" t="n">
        <x:f>IF(BM25=5.8,5.8,6.2)</x:f>
        <x:v>6.2</x:v>
      </x:c>
      <x:c r="BO25" s="60" t="str">
        <x:f>IF(BM25=5.8,"Eazy Plug/Block: Herstellerziel 5.80","Final Coco: UKD 6.00 = Mitte HESI 5.8–6.2")</x:f>
        <x:v>Final Coco: UKD 6.00 = Mitte HESI 5.8–6.2</x:v>
      </x:c>
      <x:c r="BP25" s="60" t="str">
        <x:f>IF(A25&lt;2,"PRE-EMERGENCE: Balance normalerweise nicht nötig",IF(BM25=5.8,"ab Durchbruch AVAILABLE IF endmix &lt; 5.80","AVAILABLE IF endmix &lt; 6.00"))</x:f>
        <x:v>AVAILABLE IF endmix &lt; 6.00</x:v>
      </x:c>
      <x:c r="BQ25" s="60" t="str">
        <x:f>IF(A25=0,"Run Day 0 = Aussaat 21.08.2026; Plant Day beginnt erst beim Durchbruch.",IF(A25=2,"P24 Double Grape: 23.08.2026 = Plant Day 0.","Daily pH is a projection; actual root-stage/event overrides calendar."))</x:f>
        <x:v>Daily pH is a projection; actual root-stage/event overrides calendar.</x:v>
      </x:c>
    </x:row>
    <x:row r="26">
      <x:c r="A26" s="34" t="n">
        <x:v>24</x:v>
      </x:c>
      <x:c r="B26" s="129" t="n">
        <x:f>'01_Run_Config'!$B$4+A26</x:f>
        <x:v>46279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f>BM26</x:f>
        <x:v>6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IF(A26&lt;=14,2.5,0)</x:f>
        <x:v>0</x:v>
      </x:c>
      <x:c r="X26" s="63" t="n">
        <x:f>IF('01_Run_Config'!$B$50="AN Sensizym",0,IF(AND(A26&gt;='01_Run_Config'!$B$32,OR(AL26="",AL26&lt;=49)),2,0))</x:f>
        <x:v>2</x:v>
      </x:c>
      <x:c r="Y26" s="63" t="n">
        <x:f>0.015</x:f>
        <x:v>0.015</x:v>
      </x:c>
      <x:c r="Z26" s="63" t="n">
        <x:f>IF('01_Run_Config'!$B$51="HESI Hesilicio",2,0)</x:f>
        <x:v>0</x:v>
      </x:c>
      <x:c r="AA26" s="63" t="n">
        <x:f>IF('01_Run_Config'!$B$48="AN Bud Candy (replaces HESI Boost)",0,IF(AND(A26&gt;='01_Run_Config'!$B$33,MOD(A26-'01_Run_Config'!$B$33,7)=0),2,0))</x:f>
        <x:v>0</x:v>
      </x:c>
      <x:c r="AB26" s="63" t="n">
        <x:f>IF('01_Run_Config'!$B$52="AN Bud Ignitor &gt; Big Bud &gt; Overdrive",0,IF(AND(ISNUMBER(AL26),AL26&gt;=29,AL26&lt;=42),0.25+((AL26-29)/13)*0.25,0))</x:f>
        <x:v>0</x:v>
      </x:c>
      <x:c r="AC26" s="63" t="n">
        <x:f>IF('01_Run_Config'!$B$46="OFF",0,IF(OR(AND(A26&gt;='01_Run_Config'!$B$32,A26&lt;='01_Run_Config'!$B$32+13),AND(A26&gt;='01_Run_Config'!$B$33,A26&lt;='01_Run_Config'!$B$33+13)),2,0))</x:f>
        <x:v>0</x:v>
      </x:c>
      <x:c r="AD26" s="63" t="str">
        <x:f>IF(BG26="BLOCK","HYBRID BLOCKED - Konfiguration prüfen",IF(SUM(AC26,AT26:BF26)&gt;0,"AN aktiv: "&amp;BH26,"AN: keine Dosis heute / Module aus"))</x:f>
        <x:v>AN: keine Dosis heute / Module aus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6" s="34" t="str">
        <x:f>IF(A26&lt;2,"PRE-EMERGENCE · kein Kalenderwert","AVAILABLE IF NEEDED · nur wenn vollständiger Endmix unter pH-Ziel liegt")</x:f>
        <x:v>AVAILABLE IF NEEDED · nur wenn vollständiger Endmix unter pH-Ziel liegt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  <x:c r="AT26" t="n">
        <x:f>IF(AND('01_Run_Config'!$B$46="Voodoo + Piranha + Tarantula",AC26&gt;0),2,0)</x:f>
        <x:v>0</x:v>
      </x:c>
      <x:c r="AU26" t="n">
        <x:f>IF(AND(OR('01_Run_Config'!$B$46="Voodoo + Tarantula",'01_Run_Config'!$B$46="Voodoo + Piranha + Tarantula"),AC26&gt;0),2,0)</x:f>
        <x:v>0</x:v>
      </x:c>
      <x:c r="AV26" t="n">
        <x:f>IF('01_Run_Config'!$B$47&lt;&gt;"ON / A-B",0,IF(OR(AND(A26&gt;='01_Run_Config'!$B$32,A26&lt;'01_Run_Config'!$B$33),AND(ISNUMBER(AL26),AL26&gt;=15,AL26&lt;=49)),2,0))</x:f>
        <x:v>0</x:v>
      </x:c>
      <x:c r="AW26" t="n">
        <x:f>IF('01_Run_Config'!$B$48="AN Bud Candy (replaces HESI Boost)",IF(AND(A26&gt;='01_Run_Config'!$B$32,OR(AL26="",AL26&lt;=49)),2,0),0)</x:f>
        <x:v>0</x:v>
      </x:c>
      <x:c r="AX26" t="n">
        <x:f>IF('01_Run_Config'!$B$49&lt;&gt;"ON / EXPERIMENTAL",0,IF(OR(AND(A26&gt;='01_Run_Config'!$B$32+7,A26&lt;'01_Run_Config'!$B$33),AND(ISNUMBER(AL26),AL26&gt;=1,AL26&lt;=49)),2,0))</x:f>
        <x:v>0</x:v>
      </x:c>
      <x:c r="AY26" t="n">
        <x:f>IF('01_Run_Config'!$B$50="AN Sensizym",IF(AND(A26&gt;='01_Run_Config'!$B$32,OR(AL26="",AL26&lt;=49)),2,0),0)</x:f>
        <x:v>0</x:v>
      </x:c>
      <x:c r="AZ26" t="n">
        <x:f>IF('01_Run_Config'!$B$51="AN Rhino Skin",IF(AND(A26&gt;='01_Run_Config'!$B$32,OR(AL26="",AL26&lt;=49)),2,0),0)</x:f>
        <x:v>0</x:v>
      </x:c>
      <x:c r="BA26" t="n">
        <x:f>IF(AND('01_Run_Config'!$B$52="AN Bud Ignitor &gt; Big Bud &gt; Overdrive",ISNUMBER(AL26),AL26&gt;=1,AL26&lt;=14),2,0)</x:f>
        <x:v>0</x:v>
      </x:c>
      <x:c r="BB26" t="n">
        <x:f>IF(AND('01_Run_Config'!$B$52="AN Bud Ignitor &gt; Big Bud &gt; Overdrive",ISNUMBER(AL26),AL26&gt;=8,AL26&lt;=35),2,0)</x:f>
        <x:v>0</x:v>
      </x:c>
      <x:c r="BC26" t="n">
        <x:f>IF(AND('01_Run_Config'!$B$52="AN Bud Ignitor &gt; Big Bud &gt; Overdrive",ISNUMBER(AL26),AL26&gt;=36,AL26&lt;=49),2,0)</x:f>
        <x:v>0</x:v>
      </x:c>
      <x:c r="BD26" t="n">
        <x:f>IF('01_Run_Config'!$B$53="ON / EXPERIMENTAL",IF(OR(AND(A26&gt;='01_Run_Config'!$B$32,A26&lt;'01_Run_Config'!$B$33),AND(ISNUMBER(AL26),AL26&gt;=15,AL26&lt;=49)),2,0),0)</x:f>
        <x:v>0</x:v>
      </x:c>
      <x:c r="BE26" t="n">
        <x:f>IF('01_Run_Config'!$B$54="AN Sensi CalMag Xtra conditional",'01_Run_Config'!$B$17,0)</x:f>
        <x:v>0</x:v>
      </x:c>
      <x:c r="BF26" t="n">
        <x:f>0</x:f>
        <x:v>0</x:v>
      </x:c>
      <x:c r="BG26" t="str">
        <x:f>'01_Run_Config'!$E$57</x:f>
        <x:v>OK</x:v>
      </x:c>
      <x:c r="BH26" t="str">
        <x:f>IF(SUM(AC26,AT26:BF26)=0,"keine AN-Dosis heute",IF(AC26&gt;0,"Voodoo "&amp;AC26&amp;" ml/L; ","")&amp;IF(AT26&gt;0,"Piranha "&amp;AT26&amp;" ml/L; ","")&amp;IF(AU26&gt;0,"Tarantula "&amp;AU26&amp;" ml/L; ","")&amp;IF(AV26&gt;0,"B-52 "&amp;AV26&amp;" ml/L; ","")&amp;IF(AW26&gt;0,"Bud Candy "&amp;AW26&amp;" ml/L; ","")&amp;IF(AX26&gt;0,"Bud Factor X "&amp;AX26&amp;" ml/L; ","")&amp;IF(AY26&gt;0,"Sensizym "&amp;AY26&amp;" ml/L; ","")&amp;IF(AZ26&gt;0,"Rhino Skin "&amp;AZ26&amp;" ml/L; ","")&amp;IF(BA26&gt;0,"Bud Ignitor "&amp;BA26&amp;" ml/L; ","")&amp;IF(BB26&gt;0,"Big Bud "&amp;BB26&amp;" ml/L; ","")&amp;IF(BC26&gt;0,"Overdrive "&amp;BC26&amp;" ml/L; ","")&amp;IF(BD26&gt;0,"Tasty Terpenes "&amp;BD26&amp;" ml/L; ","")&amp;IF(BE26&gt;0,"Sensi CalMag "&amp;BE26&amp;" ml/L",""))</x:f>
        <x:v>keine AN-Dosis heute</x:v>
      </x:c>
      <x:c r="BI26" s="60" t="n">
        <x:f>IF(ISNUMBER('01_Run_Config'!$B$91),IF(B26&lt;'01_Run_Config'!$B$91,"PRE",B26-'01_Run_Config'!$B$91),"PRE")</x:f>
        <x:v>22</x:v>
      </x:c>
      <x:c r="BJ26" s="60" t="str">
        <x:f>IF(ISNUMBER('01_Run_Config'!$B$92),IF(B26&lt;'01_Run_Config'!$B$92,"PRE",B26-'01_Run_Config'!$B$92),"PRE")</x:f>
        <x:v>PRE</x:v>
      </x:c>
      <x:c r="BK26" s="60" t="str">
        <x:f>IF(ISNUMBER('01_Run_Config'!$B$93),IF(B26&lt;'01_Run_Config'!$B$93,"PRE",B26-'01_Run_Config'!$B$93),"PRE")</x:f>
        <x:v>PRE</x:v>
      </x:c>
      <x:c r="BL26" s="2482" t="n">
        <x:f>IF(BM26=5.8,5.8,5.8)</x:f>
        <x:v>5.8</x:v>
      </x:c>
      <x:c r="BM26" s="2482" t="n">
        <x:f>IF(A26&lt;IF(ISNUMBER('01_Run_Config'!$B$81),'01_Run_Config'!$B$81,15),5.8,6)</x:f>
        <x:v>6</x:v>
      </x:c>
      <x:c r="BN26" s="2482" t="n">
        <x:f>IF(BM26=5.8,5.8,6.2)</x:f>
        <x:v>6.2</x:v>
      </x:c>
      <x:c r="BO26" s="60" t="str">
        <x:f>IF(BM26=5.8,"Eazy Plug/Block: Herstellerziel 5.80","Final Coco: UKD 6.00 = Mitte HESI 5.8–6.2")</x:f>
        <x:v>Final Coco: UKD 6.00 = Mitte HESI 5.8–6.2</x:v>
      </x:c>
      <x:c r="BP26" s="60" t="str">
        <x:f>IF(A26&lt;2,"PRE-EMERGENCE: Balance normalerweise nicht nötig",IF(BM26=5.8,"ab Durchbruch AVAILABLE IF endmix &lt; 5.80","AVAILABLE IF endmix &lt; 6.00"))</x:f>
        <x:v>AVAILABLE IF endmix &lt; 6.00</x:v>
      </x:c>
      <x:c r="BQ26" s="60" t="str">
        <x:f>IF(A26=0,"Run Day 0 = Aussaat 21.08.2026; Plant Day beginnt erst beim Durchbruch.",IF(A26=2,"P25 Double Grape: 23.08.2026 = Plant Day 0.","Daily pH is a projection; actual root-stage/event overrides calendar."))</x:f>
        <x:v>Daily pH is a projection; actual root-stage/event overrides calendar.</x:v>
      </x:c>
    </x:row>
    <x:row r="27">
      <x:c r="A27" s="34" t="n">
        <x:v>25</x:v>
      </x:c>
      <x:c r="B27" s="129" t="n">
        <x:f>'01_Run_Config'!$B$4+A27</x:f>
        <x:v>46280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f>BM27</x:f>
        <x:v>6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IF(A27&lt;=14,2.5,0)</x:f>
        <x:v>0</x:v>
      </x:c>
      <x:c r="X27" s="63" t="n">
        <x:f>IF('01_Run_Config'!$B$50="AN Sensizym",0,IF(AND(A27&gt;='01_Run_Config'!$B$32,OR(AL27="",AL27&lt;=49)),2,0))</x:f>
        <x:v>2</x:v>
      </x:c>
      <x:c r="Y27" s="63" t="n">
        <x:f>0.015</x:f>
        <x:v>0.015</x:v>
      </x:c>
      <x:c r="Z27" s="63" t="n">
        <x:f>IF('01_Run_Config'!$B$51="HESI Hesilicio",2,0)</x:f>
        <x:v>0</x:v>
      </x:c>
      <x:c r="AA27" s="63" t="n">
        <x:f>IF('01_Run_Config'!$B$48="AN Bud Candy (replaces HESI Boost)",0,IF(AND(A27&gt;='01_Run_Config'!$B$33,MOD(A27-'01_Run_Config'!$B$33,7)=0),2,0))</x:f>
        <x:v>0</x:v>
      </x:c>
      <x:c r="AB27" s="63" t="n">
        <x:f>IF('01_Run_Config'!$B$52="AN Bud Ignitor &gt; Big Bud &gt; Overdrive",0,IF(AND(ISNUMBER(AL27),AL27&gt;=29,AL27&lt;=42),0.25+((AL27-29)/13)*0.25,0))</x:f>
        <x:v>0</x:v>
      </x:c>
      <x:c r="AC27" s="63" t="n">
        <x:f>IF('01_Run_Config'!$B$46="OFF",0,IF(OR(AND(A27&gt;='01_Run_Config'!$B$32,A27&lt;='01_Run_Config'!$B$32+13),AND(A27&gt;='01_Run_Config'!$B$33,A27&lt;='01_Run_Config'!$B$33+13)),2,0))</x:f>
        <x:v>0</x:v>
      </x:c>
      <x:c r="AD27" s="63" t="str">
        <x:f>IF(BG27="BLOCK","HYBRID BLOCKED - Konfiguration prüfen",IF(SUM(AC27,AT27:BF27)&gt;0,"AN aktiv: "&amp;BH27,"AN: keine Dosis heute / Module aus"))</x:f>
        <x:v>AN: keine Dosis heute / Module aus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7" s="34" t="str">
        <x:f>IF(A27&lt;2,"PRE-EMERGENCE · kein Kalenderwert","AVAILABLE IF NEEDED · nur wenn vollständiger Endmix unter pH-Ziel liegt")</x:f>
        <x:v>AVAILABLE IF NEEDED · nur wenn vollständiger Endmix unter pH-Ziel liegt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  <x:c r="AT27" t="n">
        <x:f>IF(AND('01_Run_Config'!$B$46="Voodoo + Piranha + Tarantula",AC27&gt;0),2,0)</x:f>
        <x:v>0</x:v>
      </x:c>
      <x:c r="AU27" t="n">
        <x:f>IF(AND(OR('01_Run_Config'!$B$46="Voodoo + Tarantula",'01_Run_Config'!$B$46="Voodoo + Piranha + Tarantula"),AC27&gt;0),2,0)</x:f>
        <x:v>0</x:v>
      </x:c>
      <x:c r="AV27" t="n">
        <x:f>IF('01_Run_Config'!$B$47&lt;&gt;"ON / A-B",0,IF(OR(AND(A27&gt;='01_Run_Config'!$B$32,A27&lt;'01_Run_Config'!$B$33),AND(ISNUMBER(AL27),AL27&gt;=15,AL27&lt;=49)),2,0))</x:f>
        <x:v>0</x:v>
      </x:c>
      <x:c r="AW27" t="n">
        <x:f>IF('01_Run_Config'!$B$48="AN Bud Candy (replaces HESI Boost)",IF(AND(A27&gt;='01_Run_Config'!$B$32,OR(AL27="",AL27&lt;=49)),2,0),0)</x:f>
        <x:v>0</x:v>
      </x:c>
      <x:c r="AX27" t="n">
        <x:f>IF('01_Run_Config'!$B$49&lt;&gt;"ON / EXPERIMENTAL",0,IF(OR(AND(A27&gt;='01_Run_Config'!$B$32+7,A27&lt;'01_Run_Config'!$B$33),AND(ISNUMBER(AL27),AL27&gt;=1,AL27&lt;=49)),2,0))</x:f>
        <x:v>0</x:v>
      </x:c>
      <x:c r="AY27" t="n">
        <x:f>IF('01_Run_Config'!$B$50="AN Sensizym",IF(AND(A27&gt;='01_Run_Config'!$B$32,OR(AL27="",AL27&lt;=49)),2,0),0)</x:f>
        <x:v>0</x:v>
      </x:c>
      <x:c r="AZ27" t="n">
        <x:f>IF('01_Run_Config'!$B$51="AN Rhino Skin",IF(AND(A27&gt;='01_Run_Config'!$B$32,OR(AL27="",AL27&lt;=49)),2,0),0)</x:f>
        <x:v>0</x:v>
      </x:c>
      <x:c r="BA27" t="n">
        <x:f>IF(AND('01_Run_Config'!$B$52="AN Bud Ignitor &gt; Big Bud &gt; Overdrive",ISNUMBER(AL27),AL27&gt;=1,AL27&lt;=14),2,0)</x:f>
        <x:v>0</x:v>
      </x:c>
      <x:c r="BB27" t="n">
        <x:f>IF(AND('01_Run_Config'!$B$52="AN Bud Ignitor &gt; Big Bud &gt; Overdrive",ISNUMBER(AL27),AL27&gt;=8,AL27&lt;=35),2,0)</x:f>
        <x:v>0</x:v>
      </x:c>
      <x:c r="BC27" t="n">
        <x:f>IF(AND('01_Run_Config'!$B$52="AN Bud Ignitor &gt; Big Bud &gt; Overdrive",ISNUMBER(AL27),AL27&gt;=36,AL27&lt;=49),2,0)</x:f>
        <x:v>0</x:v>
      </x:c>
      <x:c r="BD27" t="n">
        <x:f>IF('01_Run_Config'!$B$53="ON / EXPERIMENTAL",IF(OR(AND(A27&gt;='01_Run_Config'!$B$32,A27&lt;'01_Run_Config'!$B$33),AND(ISNUMBER(AL27),AL27&gt;=15,AL27&lt;=49)),2,0),0)</x:f>
        <x:v>0</x:v>
      </x:c>
      <x:c r="BE27" t="n">
        <x:f>IF('01_Run_Config'!$B$54="AN Sensi CalMag Xtra conditional",'01_Run_Config'!$B$17,0)</x:f>
        <x:v>0</x:v>
      </x:c>
      <x:c r="BF27" t="n">
        <x:f>0</x:f>
        <x:v>0</x:v>
      </x:c>
      <x:c r="BG27" t="str">
        <x:f>'01_Run_Config'!$E$57</x:f>
        <x:v>OK</x:v>
      </x:c>
      <x:c r="BH27" t="str">
        <x:f>IF(SUM(AC27,AT27:BF27)=0,"keine AN-Dosis heute",IF(AC27&gt;0,"Voodoo "&amp;AC27&amp;" ml/L; ","")&amp;IF(AT27&gt;0,"Piranha "&amp;AT27&amp;" ml/L; ","")&amp;IF(AU27&gt;0,"Tarantula "&amp;AU27&amp;" ml/L; ","")&amp;IF(AV27&gt;0,"B-52 "&amp;AV27&amp;" ml/L; ","")&amp;IF(AW27&gt;0,"Bud Candy "&amp;AW27&amp;" ml/L; ","")&amp;IF(AX27&gt;0,"Bud Factor X "&amp;AX27&amp;" ml/L; ","")&amp;IF(AY27&gt;0,"Sensizym "&amp;AY27&amp;" ml/L; ","")&amp;IF(AZ27&gt;0,"Rhino Skin "&amp;AZ27&amp;" ml/L; ","")&amp;IF(BA27&gt;0,"Bud Ignitor "&amp;BA27&amp;" ml/L; ","")&amp;IF(BB27&gt;0,"Big Bud "&amp;BB27&amp;" ml/L; ","")&amp;IF(BC27&gt;0,"Overdrive "&amp;BC27&amp;" ml/L; ","")&amp;IF(BD27&gt;0,"Tasty Terpenes "&amp;BD27&amp;" ml/L; ","")&amp;IF(BE27&gt;0,"Sensi CalMag "&amp;BE27&amp;" ml/L",""))</x:f>
        <x:v>keine AN-Dosis heute</x:v>
      </x:c>
      <x:c r="BI27" s="60" t="n">
        <x:f>IF(ISNUMBER('01_Run_Config'!$B$91),IF(B27&lt;'01_Run_Config'!$B$91,"PRE",B27-'01_Run_Config'!$B$91),"PRE")</x:f>
        <x:v>23</x:v>
      </x:c>
      <x:c r="BJ27" s="60" t="str">
        <x:f>IF(ISNUMBER('01_Run_Config'!$B$92),IF(B27&lt;'01_Run_Config'!$B$92,"PRE",B27-'01_Run_Config'!$B$92),"PRE")</x:f>
        <x:v>PRE</x:v>
      </x:c>
      <x:c r="BK27" s="60" t="str">
        <x:f>IF(ISNUMBER('01_Run_Config'!$B$93),IF(B27&lt;'01_Run_Config'!$B$93,"PRE",B27-'01_Run_Config'!$B$93),"PRE")</x:f>
        <x:v>PRE</x:v>
      </x:c>
      <x:c r="BL27" s="2482" t="n">
        <x:f>IF(BM27=5.8,5.8,5.8)</x:f>
        <x:v>5.8</x:v>
      </x:c>
      <x:c r="BM27" s="2482" t="n">
        <x:f>IF(A27&lt;IF(ISNUMBER('01_Run_Config'!$B$81),'01_Run_Config'!$B$81,15),5.8,6)</x:f>
        <x:v>6</x:v>
      </x:c>
      <x:c r="BN27" s="2482" t="n">
        <x:f>IF(BM27=5.8,5.8,6.2)</x:f>
        <x:v>6.2</x:v>
      </x:c>
      <x:c r="BO27" s="60" t="str">
        <x:f>IF(BM27=5.8,"Eazy Plug/Block: Herstellerziel 5.80","Final Coco: UKD 6.00 = Mitte HESI 5.8–6.2")</x:f>
        <x:v>Final Coco: UKD 6.00 = Mitte HESI 5.8–6.2</x:v>
      </x:c>
      <x:c r="BP27" s="60" t="str">
        <x:f>IF(A27&lt;2,"PRE-EMERGENCE: Balance normalerweise nicht nötig",IF(BM27=5.8,"ab Durchbruch AVAILABLE IF endmix &lt; 5.80","AVAILABLE IF endmix &lt; 6.00"))</x:f>
        <x:v>AVAILABLE IF endmix &lt; 6.00</x:v>
      </x:c>
      <x:c r="BQ27" s="60" t="str">
        <x:f>IF(A27=0,"Run Day 0 = Aussaat 21.08.2026; Plant Day beginnt erst beim Durchbruch.",IF(A27=2,"P26 Double Grape: 23.08.2026 = Plant Day 0.","Daily pH is a projection; actual root-stage/event overrides calendar."))</x:f>
        <x:v>Daily pH is a projection; actual root-stage/event overrides calendar.</x:v>
      </x:c>
    </x:row>
    <x:row r="28">
      <x:c r="A28" s="34" t="n">
        <x:v>26</x:v>
      </x:c>
      <x:c r="B28" s="129" t="n">
        <x:f>'01_Run_Config'!$B$4+A28</x:f>
        <x:v>46281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f>BM28</x:f>
        <x:v>6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IF(A28&lt;=14,2.5,0)</x:f>
        <x:v>0</x:v>
      </x:c>
      <x:c r="X28" s="63" t="n">
        <x:f>IF('01_Run_Config'!$B$50="AN Sensizym",0,IF(AND(A28&gt;='01_Run_Config'!$B$32,OR(AL28="",AL28&lt;=49)),2,0))</x:f>
        <x:v>2</x:v>
      </x:c>
      <x:c r="Y28" s="63" t="n">
        <x:f>0.015</x:f>
        <x:v>0.015</x:v>
      </x:c>
      <x:c r="Z28" s="63" t="n">
        <x:f>IF('01_Run_Config'!$B$51="HESI Hesilicio",2,0)</x:f>
        <x:v>0</x:v>
      </x:c>
      <x:c r="AA28" s="63" t="n">
        <x:f>IF('01_Run_Config'!$B$48="AN Bud Candy (replaces HESI Boost)",0,IF(AND(A28&gt;='01_Run_Config'!$B$33,MOD(A28-'01_Run_Config'!$B$33,7)=0),2,0))</x:f>
        <x:v>0</x:v>
      </x:c>
      <x:c r="AB28" s="63" t="n">
        <x:f>IF('01_Run_Config'!$B$52="AN Bud Ignitor &gt; Big Bud &gt; Overdrive",0,IF(AND(ISNUMBER(AL28),AL28&gt;=29,AL28&lt;=42),0.25+((AL28-29)/13)*0.25,0))</x:f>
        <x:v>0</x:v>
      </x:c>
      <x:c r="AC28" s="63" t="n">
        <x:f>IF('01_Run_Config'!$B$46="OFF",0,IF(OR(AND(A28&gt;='01_Run_Config'!$B$32,A28&lt;='01_Run_Config'!$B$32+13),AND(A28&gt;='01_Run_Config'!$B$33,A28&lt;='01_Run_Config'!$B$33+13)),2,0))</x:f>
        <x:v>0</x:v>
      </x:c>
      <x:c r="AD28" s="63" t="str">
        <x:f>IF(BG28="BLOCK","HYBRID BLOCKED - Konfiguration prüfen",IF(SUM(AC28,AT28:BF28)&gt;0,"AN aktiv: "&amp;BH28,"AN: keine Dosis heute / Module aus"))</x:f>
        <x:v>AN: keine Dosis heute / Module aus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8" s="34" t="str">
        <x:f>IF(A28&lt;2,"PRE-EMERGENCE · kein Kalenderwert","AVAILABLE IF NEEDED · nur wenn vollständiger Endmix unter pH-Ziel liegt")</x:f>
        <x:v>AVAILABLE IF NEEDED · nur wenn vollständiger Endmix unter pH-Ziel liegt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  <x:c r="AT28" t="n">
        <x:f>IF(AND('01_Run_Config'!$B$46="Voodoo + Piranha + Tarantula",AC28&gt;0),2,0)</x:f>
        <x:v>0</x:v>
      </x:c>
      <x:c r="AU28" t="n">
        <x:f>IF(AND(OR('01_Run_Config'!$B$46="Voodoo + Tarantula",'01_Run_Config'!$B$46="Voodoo + Piranha + Tarantula"),AC28&gt;0),2,0)</x:f>
        <x:v>0</x:v>
      </x:c>
      <x:c r="AV28" t="n">
        <x:f>IF('01_Run_Config'!$B$47&lt;&gt;"ON / A-B",0,IF(OR(AND(A28&gt;='01_Run_Config'!$B$32,A28&lt;'01_Run_Config'!$B$33),AND(ISNUMBER(AL28),AL28&gt;=15,AL28&lt;=49)),2,0))</x:f>
        <x:v>0</x:v>
      </x:c>
      <x:c r="AW28" t="n">
        <x:f>IF('01_Run_Config'!$B$48="AN Bud Candy (replaces HESI Boost)",IF(AND(A28&gt;='01_Run_Config'!$B$32,OR(AL28="",AL28&lt;=49)),2,0),0)</x:f>
        <x:v>0</x:v>
      </x:c>
      <x:c r="AX28" t="n">
        <x:f>IF('01_Run_Config'!$B$49&lt;&gt;"ON / EXPERIMENTAL",0,IF(OR(AND(A28&gt;='01_Run_Config'!$B$32+7,A28&lt;'01_Run_Config'!$B$33),AND(ISNUMBER(AL28),AL28&gt;=1,AL28&lt;=49)),2,0))</x:f>
        <x:v>0</x:v>
      </x:c>
      <x:c r="AY28" t="n">
        <x:f>IF('01_Run_Config'!$B$50="AN Sensizym",IF(AND(A28&gt;='01_Run_Config'!$B$32,OR(AL28="",AL28&lt;=49)),2,0),0)</x:f>
        <x:v>0</x:v>
      </x:c>
      <x:c r="AZ28" t="n">
        <x:f>IF('01_Run_Config'!$B$51="AN Rhino Skin",IF(AND(A28&gt;='01_Run_Config'!$B$32,OR(AL28="",AL28&lt;=49)),2,0),0)</x:f>
        <x:v>0</x:v>
      </x:c>
      <x:c r="BA28" t="n">
        <x:f>IF(AND('01_Run_Config'!$B$52="AN Bud Ignitor &gt; Big Bud &gt; Overdrive",ISNUMBER(AL28),AL28&gt;=1,AL28&lt;=14),2,0)</x:f>
        <x:v>0</x:v>
      </x:c>
      <x:c r="BB28" t="n">
        <x:f>IF(AND('01_Run_Config'!$B$52="AN Bud Ignitor &gt; Big Bud &gt; Overdrive",ISNUMBER(AL28),AL28&gt;=8,AL28&lt;=35),2,0)</x:f>
        <x:v>0</x:v>
      </x:c>
      <x:c r="BC28" t="n">
        <x:f>IF(AND('01_Run_Config'!$B$52="AN Bud Ignitor &gt; Big Bud &gt; Overdrive",ISNUMBER(AL28),AL28&gt;=36,AL28&lt;=49),2,0)</x:f>
        <x:v>0</x:v>
      </x:c>
      <x:c r="BD28" t="n">
        <x:f>IF('01_Run_Config'!$B$53="ON / EXPERIMENTAL",IF(OR(AND(A28&gt;='01_Run_Config'!$B$32,A28&lt;'01_Run_Config'!$B$33),AND(ISNUMBER(AL28),AL28&gt;=15,AL28&lt;=49)),2,0),0)</x:f>
        <x:v>0</x:v>
      </x:c>
      <x:c r="BE28" t="n">
        <x:f>IF('01_Run_Config'!$B$54="AN Sensi CalMag Xtra conditional",'01_Run_Config'!$B$17,0)</x:f>
        <x:v>0</x:v>
      </x:c>
      <x:c r="BF28" t="n">
        <x:f>0</x:f>
        <x:v>0</x:v>
      </x:c>
      <x:c r="BG28" t="str">
        <x:f>'01_Run_Config'!$E$57</x:f>
        <x:v>OK</x:v>
      </x:c>
      <x:c r="BH28" t="str">
        <x:f>IF(SUM(AC28,AT28:BF28)=0,"keine AN-Dosis heute",IF(AC28&gt;0,"Voodoo "&amp;AC28&amp;" ml/L; ","")&amp;IF(AT28&gt;0,"Piranha "&amp;AT28&amp;" ml/L; ","")&amp;IF(AU28&gt;0,"Tarantula "&amp;AU28&amp;" ml/L; ","")&amp;IF(AV28&gt;0,"B-52 "&amp;AV28&amp;" ml/L; ","")&amp;IF(AW28&gt;0,"Bud Candy "&amp;AW28&amp;" ml/L; ","")&amp;IF(AX28&gt;0,"Bud Factor X "&amp;AX28&amp;" ml/L; ","")&amp;IF(AY28&gt;0,"Sensizym "&amp;AY28&amp;" ml/L; ","")&amp;IF(AZ28&gt;0,"Rhino Skin "&amp;AZ28&amp;" ml/L; ","")&amp;IF(BA28&gt;0,"Bud Ignitor "&amp;BA28&amp;" ml/L; ","")&amp;IF(BB28&gt;0,"Big Bud "&amp;BB28&amp;" ml/L; ","")&amp;IF(BC28&gt;0,"Overdrive "&amp;BC28&amp;" ml/L; ","")&amp;IF(BD28&gt;0,"Tasty Terpenes "&amp;BD28&amp;" ml/L; ","")&amp;IF(BE28&gt;0,"Sensi CalMag "&amp;BE28&amp;" ml/L",""))</x:f>
        <x:v>keine AN-Dosis heute</x:v>
      </x:c>
      <x:c r="BI28" s="60" t="n">
        <x:f>IF(ISNUMBER('01_Run_Config'!$B$91),IF(B28&lt;'01_Run_Config'!$B$91,"PRE",B28-'01_Run_Config'!$B$91),"PRE")</x:f>
        <x:v>24</x:v>
      </x:c>
      <x:c r="BJ28" s="60" t="str">
        <x:f>IF(ISNUMBER('01_Run_Config'!$B$92),IF(B28&lt;'01_Run_Config'!$B$92,"PRE",B28-'01_Run_Config'!$B$92),"PRE")</x:f>
        <x:v>PRE</x:v>
      </x:c>
      <x:c r="BK28" s="60" t="str">
        <x:f>IF(ISNUMBER('01_Run_Config'!$B$93),IF(B28&lt;'01_Run_Config'!$B$93,"PRE",B28-'01_Run_Config'!$B$93),"PRE")</x:f>
        <x:v>PRE</x:v>
      </x:c>
      <x:c r="BL28" s="2482" t="n">
        <x:f>IF(BM28=5.8,5.8,5.8)</x:f>
        <x:v>5.8</x:v>
      </x:c>
      <x:c r="BM28" s="2482" t="n">
        <x:f>IF(A28&lt;IF(ISNUMBER('01_Run_Config'!$B$81),'01_Run_Config'!$B$81,15),5.8,6)</x:f>
        <x:v>6</x:v>
      </x:c>
      <x:c r="BN28" s="2482" t="n">
        <x:f>IF(BM28=5.8,5.8,6.2)</x:f>
        <x:v>6.2</x:v>
      </x:c>
      <x:c r="BO28" s="60" t="str">
        <x:f>IF(BM28=5.8,"Eazy Plug/Block: Herstellerziel 5.80","Final Coco: UKD 6.00 = Mitte HESI 5.8–6.2")</x:f>
        <x:v>Final Coco: UKD 6.00 = Mitte HESI 5.8–6.2</x:v>
      </x:c>
      <x:c r="BP28" s="60" t="str">
        <x:f>IF(A28&lt;2,"PRE-EMERGENCE: Balance normalerweise nicht nötig",IF(BM28=5.8,"ab Durchbruch AVAILABLE IF endmix &lt; 5.80","AVAILABLE IF endmix &lt; 6.00"))</x:f>
        <x:v>AVAILABLE IF endmix &lt; 6.00</x:v>
      </x:c>
      <x:c r="BQ28" s="60" t="str">
        <x:f>IF(A28=0,"Run Day 0 = Aussaat 21.08.2026; Plant Day beginnt erst beim Durchbruch.",IF(A28=2,"P27 Double Grape: 23.08.2026 = Plant Day 0.","Daily pH is a projection; actual root-stage/event overrides calendar."))</x:f>
        <x:v>Daily pH is a projection; actual root-stage/event overrides calendar.</x:v>
      </x:c>
    </x:row>
    <x:row r="29">
      <x:c r="A29" s="34" t="n">
        <x:v>27</x:v>
      </x:c>
      <x:c r="B29" s="129" t="n">
        <x:f>'01_Run_Config'!$B$4+A29</x:f>
        <x:v>46282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f>BM29</x:f>
        <x:v>6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IF(A29&lt;=14,2.5,0)</x:f>
        <x:v>0</x:v>
      </x:c>
      <x:c r="X29" s="63" t="n">
        <x:f>IF('01_Run_Config'!$B$50="AN Sensizym",0,IF(AND(A29&gt;='01_Run_Config'!$B$32,OR(AL29="",AL29&lt;=49)),2,0))</x:f>
        <x:v>2</x:v>
      </x:c>
      <x:c r="Y29" s="63" t="n">
        <x:f>0.015</x:f>
        <x:v>0.015</x:v>
      </x:c>
      <x:c r="Z29" s="63" t="n">
        <x:f>IF('01_Run_Config'!$B$51="HESI Hesilicio",2,0)</x:f>
        <x:v>0</x:v>
      </x:c>
      <x:c r="AA29" s="63" t="n">
        <x:f>IF('01_Run_Config'!$B$48="AN Bud Candy (replaces HESI Boost)",0,IF(AND(A29&gt;='01_Run_Config'!$B$33,MOD(A29-'01_Run_Config'!$B$33,7)=0),2,0))</x:f>
        <x:v>0</x:v>
      </x:c>
      <x:c r="AB29" s="63" t="n">
        <x:f>IF('01_Run_Config'!$B$52="AN Bud Ignitor &gt; Big Bud &gt; Overdrive",0,IF(AND(ISNUMBER(AL29),AL29&gt;=29,AL29&lt;=42),0.25+((AL29-29)/13)*0.25,0))</x:f>
        <x:v>0</x:v>
      </x:c>
      <x:c r="AC29" s="63" t="n">
        <x:f>IF('01_Run_Config'!$B$46="OFF",0,IF(OR(AND(A29&gt;='01_Run_Config'!$B$32,A29&lt;='01_Run_Config'!$B$32+13),AND(A29&gt;='01_Run_Config'!$B$33,A29&lt;='01_Run_Config'!$B$33+13)),2,0))</x:f>
        <x:v>0</x:v>
      </x:c>
      <x:c r="AD29" s="63" t="str">
        <x:f>IF(BG29="BLOCK","HYBRID BLOCKED - Konfiguration prüfen",IF(SUM(AC29,AT29:BF29)&gt;0,"AN aktiv: "&amp;BH29,"AN: keine Dosis heute / Module aus"))</x:f>
        <x:v>AN: keine Dosis heute / Module aus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9" s="34" t="str">
        <x:f>IF(A29&lt;2,"PRE-EMERGENCE · kein Kalenderwert","AVAILABLE IF NEEDED · nur wenn vollständiger Endmix unter pH-Ziel liegt")</x:f>
        <x:v>AVAILABLE IF NEEDED · nur wenn vollständiger Endmix unter pH-Ziel liegt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  <x:c r="AT29" t="n">
        <x:f>IF(AND('01_Run_Config'!$B$46="Voodoo + Piranha + Tarantula",AC29&gt;0),2,0)</x:f>
        <x:v>0</x:v>
      </x:c>
      <x:c r="AU29" t="n">
        <x:f>IF(AND(OR('01_Run_Config'!$B$46="Voodoo + Tarantula",'01_Run_Config'!$B$46="Voodoo + Piranha + Tarantula"),AC29&gt;0),2,0)</x:f>
        <x:v>0</x:v>
      </x:c>
      <x:c r="AV29" t="n">
        <x:f>IF('01_Run_Config'!$B$47&lt;&gt;"ON / A-B",0,IF(OR(AND(A29&gt;='01_Run_Config'!$B$32,A29&lt;'01_Run_Config'!$B$33),AND(ISNUMBER(AL29),AL29&gt;=15,AL29&lt;=49)),2,0))</x:f>
        <x:v>0</x:v>
      </x:c>
      <x:c r="AW29" t="n">
        <x:f>IF('01_Run_Config'!$B$48="AN Bud Candy (replaces HESI Boost)",IF(AND(A29&gt;='01_Run_Config'!$B$32,OR(AL29="",AL29&lt;=49)),2,0),0)</x:f>
        <x:v>0</x:v>
      </x:c>
      <x:c r="AX29" t="n">
        <x:f>IF('01_Run_Config'!$B$49&lt;&gt;"ON / EXPERIMENTAL",0,IF(OR(AND(A29&gt;='01_Run_Config'!$B$32+7,A29&lt;'01_Run_Config'!$B$33),AND(ISNUMBER(AL29),AL29&gt;=1,AL29&lt;=49)),2,0))</x:f>
        <x:v>0</x:v>
      </x:c>
      <x:c r="AY29" t="n">
        <x:f>IF('01_Run_Config'!$B$50="AN Sensizym",IF(AND(A29&gt;='01_Run_Config'!$B$32,OR(AL29="",AL29&lt;=49)),2,0),0)</x:f>
        <x:v>0</x:v>
      </x:c>
      <x:c r="AZ29" t="n">
        <x:f>IF('01_Run_Config'!$B$51="AN Rhino Skin",IF(AND(A29&gt;='01_Run_Config'!$B$32,OR(AL29="",AL29&lt;=49)),2,0),0)</x:f>
        <x:v>0</x:v>
      </x:c>
      <x:c r="BA29" t="n">
        <x:f>IF(AND('01_Run_Config'!$B$52="AN Bud Ignitor &gt; Big Bud &gt; Overdrive",ISNUMBER(AL29),AL29&gt;=1,AL29&lt;=14),2,0)</x:f>
        <x:v>0</x:v>
      </x:c>
      <x:c r="BB29" t="n">
        <x:f>IF(AND('01_Run_Config'!$B$52="AN Bud Ignitor &gt; Big Bud &gt; Overdrive",ISNUMBER(AL29),AL29&gt;=8,AL29&lt;=35),2,0)</x:f>
        <x:v>0</x:v>
      </x:c>
      <x:c r="BC29" t="n">
        <x:f>IF(AND('01_Run_Config'!$B$52="AN Bud Ignitor &gt; Big Bud &gt; Overdrive",ISNUMBER(AL29),AL29&gt;=36,AL29&lt;=49),2,0)</x:f>
        <x:v>0</x:v>
      </x:c>
      <x:c r="BD29" t="n">
        <x:f>IF('01_Run_Config'!$B$53="ON / EXPERIMENTAL",IF(OR(AND(A29&gt;='01_Run_Config'!$B$32,A29&lt;'01_Run_Config'!$B$33),AND(ISNUMBER(AL29),AL29&gt;=15,AL29&lt;=49)),2,0),0)</x:f>
        <x:v>0</x:v>
      </x:c>
      <x:c r="BE29" t="n">
        <x:f>IF('01_Run_Config'!$B$54="AN Sensi CalMag Xtra conditional",'01_Run_Config'!$B$17,0)</x:f>
        <x:v>0</x:v>
      </x:c>
      <x:c r="BF29" t="n">
        <x:f>0</x:f>
        <x:v>0</x:v>
      </x:c>
      <x:c r="BG29" t="str">
        <x:f>'01_Run_Config'!$E$57</x:f>
        <x:v>OK</x:v>
      </x:c>
      <x:c r="BH29" t="str">
        <x:f>IF(SUM(AC29,AT29:BF29)=0,"keine AN-Dosis heute",IF(AC29&gt;0,"Voodoo "&amp;AC29&amp;" ml/L; ","")&amp;IF(AT29&gt;0,"Piranha "&amp;AT29&amp;" ml/L; ","")&amp;IF(AU29&gt;0,"Tarantula "&amp;AU29&amp;" ml/L; ","")&amp;IF(AV29&gt;0,"B-52 "&amp;AV29&amp;" ml/L; ","")&amp;IF(AW29&gt;0,"Bud Candy "&amp;AW29&amp;" ml/L; ","")&amp;IF(AX29&gt;0,"Bud Factor X "&amp;AX29&amp;" ml/L; ","")&amp;IF(AY29&gt;0,"Sensizym "&amp;AY29&amp;" ml/L; ","")&amp;IF(AZ29&gt;0,"Rhino Skin "&amp;AZ29&amp;" ml/L; ","")&amp;IF(BA29&gt;0,"Bud Ignitor "&amp;BA29&amp;" ml/L; ","")&amp;IF(BB29&gt;0,"Big Bud "&amp;BB29&amp;" ml/L; ","")&amp;IF(BC29&gt;0,"Overdrive "&amp;BC29&amp;" ml/L; ","")&amp;IF(BD29&gt;0,"Tasty Terpenes "&amp;BD29&amp;" ml/L; ","")&amp;IF(BE29&gt;0,"Sensi CalMag "&amp;BE29&amp;" ml/L",""))</x:f>
        <x:v>keine AN-Dosis heute</x:v>
      </x:c>
      <x:c r="BI29" s="60" t="n">
        <x:f>IF(ISNUMBER('01_Run_Config'!$B$91),IF(B29&lt;'01_Run_Config'!$B$91,"PRE",B29-'01_Run_Config'!$B$91),"PRE")</x:f>
        <x:v>25</x:v>
      </x:c>
      <x:c r="BJ29" s="60" t="str">
        <x:f>IF(ISNUMBER('01_Run_Config'!$B$92),IF(B29&lt;'01_Run_Config'!$B$92,"PRE",B29-'01_Run_Config'!$B$92),"PRE")</x:f>
        <x:v>PRE</x:v>
      </x:c>
      <x:c r="BK29" s="60" t="str">
        <x:f>IF(ISNUMBER('01_Run_Config'!$B$93),IF(B29&lt;'01_Run_Config'!$B$93,"PRE",B29-'01_Run_Config'!$B$93),"PRE")</x:f>
        <x:v>PRE</x:v>
      </x:c>
      <x:c r="BL29" s="2482" t="n">
        <x:f>IF(BM29=5.8,5.8,5.8)</x:f>
        <x:v>5.8</x:v>
      </x:c>
      <x:c r="BM29" s="2482" t="n">
        <x:f>IF(A29&lt;IF(ISNUMBER('01_Run_Config'!$B$81),'01_Run_Config'!$B$81,15),5.8,6)</x:f>
        <x:v>6</x:v>
      </x:c>
      <x:c r="BN29" s="2482" t="n">
        <x:f>IF(BM29=5.8,5.8,6.2)</x:f>
        <x:v>6.2</x:v>
      </x:c>
      <x:c r="BO29" s="60" t="str">
        <x:f>IF(BM29=5.8,"Eazy Plug/Block: Herstellerziel 5.80","Final Coco: UKD 6.00 = Mitte HESI 5.8–6.2")</x:f>
        <x:v>Final Coco: UKD 6.00 = Mitte HESI 5.8–6.2</x:v>
      </x:c>
      <x:c r="BP29" s="60" t="str">
        <x:f>IF(A29&lt;2,"PRE-EMERGENCE: Balance normalerweise nicht nötig",IF(BM29=5.8,"ab Durchbruch AVAILABLE IF endmix &lt; 5.80","AVAILABLE IF endmix &lt; 6.00"))</x:f>
        <x:v>AVAILABLE IF endmix &lt; 6.00</x:v>
      </x:c>
      <x:c r="BQ29" s="60" t="str">
        <x:f>IF(A29=0,"Run Day 0 = Aussaat 21.08.2026; Plant Day beginnt erst beim Durchbruch.",IF(A29=2,"P28 Double Grape: 23.08.2026 = Plant Day 0.","Daily pH is a projection; actual root-stage/event overrides calendar."))</x:f>
        <x:v>Daily pH is a projection; actual root-stage/event overrides calendar.</x:v>
      </x:c>
    </x:row>
    <x:row r="30">
      <x:c r="A30" s="34" t="n">
        <x:v>28</x:v>
      </x:c>
      <x:c r="B30" s="129" t="n">
        <x:f>'01_Run_Config'!$B$4+A30</x:f>
        <x:v>46283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f>BM30</x:f>
        <x:v>6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IF(A30&lt;=14,2.5,0)</x:f>
        <x:v>0</x:v>
      </x:c>
      <x:c r="X30" s="63" t="n">
        <x:f>IF('01_Run_Config'!$B$50="AN Sensizym",0,IF(AND(A30&gt;='01_Run_Config'!$B$32,OR(AL30="",AL30&lt;=49)),2,0))</x:f>
        <x:v>2</x:v>
      </x:c>
      <x:c r="Y30" s="63" t="n">
        <x:f>0.015</x:f>
        <x:v>0.015</x:v>
      </x:c>
      <x:c r="Z30" s="63" t="n">
        <x:f>IF('01_Run_Config'!$B$51="HESI Hesilicio",2,0)</x:f>
        <x:v>0</x:v>
      </x:c>
      <x:c r="AA30" s="63" t="n">
        <x:f>IF('01_Run_Config'!$B$48="AN Bud Candy (replaces HESI Boost)",0,IF(AND(A30&gt;='01_Run_Config'!$B$33,MOD(A30-'01_Run_Config'!$B$33,7)=0),2,0))</x:f>
        <x:v>2</x:v>
      </x:c>
      <x:c r="AB30" s="63" t="n">
        <x:f>IF('01_Run_Config'!$B$52="AN Bud Ignitor &gt; Big Bud &gt; Overdrive",0,IF(AND(ISNUMBER(AL30),AL30&gt;=29,AL30&lt;=42),0.25+((AL30-29)/13)*0.25,0))</x:f>
        <x:v>0</x:v>
      </x:c>
      <x:c r="AC30" s="63" t="n">
        <x:f>IF('01_Run_Config'!$B$46="OFF",0,IF(OR(AND(A30&gt;='01_Run_Config'!$B$32,A30&lt;='01_Run_Config'!$B$32+13),AND(A30&gt;='01_Run_Config'!$B$33,A30&lt;='01_Run_Config'!$B$33+13)),2,0))</x:f>
        <x:v>2</x:v>
      </x:c>
      <x:c r="AD30" s="63" t="str">
        <x:f>IF(BG30="BLOCK","HYBRID BLOCKED - Konfiguration prüfen",IF(SUM(AC30,AT30:BF30)&gt;0,"AN aktiv: "&amp;BH30,"AN: keine Dosis heute / Module aus"))</x:f>
        <x:v>AN aktiv: Voodoo 2 ml/L; Tarantula 2 ml/L; 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0" s="34" t="str">
        <x:f>IF(A30&lt;2,"PRE-EMERGENCE · kein Kalenderwert","AVAILABLE IF NEEDED · nur wenn vollständiger Endmix unter pH-Ziel liegt")</x:f>
        <x:v>AVAILABLE IF NEEDED · nur wenn vollständiger Endmix unter pH-Ziel liegt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  <x:c r="AT30" t="n">
        <x:f>IF(AND('01_Run_Config'!$B$46="Voodoo + Piranha + Tarantula",AC30&gt;0),2,0)</x:f>
        <x:v>0</x:v>
      </x:c>
      <x:c r="AU30" t="n">
        <x:f>IF(AND(OR('01_Run_Config'!$B$46="Voodoo + Tarantula",'01_Run_Config'!$B$46="Voodoo + Piranha + Tarantula"),AC30&gt;0),2,0)</x:f>
        <x:v>2</x:v>
      </x:c>
      <x:c r="AV30" t="n">
        <x:f>IF('01_Run_Config'!$B$47&lt;&gt;"ON / A-B",0,IF(OR(AND(A30&gt;='01_Run_Config'!$B$32,A30&lt;'01_Run_Config'!$B$33),AND(ISNUMBER(AL30),AL30&gt;=15,AL30&lt;=49)),2,0))</x:f>
        <x:v>0</x:v>
      </x:c>
      <x:c r="AW30" t="n">
        <x:f>IF('01_Run_Config'!$B$48="AN Bud Candy (replaces HESI Boost)",IF(AND(A30&gt;='01_Run_Config'!$B$32,OR(AL30="",AL30&lt;=49)),2,0),0)</x:f>
        <x:v>0</x:v>
      </x:c>
      <x:c r="AX30" t="n">
        <x:f>IF('01_Run_Config'!$B$49&lt;&gt;"ON / EXPERIMENTAL",0,IF(OR(AND(A30&gt;='01_Run_Config'!$B$32+7,A30&lt;'01_Run_Config'!$B$33),AND(ISNUMBER(AL30),AL30&gt;=1,AL30&lt;=49)),2,0))</x:f>
        <x:v>0</x:v>
      </x:c>
      <x:c r="AY30" t="n">
        <x:f>IF('01_Run_Config'!$B$50="AN Sensizym",IF(AND(A30&gt;='01_Run_Config'!$B$32,OR(AL30="",AL30&lt;=49)),2,0),0)</x:f>
        <x:v>0</x:v>
      </x:c>
      <x:c r="AZ30" t="n">
        <x:f>IF('01_Run_Config'!$B$51="AN Rhino Skin",IF(AND(A30&gt;='01_Run_Config'!$B$32,OR(AL30="",AL30&lt;=49)),2,0),0)</x:f>
        <x:v>0</x:v>
      </x:c>
      <x:c r="BA30" t="n">
        <x:f>IF(AND('01_Run_Config'!$B$52="AN Bud Ignitor &gt; Big Bud &gt; Overdrive",ISNUMBER(AL30),AL30&gt;=1,AL30&lt;=14),2,0)</x:f>
        <x:v>0</x:v>
      </x:c>
      <x:c r="BB30" t="n">
        <x:f>IF(AND('01_Run_Config'!$B$52="AN Bud Ignitor &gt; Big Bud &gt; Overdrive",ISNUMBER(AL30),AL30&gt;=8,AL30&lt;=35),2,0)</x:f>
        <x:v>0</x:v>
      </x:c>
      <x:c r="BC30" t="n">
        <x:f>IF(AND('01_Run_Config'!$B$52="AN Bud Ignitor &gt; Big Bud &gt; Overdrive",ISNUMBER(AL30),AL30&gt;=36,AL30&lt;=49),2,0)</x:f>
        <x:v>0</x:v>
      </x:c>
      <x:c r="BD30" t="n">
        <x:f>IF('01_Run_Config'!$B$53="ON / EXPERIMENTAL",IF(OR(AND(A30&gt;='01_Run_Config'!$B$32,A30&lt;'01_Run_Config'!$B$33),AND(ISNUMBER(AL30),AL30&gt;=15,AL30&lt;=49)),2,0),0)</x:f>
        <x:v>0</x:v>
      </x:c>
      <x:c r="BE30" t="n">
        <x:f>IF('01_Run_Config'!$B$54="AN Sensi CalMag Xtra conditional",'01_Run_Config'!$B$17,0)</x:f>
        <x:v>0</x:v>
      </x:c>
      <x:c r="BF30" t="n">
        <x:f>0</x:f>
        <x:v>0</x:v>
      </x:c>
      <x:c r="BG30" t="str">
        <x:f>'01_Run_Config'!$E$57</x:f>
        <x:v>OK</x:v>
      </x:c>
      <x:c r="BH30" t="str">
        <x:f>IF(SUM(AC30,AT30:BF30)=0,"keine AN-Dosis heute",IF(AC30&gt;0,"Voodoo "&amp;AC30&amp;" ml/L; ","")&amp;IF(AT30&gt;0,"Piranha "&amp;AT30&amp;" ml/L; ","")&amp;IF(AU30&gt;0,"Tarantula "&amp;AU30&amp;" ml/L; ","")&amp;IF(AV30&gt;0,"B-52 "&amp;AV30&amp;" ml/L; ","")&amp;IF(AW30&gt;0,"Bud Candy "&amp;AW30&amp;" ml/L; ","")&amp;IF(AX30&gt;0,"Bud Factor X "&amp;AX30&amp;" ml/L; ","")&amp;IF(AY30&gt;0,"Sensizym "&amp;AY30&amp;" ml/L; ","")&amp;IF(AZ30&gt;0,"Rhino Skin "&amp;AZ30&amp;" ml/L; ","")&amp;IF(BA30&gt;0,"Bud Ignitor "&amp;BA30&amp;" ml/L; ","")&amp;IF(BB30&gt;0,"Big Bud "&amp;BB30&amp;" ml/L; ","")&amp;IF(BC30&gt;0,"Overdrive "&amp;BC30&amp;" ml/L; ","")&amp;IF(BD30&gt;0,"Tasty Terpenes "&amp;BD30&amp;" ml/L; ","")&amp;IF(BE30&gt;0,"Sensi CalMag "&amp;BE30&amp;" ml/L",""))</x:f>
        <x:v>Voodoo 2 ml/L; Tarantula 2 ml/L; </x:v>
      </x:c>
      <x:c r="BI30" s="60" t="n">
        <x:f>IF(ISNUMBER('01_Run_Config'!$B$91),IF(B30&lt;'01_Run_Config'!$B$91,"PRE",B30-'01_Run_Config'!$B$91),"PRE")</x:f>
        <x:v>26</x:v>
      </x:c>
      <x:c r="BJ30" s="60" t="str">
        <x:f>IF(ISNUMBER('01_Run_Config'!$B$92),IF(B30&lt;'01_Run_Config'!$B$92,"PRE",B30-'01_Run_Config'!$B$92),"PRE")</x:f>
        <x:v>PRE</x:v>
      </x:c>
      <x:c r="BK30" s="60" t="str">
        <x:f>IF(ISNUMBER('01_Run_Config'!$B$93),IF(B30&lt;'01_Run_Config'!$B$93,"PRE",B30-'01_Run_Config'!$B$93),"PRE")</x:f>
        <x:v>PRE</x:v>
      </x:c>
      <x:c r="BL30" s="2482" t="n">
        <x:f>IF(BM30=5.8,5.8,5.8)</x:f>
        <x:v>5.8</x:v>
      </x:c>
      <x:c r="BM30" s="2482" t="n">
        <x:f>IF(A30&lt;IF(ISNUMBER('01_Run_Config'!$B$81),'01_Run_Config'!$B$81,15),5.8,6)</x:f>
        <x:v>6</x:v>
      </x:c>
      <x:c r="BN30" s="2482" t="n">
        <x:f>IF(BM30=5.8,5.8,6.2)</x:f>
        <x:v>6.2</x:v>
      </x:c>
      <x:c r="BO30" s="60" t="str">
        <x:f>IF(BM30=5.8,"Eazy Plug/Block: Herstellerziel 5.80","Final Coco: UKD 6.00 = Mitte HESI 5.8–6.2")</x:f>
        <x:v>Final Coco: UKD 6.00 = Mitte HESI 5.8–6.2</x:v>
      </x:c>
      <x:c r="BP30" s="60" t="str">
        <x:f>IF(A30&lt;2,"PRE-EMERGENCE: Balance normalerweise nicht nötig",IF(BM30=5.8,"ab Durchbruch AVAILABLE IF endmix &lt; 5.80","AVAILABLE IF endmix &lt; 6.00"))</x:f>
        <x:v>AVAILABLE IF endmix &lt; 6.00</x:v>
      </x:c>
      <x:c r="BQ30" s="60" t="str">
        <x:f>IF(A30=0,"Run Day 0 = Aussaat 21.08.2026; Plant Day beginnt erst beim Durchbruch.",IF(A30=2,"P29 Double Grape: 23.08.2026 = Plant Day 0.","Daily pH is a projection; actual root-stage/event overrides calendar."))</x:f>
        <x:v>Daily pH is a projection; actual root-stage/event overrides calendar.</x:v>
      </x:c>
    </x:row>
    <x:row r="31">
      <x:c r="A31" s="34" t="n">
        <x:v>29</x:v>
      </x:c>
      <x:c r="B31" s="129" t="n">
        <x:f>'01_Run_Config'!$B$4+A31</x:f>
        <x:v>46284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f>BM31</x:f>
        <x:v>6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IF(A31&lt;=14,2.5,0)</x:f>
        <x:v>0</x:v>
      </x:c>
      <x:c r="X31" s="63" t="n">
        <x:f>IF('01_Run_Config'!$B$50="AN Sensizym",0,IF(AND(A31&gt;='01_Run_Config'!$B$32,OR(AL31="",AL31&lt;=49)),2,0))</x:f>
        <x:v>2</x:v>
      </x:c>
      <x:c r="Y31" s="63" t="n">
        <x:f>0.015</x:f>
        <x:v>0.015</x:v>
      </x:c>
      <x:c r="Z31" s="63" t="n">
        <x:f>IF('01_Run_Config'!$B$51="HESI Hesilicio",2,0)</x:f>
        <x:v>0</x:v>
      </x:c>
      <x:c r="AA31" s="63" t="n">
        <x:f>IF('01_Run_Config'!$B$48="AN Bud Candy (replaces HESI Boost)",0,IF(AND(A31&gt;='01_Run_Config'!$B$33,MOD(A31-'01_Run_Config'!$B$33,7)=0),2,0))</x:f>
        <x:v>0</x:v>
      </x:c>
      <x:c r="AB31" s="63" t="n">
        <x:f>IF('01_Run_Config'!$B$52="AN Bud Ignitor &gt; Big Bud &gt; Overdrive",0,IF(AND(ISNUMBER(AL31),AL31&gt;=29,AL31&lt;=42),0.25+((AL31-29)/13)*0.25,0))</x:f>
        <x:v>0</x:v>
      </x:c>
      <x:c r="AC31" s="63" t="n">
        <x:f>IF('01_Run_Config'!$B$46="OFF",0,IF(OR(AND(A31&gt;='01_Run_Config'!$B$32,A31&lt;='01_Run_Config'!$B$32+13),AND(A31&gt;='01_Run_Config'!$B$33,A31&lt;='01_Run_Config'!$B$33+13)),2,0))</x:f>
        <x:v>2</x:v>
      </x:c>
      <x:c r="AD31" s="63" t="str">
        <x:f>IF(BG31="BLOCK","HYBRID BLOCKED - Konfiguration prüfen",IF(SUM(AC31,AT31:BF31)&gt;0,"AN aktiv: "&amp;BH31,"AN: keine Dosis heute / Module aus"))</x:f>
        <x:v>AN aktiv: Voodoo 2 ml/L; Tarantula 2 ml/L; 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1" s="34" t="str">
        <x:f>IF(A31&lt;2,"PRE-EMERGENCE · kein Kalenderwert","AVAILABLE IF NEEDED · nur wenn vollständiger Endmix unter pH-Ziel liegt")</x:f>
        <x:v>AVAILABLE IF NEEDED · nur wenn vollständiger Endmix unter pH-Ziel liegt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  <x:c r="AT31" t="n">
        <x:f>IF(AND('01_Run_Config'!$B$46="Voodoo + Piranha + Tarantula",AC31&gt;0),2,0)</x:f>
        <x:v>0</x:v>
      </x:c>
      <x:c r="AU31" t="n">
        <x:f>IF(AND(OR('01_Run_Config'!$B$46="Voodoo + Tarantula",'01_Run_Config'!$B$46="Voodoo + Piranha + Tarantula"),AC31&gt;0),2,0)</x:f>
        <x:v>2</x:v>
      </x:c>
      <x:c r="AV31" t="n">
        <x:f>IF('01_Run_Config'!$B$47&lt;&gt;"ON / A-B",0,IF(OR(AND(A31&gt;='01_Run_Config'!$B$32,A31&lt;'01_Run_Config'!$B$33),AND(ISNUMBER(AL31),AL31&gt;=15,AL31&lt;=49)),2,0))</x:f>
        <x:v>0</x:v>
      </x:c>
      <x:c r="AW31" t="n">
        <x:f>IF('01_Run_Config'!$B$48="AN Bud Candy (replaces HESI Boost)",IF(AND(A31&gt;='01_Run_Config'!$B$32,OR(AL31="",AL31&lt;=49)),2,0),0)</x:f>
        <x:v>0</x:v>
      </x:c>
      <x:c r="AX31" t="n">
        <x:f>IF('01_Run_Config'!$B$49&lt;&gt;"ON / EXPERIMENTAL",0,IF(OR(AND(A31&gt;='01_Run_Config'!$B$32+7,A31&lt;'01_Run_Config'!$B$33),AND(ISNUMBER(AL31),AL31&gt;=1,AL31&lt;=49)),2,0))</x:f>
        <x:v>0</x:v>
      </x:c>
      <x:c r="AY31" t="n">
        <x:f>IF('01_Run_Config'!$B$50="AN Sensizym",IF(AND(A31&gt;='01_Run_Config'!$B$32,OR(AL31="",AL31&lt;=49)),2,0),0)</x:f>
        <x:v>0</x:v>
      </x:c>
      <x:c r="AZ31" t="n">
        <x:f>IF('01_Run_Config'!$B$51="AN Rhino Skin",IF(AND(A31&gt;='01_Run_Config'!$B$32,OR(AL31="",AL31&lt;=49)),2,0),0)</x:f>
        <x:v>0</x:v>
      </x:c>
      <x:c r="BA31" t="n">
        <x:f>IF(AND('01_Run_Config'!$B$52="AN Bud Ignitor &gt; Big Bud &gt; Overdrive",ISNUMBER(AL31),AL31&gt;=1,AL31&lt;=14),2,0)</x:f>
        <x:v>0</x:v>
      </x:c>
      <x:c r="BB31" t="n">
        <x:f>IF(AND('01_Run_Config'!$B$52="AN Bud Ignitor &gt; Big Bud &gt; Overdrive",ISNUMBER(AL31),AL31&gt;=8,AL31&lt;=35),2,0)</x:f>
        <x:v>0</x:v>
      </x:c>
      <x:c r="BC31" t="n">
        <x:f>IF(AND('01_Run_Config'!$B$52="AN Bud Ignitor &gt; Big Bud &gt; Overdrive",ISNUMBER(AL31),AL31&gt;=36,AL31&lt;=49),2,0)</x:f>
        <x:v>0</x:v>
      </x:c>
      <x:c r="BD31" t="n">
        <x:f>IF('01_Run_Config'!$B$53="ON / EXPERIMENTAL",IF(OR(AND(A31&gt;='01_Run_Config'!$B$32,A31&lt;'01_Run_Config'!$B$33),AND(ISNUMBER(AL31),AL31&gt;=15,AL31&lt;=49)),2,0),0)</x:f>
        <x:v>0</x:v>
      </x:c>
      <x:c r="BE31" t="n">
        <x:f>IF('01_Run_Config'!$B$54="AN Sensi CalMag Xtra conditional",'01_Run_Config'!$B$17,0)</x:f>
        <x:v>0</x:v>
      </x:c>
      <x:c r="BF31" t="n">
        <x:f>0</x:f>
        <x:v>0</x:v>
      </x:c>
      <x:c r="BG31" t="str">
        <x:f>'01_Run_Config'!$E$57</x:f>
        <x:v>OK</x:v>
      </x:c>
      <x:c r="BH31" t="str">
        <x:f>IF(SUM(AC31,AT31:BF31)=0,"keine AN-Dosis heute",IF(AC31&gt;0,"Voodoo "&amp;AC31&amp;" ml/L; ","")&amp;IF(AT31&gt;0,"Piranha "&amp;AT31&amp;" ml/L; ","")&amp;IF(AU31&gt;0,"Tarantula "&amp;AU31&amp;" ml/L; ","")&amp;IF(AV31&gt;0,"B-52 "&amp;AV31&amp;" ml/L; ","")&amp;IF(AW31&gt;0,"Bud Candy "&amp;AW31&amp;" ml/L; ","")&amp;IF(AX31&gt;0,"Bud Factor X "&amp;AX31&amp;" ml/L; ","")&amp;IF(AY31&gt;0,"Sensizym "&amp;AY31&amp;" ml/L; ","")&amp;IF(AZ31&gt;0,"Rhino Skin "&amp;AZ31&amp;" ml/L; ","")&amp;IF(BA31&gt;0,"Bud Ignitor "&amp;BA31&amp;" ml/L; ","")&amp;IF(BB31&gt;0,"Big Bud "&amp;BB31&amp;" ml/L; ","")&amp;IF(BC31&gt;0,"Overdrive "&amp;BC31&amp;" ml/L; ","")&amp;IF(BD31&gt;0,"Tasty Terpenes "&amp;BD31&amp;" ml/L; ","")&amp;IF(BE31&gt;0,"Sensi CalMag "&amp;BE31&amp;" ml/L",""))</x:f>
        <x:v>Voodoo 2 ml/L; Tarantula 2 ml/L; </x:v>
      </x:c>
      <x:c r="BI31" s="60" t="n">
        <x:f>IF(ISNUMBER('01_Run_Config'!$B$91),IF(B31&lt;'01_Run_Config'!$B$91,"PRE",B31-'01_Run_Config'!$B$91),"PRE")</x:f>
        <x:v>27</x:v>
      </x:c>
      <x:c r="BJ31" s="60" t="str">
        <x:f>IF(ISNUMBER('01_Run_Config'!$B$92),IF(B31&lt;'01_Run_Config'!$B$92,"PRE",B31-'01_Run_Config'!$B$92),"PRE")</x:f>
        <x:v>PRE</x:v>
      </x:c>
      <x:c r="BK31" s="60" t="str">
        <x:f>IF(ISNUMBER('01_Run_Config'!$B$93),IF(B31&lt;'01_Run_Config'!$B$93,"PRE",B31-'01_Run_Config'!$B$93),"PRE")</x:f>
        <x:v>PRE</x:v>
      </x:c>
      <x:c r="BL31" s="2482" t="n">
        <x:f>IF(BM31=5.8,5.8,5.8)</x:f>
        <x:v>5.8</x:v>
      </x:c>
      <x:c r="BM31" s="2482" t="n">
        <x:f>IF(A31&lt;IF(ISNUMBER('01_Run_Config'!$B$81),'01_Run_Config'!$B$81,15),5.8,6)</x:f>
        <x:v>6</x:v>
      </x:c>
      <x:c r="BN31" s="2482" t="n">
        <x:f>IF(BM31=5.8,5.8,6.2)</x:f>
        <x:v>6.2</x:v>
      </x:c>
      <x:c r="BO31" s="60" t="str">
        <x:f>IF(BM31=5.8,"Eazy Plug/Block: Herstellerziel 5.80","Final Coco: UKD 6.00 = Mitte HESI 5.8–6.2")</x:f>
        <x:v>Final Coco: UKD 6.00 = Mitte HESI 5.8–6.2</x:v>
      </x:c>
      <x:c r="BP31" s="60" t="str">
        <x:f>IF(A31&lt;2,"PRE-EMERGENCE: Balance normalerweise nicht nötig",IF(BM31=5.8,"ab Durchbruch AVAILABLE IF endmix &lt; 5.80","AVAILABLE IF endmix &lt; 6.00"))</x:f>
        <x:v>AVAILABLE IF endmix &lt; 6.00</x:v>
      </x:c>
      <x:c r="BQ31" s="60" t="str">
        <x:f>IF(A31=0,"Run Day 0 = Aussaat 21.08.2026; Plant Day beginnt erst beim Durchbruch.",IF(A31=2,"P30 Double Grape: 23.08.2026 = Plant Day 0.","Daily pH is a projection; actual root-stage/event overrides calendar."))</x:f>
        <x:v>Daily pH is a projection; actual root-stage/event overrides calendar.</x:v>
      </x:c>
    </x:row>
    <x:row r="32">
      <x:c r="A32" s="34" t="n">
        <x:v>30</x:v>
      </x:c>
      <x:c r="B32" s="129" t="n">
        <x:f>'01_Run_Config'!$B$4+A32</x:f>
        <x:v>46285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f>BM32</x:f>
        <x:v>6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IF(A32&lt;=14,2.5,0)</x:f>
        <x:v>0</x:v>
      </x:c>
      <x:c r="X32" s="63" t="n">
        <x:f>IF('01_Run_Config'!$B$50="AN Sensizym",0,IF(AND(A32&gt;='01_Run_Config'!$B$32,OR(AL32="",AL32&lt;=49)),2,0))</x:f>
        <x:v>2</x:v>
      </x:c>
      <x:c r="Y32" s="63" t="n">
        <x:f>0.015</x:f>
        <x:v>0.015</x:v>
      </x:c>
      <x:c r="Z32" s="63" t="n">
        <x:f>IF('01_Run_Config'!$B$51="HESI Hesilicio",2,0)</x:f>
        <x:v>0</x:v>
      </x:c>
      <x:c r="AA32" s="63" t="n">
        <x:f>IF('01_Run_Config'!$B$48="AN Bud Candy (replaces HESI Boost)",0,IF(AND(A32&gt;='01_Run_Config'!$B$33,MOD(A32-'01_Run_Config'!$B$33,7)=0),2,0))</x:f>
        <x:v>0</x:v>
      </x:c>
      <x:c r="AB32" s="63" t="n">
        <x:f>IF('01_Run_Config'!$B$52="AN Bud Ignitor &gt; Big Bud &gt; Overdrive",0,IF(AND(ISNUMBER(AL32),AL32&gt;=29,AL32&lt;=42),0.25+((AL32-29)/13)*0.25,0))</x:f>
        <x:v>0</x:v>
      </x:c>
      <x:c r="AC32" s="63" t="n">
        <x:f>IF('01_Run_Config'!$B$46="OFF",0,IF(OR(AND(A32&gt;='01_Run_Config'!$B$32,A32&lt;='01_Run_Config'!$B$32+13),AND(A32&gt;='01_Run_Config'!$B$33,A32&lt;='01_Run_Config'!$B$33+13)),2,0))</x:f>
        <x:v>2</x:v>
      </x:c>
      <x:c r="AD32" s="63" t="str">
        <x:f>IF(BG32="BLOCK","HYBRID BLOCKED - Konfiguration prüfen",IF(SUM(AC32,AT32:BF32)&gt;0,"AN aktiv: "&amp;BH32,"AN: keine Dosis heute / Module aus"))</x:f>
        <x:v>AN aktiv: Voodoo 2 ml/L; Tarantula 2 ml/L; 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2" s="34" t="str">
        <x:f>IF(A32&lt;2,"PRE-EMERGENCE · kein Kalenderwert","AVAILABLE IF NEEDED · nur wenn vollständiger Endmix unter pH-Ziel liegt")</x:f>
        <x:v>AVAILABLE IF NEEDED · nur wenn vollständiger Endmix unter pH-Ziel liegt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  <x:c r="AT32" t="n">
        <x:f>IF(AND('01_Run_Config'!$B$46="Voodoo + Piranha + Tarantula",AC32&gt;0),2,0)</x:f>
        <x:v>0</x:v>
      </x:c>
      <x:c r="AU32" t="n">
        <x:f>IF(AND(OR('01_Run_Config'!$B$46="Voodoo + Tarantula",'01_Run_Config'!$B$46="Voodoo + Piranha + Tarantula"),AC32&gt;0),2,0)</x:f>
        <x:v>2</x:v>
      </x:c>
      <x:c r="AV32" t="n">
        <x:f>IF('01_Run_Config'!$B$47&lt;&gt;"ON / A-B",0,IF(OR(AND(A32&gt;='01_Run_Config'!$B$32,A32&lt;'01_Run_Config'!$B$33),AND(ISNUMBER(AL32),AL32&gt;=15,AL32&lt;=49)),2,0))</x:f>
        <x:v>0</x:v>
      </x:c>
      <x:c r="AW32" t="n">
        <x:f>IF('01_Run_Config'!$B$48="AN Bud Candy (replaces HESI Boost)",IF(AND(A32&gt;='01_Run_Config'!$B$32,OR(AL32="",AL32&lt;=49)),2,0),0)</x:f>
        <x:v>0</x:v>
      </x:c>
      <x:c r="AX32" t="n">
        <x:f>IF('01_Run_Config'!$B$49&lt;&gt;"ON / EXPERIMENTAL",0,IF(OR(AND(A32&gt;='01_Run_Config'!$B$32+7,A32&lt;'01_Run_Config'!$B$33),AND(ISNUMBER(AL32),AL32&gt;=1,AL32&lt;=49)),2,0))</x:f>
        <x:v>0</x:v>
      </x:c>
      <x:c r="AY32" t="n">
        <x:f>IF('01_Run_Config'!$B$50="AN Sensizym",IF(AND(A32&gt;='01_Run_Config'!$B$32,OR(AL32="",AL32&lt;=49)),2,0),0)</x:f>
        <x:v>0</x:v>
      </x:c>
      <x:c r="AZ32" t="n">
        <x:f>IF('01_Run_Config'!$B$51="AN Rhino Skin",IF(AND(A32&gt;='01_Run_Config'!$B$32,OR(AL32="",AL32&lt;=49)),2,0),0)</x:f>
        <x:v>0</x:v>
      </x:c>
      <x:c r="BA32" t="n">
        <x:f>IF(AND('01_Run_Config'!$B$52="AN Bud Ignitor &gt; Big Bud &gt; Overdrive",ISNUMBER(AL32),AL32&gt;=1,AL32&lt;=14),2,0)</x:f>
        <x:v>0</x:v>
      </x:c>
      <x:c r="BB32" t="n">
        <x:f>IF(AND('01_Run_Config'!$B$52="AN Bud Ignitor &gt; Big Bud &gt; Overdrive",ISNUMBER(AL32),AL32&gt;=8,AL32&lt;=35),2,0)</x:f>
        <x:v>0</x:v>
      </x:c>
      <x:c r="BC32" t="n">
        <x:f>IF(AND('01_Run_Config'!$B$52="AN Bud Ignitor &gt; Big Bud &gt; Overdrive",ISNUMBER(AL32),AL32&gt;=36,AL32&lt;=49),2,0)</x:f>
        <x:v>0</x:v>
      </x:c>
      <x:c r="BD32" t="n">
        <x:f>IF('01_Run_Config'!$B$53="ON / EXPERIMENTAL",IF(OR(AND(A32&gt;='01_Run_Config'!$B$32,A32&lt;'01_Run_Config'!$B$33),AND(ISNUMBER(AL32),AL32&gt;=15,AL32&lt;=49)),2,0),0)</x:f>
        <x:v>0</x:v>
      </x:c>
      <x:c r="BE32" t="n">
        <x:f>IF('01_Run_Config'!$B$54="AN Sensi CalMag Xtra conditional",'01_Run_Config'!$B$17,0)</x:f>
        <x:v>0</x:v>
      </x:c>
      <x:c r="BF32" t="n">
        <x:f>0</x:f>
        <x:v>0</x:v>
      </x:c>
      <x:c r="BG32" t="str">
        <x:f>'01_Run_Config'!$E$57</x:f>
        <x:v>OK</x:v>
      </x:c>
      <x:c r="BH32" t="str">
        <x:f>IF(SUM(AC32,AT32:BF32)=0,"keine AN-Dosis heute",IF(AC32&gt;0,"Voodoo "&amp;AC32&amp;" ml/L; ","")&amp;IF(AT32&gt;0,"Piranha "&amp;AT32&amp;" ml/L; ","")&amp;IF(AU32&gt;0,"Tarantula "&amp;AU32&amp;" ml/L; ","")&amp;IF(AV32&gt;0,"B-52 "&amp;AV32&amp;" ml/L; ","")&amp;IF(AW32&gt;0,"Bud Candy "&amp;AW32&amp;" ml/L; ","")&amp;IF(AX32&gt;0,"Bud Factor X "&amp;AX32&amp;" ml/L; ","")&amp;IF(AY32&gt;0,"Sensizym "&amp;AY32&amp;" ml/L; ","")&amp;IF(AZ32&gt;0,"Rhino Skin "&amp;AZ32&amp;" ml/L; ","")&amp;IF(BA32&gt;0,"Bud Ignitor "&amp;BA32&amp;" ml/L; ","")&amp;IF(BB32&gt;0,"Big Bud "&amp;BB32&amp;" ml/L; ","")&amp;IF(BC32&gt;0,"Overdrive "&amp;BC32&amp;" ml/L; ","")&amp;IF(BD32&gt;0,"Tasty Terpenes "&amp;BD32&amp;" ml/L; ","")&amp;IF(BE32&gt;0,"Sensi CalMag "&amp;BE32&amp;" ml/L",""))</x:f>
        <x:v>Voodoo 2 ml/L; Tarantula 2 ml/L; </x:v>
      </x:c>
      <x:c r="BI32" s="60" t="n">
        <x:f>IF(ISNUMBER('01_Run_Config'!$B$91),IF(B32&lt;'01_Run_Config'!$B$91,"PRE",B32-'01_Run_Config'!$B$91),"PRE")</x:f>
        <x:v>28</x:v>
      </x:c>
      <x:c r="BJ32" s="60" t="str">
        <x:f>IF(ISNUMBER('01_Run_Config'!$B$92),IF(B32&lt;'01_Run_Config'!$B$92,"PRE",B32-'01_Run_Config'!$B$92),"PRE")</x:f>
        <x:v>PRE</x:v>
      </x:c>
      <x:c r="BK32" s="60" t="str">
        <x:f>IF(ISNUMBER('01_Run_Config'!$B$93),IF(B32&lt;'01_Run_Config'!$B$93,"PRE",B32-'01_Run_Config'!$B$93),"PRE")</x:f>
        <x:v>PRE</x:v>
      </x:c>
      <x:c r="BL32" s="2482" t="n">
        <x:f>IF(BM32=5.8,5.8,5.8)</x:f>
        <x:v>5.8</x:v>
      </x:c>
      <x:c r="BM32" s="2482" t="n">
        <x:f>IF(A32&lt;IF(ISNUMBER('01_Run_Config'!$B$81),'01_Run_Config'!$B$81,15),5.8,6)</x:f>
        <x:v>6</x:v>
      </x:c>
      <x:c r="BN32" s="2482" t="n">
        <x:f>IF(BM32=5.8,5.8,6.2)</x:f>
        <x:v>6.2</x:v>
      </x:c>
      <x:c r="BO32" s="60" t="str">
        <x:f>IF(BM32=5.8,"Eazy Plug/Block: Herstellerziel 5.80","Final Coco: UKD 6.00 = Mitte HESI 5.8–6.2")</x:f>
        <x:v>Final Coco: UKD 6.00 = Mitte HESI 5.8–6.2</x:v>
      </x:c>
      <x:c r="BP32" s="60" t="str">
        <x:f>IF(A32&lt;2,"PRE-EMERGENCE: Balance normalerweise nicht nötig",IF(BM32=5.8,"ab Durchbruch AVAILABLE IF endmix &lt; 5.80","AVAILABLE IF endmix &lt; 6.00"))</x:f>
        <x:v>AVAILABLE IF endmix &lt; 6.00</x:v>
      </x:c>
      <x:c r="BQ32" s="60" t="str">
        <x:f>IF(A32=0,"Run Day 0 = Aussaat 21.08.2026; Plant Day beginnt erst beim Durchbruch.",IF(A32=2,"P31 Double Grape: 23.08.2026 = Plant Day 0.","Daily pH is a projection; actual root-stage/event overrides calendar."))</x:f>
        <x:v>Daily pH is a projection; actual root-stage/event overrides calendar.</x:v>
      </x:c>
    </x:row>
    <x:row r="33">
      <x:c r="A33" s="34" t="n">
        <x:v>31</x:v>
      </x:c>
      <x:c r="B33" s="129" t="n">
        <x:f>'01_Run_Config'!$B$4+A33</x:f>
        <x:v>46286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f>BM33</x:f>
        <x:v>6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IF(A33&lt;=14,2.5,0)</x:f>
        <x:v>0</x:v>
      </x:c>
      <x:c r="X33" s="63" t="n">
        <x:f>IF('01_Run_Config'!$B$50="AN Sensizym",0,IF(AND(A33&gt;='01_Run_Config'!$B$32,OR(AL33="",AL33&lt;=49)),2,0))</x:f>
        <x:v>2</x:v>
      </x:c>
      <x:c r="Y33" s="63" t="n">
        <x:f>0.015</x:f>
        <x:v>0.015</x:v>
      </x:c>
      <x:c r="Z33" s="63" t="n">
        <x:f>IF('01_Run_Config'!$B$51="HESI Hesilicio",2,0)</x:f>
        <x:v>0</x:v>
      </x:c>
      <x:c r="AA33" s="63" t="n">
        <x:f>IF('01_Run_Config'!$B$48="AN Bud Candy (replaces HESI Boost)",0,IF(AND(A33&gt;='01_Run_Config'!$B$33,MOD(A33-'01_Run_Config'!$B$33,7)=0),2,0))</x:f>
        <x:v>0</x:v>
      </x:c>
      <x:c r="AB33" s="63" t="n">
        <x:f>IF('01_Run_Config'!$B$52="AN Bud Ignitor &gt; Big Bud &gt; Overdrive",0,IF(AND(ISNUMBER(AL33),AL33&gt;=29,AL33&lt;=42),0.25+((AL33-29)/13)*0.25,0))</x:f>
        <x:v>0</x:v>
      </x:c>
      <x:c r="AC33" s="63" t="n">
        <x:f>IF('01_Run_Config'!$B$46="OFF",0,IF(OR(AND(A33&gt;='01_Run_Config'!$B$32,A33&lt;='01_Run_Config'!$B$32+13),AND(A33&gt;='01_Run_Config'!$B$33,A33&lt;='01_Run_Config'!$B$33+13)),2,0))</x:f>
        <x:v>2</x:v>
      </x:c>
      <x:c r="AD33" s="63" t="str">
        <x:f>IF(BG33="BLOCK","HYBRID BLOCKED - Konfiguration prüfen",IF(SUM(AC33,AT33:BF33)&gt;0,"AN aktiv: "&amp;BH33,"AN: keine Dosis heute / Module aus"))</x:f>
        <x:v>AN aktiv: Voodoo 2 ml/L; Tarantula 2 ml/L; 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3" s="34" t="str">
        <x:f>IF(A33&lt;2,"PRE-EMERGENCE · kein Kalenderwert","AVAILABLE IF NEEDED · nur wenn vollständiger Endmix unter pH-Ziel liegt")</x:f>
        <x:v>AVAILABLE IF NEEDED · nur wenn vollständiger Endmix unter pH-Ziel liegt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  <x:c r="AT33" t="n">
        <x:f>IF(AND('01_Run_Config'!$B$46="Voodoo + Piranha + Tarantula",AC33&gt;0),2,0)</x:f>
        <x:v>0</x:v>
      </x:c>
      <x:c r="AU33" t="n">
        <x:f>IF(AND(OR('01_Run_Config'!$B$46="Voodoo + Tarantula",'01_Run_Config'!$B$46="Voodoo + Piranha + Tarantula"),AC33&gt;0),2,0)</x:f>
        <x:v>2</x:v>
      </x:c>
      <x:c r="AV33" t="n">
        <x:f>IF('01_Run_Config'!$B$47&lt;&gt;"ON / A-B",0,IF(OR(AND(A33&gt;='01_Run_Config'!$B$32,A33&lt;'01_Run_Config'!$B$33),AND(ISNUMBER(AL33),AL33&gt;=15,AL33&lt;=49)),2,0))</x:f>
        <x:v>0</x:v>
      </x:c>
      <x:c r="AW33" t="n">
        <x:f>IF('01_Run_Config'!$B$48="AN Bud Candy (replaces HESI Boost)",IF(AND(A33&gt;='01_Run_Config'!$B$32,OR(AL33="",AL33&lt;=49)),2,0),0)</x:f>
        <x:v>0</x:v>
      </x:c>
      <x:c r="AX33" t="n">
        <x:f>IF('01_Run_Config'!$B$49&lt;&gt;"ON / EXPERIMENTAL",0,IF(OR(AND(A33&gt;='01_Run_Config'!$B$32+7,A33&lt;'01_Run_Config'!$B$33),AND(ISNUMBER(AL33),AL33&gt;=1,AL33&lt;=49)),2,0))</x:f>
        <x:v>0</x:v>
      </x:c>
      <x:c r="AY33" t="n">
        <x:f>IF('01_Run_Config'!$B$50="AN Sensizym",IF(AND(A33&gt;='01_Run_Config'!$B$32,OR(AL33="",AL33&lt;=49)),2,0),0)</x:f>
        <x:v>0</x:v>
      </x:c>
      <x:c r="AZ33" t="n">
        <x:f>IF('01_Run_Config'!$B$51="AN Rhino Skin",IF(AND(A33&gt;='01_Run_Config'!$B$32,OR(AL33="",AL33&lt;=49)),2,0),0)</x:f>
        <x:v>0</x:v>
      </x:c>
      <x:c r="BA33" t="n">
        <x:f>IF(AND('01_Run_Config'!$B$52="AN Bud Ignitor &gt; Big Bud &gt; Overdrive",ISNUMBER(AL33),AL33&gt;=1,AL33&lt;=14),2,0)</x:f>
        <x:v>0</x:v>
      </x:c>
      <x:c r="BB33" t="n">
        <x:f>IF(AND('01_Run_Config'!$B$52="AN Bud Ignitor &gt; Big Bud &gt; Overdrive",ISNUMBER(AL33),AL33&gt;=8,AL33&lt;=35),2,0)</x:f>
        <x:v>0</x:v>
      </x:c>
      <x:c r="BC33" t="n">
        <x:f>IF(AND('01_Run_Config'!$B$52="AN Bud Ignitor &gt; Big Bud &gt; Overdrive",ISNUMBER(AL33),AL33&gt;=36,AL33&lt;=49),2,0)</x:f>
        <x:v>0</x:v>
      </x:c>
      <x:c r="BD33" t="n">
        <x:f>IF('01_Run_Config'!$B$53="ON / EXPERIMENTAL",IF(OR(AND(A33&gt;='01_Run_Config'!$B$32,A33&lt;'01_Run_Config'!$B$33),AND(ISNUMBER(AL33),AL33&gt;=15,AL33&lt;=49)),2,0),0)</x:f>
        <x:v>0</x:v>
      </x:c>
      <x:c r="BE33" t="n">
        <x:f>IF('01_Run_Config'!$B$54="AN Sensi CalMag Xtra conditional",'01_Run_Config'!$B$17,0)</x:f>
        <x:v>0</x:v>
      </x:c>
      <x:c r="BF33" t="n">
        <x:f>0</x:f>
        <x:v>0</x:v>
      </x:c>
      <x:c r="BG33" t="str">
        <x:f>'01_Run_Config'!$E$57</x:f>
        <x:v>OK</x:v>
      </x:c>
      <x:c r="BH33" t="str">
        <x:f>IF(SUM(AC33,AT33:BF33)=0,"keine AN-Dosis heute",IF(AC33&gt;0,"Voodoo "&amp;AC33&amp;" ml/L; ","")&amp;IF(AT33&gt;0,"Piranha "&amp;AT33&amp;" ml/L; ","")&amp;IF(AU33&gt;0,"Tarantula "&amp;AU33&amp;" ml/L; ","")&amp;IF(AV33&gt;0,"B-52 "&amp;AV33&amp;" ml/L; ","")&amp;IF(AW33&gt;0,"Bud Candy "&amp;AW33&amp;" ml/L; ","")&amp;IF(AX33&gt;0,"Bud Factor X "&amp;AX33&amp;" ml/L; ","")&amp;IF(AY33&gt;0,"Sensizym "&amp;AY33&amp;" ml/L; ","")&amp;IF(AZ33&gt;0,"Rhino Skin "&amp;AZ33&amp;" ml/L; ","")&amp;IF(BA33&gt;0,"Bud Ignitor "&amp;BA33&amp;" ml/L; ","")&amp;IF(BB33&gt;0,"Big Bud "&amp;BB33&amp;" ml/L; ","")&amp;IF(BC33&gt;0,"Overdrive "&amp;BC33&amp;" ml/L; ","")&amp;IF(BD33&gt;0,"Tasty Terpenes "&amp;BD33&amp;" ml/L; ","")&amp;IF(BE33&gt;0,"Sensi CalMag "&amp;BE33&amp;" ml/L",""))</x:f>
        <x:v>Voodoo 2 ml/L; Tarantula 2 ml/L; </x:v>
      </x:c>
      <x:c r="BI33" s="60" t="n">
        <x:f>IF(ISNUMBER('01_Run_Config'!$B$91),IF(B33&lt;'01_Run_Config'!$B$91,"PRE",B33-'01_Run_Config'!$B$91),"PRE")</x:f>
        <x:v>29</x:v>
      </x:c>
      <x:c r="BJ33" s="60" t="str">
        <x:f>IF(ISNUMBER('01_Run_Config'!$B$92),IF(B33&lt;'01_Run_Config'!$B$92,"PRE",B33-'01_Run_Config'!$B$92),"PRE")</x:f>
        <x:v>PRE</x:v>
      </x:c>
      <x:c r="BK33" s="60" t="str">
        <x:f>IF(ISNUMBER('01_Run_Config'!$B$93),IF(B33&lt;'01_Run_Config'!$B$93,"PRE",B33-'01_Run_Config'!$B$93),"PRE")</x:f>
        <x:v>PRE</x:v>
      </x:c>
      <x:c r="BL33" s="2482" t="n">
        <x:f>IF(BM33=5.8,5.8,5.8)</x:f>
        <x:v>5.8</x:v>
      </x:c>
      <x:c r="BM33" s="2482" t="n">
        <x:f>IF(A33&lt;IF(ISNUMBER('01_Run_Config'!$B$81),'01_Run_Config'!$B$81,15),5.8,6)</x:f>
        <x:v>6</x:v>
      </x:c>
      <x:c r="BN33" s="2482" t="n">
        <x:f>IF(BM33=5.8,5.8,6.2)</x:f>
        <x:v>6.2</x:v>
      </x:c>
      <x:c r="BO33" s="60" t="str">
        <x:f>IF(BM33=5.8,"Eazy Plug/Block: Herstellerziel 5.80","Final Coco: UKD 6.00 = Mitte HESI 5.8–6.2")</x:f>
        <x:v>Final Coco: UKD 6.00 = Mitte HESI 5.8–6.2</x:v>
      </x:c>
      <x:c r="BP33" s="60" t="str">
        <x:f>IF(A33&lt;2,"PRE-EMERGENCE: Balance normalerweise nicht nötig",IF(BM33=5.8,"ab Durchbruch AVAILABLE IF endmix &lt; 5.80","AVAILABLE IF endmix &lt; 6.00"))</x:f>
        <x:v>AVAILABLE IF endmix &lt; 6.00</x:v>
      </x:c>
      <x:c r="BQ33" s="60" t="str">
        <x:f>IF(A33=0,"Run Day 0 = Aussaat 21.08.2026; Plant Day beginnt erst beim Durchbruch.",IF(A33=2,"P32 Double Grape: 23.08.2026 = Plant Day 0.","Daily pH is a projection; actual root-stage/event overrides calendar."))</x:f>
        <x:v>Daily pH is a projection; actual root-stage/event overrides calendar.</x:v>
      </x:c>
    </x:row>
    <x:row r="34">
      <x:c r="A34" s="34" t="n">
        <x:v>32</x:v>
      </x:c>
      <x:c r="B34" s="129" t="n">
        <x:f>'01_Run_Config'!$B$4+A34</x:f>
        <x:v>46287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f>BM34</x:f>
        <x:v>6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IF(A34&lt;=14,2.5,0)</x:f>
        <x:v>0</x:v>
      </x:c>
      <x:c r="X34" s="63" t="n">
        <x:f>IF('01_Run_Config'!$B$50="AN Sensizym",0,IF(AND(A34&gt;='01_Run_Config'!$B$32,OR(AL34="",AL34&lt;=49)),2,0))</x:f>
        <x:v>2</x:v>
      </x:c>
      <x:c r="Y34" s="63" t="n">
        <x:f>0.015</x:f>
        <x:v>0.015</x:v>
      </x:c>
      <x:c r="Z34" s="63" t="n">
        <x:f>IF('01_Run_Config'!$B$51="HESI Hesilicio",2,0)</x:f>
        <x:v>0</x:v>
      </x:c>
      <x:c r="AA34" s="63" t="n">
        <x:f>IF('01_Run_Config'!$B$48="AN Bud Candy (replaces HESI Boost)",0,IF(AND(A34&gt;='01_Run_Config'!$B$33,MOD(A34-'01_Run_Config'!$B$33,7)=0),2,0))</x:f>
        <x:v>0</x:v>
      </x:c>
      <x:c r="AB34" s="63" t="n">
        <x:f>IF('01_Run_Config'!$B$52="AN Bud Ignitor &gt; Big Bud &gt; Overdrive",0,IF(AND(ISNUMBER(AL34),AL34&gt;=29,AL34&lt;=42),0.25+((AL34-29)/13)*0.25,0))</x:f>
        <x:v>0</x:v>
      </x:c>
      <x:c r="AC34" s="63" t="n">
        <x:f>IF('01_Run_Config'!$B$46="OFF",0,IF(OR(AND(A34&gt;='01_Run_Config'!$B$32,A34&lt;='01_Run_Config'!$B$32+13),AND(A34&gt;='01_Run_Config'!$B$33,A34&lt;='01_Run_Config'!$B$33+13)),2,0))</x:f>
        <x:v>2</x:v>
      </x:c>
      <x:c r="AD34" s="63" t="str">
        <x:f>IF(BG34="BLOCK","HYBRID BLOCKED - Konfiguration prüfen",IF(SUM(AC34,AT34:BF34)&gt;0,"AN aktiv: "&amp;BH34,"AN: keine Dosis heute / Module aus"))</x:f>
        <x:v>AN aktiv: Voodoo 2 ml/L; Tarantula 2 ml/L; 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4" s="34" t="str">
        <x:f>IF(A34&lt;2,"PRE-EMERGENCE · kein Kalenderwert","AVAILABLE IF NEEDED · nur wenn vollständiger Endmix unter pH-Ziel liegt")</x:f>
        <x:v>AVAILABLE IF NEEDED · nur wenn vollständiger Endmix unter pH-Ziel liegt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  <x:c r="AT34" t="n">
        <x:f>IF(AND('01_Run_Config'!$B$46="Voodoo + Piranha + Tarantula",AC34&gt;0),2,0)</x:f>
        <x:v>0</x:v>
      </x:c>
      <x:c r="AU34" t="n">
        <x:f>IF(AND(OR('01_Run_Config'!$B$46="Voodoo + Tarantula",'01_Run_Config'!$B$46="Voodoo + Piranha + Tarantula"),AC34&gt;0),2,0)</x:f>
        <x:v>2</x:v>
      </x:c>
      <x:c r="AV34" t="n">
        <x:f>IF('01_Run_Config'!$B$47&lt;&gt;"ON / A-B",0,IF(OR(AND(A34&gt;='01_Run_Config'!$B$32,A34&lt;'01_Run_Config'!$B$33),AND(ISNUMBER(AL34),AL34&gt;=15,AL34&lt;=49)),2,0))</x:f>
        <x:v>0</x:v>
      </x:c>
      <x:c r="AW34" t="n">
        <x:f>IF('01_Run_Config'!$B$48="AN Bud Candy (replaces HESI Boost)",IF(AND(A34&gt;='01_Run_Config'!$B$32,OR(AL34="",AL34&lt;=49)),2,0),0)</x:f>
        <x:v>0</x:v>
      </x:c>
      <x:c r="AX34" t="n">
        <x:f>IF('01_Run_Config'!$B$49&lt;&gt;"ON / EXPERIMENTAL",0,IF(OR(AND(A34&gt;='01_Run_Config'!$B$32+7,A34&lt;'01_Run_Config'!$B$33),AND(ISNUMBER(AL34),AL34&gt;=1,AL34&lt;=49)),2,0))</x:f>
        <x:v>0</x:v>
      </x:c>
      <x:c r="AY34" t="n">
        <x:f>IF('01_Run_Config'!$B$50="AN Sensizym",IF(AND(A34&gt;='01_Run_Config'!$B$32,OR(AL34="",AL34&lt;=49)),2,0),0)</x:f>
        <x:v>0</x:v>
      </x:c>
      <x:c r="AZ34" t="n">
        <x:f>IF('01_Run_Config'!$B$51="AN Rhino Skin",IF(AND(A34&gt;='01_Run_Config'!$B$32,OR(AL34="",AL34&lt;=49)),2,0),0)</x:f>
        <x:v>0</x:v>
      </x:c>
      <x:c r="BA34" t="n">
        <x:f>IF(AND('01_Run_Config'!$B$52="AN Bud Ignitor &gt; Big Bud &gt; Overdrive",ISNUMBER(AL34),AL34&gt;=1,AL34&lt;=14),2,0)</x:f>
        <x:v>0</x:v>
      </x:c>
      <x:c r="BB34" t="n">
        <x:f>IF(AND('01_Run_Config'!$B$52="AN Bud Ignitor &gt; Big Bud &gt; Overdrive",ISNUMBER(AL34),AL34&gt;=8,AL34&lt;=35),2,0)</x:f>
        <x:v>0</x:v>
      </x:c>
      <x:c r="BC34" t="n">
        <x:f>IF(AND('01_Run_Config'!$B$52="AN Bud Ignitor &gt; Big Bud &gt; Overdrive",ISNUMBER(AL34),AL34&gt;=36,AL34&lt;=49),2,0)</x:f>
        <x:v>0</x:v>
      </x:c>
      <x:c r="BD34" t="n">
        <x:f>IF('01_Run_Config'!$B$53="ON / EXPERIMENTAL",IF(OR(AND(A34&gt;='01_Run_Config'!$B$32,A34&lt;'01_Run_Config'!$B$33),AND(ISNUMBER(AL34),AL34&gt;=15,AL34&lt;=49)),2,0),0)</x:f>
        <x:v>0</x:v>
      </x:c>
      <x:c r="BE34" t="n">
        <x:f>IF('01_Run_Config'!$B$54="AN Sensi CalMag Xtra conditional",'01_Run_Config'!$B$17,0)</x:f>
        <x:v>0</x:v>
      </x:c>
      <x:c r="BF34" t="n">
        <x:f>0</x:f>
        <x:v>0</x:v>
      </x:c>
      <x:c r="BG34" t="str">
        <x:f>'01_Run_Config'!$E$57</x:f>
        <x:v>OK</x:v>
      </x:c>
      <x:c r="BH34" t="str">
        <x:f>IF(SUM(AC34,AT34:BF34)=0,"keine AN-Dosis heute",IF(AC34&gt;0,"Voodoo "&amp;AC34&amp;" ml/L; ","")&amp;IF(AT34&gt;0,"Piranha "&amp;AT34&amp;" ml/L; ","")&amp;IF(AU34&gt;0,"Tarantula "&amp;AU34&amp;" ml/L; ","")&amp;IF(AV34&gt;0,"B-52 "&amp;AV34&amp;" ml/L; ","")&amp;IF(AW34&gt;0,"Bud Candy "&amp;AW34&amp;" ml/L; ","")&amp;IF(AX34&gt;0,"Bud Factor X "&amp;AX34&amp;" ml/L; ","")&amp;IF(AY34&gt;0,"Sensizym "&amp;AY34&amp;" ml/L; ","")&amp;IF(AZ34&gt;0,"Rhino Skin "&amp;AZ34&amp;" ml/L; ","")&amp;IF(BA34&gt;0,"Bud Ignitor "&amp;BA34&amp;" ml/L; ","")&amp;IF(BB34&gt;0,"Big Bud "&amp;BB34&amp;" ml/L; ","")&amp;IF(BC34&gt;0,"Overdrive "&amp;BC34&amp;" ml/L; ","")&amp;IF(BD34&gt;0,"Tasty Terpenes "&amp;BD34&amp;" ml/L; ","")&amp;IF(BE34&gt;0,"Sensi CalMag "&amp;BE34&amp;" ml/L",""))</x:f>
        <x:v>Voodoo 2 ml/L; Tarantula 2 ml/L; </x:v>
      </x:c>
      <x:c r="BI34" s="60" t="n">
        <x:f>IF(ISNUMBER('01_Run_Config'!$B$91),IF(B34&lt;'01_Run_Config'!$B$91,"PRE",B34-'01_Run_Config'!$B$91),"PRE")</x:f>
        <x:v>30</x:v>
      </x:c>
      <x:c r="BJ34" s="60" t="str">
        <x:f>IF(ISNUMBER('01_Run_Config'!$B$92),IF(B34&lt;'01_Run_Config'!$B$92,"PRE",B34-'01_Run_Config'!$B$92),"PRE")</x:f>
        <x:v>PRE</x:v>
      </x:c>
      <x:c r="BK34" s="60" t="str">
        <x:f>IF(ISNUMBER('01_Run_Config'!$B$93),IF(B34&lt;'01_Run_Config'!$B$93,"PRE",B34-'01_Run_Config'!$B$93),"PRE")</x:f>
        <x:v>PRE</x:v>
      </x:c>
      <x:c r="BL34" s="2482" t="n">
        <x:f>IF(BM34=5.8,5.8,5.8)</x:f>
        <x:v>5.8</x:v>
      </x:c>
      <x:c r="BM34" s="2482" t="n">
        <x:f>IF(A34&lt;IF(ISNUMBER('01_Run_Config'!$B$81),'01_Run_Config'!$B$81,15),5.8,6)</x:f>
        <x:v>6</x:v>
      </x:c>
      <x:c r="BN34" s="2482" t="n">
        <x:f>IF(BM34=5.8,5.8,6.2)</x:f>
        <x:v>6.2</x:v>
      </x:c>
      <x:c r="BO34" s="60" t="str">
        <x:f>IF(BM34=5.8,"Eazy Plug/Block: Herstellerziel 5.80","Final Coco: UKD 6.00 = Mitte HESI 5.8–6.2")</x:f>
        <x:v>Final Coco: UKD 6.00 = Mitte HESI 5.8–6.2</x:v>
      </x:c>
      <x:c r="BP34" s="60" t="str">
        <x:f>IF(A34&lt;2,"PRE-EMERGENCE: Balance normalerweise nicht nötig",IF(BM34=5.8,"ab Durchbruch AVAILABLE IF endmix &lt; 5.80","AVAILABLE IF endmix &lt; 6.00"))</x:f>
        <x:v>AVAILABLE IF endmix &lt; 6.00</x:v>
      </x:c>
      <x:c r="BQ34" s="60" t="str">
        <x:f>IF(A34=0,"Run Day 0 = Aussaat 21.08.2026; Plant Day beginnt erst beim Durchbruch.",IF(A34=2,"P33 Double Grape: 23.08.2026 = Plant Day 0.","Daily pH is a projection; actual root-stage/event overrides calendar."))</x:f>
        <x:v>Daily pH is a projection; actual root-stage/event overrides calendar.</x:v>
      </x:c>
    </x:row>
    <x:row r="35">
      <x:c r="A35" s="34" t="n">
        <x:v>33</x:v>
      </x:c>
      <x:c r="B35" s="129" t="n">
        <x:f>'01_Run_Config'!$B$4+A35</x:f>
        <x:v>46288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f>BM35</x:f>
        <x:v>6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IF(A35&lt;=14,2.5,0)</x:f>
        <x:v>0</x:v>
      </x:c>
      <x:c r="X35" s="63" t="n">
        <x:f>IF('01_Run_Config'!$B$50="AN Sensizym",0,IF(AND(A35&gt;='01_Run_Config'!$B$32,OR(AL35="",AL35&lt;=49)),2,0))</x:f>
        <x:v>2</x:v>
      </x:c>
      <x:c r="Y35" s="63" t="n">
        <x:f>0.015</x:f>
        <x:v>0.015</x:v>
      </x:c>
      <x:c r="Z35" s="63" t="n">
        <x:f>IF('01_Run_Config'!$B$51="HESI Hesilicio",2,0)</x:f>
        <x:v>0</x:v>
      </x:c>
      <x:c r="AA35" s="63" t="n">
        <x:f>IF('01_Run_Config'!$B$48="AN Bud Candy (replaces HESI Boost)",0,IF(AND(A35&gt;='01_Run_Config'!$B$33,MOD(A35-'01_Run_Config'!$B$33,7)=0),2,0))</x:f>
        <x:v>0</x:v>
      </x:c>
      <x:c r="AB35" s="63" t="n">
        <x:f>IF('01_Run_Config'!$B$52="AN Bud Ignitor &gt; Big Bud &gt; Overdrive",0,IF(AND(ISNUMBER(AL35),AL35&gt;=29,AL35&lt;=42),0.25+((AL35-29)/13)*0.25,0))</x:f>
        <x:v>0</x:v>
      </x:c>
      <x:c r="AC35" s="63" t="n">
        <x:f>IF('01_Run_Config'!$B$46="OFF",0,IF(OR(AND(A35&gt;='01_Run_Config'!$B$32,A35&lt;='01_Run_Config'!$B$32+13),AND(A35&gt;='01_Run_Config'!$B$33,A35&lt;='01_Run_Config'!$B$33+13)),2,0))</x:f>
        <x:v>2</x:v>
      </x:c>
      <x:c r="AD35" s="63" t="str">
        <x:f>IF(BG35="BLOCK","HYBRID BLOCKED - Konfiguration prüfen",IF(SUM(AC35,AT35:BF35)&gt;0,"AN aktiv: "&amp;BH35,"AN: keine Dosis heute / Module aus"))</x:f>
        <x:v>AN aktiv: Voodoo 2 ml/L; Tarantula 2 ml/L; 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5" s="34" t="str">
        <x:f>IF(A35&lt;2,"PRE-EMERGENCE · kein Kalenderwert","AVAILABLE IF NEEDED · nur wenn vollständiger Endmix unter pH-Ziel liegt")</x:f>
        <x:v>AVAILABLE IF NEEDED · nur wenn vollständiger Endmix unter pH-Ziel liegt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  <x:c r="AT35" t="n">
        <x:f>IF(AND('01_Run_Config'!$B$46="Voodoo + Piranha + Tarantula",AC35&gt;0),2,0)</x:f>
        <x:v>0</x:v>
      </x:c>
      <x:c r="AU35" t="n">
        <x:f>IF(AND(OR('01_Run_Config'!$B$46="Voodoo + Tarantula",'01_Run_Config'!$B$46="Voodoo + Piranha + Tarantula"),AC35&gt;0),2,0)</x:f>
        <x:v>2</x:v>
      </x:c>
      <x:c r="AV35" t="n">
        <x:f>IF('01_Run_Config'!$B$47&lt;&gt;"ON / A-B",0,IF(OR(AND(A35&gt;='01_Run_Config'!$B$32,A35&lt;'01_Run_Config'!$B$33),AND(ISNUMBER(AL35),AL35&gt;=15,AL35&lt;=49)),2,0))</x:f>
        <x:v>0</x:v>
      </x:c>
      <x:c r="AW35" t="n">
        <x:f>IF('01_Run_Config'!$B$48="AN Bud Candy (replaces HESI Boost)",IF(AND(A35&gt;='01_Run_Config'!$B$32,OR(AL35="",AL35&lt;=49)),2,0),0)</x:f>
        <x:v>0</x:v>
      </x:c>
      <x:c r="AX35" t="n">
        <x:f>IF('01_Run_Config'!$B$49&lt;&gt;"ON / EXPERIMENTAL",0,IF(OR(AND(A35&gt;='01_Run_Config'!$B$32+7,A35&lt;'01_Run_Config'!$B$33),AND(ISNUMBER(AL35),AL35&gt;=1,AL35&lt;=49)),2,0))</x:f>
        <x:v>0</x:v>
      </x:c>
      <x:c r="AY35" t="n">
        <x:f>IF('01_Run_Config'!$B$50="AN Sensizym",IF(AND(A35&gt;='01_Run_Config'!$B$32,OR(AL35="",AL35&lt;=49)),2,0),0)</x:f>
        <x:v>0</x:v>
      </x:c>
      <x:c r="AZ35" t="n">
        <x:f>IF('01_Run_Config'!$B$51="AN Rhino Skin",IF(AND(A35&gt;='01_Run_Config'!$B$32,OR(AL35="",AL35&lt;=49)),2,0),0)</x:f>
        <x:v>0</x:v>
      </x:c>
      <x:c r="BA35" t="n">
        <x:f>IF(AND('01_Run_Config'!$B$52="AN Bud Ignitor &gt; Big Bud &gt; Overdrive",ISNUMBER(AL35),AL35&gt;=1,AL35&lt;=14),2,0)</x:f>
        <x:v>0</x:v>
      </x:c>
      <x:c r="BB35" t="n">
        <x:f>IF(AND('01_Run_Config'!$B$52="AN Bud Ignitor &gt; Big Bud &gt; Overdrive",ISNUMBER(AL35),AL35&gt;=8,AL35&lt;=35),2,0)</x:f>
        <x:v>0</x:v>
      </x:c>
      <x:c r="BC35" t="n">
        <x:f>IF(AND('01_Run_Config'!$B$52="AN Bud Ignitor &gt; Big Bud &gt; Overdrive",ISNUMBER(AL35),AL35&gt;=36,AL35&lt;=49),2,0)</x:f>
        <x:v>0</x:v>
      </x:c>
      <x:c r="BD35" t="n">
        <x:f>IF('01_Run_Config'!$B$53="ON / EXPERIMENTAL",IF(OR(AND(A35&gt;='01_Run_Config'!$B$32,A35&lt;'01_Run_Config'!$B$33),AND(ISNUMBER(AL35),AL35&gt;=15,AL35&lt;=49)),2,0),0)</x:f>
        <x:v>0</x:v>
      </x:c>
      <x:c r="BE35" t="n">
        <x:f>IF('01_Run_Config'!$B$54="AN Sensi CalMag Xtra conditional",'01_Run_Config'!$B$17,0)</x:f>
        <x:v>0</x:v>
      </x:c>
      <x:c r="BF35" t="n">
        <x:f>0</x:f>
        <x:v>0</x:v>
      </x:c>
      <x:c r="BG35" t="str">
        <x:f>'01_Run_Config'!$E$57</x:f>
        <x:v>OK</x:v>
      </x:c>
      <x:c r="BH35" t="str">
        <x:f>IF(SUM(AC35,AT35:BF35)=0,"keine AN-Dosis heute",IF(AC35&gt;0,"Voodoo "&amp;AC35&amp;" ml/L; ","")&amp;IF(AT35&gt;0,"Piranha "&amp;AT35&amp;" ml/L; ","")&amp;IF(AU35&gt;0,"Tarantula "&amp;AU35&amp;" ml/L; ","")&amp;IF(AV35&gt;0,"B-52 "&amp;AV35&amp;" ml/L; ","")&amp;IF(AW35&gt;0,"Bud Candy "&amp;AW35&amp;" ml/L; ","")&amp;IF(AX35&gt;0,"Bud Factor X "&amp;AX35&amp;" ml/L; ","")&amp;IF(AY35&gt;0,"Sensizym "&amp;AY35&amp;" ml/L; ","")&amp;IF(AZ35&gt;0,"Rhino Skin "&amp;AZ35&amp;" ml/L; ","")&amp;IF(BA35&gt;0,"Bud Ignitor "&amp;BA35&amp;" ml/L; ","")&amp;IF(BB35&gt;0,"Big Bud "&amp;BB35&amp;" ml/L; ","")&amp;IF(BC35&gt;0,"Overdrive "&amp;BC35&amp;" ml/L; ","")&amp;IF(BD35&gt;0,"Tasty Terpenes "&amp;BD35&amp;" ml/L; ","")&amp;IF(BE35&gt;0,"Sensi CalMag "&amp;BE35&amp;" ml/L",""))</x:f>
        <x:v>Voodoo 2 ml/L; Tarantula 2 ml/L; </x:v>
      </x:c>
      <x:c r="BI35" s="60" t="n">
        <x:f>IF(ISNUMBER('01_Run_Config'!$B$91),IF(B35&lt;'01_Run_Config'!$B$91,"PRE",B35-'01_Run_Config'!$B$91),"PRE")</x:f>
        <x:v>31</x:v>
      </x:c>
      <x:c r="BJ35" s="60" t="str">
        <x:f>IF(ISNUMBER('01_Run_Config'!$B$92),IF(B35&lt;'01_Run_Config'!$B$92,"PRE",B35-'01_Run_Config'!$B$92),"PRE")</x:f>
        <x:v>PRE</x:v>
      </x:c>
      <x:c r="BK35" s="60" t="str">
        <x:f>IF(ISNUMBER('01_Run_Config'!$B$93),IF(B35&lt;'01_Run_Config'!$B$93,"PRE",B35-'01_Run_Config'!$B$93),"PRE")</x:f>
        <x:v>PRE</x:v>
      </x:c>
      <x:c r="BL35" s="2482" t="n">
        <x:f>IF(BM35=5.8,5.8,5.8)</x:f>
        <x:v>5.8</x:v>
      </x:c>
      <x:c r="BM35" s="2482" t="n">
        <x:f>IF(A35&lt;IF(ISNUMBER('01_Run_Config'!$B$81),'01_Run_Config'!$B$81,15),5.8,6)</x:f>
        <x:v>6</x:v>
      </x:c>
      <x:c r="BN35" s="2482" t="n">
        <x:f>IF(BM35=5.8,5.8,6.2)</x:f>
        <x:v>6.2</x:v>
      </x:c>
      <x:c r="BO35" s="60" t="str">
        <x:f>IF(BM35=5.8,"Eazy Plug/Block: Herstellerziel 5.80","Final Coco: UKD 6.00 = Mitte HESI 5.8–6.2")</x:f>
        <x:v>Final Coco: UKD 6.00 = Mitte HESI 5.8–6.2</x:v>
      </x:c>
      <x:c r="BP35" s="60" t="str">
        <x:f>IF(A35&lt;2,"PRE-EMERGENCE: Balance normalerweise nicht nötig",IF(BM35=5.8,"ab Durchbruch AVAILABLE IF endmix &lt; 5.80","AVAILABLE IF endmix &lt; 6.00"))</x:f>
        <x:v>AVAILABLE IF endmix &lt; 6.00</x:v>
      </x:c>
      <x:c r="BQ35" s="60" t="str">
        <x:f>IF(A35=0,"Run Day 0 = Aussaat 21.08.2026; Plant Day beginnt erst beim Durchbruch.",IF(A35=2,"P34 Double Grape: 23.08.2026 = Plant Day 0.","Daily pH is a projection; actual root-stage/event overrides calendar."))</x:f>
        <x:v>Daily pH is a projection; actual root-stage/event overrides calendar.</x:v>
      </x:c>
    </x:row>
    <x:row r="36">
      <x:c r="A36" s="34" t="n">
        <x:v>34</x:v>
      </x:c>
      <x:c r="B36" s="129" t="n">
        <x:f>'01_Run_Config'!$B$4+A36</x:f>
        <x:v>46289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f>BM36</x:f>
        <x:v>6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IF(A36&lt;=14,2.5,0)</x:f>
        <x:v>0</x:v>
      </x:c>
      <x:c r="X36" s="63" t="n">
        <x:f>IF('01_Run_Config'!$B$50="AN Sensizym",0,IF(AND(A36&gt;='01_Run_Config'!$B$32,OR(AL36="",AL36&lt;=49)),2,0))</x:f>
        <x:v>2</x:v>
      </x:c>
      <x:c r="Y36" s="63" t="n">
        <x:f>0.015</x:f>
        <x:v>0.015</x:v>
      </x:c>
      <x:c r="Z36" s="63" t="n">
        <x:f>IF('01_Run_Config'!$B$51="HESI Hesilicio",2,0)</x:f>
        <x:v>0</x:v>
      </x:c>
      <x:c r="AA36" s="63" t="n">
        <x:f>IF('01_Run_Config'!$B$48="AN Bud Candy (replaces HESI Boost)",0,IF(AND(A36&gt;='01_Run_Config'!$B$33,MOD(A36-'01_Run_Config'!$B$33,7)=0),2,0))</x:f>
        <x:v>0</x:v>
      </x:c>
      <x:c r="AB36" s="63" t="n">
        <x:f>IF('01_Run_Config'!$B$52="AN Bud Ignitor &gt; Big Bud &gt; Overdrive",0,IF(AND(ISNUMBER(AL36),AL36&gt;=29,AL36&lt;=42),0.25+((AL36-29)/13)*0.25,0))</x:f>
        <x:v>0</x:v>
      </x:c>
      <x:c r="AC36" s="63" t="n">
        <x:f>IF('01_Run_Config'!$B$46="OFF",0,IF(OR(AND(A36&gt;='01_Run_Config'!$B$32,A36&lt;='01_Run_Config'!$B$32+13),AND(A36&gt;='01_Run_Config'!$B$33,A36&lt;='01_Run_Config'!$B$33+13)),2,0))</x:f>
        <x:v>2</x:v>
      </x:c>
      <x:c r="AD36" s="63" t="str">
        <x:f>IF(BG36="BLOCK","HYBRID BLOCKED - Konfiguration prüfen",IF(SUM(AC36,AT36:BF36)&gt;0,"AN aktiv: "&amp;BH36,"AN: keine Dosis heute / Module aus"))</x:f>
        <x:v>AN aktiv: Voodoo 2 ml/L; Tarantula 2 ml/L; 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6" s="34" t="str">
        <x:f>IF(A36&lt;2,"PRE-EMERGENCE · kein Kalenderwert","AVAILABLE IF NEEDED · nur wenn vollständiger Endmix unter pH-Ziel liegt")</x:f>
        <x:v>AVAILABLE IF NEEDED · nur wenn vollständiger Endmix unter pH-Ziel liegt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  <x:c r="AT36" t="n">
        <x:f>IF(AND('01_Run_Config'!$B$46="Voodoo + Piranha + Tarantula",AC36&gt;0),2,0)</x:f>
        <x:v>0</x:v>
      </x:c>
      <x:c r="AU36" t="n">
        <x:f>IF(AND(OR('01_Run_Config'!$B$46="Voodoo + Tarantula",'01_Run_Config'!$B$46="Voodoo + Piranha + Tarantula"),AC36&gt;0),2,0)</x:f>
        <x:v>2</x:v>
      </x:c>
      <x:c r="AV36" t="n">
        <x:f>IF('01_Run_Config'!$B$47&lt;&gt;"ON / A-B",0,IF(OR(AND(A36&gt;='01_Run_Config'!$B$32,A36&lt;'01_Run_Config'!$B$33),AND(ISNUMBER(AL36),AL36&gt;=15,AL36&lt;=49)),2,0))</x:f>
        <x:v>0</x:v>
      </x:c>
      <x:c r="AW36" t="n">
        <x:f>IF('01_Run_Config'!$B$48="AN Bud Candy (replaces HESI Boost)",IF(AND(A36&gt;='01_Run_Config'!$B$32,OR(AL36="",AL36&lt;=49)),2,0),0)</x:f>
        <x:v>0</x:v>
      </x:c>
      <x:c r="AX36" t="n">
        <x:f>IF('01_Run_Config'!$B$49&lt;&gt;"ON / EXPERIMENTAL",0,IF(OR(AND(A36&gt;='01_Run_Config'!$B$32+7,A36&lt;'01_Run_Config'!$B$33),AND(ISNUMBER(AL36),AL36&gt;=1,AL36&lt;=49)),2,0))</x:f>
        <x:v>0</x:v>
      </x:c>
      <x:c r="AY36" t="n">
        <x:f>IF('01_Run_Config'!$B$50="AN Sensizym",IF(AND(A36&gt;='01_Run_Config'!$B$32,OR(AL36="",AL36&lt;=49)),2,0),0)</x:f>
        <x:v>0</x:v>
      </x:c>
      <x:c r="AZ36" t="n">
        <x:f>IF('01_Run_Config'!$B$51="AN Rhino Skin",IF(AND(A36&gt;='01_Run_Config'!$B$32,OR(AL36="",AL36&lt;=49)),2,0),0)</x:f>
        <x:v>0</x:v>
      </x:c>
      <x:c r="BA36" t="n">
        <x:f>IF(AND('01_Run_Config'!$B$52="AN Bud Ignitor &gt; Big Bud &gt; Overdrive",ISNUMBER(AL36),AL36&gt;=1,AL36&lt;=14),2,0)</x:f>
        <x:v>0</x:v>
      </x:c>
      <x:c r="BB36" t="n">
        <x:f>IF(AND('01_Run_Config'!$B$52="AN Bud Ignitor &gt; Big Bud &gt; Overdrive",ISNUMBER(AL36),AL36&gt;=8,AL36&lt;=35),2,0)</x:f>
        <x:v>0</x:v>
      </x:c>
      <x:c r="BC36" t="n">
        <x:f>IF(AND('01_Run_Config'!$B$52="AN Bud Ignitor &gt; Big Bud &gt; Overdrive",ISNUMBER(AL36),AL36&gt;=36,AL36&lt;=49),2,0)</x:f>
        <x:v>0</x:v>
      </x:c>
      <x:c r="BD36" t="n">
        <x:f>IF('01_Run_Config'!$B$53="ON / EXPERIMENTAL",IF(OR(AND(A36&gt;='01_Run_Config'!$B$32,A36&lt;'01_Run_Config'!$B$33),AND(ISNUMBER(AL36),AL36&gt;=15,AL36&lt;=49)),2,0),0)</x:f>
        <x:v>0</x:v>
      </x:c>
      <x:c r="BE36" t="n">
        <x:f>IF('01_Run_Config'!$B$54="AN Sensi CalMag Xtra conditional",'01_Run_Config'!$B$17,0)</x:f>
        <x:v>0</x:v>
      </x:c>
      <x:c r="BF36" t="n">
        <x:f>0</x:f>
        <x:v>0</x:v>
      </x:c>
      <x:c r="BG36" t="str">
        <x:f>'01_Run_Config'!$E$57</x:f>
        <x:v>OK</x:v>
      </x:c>
      <x:c r="BH36" t="str">
        <x:f>IF(SUM(AC36,AT36:BF36)=0,"keine AN-Dosis heute",IF(AC36&gt;0,"Voodoo "&amp;AC36&amp;" ml/L; ","")&amp;IF(AT36&gt;0,"Piranha "&amp;AT36&amp;" ml/L; ","")&amp;IF(AU36&gt;0,"Tarantula "&amp;AU36&amp;" ml/L; ","")&amp;IF(AV36&gt;0,"B-52 "&amp;AV36&amp;" ml/L; ","")&amp;IF(AW36&gt;0,"Bud Candy "&amp;AW36&amp;" ml/L; ","")&amp;IF(AX36&gt;0,"Bud Factor X "&amp;AX36&amp;" ml/L; ","")&amp;IF(AY36&gt;0,"Sensizym "&amp;AY36&amp;" ml/L; ","")&amp;IF(AZ36&gt;0,"Rhino Skin "&amp;AZ36&amp;" ml/L; ","")&amp;IF(BA36&gt;0,"Bud Ignitor "&amp;BA36&amp;" ml/L; ","")&amp;IF(BB36&gt;0,"Big Bud "&amp;BB36&amp;" ml/L; ","")&amp;IF(BC36&gt;0,"Overdrive "&amp;BC36&amp;" ml/L; ","")&amp;IF(BD36&gt;0,"Tasty Terpenes "&amp;BD36&amp;" ml/L; ","")&amp;IF(BE36&gt;0,"Sensi CalMag "&amp;BE36&amp;" ml/L",""))</x:f>
        <x:v>Voodoo 2 ml/L; Tarantula 2 ml/L; </x:v>
      </x:c>
      <x:c r="BI36" s="60" t="n">
        <x:f>IF(ISNUMBER('01_Run_Config'!$B$91),IF(B36&lt;'01_Run_Config'!$B$91,"PRE",B36-'01_Run_Config'!$B$91),"PRE")</x:f>
        <x:v>32</x:v>
      </x:c>
      <x:c r="BJ36" s="60" t="str">
        <x:f>IF(ISNUMBER('01_Run_Config'!$B$92),IF(B36&lt;'01_Run_Config'!$B$92,"PRE",B36-'01_Run_Config'!$B$92),"PRE")</x:f>
        <x:v>PRE</x:v>
      </x:c>
      <x:c r="BK36" s="60" t="str">
        <x:f>IF(ISNUMBER('01_Run_Config'!$B$93),IF(B36&lt;'01_Run_Config'!$B$93,"PRE",B36-'01_Run_Config'!$B$93),"PRE")</x:f>
        <x:v>PRE</x:v>
      </x:c>
      <x:c r="BL36" s="2482" t="n">
        <x:f>IF(BM36=5.8,5.8,5.8)</x:f>
        <x:v>5.8</x:v>
      </x:c>
      <x:c r="BM36" s="2482" t="n">
        <x:f>IF(A36&lt;IF(ISNUMBER('01_Run_Config'!$B$81),'01_Run_Config'!$B$81,15),5.8,6)</x:f>
        <x:v>6</x:v>
      </x:c>
      <x:c r="BN36" s="2482" t="n">
        <x:f>IF(BM36=5.8,5.8,6.2)</x:f>
        <x:v>6.2</x:v>
      </x:c>
      <x:c r="BO36" s="60" t="str">
        <x:f>IF(BM36=5.8,"Eazy Plug/Block: Herstellerziel 5.80","Final Coco: UKD 6.00 = Mitte HESI 5.8–6.2")</x:f>
        <x:v>Final Coco: UKD 6.00 = Mitte HESI 5.8–6.2</x:v>
      </x:c>
      <x:c r="BP36" s="60" t="str">
        <x:f>IF(A36&lt;2,"PRE-EMERGENCE: Balance normalerweise nicht nötig",IF(BM36=5.8,"ab Durchbruch AVAILABLE IF endmix &lt; 5.80","AVAILABLE IF endmix &lt; 6.00"))</x:f>
        <x:v>AVAILABLE IF endmix &lt; 6.00</x:v>
      </x:c>
      <x:c r="BQ36" s="60" t="str">
        <x:f>IF(A36=0,"Run Day 0 = Aussaat 21.08.2026; Plant Day beginnt erst beim Durchbruch.",IF(A36=2,"P35 Double Grape: 23.08.2026 = Plant Day 0.","Daily pH is a projection; actual root-stage/event overrides calendar."))</x:f>
        <x:v>Daily pH is a projection; actual root-stage/event overrides calendar.</x:v>
      </x:c>
    </x:row>
    <x:row r="37">
      <x:c r="A37" s="34" t="n">
        <x:v>35</x:v>
      </x:c>
      <x:c r="B37" s="129" t="n">
        <x:f>'01_Run_Config'!$B$4+A37</x:f>
        <x:v>46290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f>BM37</x:f>
        <x:v>6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IF(A37&lt;=14,2.5,0)</x:f>
        <x:v>0</x:v>
      </x:c>
      <x:c r="X37" s="63" t="n">
        <x:f>IF('01_Run_Config'!$B$50="AN Sensizym",0,IF(AND(A37&gt;='01_Run_Config'!$B$32,OR(AL37="",AL37&lt;=49)),2,0))</x:f>
        <x:v>2</x:v>
      </x:c>
      <x:c r="Y37" s="63" t="n">
        <x:f>0.015</x:f>
        <x:v>0.015</x:v>
      </x:c>
      <x:c r="Z37" s="63" t="n">
        <x:f>IF('01_Run_Config'!$B$51="HESI Hesilicio",2,0)</x:f>
        <x:v>0</x:v>
      </x:c>
      <x:c r="AA37" s="63" t="n">
        <x:f>IF('01_Run_Config'!$B$48="AN Bud Candy (replaces HESI Boost)",0,IF(AND(A37&gt;='01_Run_Config'!$B$33,MOD(A37-'01_Run_Config'!$B$33,7)=0),2,0))</x:f>
        <x:v>2</x:v>
      </x:c>
      <x:c r="AB37" s="63" t="n">
        <x:f>IF('01_Run_Config'!$B$52="AN Bud Ignitor &gt; Big Bud &gt; Overdrive",0,IF(AND(ISNUMBER(AL37),AL37&gt;=29,AL37&lt;=42),0.25+((AL37-29)/13)*0.25,0))</x:f>
        <x:v>0</x:v>
      </x:c>
      <x:c r="AC37" s="63" t="n">
        <x:f>IF('01_Run_Config'!$B$46="OFF",0,IF(OR(AND(A37&gt;='01_Run_Config'!$B$32,A37&lt;='01_Run_Config'!$B$32+13),AND(A37&gt;='01_Run_Config'!$B$33,A37&lt;='01_Run_Config'!$B$33+13)),2,0))</x:f>
        <x:v>2</x:v>
      </x:c>
      <x:c r="AD37" s="63" t="str">
        <x:f>IF(BG37="BLOCK","HYBRID BLOCKED - Konfiguration prüfen",IF(SUM(AC37,AT37:BF37)&gt;0,"AN aktiv: "&amp;BH37,"AN: keine Dosis heute / Module aus"))</x:f>
        <x:v>AN aktiv: Voodoo 2 ml/L; Tarantula 2 ml/L; 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7" s="34" t="str">
        <x:f>IF(A37&lt;2,"PRE-EMERGENCE · kein Kalenderwert","AVAILABLE IF NEEDED · nur wenn vollständiger Endmix unter pH-Ziel liegt")</x:f>
        <x:v>AVAILABLE IF NEEDED · nur wenn vollständiger Endmix unter pH-Ziel liegt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  <x:c r="AT37" t="n">
        <x:f>IF(AND('01_Run_Config'!$B$46="Voodoo + Piranha + Tarantula",AC37&gt;0),2,0)</x:f>
        <x:v>0</x:v>
      </x:c>
      <x:c r="AU37" t="n">
        <x:f>IF(AND(OR('01_Run_Config'!$B$46="Voodoo + Tarantula",'01_Run_Config'!$B$46="Voodoo + Piranha + Tarantula"),AC37&gt;0),2,0)</x:f>
        <x:v>2</x:v>
      </x:c>
      <x:c r="AV37" t="n">
        <x:f>IF('01_Run_Config'!$B$47&lt;&gt;"ON / A-B",0,IF(OR(AND(A37&gt;='01_Run_Config'!$B$32,A37&lt;'01_Run_Config'!$B$33),AND(ISNUMBER(AL37),AL37&gt;=15,AL37&lt;=49)),2,0))</x:f>
        <x:v>0</x:v>
      </x:c>
      <x:c r="AW37" t="n">
        <x:f>IF('01_Run_Config'!$B$48="AN Bud Candy (replaces HESI Boost)",IF(AND(A37&gt;='01_Run_Config'!$B$32,OR(AL37="",AL37&lt;=49)),2,0),0)</x:f>
        <x:v>0</x:v>
      </x:c>
      <x:c r="AX37" t="n">
        <x:f>IF('01_Run_Config'!$B$49&lt;&gt;"ON / EXPERIMENTAL",0,IF(OR(AND(A37&gt;='01_Run_Config'!$B$32+7,A37&lt;'01_Run_Config'!$B$33),AND(ISNUMBER(AL37),AL37&gt;=1,AL37&lt;=49)),2,0))</x:f>
        <x:v>0</x:v>
      </x:c>
      <x:c r="AY37" t="n">
        <x:f>IF('01_Run_Config'!$B$50="AN Sensizym",IF(AND(A37&gt;='01_Run_Config'!$B$32,OR(AL37="",AL37&lt;=49)),2,0),0)</x:f>
        <x:v>0</x:v>
      </x:c>
      <x:c r="AZ37" t="n">
        <x:f>IF('01_Run_Config'!$B$51="AN Rhino Skin",IF(AND(A37&gt;='01_Run_Config'!$B$32,OR(AL37="",AL37&lt;=49)),2,0),0)</x:f>
        <x:v>0</x:v>
      </x:c>
      <x:c r="BA37" t="n">
        <x:f>IF(AND('01_Run_Config'!$B$52="AN Bud Ignitor &gt; Big Bud &gt; Overdrive",ISNUMBER(AL37),AL37&gt;=1,AL37&lt;=14),2,0)</x:f>
        <x:v>0</x:v>
      </x:c>
      <x:c r="BB37" t="n">
        <x:f>IF(AND('01_Run_Config'!$B$52="AN Bud Ignitor &gt; Big Bud &gt; Overdrive",ISNUMBER(AL37),AL37&gt;=8,AL37&lt;=35),2,0)</x:f>
        <x:v>0</x:v>
      </x:c>
      <x:c r="BC37" t="n">
        <x:f>IF(AND('01_Run_Config'!$B$52="AN Bud Ignitor &gt; Big Bud &gt; Overdrive",ISNUMBER(AL37),AL37&gt;=36,AL37&lt;=49),2,0)</x:f>
        <x:v>0</x:v>
      </x:c>
      <x:c r="BD37" t="n">
        <x:f>IF('01_Run_Config'!$B$53="ON / EXPERIMENTAL",IF(OR(AND(A37&gt;='01_Run_Config'!$B$32,A37&lt;'01_Run_Config'!$B$33),AND(ISNUMBER(AL37),AL37&gt;=15,AL37&lt;=49)),2,0),0)</x:f>
        <x:v>0</x:v>
      </x:c>
      <x:c r="BE37" t="n">
        <x:f>IF('01_Run_Config'!$B$54="AN Sensi CalMag Xtra conditional",'01_Run_Config'!$B$17,0)</x:f>
        <x:v>0</x:v>
      </x:c>
      <x:c r="BF37" t="n">
        <x:f>0</x:f>
        <x:v>0</x:v>
      </x:c>
      <x:c r="BG37" t="str">
        <x:f>'01_Run_Config'!$E$57</x:f>
        <x:v>OK</x:v>
      </x:c>
      <x:c r="BH37" t="str">
        <x:f>IF(SUM(AC37,AT37:BF37)=0,"keine AN-Dosis heute",IF(AC37&gt;0,"Voodoo "&amp;AC37&amp;" ml/L; ","")&amp;IF(AT37&gt;0,"Piranha "&amp;AT37&amp;" ml/L; ","")&amp;IF(AU37&gt;0,"Tarantula "&amp;AU37&amp;" ml/L; ","")&amp;IF(AV37&gt;0,"B-52 "&amp;AV37&amp;" ml/L; ","")&amp;IF(AW37&gt;0,"Bud Candy "&amp;AW37&amp;" ml/L; ","")&amp;IF(AX37&gt;0,"Bud Factor X "&amp;AX37&amp;" ml/L; ","")&amp;IF(AY37&gt;0,"Sensizym "&amp;AY37&amp;" ml/L; ","")&amp;IF(AZ37&gt;0,"Rhino Skin "&amp;AZ37&amp;" ml/L; ","")&amp;IF(BA37&gt;0,"Bud Ignitor "&amp;BA37&amp;" ml/L; ","")&amp;IF(BB37&gt;0,"Big Bud "&amp;BB37&amp;" ml/L; ","")&amp;IF(BC37&gt;0,"Overdrive "&amp;BC37&amp;" ml/L; ","")&amp;IF(BD37&gt;0,"Tasty Terpenes "&amp;BD37&amp;" ml/L; ","")&amp;IF(BE37&gt;0,"Sensi CalMag "&amp;BE37&amp;" ml/L",""))</x:f>
        <x:v>Voodoo 2 ml/L; Tarantula 2 ml/L; </x:v>
      </x:c>
      <x:c r="BI37" s="60" t="n">
        <x:f>IF(ISNUMBER('01_Run_Config'!$B$91),IF(B37&lt;'01_Run_Config'!$B$91,"PRE",B37-'01_Run_Config'!$B$91),"PRE")</x:f>
        <x:v>33</x:v>
      </x:c>
      <x:c r="BJ37" s="60" t="str">
        <x:f>IF(ISNUMBER('01_Run_Config'!$B$92),IF(B37&lt;'01_Run_Config'!$B$92,"PRE",B37-'01_Run_Config'!$B$92),"PRE")</x:f>
        <x:v>PRE</x:v>
      </x:c>
      <x:c r="BK37" s="60" t="str">
        <x:f>IF(ISNUMBER('01_Run_Config'!$B$93),IF(B37&lt;'01_Run_Config'!$B$93,"PRE",B37-'01_Run_Config'!$B$93),"PRE")</x:f>
        <x:v>PRE</x:v>
      </x:c>
      <x:c r="BL37" s="2482" t="n">
        <x:f>IF(BM37=5.8,5.8,5.8)</x:f>
        <x:v>5.8</x:v>
      </x:c>
      <x:c r="BM37" s="2482" t="n">
        <x:f>IF(A37&lt;IF(ISNUMBER('01_Run_Config'!$B$81),'01_Run_Config'!$B$81,15),5.8,6)</x:f>
        <x:v>6</x:v>
      </x:c>
      <x:c r="BN37" s="2482" t="n">
        <x:f>IF(BM37=5.8,5.8,6.2)</x:f>
        <x:v>6.2</x:v>
      </x:c>
      <x:c r="BO37" s="60" t="str">
        <x:f>IF(BM37=5.8,"Eazy Plug/Block: Herstellerziel 5.80","Final Coco: UKD 6.00 = Mitte HESI 5.8–6.2")</x:f>
        <x:v>Final Coco: UKD 6.00 = Mitte HESI 5.8–6.2</x:v>
      </x:c>
      <x:c r="BP37" s="60" t="str">
        <x:f>IF(A37&lt;2,"PRE-EMERGENCE: Balance normalerweise nicht nötig",IF(BM37=5.8,"ab Durchbruch AVAILABLE IF endmix &lt; 5.80","AVAILABLE IF endmix &lt; 6.00"))</x:f>
        <x:v>AVAILABLE IF endmix &lt; 6.00</x:v>
      </x:c>
      <x:c r="BQ37" s="60" t="str">
        <x:f>IF(A37=0,"Run Day 0 = Aussaat 21.08.2026; Plant Day beginnt erst beim Durchbruch.",IF(A37=2,"P36 Double Grape: 23.08.2026 = Plant Day 0.","Daily pH is a projection; actual root-stage/event overrides calendar."))</x:f>
        <x:v>Daily pH is a projection; actual root-stage/event overrides calendar.</x:v>
      </x:c>
    </x:row>
    <x:row r="38">
      <x:c r="A38" s="34" t="n">
        <x:v>36</x:v>
      </x:c>
      <x:c r="B38" s="129" t="n">
        <x:f>'01_Run_Config'!$B$4+A38</x:f>
        <x:v>46291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f>BM38</x:f>
        <x:v>6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IF(A38&lt;=14,2.5,0)</x:f>
        <x:v>0</x:v>
      </x:c>
      <x:c r="X38" s="63" t="n">
        <x:f>IF('01_Run_Config'!$B$50="AN Sensizym",0,IF(AND(A38&gt;='01_Run_Config'!$B$32,OR(AL38="",AL38&lt;=49)),2,0))</x:f>
        <x:v>2</x:v>
      </x:c>
      <x:c r="Y38" s="63" t="n">
        <x:f>0.015</x:f>
        <x:v>0.015</x:v>
      </x:c>
      <x:c r="Z38" s="63" t="n">
        <x:f>IF('01_Run_Config'!$B$51="HESI Hesilicio",2,0)</x:f>
        <x:v>0</x:v>
      </x:c>
      <x:c r="AA38" s="63" t="n">
        <x:f>IF('01_Run_Config'!$B$48="AN Bud Candy (replaces HESI Boost)",0,IF(AND(A38&gt;='01_Run_Config'!$B$33,MOD(A38-'01_Run_Config'!$B$33,7)=0),2,0))</x:f>
        <x:v>0</x:v>
      </x:c>
      <x:c r="AB38" s="63" t="n">
        <x:f>IF('01_Run_Config'!$B$52="AN Bud Ignitor &gt; Big Bud &gt; Overdrive",0,IF(AND(ISNUMBER(AL38),AL38&gt;=29,AL38&lt;=42),0.25+((AL38-29)/13)*0.25,0))</x:f>
        <x:v>0</x:v>
      </x:c>
      <x:c r="AC38" s="63" t="n">
        <x:f>IF('01_Run_Config'!$B$46="OFF",0,IF(OR(AND(A38&gt;='01_Run_Config'!$B$32,A38&lt;='01_Run_Config'!$B$32+13),AND(A38&gt;='01_Run_Config'!$B$33,A38&lt;='01_Run_Config'!$B$33+13)),2,0))</x:f>
        <x:v>2</x:v>
      </x:c>
      <x:c r="AD38" s="63" t="str">
        <x:f>IF(BG38="BLOCK","HYBRID BLOCKED - Konfiguration prüfen",IF(SUM(AC38,AT38:BF38)&gt;0,"AN aktiv: "&amp;BH38,"AN: keine Dosis heute / Module aus"))</x:f>
        <x:v>AN aktiv: Voodoo 2 ml/L; Tarantula 2 ml/L; 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8" s="34" t="str">
        <x:f>IF(A38&lt;2,"PRE-EMERGENCE · kein Kalenderwert","AVAILABLE IF NEEDED · nur wenn vollständiger Endmix unter pH-Ziel liegt")</x:f>
        <x:v>AVAILABLE IF NEEDED · nur wenn vollständiger Endmix unter pH-Ziel liegt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  <x:c r="AT38" t="n">
        <x:f>IF(AND('01_Run_Config'!$B$46="Voodoo + Piranha + Tarantula",AC38&gt;0),2,0)</x:f>
        <x:v>0</x:v>
      </x:c>
      <x:c r="AU38" t="n">
        <x:f>IF(AND(OR('01_Run_Config'!$B$46="Voodoo + Tarantula",'01_Run_Config'!$B$46="Voodoo + Piranha + Tarantula"),AC38&gt;0),2,0)</x:f>
        <x:v>2</x:v>
      </x:c>
      <x:c r="AV38" t="n">
        <x:f>IF('01_Run_Config'!$B$47&lt;&gt;"ON / A-B",0,IF(OR(AND(A38&gt;='01_Run_Config'!$B$32,A38&lt;'01_Run_Config'!$B$33),AND(ISNUMBER(AL38),AL38&gt;=15,AL38&lt;=49)),2,0))</x:f>
        <x:v>0</x:v>
      </x:c>
      <x:c r="AW38" t="n">
        <x:f>IF('01_Run_Config'!$B$48="AN Bud Candy (replaces HESI Boost)",IF(AND(A38&gt;='01_Run_Config'!$B$32,OR(AL38="",AL38&lt;=49)),2,0),0)</x:f>
        <x:v>0</x:v>
      </x:c>
      <x:c r="AX38" t="n">
        <x:f>IF('01_Run_Config'!$B$49&lt;&gt;"ON / EXPERIMENTAL",0,IF(OR(AND(A38&gt;='01_Run_Config'!$B$32+7,A38&lt;'01_Run_Config'!$B$33),AND(ISNUMBER(AL38),AL38&gt;=1,AL38&lt;=49)),2,0))</x:f>
        <x:v>0</x:v>
      </x:c>
      <x:c r="AY38" t="n">
        <x:f>IF('01_Run_Config'!$B$50="AN Sensizym",IF(AND(A38&gt;='01_Run_Config'!$B$32,OR(AL38="",AL38&lt;=49)),2,0),0)</x:f>
        <x:v>0</x:v>
      </x:c>
      <x:c r="AZ38" t="n">
        <x:f>IF('01_Run_Config'!$B$51="AN Rhino Skin",IF(AND(A38&gt;='01_Run_Config'!$B$32,OR(AL38="",AL38&lt;=49)),2,0),0)</x:f>
        <x:v>0</x:v>
      </x:c>
      <x:c r="BA38" t="n">
        <x:f>IF(AND('01_Run_Config'!$B$52="AN Bud Ignitor &gt; Big Bud &gt; Overdrive",ISNUMBER(AL38),AL38&gt;=1,AL38&lt;=14),2,0)</x:f>
        <x:v>0</x:v>
      </x:c>
      <x:c r="BB38" t="n">
        <x:f>IF(AND('01_Run_Config'!$B$52="AN Bud Ignitor &gt; Big Bud &gt; Overdrive",ISNUMBER(AL38),AL38&gt;=8,AL38&lt;=35),2,0)</x:f>
        <x:v>0</x:v>
      </x:c>
      <x:c r="BC38" t="n">
        <x:f>IF(AND('01_Run_Config'!$B$52="AN Bud Ignitor &gt; Big Bud &gt; Overdrive",ISNUMBER(AL38),AL38&gt;=36,AL38&lt;=49),2,0)</x:f>
        <x:v>0</x:v>
      </x:c>
      <x:c r="BD38" t="n">
        <x:f>IF('01_Run_Config'!$B$53="ON / EXPERIMENTAL",IF(OR(AND(A38&gt;='01_Run_Config'!$B$32,A38&lt;'01_Run_Config'!$B$33),AND(ISNUMBER(AL38),AL38&gt;=15,AL38&lt;=49)),2,0),0)</x:f>
        <x:v>0</x:v>
      </x:c>
      <x:c r="BE38" t="n">
        <x:f>IF('01_Run_Config'!$B$54="AN Sensi CalMag Xtra conditional",'01_Run_Config'!$B$17,0)</x:f>
        <x:v>0</x:v>
      </x:c>
      <x:c r="BF38" t="n">
        <x:f>0</x:f>
        <x:v>0</x:v>
      </x:c>
      <x:c r="BG38" t="str">
        <x:f>'01_Run_Config'!$E$57</x:f>
        <x:v>OK</x:v>
      </x:c>
      <x:c r="BH38" t="str">
        <x:f>IF(SUM(AC38,AT38:BF38)=0,"keine AN-Dosis heute",IF(AC38&gt;0,"Voodoo "&amp;AC38&amp;" ml/L; ","")&amp;IF(AT38&gt;0,"Piranha "&amp;AT38&amp;" ml/L; ","")&amp;IF(AU38&gt;0,"Tarantula "&amp;AU38&amp;" ml/L; ","")&amp;IF(AV38&gt;0,"B-52 "&amp;AV38&amp;" ml/L; ","")&amp;IF(AW38&gt;0,"Bud Candy "&amp;AW38&amp;" ml/L; ","")&amp;IF(AX38&gt;0,"Bud Factor X "&amp;AX38&amp;" ml/L; ","")&amp;IF(AY38&gt;0,"Sensizym "&amp;AY38&amp;" ml/L; ","")&amp;IF(AZ38&gt;0,"Rhino Skin "&amp;AZ38&amp;" ml/L; ","")&amp;IF(BA38&gt;0,"Bud Ignitor "&amp;BA38&amp;" ml/L; ","")&amp;IF(BB38&gt;0,"Big Bud "&amp;BB38&amp;" ml/L; ","")&amp;IF(BC38&gt;0,"Overdrive "&amp;BC38&amp;" ml/L; ","")&amp;IF(BD38&gt;0,"Tasty Terpenes "&amp;BD38&amp;" ml/L; ","")&amp;IF(BE38&gt;0,"Sensi CalMag "&amp;BE38&amp;" ml/L",""))</x:f>
        <x:v>Voodoo 2 ml/L; Tarantula 2 ml/L; </x:v>
      </x:c>
      <x:c r="BI38" s="60" t="n">
        <x:f>IF(ISNUMBER('01_Run_Config'!$B$91),IF(B38&lt;'01_Run_Config'!$B$91,"PRE",B38-'01_Run_Config'!$B$91),"PRE")</x:f>
        <x:v>34</x:v>
      </x:c>
      <x:c r="BJ38" s="60" t="str">
        <x:f>IF(ISNUMBER('01_Run_Config'!$B$92),IF(B38&lt;'01_Run_Config'!$B$92,"PRE",B38-'01_Run_Config'!$B$92),"PRE")</x:f>
        <x:v>PRE</x:v>
      </x:c>
      <x:c r="BK38" s="60" t="str">
        <x:f>IF(ISNUMBER('01_Run_Config'!$B$93),IF(B38&lt;'01_Run_Config'!$B$93,"PRE",B38-'01_Run_Config'!$B$93),"PRE")</x:f>
        <x:v>PRE</x:v>
      </x:c>
      <x:c r="BL38" s="2482" t="n">
        <x:f>IF(BM38=5.8,5.8,5.8)</x:f>
        <x:v>5.8</x:v>
      </x:c>
      <x:c r="BM38" s="2482" t="n">
        <x:f>IF(A38&lt;IF(ISNUMBER('01_Run_Config'!$B$81),'01_Run_Config'!$B$81,15),5.8,6)</x:f>
        <x:v>6</x:v>
      </x:c>
      <x:c r="BN38" s="2482" t="n">
        <x:f>IF(BM38=5.8,5.8,6.2)</x:f>
        <x:v>6.2</x:v>
      </x:c>
      <x:c r="BO38" s="60" t="str">
        <x:f>IF(BM38=5.8,"Eazy Plug/Block: Herstellerziel 5.80","Final Coco: UKD 6.00 = Mitte HESI 5.8–6.2")</x:f>
        <x:v>Final Coco: UKD 6.00 = Mitte HESI 5.8–6.2</x:v>
      </x:c>
      <x:c r="BP38" s="60" t="str">
        <x:f>IF(A38&lt;2,"PRE-EMERGENCE: Balance normalerweise nicht nötig",IF(BM38=5.8,"ab Durchbruch AVAILABLE IF endmix &lt; 5.80","AVAILABLE IF endmix &lt; 6.00"))</x:f>
        <x:v>AVAILABLE IF endmix &lt; 6.00</x:v>
      </x:c>
      <x:c r="BQ38" s="60" t="str">
        <x:f>IF(A38=0,"Run Day 0 = Aussaat 21.08.2026; Plant Day beginnt erst beim Durchbruch.",IF(A38=2,"P37 Double Grape: 23.08.2026 = Plant Day 0.","Daily pH is a projection; actual root-stage/event overrides calendar."))</x:f>
        <x:v>Daily pH is a projection; actual root-stage/event overrides calendar.</x:v>
      </x:c>
    </x:row>
    <x:row r="39">
      <x:c r="A39" s="34" t="n">
        <x:v>37</x:v>
      </x:c>
      <x:c r="B39" s="129" t="n">
        <x:f>'01_Run_Config'!$B$4+A39</x:f>
        <x:v>46292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f>BM39</x:f>
        <x:v>6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IF(A39&lt;=14,2.5,0)</x:f>
        <x:v>0</x:v>
      </x:c>
      <x:c r="X39" s="63" t="n">
        <x:f>IF('01_Run_Config'!$B$50="AN Sensizym",0,IF(AND(A39&gt;='01_Run_Config'!$B$32,OR(AL39="",AL39&lt;=49)),2,0))</x:f>
        <x:v>2</x:v>
      </x:c>
      <x:c r="Y39" s="63" t="n">
        <x:f>0.015</x:f>
        <x:v>0.015</x:v>
      </x:c>
      <x:c r="Z39" s="63" t="n">
        <x:f>IF('01_Run_Config'!$B$51="HESI Hesilicio",2,0)</x:f>
        <x:v>0</x:v>
      </x:c>
      <x:c r="AA39" s="63" t="n">
        <x:f>IF('01_Run_Config'!$B$48="AN Bud Candy (replaces HESI Boost)",0,IF(AND(A39&gt;='01_Run_Config'!$B$33,MOD(A39-'01_Run_Config'!$B$33,7)=0),2,0))</x:f>
        <x:v>0</x:v>
      </x:c>
      <x:c r="AB39" s="63" t="n">
        <x:f>IF('01_Run_Config'!$B$52="AN Bud Ignitor &gt; Big Bud &gt; Overdrive",0,IF(AND(ISNUMBER(AL39),AL39&gt;=29,AL39&lt;=42),0.25+((AL39-29)/13)*0.25,0))</x:f>
        <x:v>0</x:v>
      </x:c>
      <x:c r="AC39" s="63" t="n">
        <x:f>IF('01_Run_Config'!$B$46="OFF",0,IF(OR(AND(A39&gt;='01_Run_Config'!$B$32,A39&lt;='01_Run_Config'!$B$32+13),AND(A39&gt;='01_Run_Config'!$B$33,A39&lt;='01_Run_Config'!$B$33+13)),2,0))</x:f>
        <x:v>2</x:v>
      </x:c>
      <x:c r="AD39" s="63" t="str">
        <x:f>IF(BG39="BLOCK","HYBRID BLOCKED - Konfiguration prüfen",IF(SUM(AC39,AT39:BF39)&gt;0,"AN aktiv: "&amp;BH39,"AN: keine Dosis heute / Module aus"))</x:f>
        <x:v>AN aktiv: Voodoo 2 ml/L; Tarantula 2 ml/L; 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9" s="34" t="str">
        <x:f>IF(A39&lt;2,"PRE-EMERGENCE · kein Kalenderwert","AVAILABLE IF NEEDED · nur wenn vollständiger Endmix unter pH-Ziel liegt")</x:f>
        <x:v>AVAILABLE IF NEEDED · nur wenn vollständiger Endmix unter pH-Ziel liegt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  <x:c r="AT39" t="n">
        <x:f>IF(AND('01_Run_Config'!$B$46="Voodoo + Piranha + Tarantula",AC39&gt;0),2,0)</x:f>
        <x:v>0</x:v>
      </x:c>
      <x:c r="AU39" t="n">
        <x:f>IF(AND(OR('01_Run_Config'!$B$46="Voodoo + Tarantula",'01_Run_Config'!$B$46="Voodoo + Piranha + Tarantula"),AC39&gt;0),2,0)</x:f>
        <x:v>2</x:v>
      </x:c>
      <x:c r="AV39" t="n">
        <x:f>IF('01_Run_Config'!$B$47&lt;&gt;"ON / A-B",0,IF(OR(AND(A39&gt;='01_Run_Config'!$B$32,A39&lt;'01_Run_Config'!$B$33),AND(ISNUMBER(AL39),AL39&gt;=15,AL39&lt;=49)),2,0))</x:f>
        <x:v>0</x:v>
      </x:c>
      <x:c r="AW39" t="n">
        <x:f>IF('01_Run_Config'!$B$48="AN Bud Candy (replaces HESI Boost)",IF(AND(A39&gt;='01_Run_Config'!$B$32,OR(AL39="",AL39&lt;=49)),2,0),0)</x:f>
        <x:v>0</x:v>
      </x:c>
      <x:c r="AX39" t="n">
        <x:f>IF('01_Run_Config'!$B$49&lt;&gt;"ON / EXPERIMENTAL",0,IF(OR(AND(A39&gt;='01_Run_Config'!$B$32+7,A39&lt;'01_Run_Config'!$B$33),AND(ISNUMBER(AL39),AL39&gt;=1,AL39&lt;=49)),2,0))</x:f>
        <x:v>0</x:v>
      </x:c>
      <x:c r="AY39" t="n">
        <x:f>IF('01_Run_Config'!$B$50="AN Sensizym",IF(AND(A39&gt;='01_Run_Config'!$B$32,OR(AL39="",AL39&lt;=49)),2,0),0)</x:f>
        <x:v>0</x:v>
      </x:c>
      <x:c r="AZ39" t="n">
        <x:f>IF('01_Run_Config'!$B$51="AN Rhino Skin",IF(AND(A39&gt;='01_Run_Config'!$B$32,OR(AL39="",AL39&lt;=49)),2,0),0)</x:f>
        <x:v>0</x:v>
      </x:c>
      <x:c r="BA39" t="n">
        <x:f>IF(AND('01_Run_Config'!$B$52="AN Bud Ignitor &gt; Big Bud &gt; Overdrive",ISNUMBER(AL39),AL39&gt;=1,AL39&lt;=14),2,0)</x:f>
        <x:v>0</x:v>
      </x:c>
      <x:c r="BB39" t="n">
        <x:f>IF(AND('01_Run_Config'!$B$52="AN Bud Ignitor &gt; Big Bud &gt; Overdrive",ISNUMBER(AL39),AL39&gt;=8,AL39&lt;=35),2,0)</x:f>
        <x:v>0</x:v>
      </x:c>
      <x:c r="BC39" t="n">
        <x:f>IF(AND('01_Run_Config'!$B$52="AN Bud Ignitor &gt; Big Bud &gt; Overdrive",ISNUMBER(AL39),AL39&gt;=36,AL39&lt;=49),2,0)</x:f>
        <x:v>0</x:v>
      </x:c>
      <x:c r="BD39" t="n">
        <x:f>IF('01_Run_Config'!$B$53="ON / EXPERIMENTAL",IF(OR(AND(A39&gt;='01_Run_Config'!$B$32,A39&lt;'01_Run_Config'!$B$33),AND(ISNUMBER(AL39),AL39&gt;=15,AL39&lt;=49)),2,0),0)</x:f>
        <x:v>0</x:v>
      </x:c>
      <x:c r="BE39" t="n">
        <x:f>IF('01_Run_Config'!$B$54="AN Sensi CalMag Xtra conditional",'01_Run_Config'!$B$17,0)</x:f>
        <x:v>0</x:v>
      </x:c>
      <x:c r="BF39" t="n">
        <x:f>0</x:f>
        <x:v>0</x:v>
      </x:c>
      <x:c r="BG39" t="str">
        <x:f>'01_Run_Config'!$E$57</x:f>
        <x:v>OK</x:v>
      </x:c>
      <x:c r="BH39" t="str">
        <x:f>IF(SUM(AC39,AT39:BF39)=0,"keine AN-Dosis heute",IF(AC39&gt;0,"Voodoo "&amp;AC39&amp;" ml/L; ","")&amp;IF(AT39&gt;0,"Piranha "&amp;AT39&amp;" ml/L; ","")&amp;IF(AU39&gt;0,"Tarantula "&amp;AU39&amp;" ml/L; ","")&amp;IF(AV39&gt;0,"B-52 "&amp;AV39&amp;" ml/L; ","")&amp;IF(AW39&gt;0,"Bud Candy "&amp;AW39&amp;" ml/L; ","")&amp;IF(AX39&gt;0,"Bud Factor X "&amp;AX39&amp;" ml/L; ","")&amp;IF(AY39&gt;0,"Sensizym "&amp;AY39&amp;" ml/L; ","")&amp;IF(AZ39&gt;0,"Rhino Skin "&amp;AZ39&amp;" ml/L; ","")&amp;IF(BA39&gt;0,"Bud Ignitor "&amp;BA39&amp;" ml/L; ","")&amp;IF(BB39&gt;0,"Big Bud "&amp;BB39&amp;" ml/L; ","")&amp;IF(BC39&gt;0,"Overdrive "&amp;BC39&amp;" ml/L; ","")&amp;IF(BD39&gt;0,"Tasty Terpenes "&amp;BD39&amp;" ml/L; ","")&amp;IF(BE39&gt;0,"Sensi CalMag "&amp;BE39&amp;" ml/L",""))</x:f>
        <x:v>Voodoo 2 ml/L; Tarantula 2 ml/L; </x:v>
      </x:c>
      <x:c r="BI39" s="60" t="n">
        <x:f>IF(ISNUMBER('01_Run_Config'!$B$91),IF(B39&lt;'01_Run_Config'!$B$91,"PRE",B39-'01_Run_Config'!$B$91),"PRE")</x:f>
        <x:v>35</x:v>
      </x:c>
      <x:c r="BJ39" s="60" t="str">
        <x:f>IF(ISNUMBER('01_Run_Config'!$B$92),IF(B39&lt;'01_Run_Config'!$B$92,"PRE",B39-'01_Run_Config'!$B$92),"PRE")</x:f>
        <x:v>PRE</x:v>
      </x:c>
      <x:c r="BK39" s="60" t="str">
        <x:f>IF(ISNUMBER('01_Run_Config'!$B$93),IF(B39&lt;'01_Run_Config'!$B$93,"PRE",B39-'01_Run_Config'!$B$93),"PRE")</x:f>
        <x:v>PRE</x:v>
      </x:c>
      <x:c r="BL39" s="2482" t="n">
        <x:f>IF(BM39=5.8,5.8,5.8)</x:f>
        <x:v>5.8</x:v>
      </x:c>
      <x:c r="BM39" s="2482" t="n">
        <x:f>IF(A39&lt;IF(ISNUMBER('01_Run_Config'!$B$81),'01_Run_Config'!$B$81,15),5.8,6)</x:f>
        <x:v>6</x:v>
      </x:c>
      <x:c r="BN39" s="2482" t="n">
        <x:f>IF(BM39=5.8,5.8,6.2)</x:f>
        <x:v>6.2</x:v>
      </x:c>
      <x:c r="BO39" s="60" t="str">
        <x:f>IF(BM39=5.8,"Eazy Plug/Block: Herstellerziel 5.80","Final Coco: UKD 6.00 = Mitte HESI 5.8–6.2")</x:f>
        <x:v>Final Coco: UKD 6.00 = Mitte HESI 5.8–6.2</x:v>
      </x:c>
      <x:c r="BP39" s="60" t="str">
        <x:f>IF(A39&lt;2,"PRE-EMERGENCE: Balance normalerweise nicht nötig",IF(BM39=5.8,"ab Durchbruch AVAILABLE IF endmix &lt; 5.80","AVAILABLE IF endmix &lt; 6.00"))</x:f>
        <x:v>AVAILABLE IF endmix &lt; 6.00</x:v>
      </x:c>
      <x:c r="BQ39" s="60" t="str">
        <x:f>IF(A39=0,"Run Day 0 = Aussaat 21.08.2026; Plant Day beginnt erst beim Durchbruch.",IF(A39=2,"P38 Double Grape: 23.08.2026 = Plant Day 0.","Daily pH is a projection; actual root-stage/event overrides calendar."))</x:f>
        <x:v>Daily pH is a projection; actual root-stage/event overrides calendar.</x:v>
      </x:c>
    </x:row>
    <x:row r="40">
      <x:c r="A40" s="34" t="n">
        <x:v>38</x:v>
      </x:c>
      <x:c r="B40" s="129" t="n">
        <x:f>'01_Run_Config'!$B$4+A40</x:f>
        <x:v>46293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f>BM40</x:f>
        <x:v>6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IF(A40&lt;=14,2.5,0)</x:f>
        <x:v>0</x:v>
      </x:c>
      <x:c r="X40" s="63" t="n">
        <x:f>IF('01_Run_Config'!$B$50="AN Sensizym",0,IF(AND(A40&gt;='01_Run_Config'!$B$32,OR(AL40="",AL40&lt;=49)),2,0))</x:f>
        <x:v>2</x:v>
      </x:c>
      <x:c r="Y40" s="63" t="n">
        <x:f>0.015</x:f>
        <x:v>0.015</x:v>
      </x:c>
      <x:c r="Z40" s="63" t="n">
        <x:f>IF('01_Run_Config'!$B$51="HESI Hesilicio",2,0)</x:f>
        <x:v>0</x:v>
      </x:c>
      <x:c r="AA40" s="63" t="n">
        <x:f>IF('01_Run_Config'!$B$48="AN Bud Candy (replaces HESI Boost)",0,IF(AND(A40&gt;='01_Run_Config'!$B$33,MOD(A40-'01_Run_Config'!$B$33,7)=0),2,0))</x:f>
        <x:v>0</x:v>
      </x:c>
      <x:c r="AB40" s="63" t="n">
        <x:f>IF('01_Run_Config'!$B$52="AN Bud Ignitor &gt; Big Bud &gt; Overdrive",0,IF(AND(ISNUMBER(AL40),AL40&gt;=29,AL40&lt;=42),0.25+((AL40-29)/13)*0.25,0))</x:f>
        <x:v>0</x:v>
      </x:c>
      <x:c r="AC40" s="63" t="n">
        <x:f>IF('01_Run_Config'!$B$46="OFF",0,IF(OR(AND(A40&gt;='01_Run_Config'!$B$32,A40&lt;='01_Run_Config'!$B$32+13),AND(A40&gt;='01_Run_Config'!$B$33,A40&lt;='01_Run_Config'!$B$33+13)),2,0))</x:f>
        <x:v>2</x:v>
      </x:c>
      <x:c r="AD40" s="63" t="str">
        <x:f>IF(BG40="BLOCK","HYBRID BLOCKED - Konfiguration prüfen",IF(SUM(AC40,AT40:BF40)&gt;0,"AN aktiv: "&amp;BH40,"AN: keine Dosis heute / Module aus"))</x:f>
        <x:v>AN aktiv: Voodoo 2 ml/L; Tarantula 2 ml/L; 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0" s="34" t="str">
        <x:f>IF(A40&lt;2,"PRE-EMERGENCE · kein Kalenderwert","AVAILABLE IF NEEDED · nur wenn vollständiger Endmix unter pH-Ziel liegt")</x:f>
        <x:v>AVAILABLE IF NEEDED · nur wenn vollständiger Endmix unter pH-Ziel liegt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  <x:c r="AT40" t="n">
        <x:f>IF(AND('01_Run_Config'!$B$46="Voodoo + Piranha + Tarantula",AC40&gt;0),2,0)</x:f>
        <x:v>0</x:v>
      </x:c>
      <x:c r="AU40" t="n">
        <x:f>IF(AND(OR('01_Run_Config'!$B$46="Voodoo + Tarantula",'01_Run_Config'!$B$46="Voodoo + Piranha + Tarantula"),AC40&gt;0),2,0)</x:f>
        <x:v>2</x:v>
      </x:c>
      <x:c r="AV40" t="n">
        <x:f>IF('01_Run_Config'!$B$47&lt;&gt;"ON / A-B",0,IF(OR(AND(A40&gt;='01_Run_Config'!$B$32,A40&lt;'01_Run_Config'!$B$33),AND(ISNUMBER(AL40),AL40&gt;=15,AL40&lt;=49)),2,0))</x:f>
        <x:v>0</x:v>
      </x:c>
      <x:c r="AW40" t="n">
        <x:f>IF('01_Run_Config'!$B$48="AN Bud Candy (replaces HESI Boost)",IF(AND(A40&gt;='01_Run_Config'!$B$32,OR(AL40="",AL40&lt;=49)),2,0),0)</x:f>
        <x:v>0</x:v>
      </x:c>
      <x:c r="AX40" t="n">
        <x:f>IF('01_Run_Config'!$B$49&lt;&gt;"ON / EXPERIMENTAL",0,IF(OR(AND(A40&gt;='01_Run_Config'!$B$32+7,A40&lt;'01_Run_Config'!$B$33),AND(ISNUMBER(AL40),AL40&gt;=1,AL40&lt;=49)),2,0))</x:f>
        <x:v>0</x:v>
      </x:c>
      <x:c r="AY40" t="n">
        <x:f>IF('01_Run_Config'!$B$50="AN Sensizym",IF(AND(A40&gt;='01_Run_Config'!$B$32,OR(AL40="",AL40&lt;=49)),2,0),0)</x:f>
        <x:v>0</x:v>
      </x:c>
      <x:c r="AZ40" t="n">
        <x:f>IF('01_Run_Config'!$B$51="AN Rhino Skin",IF(AND(A40&gt;='01_Run_Config'!$B$32,OR(AL40="",AL40&lt;=49)),2,0),0)</x:f>
        <x:v>0</x:v>
      </x:c>
      <x:c r="BA40" t="n">
        <x:f>IF(AND('01_Run_Config'!$B$52="AN Bud Ignitor &gt; Big Bud &gt; Overdrive",ISNUMBER(AL40),AL40&gt;=1,AL40&lt;=14),2,0)</x:f>
        <x:v>0</x:v>
      </x:c>
      <x:c r="BB40" t="n">
        <x:f>IF(AND('01_Run_Config'!$B$52="AN Bud Ignitor &gt; Big Bud &gt; Overdrive",ISNUMBER(AL40),AL40&gt;=8,AL40&lt;=35),2,0)</x:f>
        <x:v>0</x:v>
      </x:c>
      <x:c r="BC40" t="n">
        <x:f>IF(AND('01_Run_Config'!$B$52="AN Bud Ignitor &gt; Big Bud &gt; Overdrive",ISNUMBER(AL40),AL40&gt;=36,AL40&lt;=49),2,0)</x:f>
        <x:v>0</x:v>
      </x:c>
      <x:c r="BD40" t="n">
        <x:f>IF('01_Run_Config'!$B$53="ON / EXPERIMENTAL",IF(OR(AND(A40&gt;='01_Run_Config'!$B$32,A40&lt;'01_Run_Config'!$B$33),AND(ISNUMBER(AL40),AL40&gt;=15,AL40&lt;=49)),2,0),0)</x:f>
        <x:v>0</x:v>
      </x:c>
      <x:c r="BE40" t="n">
        <x:f>IF('01_Run_Config'!$B$54="AN Sensi CalMag Xtra conditional",'01_Run_Config'!$B$17,0)</x:f>
        <x:v>0</x:v>
      </x:c>
      <x:c r="BF40" t="n">
        <x:f>0</x:f>
        <x:v>0</x:v>
      </x:c>
      <x:c r="BG40" t="str">
        <x:f>'01_Run_Config'!$E$57</x:f>
        <x:v>OK</x:v>
      </x:c>
      <x:c r="BH40" t="str">
        <x:f>IF(SUM(AC40,AT40:BF40)=0,"keine AN-Dosis heute",IF(AC40&gt;0,"Voodoo "&amp;AC40&amp;" ml/L; ","")&amp;IF(AT40&gt;0,"Piranha "&amp;AT40&amp;" ml/L; ","")&amp;IF(AU40&gt;0,"Tarantula "&amp;AU40&amp;" ml/L; ","")&amp;IF(AV40&gt;0,"B-52 "&amp;AV40&amp;" ml/L; ","")&amp;IF(AW40&gt;0,"Bud Candy "&amp;AW40&amp;" ml/L; ","")&amp;IF(AX40&gt;0,"Bud Factor X "&amp;AX40&amp;" ml/L; ","")&amp;IF(AY40&gt;0,"Sensizym "&amp;AY40&amp;" ml/L; ","")&amp;IF(AZ40&gt;0,"Rhino Skin "&amp;AZ40&amp;" ml/L; ","")&amp;IF(BA40&gt;0,"Bud Ignitor "&amp;BA40&amp;" ml/L; ","")&amp;IF(BB40&gt;0,"Big Bud "&amp;BB40&amp;" ml/L; ","")&amp;IF(BC40&gt;0,"Overdrive "&amp;BC40&amp;" ml/L; ","")&amp;IF(BD40&gt;0,"Tasty Terpenes "&amp;BD40&amp;" ml/L; ","")&amp;IF(BE40&gt;0,"Sensi CalMag "&amp;BE40&amp;" ml/L",""))</x:f>
        <x:v>Voodoo 2 ml/L; Tarantula 2 ml/L; </x:v>
      </x:c>
      <x:c r="BI40" s="60" t="n">
        <x:f>IF(ISNUMBER('01_Run_Config'!$B$91),IF(B40&lt;'01_Run_Config'!$B$91,"PRE",B40-'01_Run_Config'!$B$91),"PRE")</x:f>
        <x:v>36</x:v>
      </x:c>
      <x:c r="BJ40" s="60" t="str">
        <x:f>IF(ISNUMBER('01_Run_Config'!$B$92),IF(B40&lt;'01_Run_Config'!$B$92,"PRE",B40-'01_Run_Config'!$B$92),"PRE")</x:f>
        <x:v>PRE</x:v>
      </x:c>
      <x:c r="BK40" s="60" t="str">
        <x:f>IF(ISNUMBER('01_Run_Config'!$B$93),IF(B40&lt;'01_Run_Config'!$B$93,"PRE",B40-'01_Run_Config'!$B$93),"PRE")</x:f>
        <x:v>PRE</x:v>
      </x:c>
      <x:c r="BL40" s="2482" t="n">
        <x:f>IF(BM40=5.8,5.8,5.8)</x:f>
        <x:v>5.8</x:v>
      </x:c>
      <x:c r="BM40" s="2482" t="n">
        <x:f>IF(A40&lt;IF(ISNUMBER('01_Run_Config'!$B$81),'01_Run_Config'!$B$81,15),5.8,6)</x:f>
        <x:v>6</x:v>
      </x:c>
      <x:c r="BN40" s="2482" t="n">
        <x:f>IF(BM40=5.8,5.8,6.2)</x:f>
        <x:v>6.2</x:v>
      </x:c>
      <x:c r="BO40" s="60" t="str">
        <x:f>IF(BM40=5.8,"Eazy Plug/Block: Herstellerziel 5.80","Final Coco: UKD 6.00 = Mitte HESI 5.8–6.2")</x:f>
        <x:v>Final Coco: UKD 6.00 = Mitte HESI 5.8–6.2</x:v>
      </x:c>
      <x:c r="BP40" s="60" t="str">
        <x:f>IF(A40&lt;2,"PRE-EMERGENCE: Balance normalerweise nicht nötig",IF(BM40=5.8,"ab Durchbruch AVAILABLE IF endmix &lt; 5.80","AVAILABLE IF endmix &lt; 6.00"))</x:f>
        <x:v>AVAILABLE IF endmix &lt; 6.00</x:v>
      </x:c>
      <x:c r="BQ40" s="60" t="str">
        <x:f>IF(A40=0,"Run Day 0 = Aussaat 21.08.2026; Plant Day beginnt erst beim Durchbruch.",IF(A40=2,"P39 Double Grape: 23.08.2026 = Plant Day 0.","Daily pH is a projection; actual root-stage/event overrides calendar."))</x:f>
        <x:v>Daily pH is a projection; actual root-stage/event overrides calendar.</x:v>
      </x:c>
    </x:row>
    <x:row r="41">
      <x:c r="A41" s="34" t="n">
        <x:v>39</x:v>
      </x:c>
      <x:c r="B41" s="129" t="n">
        <x:f>'01_Run_Config'!$B$4+A41</x:f>
        <x:v>46294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f>BM41</x:f>
        <x:v>6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IF(A41&lt;=14,2.5,0)</x:f>
        <x:v>0</x:v>
      </x:c>
      <x:c r="X41" s="63" t="n">
        <x:f>IF('01_Run_Config'!$B$50="AN Sensizym",0,IF(AND(A41&gt;='01_Run_Config'!$B$32,OR(AL41="",AL41&lt;=49)),2,0))</x:f>
        <x:v>2</x:v>
      </x:c>
      <x:c r="Y41" s="63" t="n">
        <x:f>0.015</x:f>
        <x:v>0.015</x:v>
      </x:c>
      <x:c r="Z41" s="63" t="n">
        <x:f>IF('01_Run_Config'!$B$51="HESI Hesilicio",2,0)</x:f>
        <x:v>0</x:v>
      </x:c>
      <x:c r="AA41" s="63" t="n">
        <x:f>IF('01_Run_Config'!$B$48="AN Bud Candy (replaces HESI Boost)",0,IF(AND(A41&gt;='01_Run_Config'!$B$33,MOD(A41-'01_Run_Config'!$B$33,7)=0),2,0))</x:f>
        <x:v>0</x:v>
      </x:c>
      <x:c r="AB41" s="63" t="n">
        <x:f>IF('01_Run_Config'!$B$52="AN Bud Ignitor &gt; Big Bud &gt; Overdrive",0,IF(AND(ISNUMBER(AL41),AL41&gt;=29,AL41&lt;=42),0.25+((AL41-29)/13)*0.25,0))</x:f>
        <x:v>0</x:v>
      </x:c>
      <x:c r="AC41" s="63" t="n">
        <x:f>IF('01_Run_Config'!$B$46="OFF",0,IF(OR(AND(A41&gt;='01_Run_Config'!$B$32,A41&lt;='01_Run_Config'!$B$32+13),AND(A41&gt;='01_Run_Config'!$B$33,A41&lt;='01_Run_Config'!$B$33+13)),2,0))</x:f>
        <x:v>2</x:v>
      </x:c>
      <x:c r="AD41" s="63" t="str">
        <x:f>IF(BG41="BLOCK","HYBRID BLOCKED - Konfiguration prüfen",IF(SUM(AC41,AT41:BF41)&gt;0,"AN aktiv: "&amp;BH41,"AN: keine Dosis heute / Module aus"))</x:f>
        <x:v>AN aktiv: Voodoo 2 ml/L; Tarantula 2 ml/L; 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1" s="34" t="str">
        <x:f>IF(A41&lt;2,"PRE-EMERGENCE · kein Kalenderwert","AVAILABLE IF NEEDED · nur wenn vollständiger Endmix unter pH-Ziel liegt")</x:f>
        <x:v>AVAILABLE IF NEEDED · nur wenn vollständiger Endmix unter pH-Ziel liegt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  <x:c r="AT41" t="n">
        <x:f>IF(AND('01_Run_Config'!$B$46="Voodoo + Piranha + Tarantula",AC41&gt;0),2,0)</x:f>
        <x:v>0</x:v>
      </x:c>
      <x:c r="AU41" t="n">
        <x:f>IF(AND(OR('01_Run_Config'!$B$46="Voodoo + Tarantula",'01_Run_Config'!$B$46="Voodoo + Piranha + Tarantula"),AC41&gt;0),2,0)</x:f>
        <x:v>2</x:v>
      </x:c>
      <x:c r="AV41" t="n">
        <x:f>IF('01_Run_Config'!$B$47&lt;&gt;"ON / A-B",0,IF(OR(AND(A41&gt;='01_Run_Config'!$B$32,A41&lt;'01_Run_Config'!$B$33),AND(ISNUMBER(AL41),AL41&gt;=15,AL41&lt;=49)),2,0))</x:f>
        <x:v>0</x:v>
      </x:c>
      <x:c r="AW41" t="n">
        <x:f>IF('01_Run_Config'!$B$48="AN Bud Candy (replaces HESI Boost)",IF(AND(A41&gt;='01_Run_Config'!$B$32,OR(AL41="",AL41&lt;=49)),2,0),0)</x:f>
        <x:v>0</x:v>
      </x:c>
      <x:c r="AX41" t="n">
        <x:f>IF('01_Run_Config'!$B$49&lt;&gt;"ON / EXPERIMENTAL",0,IF(OR(AND(A41&gt;='01_Run_Config'!$B$32+7,A41&lt;'01_Run_Config'!$B$33),AND(ISNUMBER(AL41),AL41&gt;=1,AL41&lt;=49)),2,0))</x:f>
        <x:v>0</x:v>
      </x:c>
      <x:c r="AY41" t="n">
        <x:f>IF('01_Run_Config'!$B$50="AN Sensizym",IF(AND(A41&gt;='01_Run_Config'!$B$32,OR(AL41="",AL41&lt;=49)),2,0),0)</x:f>
        <x:v>0</x:v>
      </x:c>
      <x:c r="AZ41" t="n">
        <x:f>IF('01_Run_Config'!$B$51="AN Rhino Skin",IF(AND(A41&gt;='01_Run_Config'!$B$32,OR(AL41="",AL41&lt;=49)),2,0),0)</x:f>
        <x:v>0</x:v>
      </x:c>
      <x:c r="BA41" t="n">
        <x:f>IF(AND('01_Run_Config'!$B$52="AN Bud Ignitor &gt; Big Bud &gt; Overdrive",ISNUMBER(AL41),AL41&gt;=1,AL41&lt;=14),2,0)</x:f>
        <x:v>0</x:v>
      </x:c>
      <x:c r="BB41" t="n">
        <x:f>IF(AND('01_Run_Config'!$B$52="AN Bud Ignitor &gt; Big Bud &gt; Overdrive",ISNUMBER(AL41),AL41&gt;=8,AL41&lt;=35),2,0)</x:f>
        <x:v>0</x:v>
      </x:c>
      <x:c r="BC41" t="n">
        <x:f>IF(AND('01_Run_Config'!$B$52="AN Bud Ignitor &gt; Big Bud &gt; Overdrive",ISNUMBER(AL41),AL41&gt;=36,AL41&lt;=49),2,0)</x:f>
        <x:v>0</x:v>
      </x:c>
      <x:c r="BD41" t="n">
        <x:f>IF('01_Run_Config'!$B$53="ON / EXPERIMENTAL",IF(OR(AND(A41&gt;='01_Run_Config'!$B$32,A41&lt;'01_Run_Config'!$B$33),AND(ISNUMBER(AL41),AL41&gt;=15,AL41&lt;=49)),2,0),0)</x:f>
        <x:v>0</x:v>
      </x:c>
      <x:c r="BE41" t="n">
        <x:f>IF('01_Run_Config'!$B$54="AN Sensi CalMag Xtra conditional",'01_Run_Config'!$B$17,0)</x:f>
        <x:v>0</x:v>
      </x:c>
      <x:c r="BF41" t="n">
        <x:f>0</x:f>
        <x:v>0</x:v>
      </x:c>
      <x:c r="BG41" t="str">
        <x:f>'01_Run_Config'!$E$57</x:f>
        <x:v>OK</x:v>
      </x:c>
      <x:c r="BH41" t="str">
        <x:f>IF(SUM(AC41,AT41:BF41)=0,"keine AN-Dosis heute",IF(AC41&gt;0,"Voodoo "&amp;AC41&amp;" ml/L; ","")&amp;IF(AT41&gt;0,"Piranha "&amp;AT41&amp;" ml/L; ","")&amp;IF(AU41&gt;0,"Tarantula "&amp;AU41&amp;" ml/L; ","")&amp;IF(AV41&gt;0,"B-52 "&amp;AV41&amp;" ml/L; ","")&amp;IF(AW41&gt;0,"Bud Candy "&amp;AW41&amp;" ml/L; ","")&amp;IF(AX41&gt;0,"Bud Factor X "&amp;AX41&amp;" ml/L; ","")&amp;IF(AY41&gt;0,"Sensizym "&amp;AY41&amp;" ml/L; ","")&amp;IF(AZ41&gt;0,"Rhino Skin "&amp;AZ41&amp;" ml/L; ","")&amp;IF(BA41&gt;0,"Bud Ignitor "&amp;BA41&amp;" ml/L; ","")&amp;IF(BB41&gt;0,"Big Bud "&amp;BB41&amp;" ml/L; ","")&amp;IF(BC41&gt;0,"Overdrive "&amp;BC41&amp;" ml/L; ","")&amp;IF(BD41&gt;0,"Tasty Terpenes "&amp;BD41&amp;" ml/L; ","")&amp;IF(BE41&gt;0,"Sensi CalMag "&amp;BE41&amp;" ml/L",""))</x:f>
        <x:v>Voodoo 2 ml/L; Tarantula 2 ml/L; </x:v>
      </x:c>
      <x:c r="BI41" s="60" t="n">
        <x:f>IF(ISNUMBER('01_Run_Config'!$B$91),IF(B41&lt;'01_Run_Config'!$B$91,"PRE",B41-'01_Run_Config'!$B$91),"PRE")</x:f>
        <x:v>37</x:v>
      </x:c>
      <x:c r="BJ41" s="60" t="str">
        <x:f>IF(ISNUMBER('01_Run_Config'!$B$92),IF(B41&lt;'01_Run_Config'!$B$92,"PRE",B41-'01_Run_Config'!$B$92),"PRE")</x:f>
        <x:v>PRE</x:v>
      </x:c>
      <x:c r="BK41" s="60" t="str">
        <x:f>IF(ISNUMBER('01_Run_Config'!$B$93),IF(B41&lt;'01_Run_Config'!$B$93,"PRE",B41-'01_Run_Config'!$B$93),"PRE")</x:f>
        <x:v>PRE</x:v>
      </x:c>
      <x:c r="BL41" s="2482" t="n">
        <x:f>IF(BM41=5.8,5.8,5.8)</x:f>
        <x:v>5.8</x:v>
      </x:c>
      <x:c r="BM41" s="2482" t="n">
        <x:f>IF(A41&lt;IF(ISNUMBER('01_Run_Config'!$B$81),'01_Run_Config'!$B$81,15),5.8,6)</x:f>
        <x:v>6</x:v>
      </x:c>
      <x:c r="BN41" s="2482" t="n">
        <x:f>IF(BM41=5.8,5.8,6.2)</x:f>
        <x:v>6.2</x:v>
      </x:c>
      <x:c r="BO41" s="60" t="str">
        <x:f>IF(BM41=5.8,"Eazy Plug/Block: Herstellerziel 5.80","Final Coco: UKD 6.00 = Mitte HESI 5.8–6.2")</x:f>
        <x:v>Final Coco: UKD 6.00 = Mitte HESI 5.8–6.2</x:v>
      </x:c>
      <x:c r="BP41" s="60" t="str">
        <x:f>IF(A41&lt;2,"PRE-EMERGENCE: Balance normalerweise nicht nötig",IF(BM41=5.8,"ab Durchbruch AVAILABLE IF endmix &lt; 5.80","AVAILABLE IF endmix &lt; 6.00"))</x:f>
        <x:v>AVAILABLE IF endmix &lt; 6.00</x:v>
      </x:c>
      <x:c r="BQ41" s="60" t="str">
        <x:f>IF(A41=0,"Run Day 0 = Aussaat 21.08.2026; Plant Day beginnt erst beim Durchbruch.",IF(A41=2,"P40 Double Grape: 23.08.2026 = Plant Day 0.","Daily pH is a projection; actual root-stage/event overrides calendar."))</x:f>
        <x:v>Daily pH is a projection; actual root-stage/event overrides calendar.</x:v>
      </x:c>
    </x:row>
    <x:row r="42">
      <x:c r="A42" s="34" t="n">
        <x:v>40</x:v>
      </x:c>
      <x:c r="B42" s="129" t="n">
        <x:f>'01_Run_Config'!$B$4+A42</x:f>
        <x:v>46295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f>BM42</x:f>
        <x:v>6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IF(A42&lt;=14,2.5,0)</x:f>
        <x:v>0</x:v>
      </x:c>
      <x:c r="X42" s="63" t="n">
        <x:f>IF('01_Run_Config'!$B$50="AN Sensizym",0,IF(AND(A42&gt;='01_Run_Config'!$B$32,OR(AL42="",AL42&lt;=49)),2,0))</x:f>
        <x:v>2</x:v>
      </x:c>
      <x:c r="Y42" s="63" t="n">
        <x:f>0.015</x:f>
        <x:v>0.015</x:v>
      </x:c>
      <x:c r="Z42" s="63" t="n">
        <x:f>IF('01_Run_Config'!$B$51="HESI Hesilicio",2,0)</x:f>
        <x:v>0</x:v>
      </x:c>
      <x:c r="AA42" s="63" t="n">
        <x:f>IF('01_Run_Config'!$B$48="AN Bud Candy (replaces HESI Boost)",0,IF(AND(A42&gt;='01_Run_Config'!$B$33,MOD(A42-'01_Run_Config'!$B$33,7)=0),2,0))</x:f>
        <x:v>0</x:v>
      </x:c>
      <x:c r="AB42" s="63" t="n">
        <x:f>IF('01_Run_Config'!$B$52="AN Bud Ignitor &gt; Big Bud &gt; Overdrive",0,IF(AND(ISNUMBER(AL42),AL42&gt;=29,AL42&lt;=42),0.25+((AL42-29)/13)*0.25,0))</x:f>
        <x:v>0</x:v>
      </x:c>
      <x:c r="AC42" s="63" t="n">
        <x:f>IF('01_Run_Config'!$B$46="OFF",0,IF(OR(AND(A42&gt;='01_Run_Config'!$B$32,A42&lt;='01_Run_Config'!$B$32+13),AND(A42&gt;='01_Run_Config'!$B$33,A42&lt;='01_Run_Config'!$B$33+13)),2,0))</x:f>
        <x:v>2</x:v>
      </x:c>
      <x:c r="AD42" s="63" t="str">
        <x:f>IF(BG42="BLOCK","HYBRID BLOCKED - Konfiguration prüfen",IF(SUM(AC42,AT42:BF42)&gt;0,"AN aktiv: "&amp;BH42,"AN: keine Dosis heute / Module aus"))</x:f>
        <x:v>AN aktiv: Voodoo 2 ml/L; Tarantula 2 ml/L; 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2" s="34" t="str">
        <x:f>IF(A42&lt;2,"PRE-EMERGENCE · kein Kalenderwert","AVAILABLE IF NEEDED · nur wenn vollständiger Endmix unter pH-Ziel liegt")</x:f>
        <x:v>AVAILABLE IF NEEDED · nur wenn vollständiger Endmix unter pH-Ziel liegt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  <x:c r="AT42" t="n">
        <x:f>IF(AND('01_Run_Config'!$B$46="Voodoo + Piranha + Tarantula",AC42&gt;0),2,0)</x:f>
        <x:v>0</x:v>
      </x:c>
      <x:c r="AU42" t="n">
        <x:f>IF(AND(OR('01_Run_Config'!$B$46="Voodoo + Tarantula",'01_Run_Config'!$B$46="Voodoo + Piranha + Tarantula"),AC42&gt;0),2,0)</x:f>
        <x:v>2</x:v>
      </x:c>
      <x:c r="AV42" t="n">
        <x:f>IF('01_Run_Config'!$B$47&lt;&gt;"ON / A-B",0,IF(OR(AND(A42&gt;='01_Run_Config'!$B$32,A42&lt;'01_Run_Config'!$B$33),AND(ISNUMBER(AL42),AL42&gt;=15,AL42&lt;=49)),2,0))</x:f>
        <x:v>0</x:v>
      </x:c>
      <x:c r="AW42" t="n">
        <x:f>IF('01_Run_Config'!$B$48="AN Bud Candy (replaces HESI Boost)",IF(AND(A42&gt;='01_Run_Config'!$B$32,OR(AL42="",AL42&lt;=49)),2,0),0)</x:f>
        <x:v>0</x:v>
      </x:c>
      <x:c r="AX42" t="n">
        <x:f>IF('01_Run_Config'!$B$49&lt;&gt;"ON / EXPERIMENTAL",0,IF(OR(AND(A42&gt;='01_Run_Config'!$B$32+7,A42&lt;'01_Run_Config'!$B$33),AND(ISNUMBER(AL42),AL42&gt;=1,AL42&lt;=49)),2,0))</x:f>
        <x:v>0</x:v>
      </x:c>
      <x:c r="AY42" t="n">
        <x:f>IF('01_Run_Config'!$B$50="AN Sensizym",IF(AND(A42&gt;='01_Run_Config'!$B$32,OR(AL42="",AL42&lt;=49)),2,0),0)</x:f>
        <x:v>0</x:v>
      </x:c>
      <x:c r="AZ42" t="n">
        <x:f>IF('01_Run_Config'!$B$51="AN Rhino Skin",IF(AND(A42&gt;='01_Run_Config'!$B$32,OR(AL42="",AL42&lt;=49)),2,0),0)</x:f>
        <x:v>0</x:v>
      </x:c>
      <x:c r="BA42" t="n">
        <x:f>IF(AND('01_Run_Config'!$B$52="AN Bud Ignitor &gt; Big Bud &gt; Overdrive",ISNUMBER(AL42),AL42&gt;=1,AL42&lt;=14),2,0)</x:f>
        <x:v>0</x:v>
      </x:c>
      <x:c r="BB42" t="n">
        <x:f>IF(AND('01_Run_Config'!$B$52="AN Bud Ignitor &gt; Big Bud &gt; Overdrive",ISNUMBER(AL42),AL42&gt;=8,AL42&lt;=35),2,0)</x:f>
        <x:v>0</x:v>
      </x:c>
      <x:c r="BC42" t="n">
        <x:f>IF(AND('01_Run_Config'!$B$52="AN Bud Ignitor &gt; Big Bud &gt; Overdrive",ISNUMBER(AL42),AL42&gt;=36,AL42&lt;=49),2,0)</x:f>
        <x:v>0</x:v>
      </x:c>
      <x:c r="BD42" t="n">
        <x:f>IF('01_Run_Config'!$B$53="ON / EXPERIMENTAL",IF(OR(AND(A42&gt;='01_Run_Config'!$B$32,A42&lt;'01_Run_Config'!$B$33),AND(ISNUMBER(AL42),AL42&gt;=15,AL42&lt;=49)),2,0),0)</x:f>
        <x:v>0</x:v>
      </x:c>
      <x:c r="BE42" t="n">
        <x:f>IF('01_Run_Config'!$B$54="AN Sensi CalMag Xtra conditional",'01_Run_Config'!$B$17,0)</x:f>
        <x:v>0</x:v>
      </x:c>
      <x:c r="BF42" t="n">
        <x:f>0</x:f>
        <x:v>0</x:v>
      </x:c>
      <x:c r="BG42" t="str">
        <x:f>'01_Run_Config'!$E$57</x:f>
        <x:v>OK</x:v>
      </x:c>
      <x:c r="BH42" t="str">
        <x:f>IF(SUM(AC42,AT42:BF42)=0,"keine AN-Dosis heute",IF(AC42&gt;0,"Voodoo "&amp;AC42&amp;" ml/L; ","")&amp;IF(AT42&gt;0,"Piranha "&amp;AT42&amp;" ml/L; ","")&amp;IF(AU42&gt;0,"Tarantula "&amp;AU42&amp;" ml/L; ","")&amp;IF(AV42&gt;0,"B-52 "&amp;AV42&amp;" ml/L; ","")&amp;IF(AW42&gt;0,"Bud Candy "&amp;AW42&amp;" ml/L; ","")&amp;IF(AX42&gt;0,"Bud Factor X "&amp;AX42&amp;" ml/L; ","")&amp;IF(AY42&gt;0,"Sensizym "&amp;AY42&amp;" ml/L; ","")&amp;IF(AZ42&gt;0,"Rhino Skin "&amp;AZ42&amp;" ml/L; ","")&amp;IF(BA42&gt;0,"Bud Ignitor "&amp;BA42&amp;" ml/L; ","")&amp;IF(BB42&gt;0,"Big Bud "&amp;BB42&amp;" ml/L; ","")&amp;IF(BC42&gt;0,"Overdrive "&amp;BC42&amp;" ml/L; ","")&amp;IF(BD42&gt;0,"Tasty Terpenes "&amp;BD42&amp;" ml/L; ","")&amp;IF(BE42&gt;0,"Sensi CalMag "&amp;BE42&amp;" ml/L",""))</x:f>
        <x:v>Voodoo 2 ml/L; Tarantula 2 ml/L; </x:v>
      </x:c>
      <x:c r="BI42" s="60" t="n">
        <x:f>IF(ISNUMBER('01_Run_Config'!$B$91),IF(B42&lt;'01_Run_Config'!$B$91,"PRE",B42-'01_Run_Config'!$B$91),"PRE")</x:f>
        <x:v>38</x:v>
      </x:c>
      <x:c r="BJ42" s="60" t="str">
        <x:f>IF(ISNUMBER('01_Run_Config'!$B$92),IF(B42&lt;'01_Run_Config'!$B$92,"PRE",B42-'01_Run_Config'!$B$92),"PRE")</x:f>
        <x:v>PRE</x:v>
      </x:c>
      <x:c r="BK42" s="60" t="str">
        <x:f>IF(ISNUMBER('01_Run_Config'!$B$93),IF(B42&lt;'01_Run_Config'!$B$93,"PRE",B42-'01_Run_Config'!$B$93),"PRE")</x:f>
        <x:v>PRE</x:v>
      </x:c>
      <x:c r="BL42" s="2482" t="n">
        <x:f>IF(BM42=5.8,5.8,5.8)</x:f>
        <x:v>5.8</x:v>
      </x:c>
      <x:c r="BM42" s="2482" t="n">
        <x:f>IF(A42&lt;IF(ISNUMBER('01_Run_Config'!$B$81),'01_Run_Config'!$B$81,15),5.8,6)</x:f>
        <x:v>6</x:v>
      </x:c>
      <x:c r="BN42" s="2482" t="n">
        <x:f>IF(BM42=5.8,5.8,6.2)</x:f>
        <x:v>6.2</x:v>
      </x:c>
      <x:c r="BO42" s="60" t="str">
        <x:f>IF(BM42=5.8,"Eazy Plug/Block: Herstellerziel 5.80","Final Coco: UKD 6.00 = Mitte HESI 5.8–6.2")</x:f>
        <x:v>Final Coco: UKD 6.00 = Mitte HESI 5.8–6.2</x:v>
      </x:c>
      <x:c r="BP42" s="60" t="str">
        <x:f>IF(A42&lt;2,"PRE-EMERGENCE: Balance normalerweise nicht nötig",IF(BM42=5.8,"ab Durchbruch AVAILABLE IF endmix &lt; 5.80","AVAILABLE IF endmix &lt; 6.00"))</x:f>
        <x:v>AVAILABLE IF endmix &lt; 6.00</x:v>
      </x:c>
      <x:c r="BQ42" s="60" t="str">
        <x:f>IF(A42=0,"Run Day 0 = Aussaat 21.08.2026; Plant Day beginnt erst beim Durchbruch.",IF(A42=2,"P41 Double Grape: 23.08.2026 = Plant Day 0.","Daily pH is a projection; actual root-stage/event overrides calendar."))</x:f>
        <x:v>Daily pH is a projection; actual root-stage/event overrides calendar.</x:v>
      </x:c>
    </x:row>
    <x:row r="43">
      <x:c r="A43" s="34" t="n">
        <x:v>41</x:v>
      </x:c>
      <x:c r="B43" s="129" t="n">
        <x:f>'01_Run_Config'!$B$4+A43</x:f>
        <x:v>46296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f>BM43</x:f>
        <x:v>6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IF(A43&lt;=14,2.5,0)</x:f>
        <x:v>0</x:v>
      </x:c>
      <x:c r="X43" s="63" t="n">
        <x:f>IF('01_Run_Config'!$B$50="AN Sensizym",0,IF(AND(A43&gt;='01_Run_Config'!$B$32,OR(AL43="",AL43&lt;=49)),2,0))</x:f>
        <x:v>2</x:v>
      </x:c>
      <x:c r="Y43" s="63" t="n">
        <x:f>0.015</x:f>
        <x:v>0.015</x:v>
      </x:c>
      <x:c r="Z43" s="63" t="n">
        <x:f>IF('01_Run_Config'!$B$51="HESI Hesilicio",2,0)</x:f>
        <x:v>0</x:v>
      </x:c>
      <x:c r="AA43" s="63" t="n">
        <x:f>IF('01_Run_Config'!$B$48="AN Bud Candy (replaces HESI Boost)",0,IF(AND(A43&gt;='01_Run_Config'!$B$33,MOD(A43-'01_Run_Config'!$B$33,7)=0),2,0))</x:f>
        <x:v>0</x:v>
      </x:c>
      <x:c r="AB43" s="63" t="n">
        <x:f>IF('01_Run_Config'!$B$52="AN Bud Ignitor &gt; Big Bud &gt; Overdrive",0,IF(AND(ISNUMBER(AL43),AL43&gt;=29,AL43&lt;=42),0.25+((AL43-29)/13)*0.25,0))</x:f>
        <x:v>0</x:v>
      </x:c>
      <x:c r="AC43" s="63" t="n">
        <x:f>IF('01_Run_Config'!$B$46="OFF",0,IF(OR(AND(A43&gt;='01_Run_Config'!$B$32,A43&lt;='01_Run_Config'!$B$32+13),AND(A43&gt;='01_Run_Config'!$B$33,A43&lt;='01_Run_Config'!$B$33+13)),2,0))</x:f>
        <x:v>2</x:v>
      </x:c>
      <x:c r="AD43" s="63" t="str">
        <x:f>IF(BG43="BLOCK","HYBRID BLOCKED - Konfiguration prüfen",IF(SUM(AC43,AT43:BF43)&gt;0,"AN aktiv: "&amp;BH43,"AN: keine Dosis heute / Module aus"))</x:f>
        <x:v>AN aktiv: Voodoo 2 ml/L; Tarantula 2 ml/L; 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3" s="34" t="str">
        <x:f>IF(A43&lt;2,"PRE-EMERGENCE · kein Kalenderwert","AVAILABLE IF NEEDED · nur wenn vollständiger Endmix unter pH-Ziel liegt")</x:f>
        <x:v>AVAILABLE IF NEEDED · nur wenn vollständiger Endmix unter pH-Ziel liegt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  <x:c r="AT43" t="n">
        <x:f>IF(AND('01_Run_Config'!$B$46="Voodoo + Piranha + Tarantula",AC43&gt;0),2,0)</x:f>
        <x:v>0</x:v>
      </x:c>
      <x:c r="AU43" t="n">
        <x:f>IF(AND(OR('01_Run_Config'!$B$46="Voodoo + Tarantula",'01_Run_Config'!$B$46="Voodoo + Piranha + Tarantula"),AC43&gt;0),2,0)</x:f>
        <x:v>2</x:v>
      </x:c>
      <x:c r="AV43" t="n">
        <x:f>IF('01_Run_Config'!$B$47&lt;&gt;"ON / A-B",0,IF(OR(AND(A43&gt;='01_Run_Config'!$B$32,A43&lt;'01_Run_Config'!$B$33),AND(ISNUMBER(AL43),AL43&gt;=15,AL43&lt;=49)),2,0))</x:f>
        <x:v>0</x:v>
      </x:c>
      <x:c r="AW43" t="n">
        <x:f>IF('01_Run_Config'!$B$48="AN Bud Candy (replaces HESI Boost)",IF(AND(A43&gt;='01_Run_Config'!$B$32,OR(AL43="",AL43&lt;=49)),2,0),0)</x:f>
        <x:v>0</x:v>
      </x:c>
      <x:c r="AX43" t="n">
        <x:f>IF('01_Run_Config'!$B$49&lt;&gt;"ON / EXPERIMENTAL",0,IF(OR(AND(A43&gt;='01_Run_Config'!$B$32+7,A43&lt;'01_Run_Config'!$B$33),AND(ISNUMBER(AL43),AL43&gt;=1,AL43&lt;=49)),2,0))</x:f>
        <x:v>0</x:v>
      </x:c>
      <x:c r="AY43" t="n">
        <x:f>IF('01_Run_Config'!$B$50="AN Sensizym",IF(AND(A43&gt;='01_Run_Config'!$B$32,OR(AL43="",AL43&lt;=49)),2,0),0)</x:f>
        <x:v>0</x:v>
      </x:c>
      <x:c r="AZ43" t="n">
        <x:f>IF('01_Run_Config'!$B$51="AN Rhino Skin",IF(AND(A43&gt;='01_Run_Config'!$B$32,OR(AL43="",AL43&lt;=49)),2,0),0)</x:f>
        <x:v>0</x:v>
      </x:c>
      <x:c r="BA43" t="n">
        <x:f>IF(AND('01_Run_Config'!$B$52="AN Bud Ignitor &gt; Big Bud &gt; Overdrive",ISNUMBER(AL43),AL43&gt;=1,AL43&lt;=14),2,0)</x:f>
        <x:v>0</x:v>
      </x:c>
      <x:c r="BB43" t="n">
        <x:f>IF(AND('01_Run_Config'!$B$52="AN Bud Ignitor &gt; Big Bud &gt; Overdrive",ISNUMBER(AL43),AL43&gt;=8,AL43&lt;=35),2,0)</x:f>
        <x:v>0</x:v>
      </x:c>
      <x:c r="BC43" t="n">
        <x:f>IF(AND('01_Run_Config'!$B$52="AN Bud Ignitor &gt; Big Bud &gt; Overdrive",ISNUMBER(AL43),AL43&gt;=36,AL43&lt;=49),2,0)</x:f>
        <x:v>0</x:v>
      </x:c>
      <x:c r="BD43" t="n">
        <x:f>IF('01_Run_Config'!$B$53="ON / EXPERIMENTAL",IF(OR(AND(A43&gt;='01_Run_Config'!$B$32,A43&lt;'01_Run_Config'!$B$33),AND(ISNUMBER(AL43),AL43&gt;=15,AL43&lt;=49)),2,0),0)</x:f>
        <x:v>0</x:v>
      </x:c>
      <x:c r="BE43" t="n">
        <x:f>IF('01_Run_Config'!$B$54="AN Sensi CalMag Xtra conditional",'01_Run_Config'!$B$17,0)</x:f>
        <x:v>0</x:v>
      </x:c>
      <x:c r="BF43" t="n">
        <x:f>0</x:f>
        <x:v>0</x:v>
      </x:c>
      <x:c r="BG43" t="str">
        <x:f>'01_Run_Config'!$E$57</x:f>
        <x:v>OK</x:v>
      </x:c>
      <x:c r="BH43" t="str">
        <x:f>IF(SUM(AC43,AT43:BF43)=0,"keine AN-Dosis heute",IF(AC43&gt;0,"Voodoo "&amp;AC43&amp;" ml/L; ","")&amp;IF(AT43&gt;0,"Piranha "&amp;AT43&amp;" ml/L; ","")&amp;IF(AU43&gt;0,"Tarantula "&amp;AU43&amp;" ml/L; ","")&amp;IF(AV43&gt;0,"B-52 "&amp;AV43&amp;" ml/L; ","")&amp;IF(AW43&gt;0,"Bud Candy "&amp;AW43&amp;" ml/L; ","")&amp;IF(AX43&gt;0,"Bud Factor X "&amp;AX43&amp;" ml/L; ","")&amp;IF(AY43&gt;0,"Sensizym "&amp;AY43&amp;" ml/L; ","")&amp;IF(AZ43&gt;0,"Rhino Skin "&amp;AZ43&amp;" ml/L; ","")&amp;IF(BA43&gt;0,"Bud Ignitor "&amp;BA43&amp;" ml/L; ","")&amp;IF(BB43&gt;0,"Big Bud "&amp;BB43&amp;" ml/L; ","")&amp;IF(BC43&gt;0,"Overdrive "&amp;BC43&amp;" ml/L; ","")&amp;IF(BD43&gt;0,"Tasty Terpenes "&amp;BD43&amp;" ml/L; ","")&amp;IF(BE43&gt;0,"Sensi CalMag "&amp;BE43&amp;" ml/L",""))</x:f>
        <x:v>Voodoo 2 ml/L; Tarantula 2 ml/L; </x:v>
      </x:c>
      <x:c r="BI43" s="60" t="n">
        <x:f>IF(ISNUMBER('01_Run_Config'!$B$91),IF(B43&lt;'01_Run_Config'!$B$91,"PRE",B43-'01_Run_Config'!$B$91),"PRE")</x:f>
        <x:v>39</x:v>
      </x:c>
      <x:c r="BJ43" s="60" t="str">
        <x:f>IF(ISNUMBER('01_Run_Config'!$B$92),IF(B43&lt;'01_Run_Config'!$B$92,"PRE",B43-'01_Run_Config'!$B$92),"PRE")</x:f>
        <x:v>PRE</x:v>
      </x:c>
      <x:c r="BK43" s="60" t="str">
        <x:f>IF(ISNUMBER('01_Run_Config'!$B$93),IF(B43&lt;'01_Run_Config'!$B$93,"PRE",B43-'01_Run_Config'!$B$93),"PRE")</x:f>
        <x:v>PRE</x:v>
      </x:c>
      <x:c r="BL43" s="2482" t="n">
        <x:f>IF(BM43=5.8,5.8,5.8)</x:f>
        <x:v>5.8</x:v>
      </x:c>
      <x:c r="BM43" s="2482" t="n">
        <x:f>IF(A43&lt;IF(ISNUMBER('01_Run_Config'!$B$81),'01_Run_Config'!$B$81,15),5.8,6)</x:f>
        <x:v>6</x:v>
      </x:c>
      <x:c r="BN43" s="2482" t="n">
        <x:f>IF(BM43=5.8,5.8,6.2)</x:f>
        <x:v>6.2</x:v>
      </x:c>
      <x:c r="BO43" s="60" t="str">
        <x:f>IF(BM43=5.8,"Eazy Plug/Block: Herstellerziel 5.80","Final Coco: UKD 6.00 = Mitte HESI 5.8–6.2")</x:f>
        <x:v>Final Coco: UKD 6.00 = Mitte HESI 5.8–6.2</x:v>
      </x:c>
      <x:c r="BP43" s="60" t="str">
        <x:f>IF(A43&lt;2,"PRE-EMERGENCE: Balance normalerweise nicht nötig",IF(BM43=5.8,"ab Durchbruch AVAILABLE IF endmix &lt; 5.80","AVAILABLE IF endmix &lt; 6.00"))</x:f>
        <x:v>AVAILABLE IF endmix &lt; 6.00</x:v>
      </x:c>
      <x:c r="BQ43" s="60" t="str">
        <x:f>IF(A43=0,"Run Day 0 = Aussaat 21.08.2026; Plant Day beginnt erst beim Durchbruch.",IF(A43=2,"P42 Double Grape: 23.08.2026 = Plant Day 0.","Daily pH is a projection; actual root-stage/event overrides calendar."))</x:f>
        <x:v>Daily pH is a projection; actual root-stage/event overrides calendar.</x:v>
      </x:c>
    </x:row>
    <x:row r="44">
      <x:c r="A44" s="34" t="n">
        <x:v>42</x:v>
      </x:c>
      <x:c r="B44" s="129" t="n">
        <x:f>'01_Run_Config'!$B$4+A44</x:f>
        <x:v>46297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f>BM44</x:f>
        <x:v>6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IF(A44&lt;=14,2.5,0)</x:f>
        <x:v>0</x:v>
      </x:c>
      <x:c r="X44" s="63" t="n">
        <x:f>IF('01_Run_Config'!$B$50="AN Sensizym",0,IF(AND(A44&gt;='01_Run_Config'!$B$32,OR(AL44="",AL44&lt;=49)),2,0))</x:f>
        <x:v>2</x:v>
      </x:c>
      <x:c r="Y44" s="63" t="n">
        <x:f>0.015</x:f>
        <x:v>0.015</x:v>
      </x:c>
      <x:c r="Z44" s="63" t="n">
        <x:f>IF('01_Run_Config'!$B$51="HESI Hesilicio",2,0)</x:f>
        <x:v>0</x:v>
      </x:c>
      <x:c r="AA44" s="63" t="n">
        <x:f>IF('01_Run_Config'!$B$48="AN Bud Candy (replaces HESI Boost)",0,IF(AND(A44&gt;='01_Run_Config'!$B$33,MOD(A44-'01_Run_Config'!$B$33,7)=0),2,0))</x:f>
        <x:v>2</x:v>
      </x:c>
      <x:c r="AB44" s="63" t="n">
        <x:f>IF('01_Run_Config'!$B$52="AN Bud Ignitor &gt; Big Bud &gt; Overdrive",0,IF(AND(ISNUMBER(AL44),AL44&gt;=29,AL44&lt;=42),0.25+((AL44-29)/13)*0.25,0))</x:f>
        <x:v>0</x:v>
      </x:c>
      <x:c r="AC44" s="63" t="n">
        <x:f>IF('01_Run_Config'!$B$46="OFF",0,IF(OR(AND(A44&gt;='01_Run_Config'!$B$32,A44&lt;='01_Run_Config'!$B$32+13),AND(A44&gt;='01_Run_Config'!$B$33,A44&lt;='01_Run_Config'!$B$33+13)),2,0))</x:f>
        <x:v>0</x:v>
      </x:c>
      <x:c r="AD44" s="63" t="str">
        <x:f>IF(BG44="BLOCK","HYBRID BLOCKED - Konfiguration prüfen",IF(SUM(AC44,AT44:BF44)&gt;0,"AN aktiv: "&amp;BH44,"AN: keine Dosis heute / Module aus"))</x:f>
        <x:v>AN: keine Dosis heute / Module aus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4" s="34" t="str">
        <x:f>IF(A44&lt;2,"PRE-EMERGENCE · kein Kalenderwert","AVAILABLE IF NEEDED · nur wenn vollständiger Endmix unter pH-Ziel liegt")</x:f>
        <x:v>AVAILABLE IF NEEDED · nur wenn vollständiger Endmix unter pH-Ziel liegt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  <x:c r="AT44" t="n">
        <x:f>IF(AND('01_Run_Config'!$B$46="Voodoo + Piranha + Tarantula",AC44&gt;0),2,0)</x:f>
        <x:v>0</x:v>
      </x:c>
      <x:c r="AU44" t="n">
        <x:f>IF(AND(OR('01_Run_Config'!$B$46="Voodoo + Tarantula",'01_Run_Config'!$B$46="Voodoo + Piranha + Tarantula"),AC44&gt;0),2,0)</x:f>
        <x:v>0</x:v>
      </x:c>
      <x:c r="AV44" t="n">
        <x:f>IF('01_Run_Config'!$B$47&lt;&gt;"ON / A-B",0,IF(OR(AND(A44&gt;='01_Run_Config'!$B$32,A44&lt;'01_Run_Config'!$B$33),AND(ISNUMBER(AL44),AL44&gt;=15,AL44&lt;=49)),2,0))</x:f>
        <x:v>0</x:v>
      </x:c>
      <x:c r="AW44" t="n">
        <x:f>IF('01_Run_Config'!$B$48="AN Bud Candy (replaces HESI Boost)",IF(AND(A44&gt;='01_Run_Config'!$B$32,OR(AL44="",AL44&lt;=49)),2,0),0)</x:f>
        <x:v>0</x:v>
      </x:c>
      <x:c r="AX44" t="n">
        <x:f>IF('01_Run_Config'!$B$49&lt;&gt;"ON / EXPERIMENTAL",0,IF(OR(AND(A44&gt;='01_Run_Config'!$B$32+7,A44&lt;'01_Run_Config'!$B$33),AND(ISNUMBER(AL44),AL44&gt;=1,AL44&lt;=49)),2,0))</x:f>
        <x:v>0</x:v>
      </x:c>
      <x:c r="AY44" t="n">
        <x:f>IF('01_Run_Config'!$B$50="AN Sensizym",IF(AND(A44&gt;='01_Run_Config'!$B$32,OR(AL44="",AL44&lt;=49)),2,0),0)</x:f>
        <x:v>0</x:v>
      </x:c>
      <x:c r="AZ44" t="n">
        <x:f>IF('01_Run_Config'!$B$51="AN Rhino Skin",IF(AND(A44&gt;='01_Run_Config'!$B$32,OR(AL44="",AL44&lt;=49)),2,0),0)</x:f>
        <x:v>0</x:v>
      </x:c>
      <x:c r="BA44" t="n">
        <x:f>IF(AND('01_Run_Config'!$B$52="AN Bud Ignitor &gt; Big Bud &gt; Overdrive",ISNUMBER(AL44),AL44&gt;=1,AL44&lt;=14),2,0)</x:f>
        <x:v>0</x:v>
      </x:c>
      <x:c r="BB44" t="n">
        <x:f>IF(AND('01_Run_Config'!$B$52="AN Bud Ignitor &gt; Big Bud &gt; Overdrive",ISNUMBER(AL44),AL44&gt;=8,AL44&lt;=35),2,0)</x:f>
        <x:v>0</x:v>
      </x:c>
      <x:c r="BC44" t="n">
        <x:f>IF(AND('01_Run_Config'!$B$52="AN Bud Ignitor &gt; Big Bud &gt; Overdrive",ISNUMBER(AL44),AL44&gt;=36,AL44&lt;=49),2,0)</x:f>
        <x:v>0</x:v>
      </x:c>
      <x:c r="BD44" t="n">
        <x:f>IF('01_Run_Config'!$B$53="ON / EXPERIMENTAL",IF(OR(AND(A44&gt;='01_Run_Config'!$B$32,A44&lt;'01_Run_Config'!$B$33),AND(ISNUMBER(AL44),AL44&gt;=15,AL44&lt;=49)),2,0),0)</x:f>
        <x:v>0</x:v>
      </x:c>
      <x:c r="BE44" t="n">
        <x:f>IF('01_Run_Config'!$B$54="AN Sensi CalMag Xtra conditional",'01_Run_Config'!$B$17,0)</x:f>
        <x:v>0</x:v>
      </x:c>
      <x:c r="BF44" t="n">
        <x:f>0</x:f>
        <x:v>0</x:v>
      </x:c>
      <x:c r="BG44" t="str">
        <x:f>'01_Run_Config'!$E$57</x:f>
        <x:v>OK</x:v>
      </x:c>
      <x:c r="BH44" t="str">
        <x:f>IF(SUM(AC44,AT44:BF44)=0,"keine AN-Dosis heute",IF(AC44&gt;0,"Voodoo "&amp;AC44&amp;" ml/L; ","")&amp;IF(AT44&gt;0,"Piranha "&amp;AT44&amp;" ml/L; ","")&amp;IF(AU44&gt;0,"Tarantula "&amp;AU44&amp;" ml/L; ","")&amp;IF(AV44&gt;0,"B-52 "&amp;AV44&amp;" ml/L; ","")&amp;IF(AW44&gt;0,"Bud Candy "&amp;AW44&amp;" ml/L; ","")&amp;IF(AX44&gt;0,"Bud Factor X "&amp;AX44&amp;" ml/L; ","")&amp;IF(AY44&gt;0,"Sensizym "&amp;AY44&amp;" ml/L; ","")&amp;IF(AZ44&gt;0,"Rhino Skin "&amp;AZ44&amp;" ml/L; ","")&amp;IF(BA44&gt;0,"Bud Ignitor "&amp;BA44&amp;" ml/L; ","")&amp;IF(BB44&gt;0,"Big Bud "&amp;BB44&amp;" ml/L; ","")&amp;IF(BC44&gt;0,"Overdrive "&amp;BC44&amp;" ml/L; ","")&amp;IF(BD44&gt;0,"Tasty Terpenes "&amp;BD44&amp;" ml/L; ","")&amp;IF(BE44&gt;0,"Sensi CalMag "&amp;BE44&amp;" ml/L",""))</x:f>
        <x:v>keine AN-Dosis heute</x:v>
      </x:c>
      <x:c r="BI44" s="60" t="n">
        <x:f>IF(ISNUMBER('01_Run_Config'!$B$91),IF(B44&lt;'01_Run_Config'!$B$91,"PRE",B44-'01_Run_Config'!$B$91),"PRE")</x:f>
        <x:v>40</x:v>
      </x:c>
      <x:c r="BJ44" s="60" t="str">
        <x:f>IF(ISNUMBER('01_Run_Config'!$B$92),IF(B44&lt;'01_Run_Config'!$B$92,"PRE",B44-'01_Run_Config'!$B$92),"PRE")</x:f>
        <x:v>PRE</x:v>
      </x:c>
      <x:c r="BK44" s="60" t="str">
        <x:f>IF(ISNUMBER('01_Run_Config'!$B$93),IF(B44&lt;'01_Run_Config'!$B$93,"PRE",B44-'01_Run_Config'!$B$93),"PRE")</x:f>
        <x:v>PRE</x:v>
      </x:c>
      <x:c r="BL44" s="2482" t="n">
        <x:f>IF(BM44=5.8,5.8,5.8)</x:f>
        <x:v>5.8</x:v>
      </x:c>
      <x:c r="BM44" s="2482" t="n">
        <x:f>IF(A44&lt;IF(ISNUMBER('01_Run_Config'!$B$81),'01_Run_Config'!$B$81,15),5.8,6)</x:f>
        <x:v>6</x:v>
      </x:c>
      <x:c r="BN44" s="2482" t="n">
        <x:f>IF(BM44=5.8,5.8,6.2)</x:f>
        <x:v>6.2</x:v>
      </x:c>
      <x:c r="BO44" s="60" t="str">
        <x:f>IF(BM44=5.8,"Eazy Plug/Block: Herstellerziel 5.80","Final Coco: UKD 6.00 = Mitte HESI 5.8–6.2")</x:f>
        <x:v>Final Coco: UKD 6.00 = Mitte HESI 5.8–6.2</x:v>
      </x:c>
      <x:c r="BP44" s="60" t="str">
        <x:f>IF(A44&lt;2,"PRE-EMERGENCE: Balance normalerweise nicht nötig",IF(BM44=5.8,"ab Durchbruch AVAILABLE IF endmix &lt; 5.80","AVAILABLE IF endmix &lt; 6.00"))</x:f>
        <x:v>AVAILABLE IF endmix &lt; 6.00</x:v>
      </x:c>
      <x:c r="BQ44" s="60" t="str">
        <x:f>IF(A44=0,"Run Day 0 = Aussaat 21.08.2026; Plant Day beginnt erst beim Durchbruch.",IF(A44=2,"P43 Double Grape: 23.08.2026 = Plant Day 0.","Daily pH is a projection; actual root-stage/event overrides calendar."))</x:f>
        <x:v>Daily pH is a projection; actual root-stage/event overrides calendar.</x:v>
      </x:c>
    </x:row>
    <x:row r="45">
      <x:c r="A45" s="34" t="n">
        <x:v>43</x:v>
      </x:c>
      <x:c r="B45" s="129" t="n">
        <x:f>'01_Run_Config'!$B$4+A45</x:f>
        <x:v>46298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f>BM45</x:f>
        <x:v>6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IF(A45&lt;=14,2.5,0)</x:f>
        <x:v>0</x:v>
      </x:c>
      <x:c r="X45" s="63" t="n">
        <x:f>IF('01_Run_Config'!$B$50="AN Sensizym",0,IF(AND(A45&gt;='01_Run_Config'!$B$32,OR(AL45="",AL45&lt;=49)),2,0))</x:f>
        <x:v>2</x:v>
      </x:c>
      <x:c r="Y45" s="63" t="n">
        <x:f>0.015</x:f>
        <x:v>0.015</x:v>
      </x:c>
      <x:c r="Z45" s="63" t="n">
        <x:f>IF('01_Run_Config'!$B$51="HESI Hesilicio",2,0)</x:f>
        <x:v>0</x:v>
      </x:c>
      <x:c r="AA45" s="63" t="n">
        <x:f>IF('01_Run_Config'!$B$48="AN Bud Candy (replaces HESI Boost)",0,IF(AND(A45&gt;='01_Run_Config'!$B$33,MOD(A45-'01_Run_Config'!$B$33,7)=0),2,0))</x:f>
        <x:v>0</x:v>
      </x:c>
      <x:c r="AB45" s="63" t="n">
        <x:f>IF('01_Run_Config'!$B$52="AN Bud Ignitor &gt; Big Bud &gt; Overdrive",0,IF(AND(ISNUMBER(AL45),AL45&gt;=29,AL45&lt;=42),0.25+((AL45-29)/13)*0.25,0))</x:f>
        <x:v>0</x:v>
      </x:c>
      <x:c r="AC45" s="63" t="n">
        <x:f>IF('01_Run_Config'!$B$46="OFF",0,IF(OR(AND(A45&gt;='01_Run_Config'!$B$32,A45&lt;='01_Run_Config'!$B$32+13),AND(A45&gt;='01_Run_Config'!$B$33,A45&lt;='01_Run_Config'!$B$33+13)),2,0))</x:f>
        <x:v>0</x:v>
      </x:c>
      <x:c r="AD45" s="63" t="str">
        <x:f>IF(BG45="BLOCK","HYBRID BLOCKED - Konfiguration prüfen",IF(SUM(AC45,AT45:BF45)&gt;0,"AN aktiv: "&amp;BH45,"AN: keine Dosis heute / Module aus"))</x:f>
        <x:v>AN: keine Dosis heute / Module aus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5" s="34" t="str">
        <x:f>IF(A45&lt;2,"PRE-EMERGENCE · kein Kalenderwert","AVAILABLE IF NEEDED · nur wenn vollständiger Endmix unter pH-Ziel liegt")</x:f>
        <x:v>AVAILABLE IF NEEDED · nur wenn vollständiger Endmix unter pH-Ziel liegt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  <x:c r="AT45" t="n">
        <x:f>IF(AND('01_Run_Config'!$B$46="Voodoo + Piranha + Tarantula",AC45&gt;0),2,0)</x:f>
        <x:v>0</x:v>
      </x:c>
      <x:c r="AU45" t="n">
        <x:f>IF(AND(OR('01_Run_Config'!$B$46="Voodoo + Tarantula",'01_Run_Config'!$B$46="Voodoo + Piranha + Tarantula"),AC45&gt;0),2,0)</x:f>
        <x:v>0</x:v>
      </x:c>
      <x:c r="AV45" t="n">
        <x:f>IF('01_Run_Config'!$B$47&lt;&gt;"ON / A-B",0,IF(OR(AND(A45&gt;='01_Run_Config'!$B$32,A45&lt;'01_Run_Config'!$B$33),AND(ISNUMBER(AL45),AL45&gt;=15,AL45&lt;=49)),2,0))</x:f>
        <x:v>0</x:v>
      </x:c>
      <x:c r="AW45" t="n">
        <x:f>IF('01_Run_Config'!$B$48="AN Bud Candy (replaces HESI Boost)",IF(AND(A45&gt;='01_Run_Config'!$B$32,OR(AL45="",AL45&lt;=49)),2,0),0)</x:f>
        <x:v>0</x:v>
      </x:c>
      <x:c r="AX45" t="n">
        <x:f>IF('01_Run_Config'!$B$49&lt;&gt;"ON / EXPERIMENTAL",0,IF(OR(AND(A45&gt;='01_Run_Config'!$B$32+7,A45&lt;'01_Run_Config'!$B$33),AND(ISNUMBER(AL45),AL45&gt;=1,AL45&lt;=49)),2,0))</x:f>
        <x:v>0</x:v>
      </x:c>
      <x:c r="AY45" t="n">
        <x:f>IF('01_Run_Config'!$B$50="AN Sensizym",IF(AND(A45&gt;='01_Run_Config'!$B$32,OR(AL45="",AL45&lt;=49)),2,0),0)</x:f>
        <x:v>0</x:v>
      </x:c>
      <x:c r="AZ45" t="n">
        <x:f>IF('01_Run_Config'!$B$51="AN Rhino Skin",IF(AND(A45&gt;='01_Run_Config'!$B$32,OR(AL45="",AL45&lt;=49)),2,0),0)</x:f>
        <x:v>0</x:v>
      </x:c>
      <x:c r="BA45" t="n">
        <x:f>IF(AND('01_Run_Config'!$B$52="AN Bud Ignitor &gt; Big Bud &gt; Overdrive",ISNUMBER(AL45),AL45&gt;=1,AL45&lt;=14),2,0)</x:f>
        <x:v>0</x:v>
      </x:c>
      <x:c r="BB45" t="n">
        <x:f>IF(AND('01_Run_Config'!$B$52="AN Bud Ignitor &gt; Big Bud &gt; Overdrive",ISNUMBER(AL45),AL45&gt;=8,AL45&lt;=35),2,0)</x:f>
        <x:v>0</x:v>
      </x:c>
      <x:c r="BC45" t="n">
        <x:f>IF(AND('01_Run_Config'!$B$52="AN Bud Ignitor &gt; Big Bud &gt; Overdrive",ISNUMBER(AL45),AL45&gt;=36,AL45&lt;=49),2,0)</x:f>
        <x:v>0</x:v>
      </x:c>
      <x:c r="BD45" t="n">
        <x:f>IF('01_Run_Config'!$B$53="ON / EXPERIMENTAL",IF(OR(AND(A45&gt;='01_Run_Config'!$B$32,A45&lt;'01_Run_Config'!$B$33),AND(ISNUMBER(AL45),AL45&gt;=15,AL45&lt;=49)),2,0),0)</x:f>
        <x:v>0</x:v>
      </x:c>
      <x:c r="BE45" t="n">
        <x:f>IF('01_Run_Config'!$B$54="AN Sensi CalMag Xtra conditional",'01_Run_Config'!$B$17,0)</x:f>
        <x:v>0</x:v>
      </x:c>
      <x:c r="BF45" t="n">
        <x:f>0</x:f>
        <x:v>0</x:v>
      </x:c>
      <x:c r="BG45" t="str">
        <x:f>'01_Run_Config'!$E$57</x:f>
        <x:v>OK</x:v>
      </x:c>
      <x:c r="BH45" t="str">
        <x:f>IF(SUM(AC45,AT45:BF45)=0,"keine AN-Dosis heute",IF(AC45&gt;0,"Voodoo "&amp;AC45&amp;" ml/L; ","")&amp;IF(AT45&gt;0,"Piranha "&amp;AT45&amp;" ml/L; ","")&amp;IF(AU45&gt;0,"Tarantula "&amp;AU45&amp;" ml/L; ","")&amp;IF(AV45&gt;0,"B-52 "&amp;AV45&amp;" ml/L; ","")&amp;IF(AW45&gt;0,"Bud Candy "&amp;AW45&amp;" ml/L; ","")&amp;IF(AX45&gt;0,"Bud Factor X "&amp;AX45&amp;" ml/L; ","")&amp;IF(AY45&gt;0,"Sensizym "&amp;AY45&amp;" ml/L; ","")&amp;IF(AZ45&gt;0,"Rhino Skin "&amp;AZ45&amp;" ml/L; ","")&amp;IF(BA45&gt;0,"Bud Ignitor "&amp;BA45&amp;" ml/L; ","")&amp;IF(BB45&gt;0,"Big Bud "&amp;BB45&amp;" ml/L; ","")&amp;IF(BC45&gt;0,"Overdrive "&amp;BC45&amp;" ml/L; ","")&amp;IF(BD45&gt;0,"Tasty Terpenes "&amp;BD45&amp;" ml/L; ","")&amp;IF(BE45&gt;0,"Sensi CalMag "&amp;BE45&amp;" ml/L",""))</x:f>
        <x:v>keine AN-Dosis heute</x:v>
      </x:c>
      <x:c r="BI45" s="60" t="n">
        <x:f>IF(ISNUMBER('01_Run_Config'!$B$91),IF(B45&lt;'01_Run_Config'!$B$91,"PRE",B45-'01_Run_Config'!$B$91),"PRE")</x:f>
        <x:v>41</x:v>
      </x:c>
      <x:c r="BJ45" s="60" t="str">
        <x:f>IF(ISNUMBER('01_Run_Config'!$B$92),IF(B45&lt;'01_Run_Config'!$B$92,"PRE",B45-'01_Run_Config'!$B$92),"PRE")</x:f>
        <x:v>PRE</x:v>
      </x:c>
      <x:c r="BK45" s="60" t="str">
        <x:f>IF(ISNUMBER('01_Run_Config'!$B$93),IF(B45&lt;'01_Run_Config'!$B$93,"PRE",B45-'01_Run_Config'!$B$93),"PRE")</x:f>
        <x:v>PRE</x:v>
      </x:c>
      <x:c r="BL45" s="2482" t="n">
        <x:f>IF(BM45=5.8,5.8,5.8)</x:f>
        <x:v>5.8</x:v>
      </x:c>
      <x:c r="BM45" s="2482" t="n">
        <x:f>IF(A45&lt;IF(ISNUMBER('01_Run_Config'!$B$81),'01_Run_Config'!$B$81,15),5.8,6)</x:f>
        <x:v>6</x:v>
      </x:c>
      <x:c r="BN45" s="2482" t="n">
        <x:f>IF(BM45=5.8,5.8,6.2)</x:f>
        <x:v>6.2</x:v>
      </x:c>
      <x:c r="BO45" s="60" t="str">
        <x:f>IF(BM45=5.8,"Eazy Plug/Block: Herstellerziel 5.80","Final Coco: UKD 6.00 = Mitte HESI 5.8–6.2")</x:f>
        <x:v>Final Coco: UKD 6.00 = Mitte HESI 5.8–6.2</x:v>
      </x:c>
      <x:c r="BP45" s="60" t="str">
        <x:f>IF(A45&lt;2,"PRE-EMERGENCE: Balance normalerweise nicht nötig",IF(BM45=5.8,"ab Durchbruch AVAILABLE IF endmix &lt; 5.80","AVAILABLE IF endmix &lt; 6.00"))</x:f>
        <x:v>AVAILABLE IF endmix &lt; 6.00</x:v>
      </x:c>
      <x:c r="BQ45" s="60" t="str">
        <x:f>IF(A45=0,"Run Day 0 = Aussaat 21.08.2026; Plant Day beginnt erst beim Durchbruch.",IF(A45=2,"P44 Double Grape: 23.08.2026 = Plant Day 0.","Daily pH is a projection; actual root-stage/event overrides calendar."))</x:f>
        <x:v>Daily pH is a projection; actual root-stage/event overrides calendar.</x:v>
      </x:c>
    </x:row>
    <x:row r="46">
      <x:c r="A46" s="34" t="n">
        <x:v>44</x:v>
      </x:c>
      <x:c r="B46" s="129" t="n">
        <x:f>'01_Run_Config'!$B$4+A46</x:f>
        <x:v>46299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f>BM46</x:f>
        <x:v>6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IF(A46&lt;=14,2.5,0)</x:f>
        <x:v>0</x:v>
      </x:c>
      <x:c r="X46" s="63" t="n">
        <x:f>IF('01_Run_Config'!$B$50="AN Sensizym",0,IF(AND(A46&gt;='01_Run_Config'!$B$32,OR(AL46="",AL46&lt;=49)),2,0))</x:f>
        <x:v>2</x:v>
      </x:c>
      <x:c r="Y46" s="63" t="n">
        <x:f>0.015</x:f>
        <x:v>0.015</x:v>
      </x:c>
      <x:c r="Z46" s="63" t="n">
        <x:f>IF('01_Run_Config'!$B$51="HESI Hesilicio",2,0)</x:f>
        <x:v>0</x:v>
      </x:c>
      <x:c r="AA46" s="63" t="n">
        <x:f>IF('01_Run_Config'!$B$48="AN Bud Candy (replaces HESI Boost)",0,IF(AND(A46&gt;='01_Run_Config'!$B$33,MOD(A46-'01_Run_Config'!$B$33,7)=0),2,0))</x:f>
        <x:v>0</x:v>
      </x:c>
      <x:c r="AB46" s="63" t="n">
        <x:f>IF('01_Run_Config'!$B$52="AN Bud Ignitor &gt; Big Bud &gt; Overdrive",0,IF(AND(ISNUMBER(AL46),AL46&gt;=29,AL46&lt;=42),0.25+((AL46-29)/13)*0.25,0))</x:f>
        <x:v>0</x:v>
      </x:c>
      <x:c r="AC46" s="63" t="n">
        <x:f>IF('01_Run_Config'!$B$46="OFF",0,IF(OR(AND(A46&gt;='01_Run_Config'!$B$32,A46&lt;='01_Run_Config'!$B$32+13),AND(A46&gt;='01_Run_Config'!$B$33,A46&lt;='01_Run_Config'!$B$33+13)),2,0))</x:f>
        <x:v>0</x:v>
      </x:c>
      <x:c r="AD46" s="63" t="str">
        <x:f>IF(BG46="BLOCK","HYBRID BLOCKED - Konfiguration prüfen",IF(SUM(AC46,AT46:BF46)&gt;0,"AN aktiv: "&amp;BH46,"AN: keine Dosis heute / Module aus"))</x:f>
        <x:v>AN: keine Dosis heute / Module aus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6" s="34" t="str">
        <x:f>IF(A46&lt;2,"PRE-EMERGENCE · kein Kalenderwert","AVAILABLE IF NEEDED · nur wenn vollständiger Endmix unter pH-Ziel liegt")</x:f>
        <x:v>AVAILABLE IF NEEDED · nur wenn vollständiger Endmix unter pH-Ziel liegt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  <x:c r="AT46" t="n">
        <x:f>IF(AND('01_Run_Config'!$B$46="Voodoo + Piranha + Tarantula",AC46&gt;0),2,0)</x:f>
        <x:v>0</x:v>
      </x:c>
      <x:c r="AU46" t="n">
        <x:f>IF(AND(OR('01_Run_Config'!$B$46="Voodoo + Tarantula",'01_Run_Config'!$B$46="Voodoo + Piranha + Tarantula"),AC46&gt;0),2,0)</x:f>
        <x:v>0</x:v>
      </x:c>
      <x:c r="AV46" t="n">
        <x:f>IF('01_Run_Config'!$B$47&lt;&gt;"ON / A-B",0,IF(OR(AND(A46&gt;='01_Run_Config'!$B$32,A46&lt;'01_Run_Config'!$B$33),AND(ISNUMBER(AL46),AL46&gt;=15,AL46&lt;=49)),2,0))</x:f>
        <x:v>0</x:v>
      </x:c>
      <x:c r="AW46" t="n">
        <x:f>IF('01_Run_Config'!$B$48="AN Bud Candy (replaces HESI Boost)",IF(AND(A46&gt;='01_Run_Config'!$B$32,OR(AL46="",AL46&lt;=49)),2,0),0)</x:f>
        <x:v>0</x:v>
      </x:c>
      <x:c r="AX46" t="n">
        <x:f>IF('01_Run_Config'!$B$49&lt;&gt;"ON / EXPERIMENTAL",0,IF(OR(AND(A46&gt;='01_Run_Config'!$B$32+7,A46&lt;'01_Run_Config'!$B$33),AND(ISNUMBER(AL46),AL46&gt;=1,AL46&lt;=49)),2,0))</x:f>
        <x:v>0</x:v>
      </x:c>
      <x:c r="AY46" t="n">
        <x:f>IF('01_Run_Config'!$B$50="AN Sensizym",IF(AND(A46&gt;='01_Run_Config'!$B$32,OR(AL46="",AL46&lt;=49)),2,0),0)</x:f>
        <x:v>0</x:v>
      </x:c>
      <x:c r="AZ46" t="n">
        <x:f>IF('01_Run_Config'!$B$51="AN Rhino Skin",IF(AND(A46&gt;='01_Run_Config'!$B$32,OR(AL46="",AL46&lt;=49)),2,0),0)</x:f>
        <x:v>0</x:v>
      </x:c>
      <x:c r="BA46" t="n">
        <x:f>IF(AND('01_Run_Config'!$B$52="AN Bud Ignitor &gt; Big Bud &gt; Overdrive",ISNUMBER(AL46),AL46&gt;=1,AL46&lt;=14),2,0)</x:f>
        <x:v>0</x:v>
      </x:c>
      <x:c r="BB46" t="n">
        <x:f>IF(AND('01_Run_Config'!$B$52="AN Bud Ignitor &gt; Big Bud &gt; Overdrive",ISNUMBER(AL46),AL46&gt;=8,AL46&lt;=35),2,0)</x:f>
        <x:v>0</x:v>
      </x:c>
      <x:c r="BC46" t="n">
        <x:f>IF(AND('01_Run_Config'!$B$52="AN Bud Ignitor &gt; Big Bud &gt; Overdrive",ISNUMBER(AL46),AL46&gt;=36,AL46&lt;=49),2,0)</x:f>
        <x:v>0</x:v>
      </x:c>
      <x:c r="BD46" t="n">
        <x:f>IF('01_Run_Config'!$B$53="ON / EXPERIMENTAL",IF(OR(AND(A46&gt;='01_Run_Config'!$B$32,A46&lt;'01_Run_Config'!$B$33),AND(ISNUMBER(AL46),AL46&gt;=15,AL46&lt;=49)),2,0),0)</x:f>
        <x:v>0</x:v>
      </x:c>
      <x:c r="BE46" t="n">
        <x:f>IF('01_Run_Config'!$B$54="AN Sensi CalMag Xtra conditional",'01_Run_Config'!$B$17,0)</x:f>
        <x:v>0</x:v>
      </x:c>
      <x:c r="BF46" t="n">
        <x:f>0</x:f>
        <x:v>0</x:v>
      </x:c>
      <x:c r="BG46" t="str">
        <x:f>'01_Run_Config'!$E$57</x:f>
        <x:v>OK</x:v>
      </x:c>
      <x:c r="BH46" t="str">
        <x:f>IF(SUM(AC46,AT46:BF46)=0,"keine AN-Dosis heute",IF(AC46&gt;0,"Voodoo "&amp;AC46&amp;" ml/L; ","")&amp;IF(AT46&gt;0,"Piranha "&amp;AT46&amp;" ml/L; ","")&amp;IF(AU46&gt;0,"Tarantula "&amp;AU46&amp;" ml/L; ","")&amp;IF(AV46&gt;0,"B-52 "&amp;AV46&amp;" ml/L; ","")&amp;IF(AW46&gt;0,"Bud Candy "&amp;AW46&amp;" ml/L; ","")&amp;IF(AX46&gt;0,"Bud Factor X "&amp;AX46&amp;" ml/L; ","")&amp;IF(AY46&gt;0,"Sensizym "&amp;AY46&amp;" ml/L; ","")&amp;IF(AZ46&gt;0,"Rhino Skin "&amp;AZ46&amp;" ml/L; ","")&amp;IF(BA46&gt;0,"Bud Ignitor "&amp;BA46&amp;" ml/L; ","")&amp;IF(BB46&gt;0,"Big Bud "&amp;BB46&amp;" ml/L; ","")&amp;IF(BC46&gt;0,"Overdrive "&amp;BC46&amp;" ml/L; ","")&amp;IF(BD46&gt;0,"Tasty Terpenes "&amp;BD46&amp;" ml/L; ","")&amp;IF(BE46&gt;0,"Sensi CalMag "&amp;BE46&amp;" ml/L",""))</x:f>
        <x:v>keine AN-Dosis heute</x:v>
      </x:c>
      <x:c r="BI46" s="60" t="n">
        <x:f>IF(ISNUMBER('01_Run_Config'!$B$91),IF(B46&lt;'01_Run_Config'!$B$91,"PRE",B46-'01_Run_Config'!$B$91),"PRE")</x:f>
        <x:v>42</x:v>
      </x:c>
      <x:c r="BJ46" s="60" t="str">
        <x:f>IF(ISNUMBER('01_Run_Config'!$B$92),IF(B46&lt;'01_Run_Config'!$B$92,"PRE",B46-'01_Run_Config'!$B$92),"PRE")</x:f>
        <x:v>PRE</x:v>
      </x:c>
      <x:c r="BK46" s="60" t="str">
        <x:f>IF(ISNUMBER('01_Run_Config'!$B$93),IF(B46&lt;'01_Run_Config'!$B$93,"PRE",B46-'01_Run_Config'!$B$93),"PRE")</x:f>
        <x:v>PRE</x:v>
      </x:c>
      <x:c r="BL46" s="2482" t="n">
        <x:f>IF(BM46=5.8,5.8,5.8)</x:f>
        <x:v>5.8</x:v>
      </x:c>
      <x:c r="BM46" s="2482" t="n">
        <x:f>IF(A46&lt;IF(ISNUMBER('01_Run_Config'!$B$81),'01_Run_Config'!$B$81,15),5.8,6)</x:f>
        <x:v>6</x:v>
      </x:c>
      <x:c r="BN46" s="2482" t="n">
        <x:f>IF(BM46=5.8,5.8,6.2)</x:f>
        <x:v>6.2</x:v>
      </x:c>
      <x:c r="BO46" s="60" t="str">
        <x:f>IF(BM46=5.8,"Eazy Plug/Block: Herstellerziel 5.80","Final Coco: UKD 6.00 = Mitte HESI 5.8–6.2")</x:f>
        <x:v>Final Coco: UKD 6.00 = Mitte HESI 5.8–6.2</x:v>
      </x:c>
      <x:c r="BP46" s="60" t="str">
        <x:f>IF(A46&lt;2,"PRE-EMERGENCE: Balance normalerweise nicht nötig",IF(BM46=5.8,"ab Durchbruch AVAILABLE IF endmix &lt; 5.80","AVAILABLE IF endmix &lt; 6.00"))</x:f>
        <x:v>AVAILABLE IF endmix &lt; 6.00</x:v>
      </x:c>
      <x:c r="BQ46" s="60" t="str">
        <x:f>IF(A46=0,"Run Day 0 = Aussaat 21.08.2026; Plant Day beginnt erst beim Durchbruch.",IF(A46=2,"P45 Double Grape: 23.08.2026 = Plant Day 0.","Daily pH is a projection; actual root-stage/event overrides calendar."))</x:f>
        <x:v>Daily pH is a projection; actual root-stage/event overrides calendar.</x:v>
      </x:c>
    </x:row>
    <x:row r="47">
      <x:c r="A47" s="34" t="n">
        <x:v>45</x:v>
      </x:c>
      <x:c r="B47" s="129" t="n">
        <x:f>'01_Run_Config'!$B$4+A47</x:f>
        <x:v>46300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f>BM47</x:f>
        <x:v>6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IF(A47&lt;=14,2.5,0)</x:f>
        <x:v>0</x:v>
      </x:c>
      <x:c r="X47" s="63" t="n">
        <x:f>IF('01_Run_Config'!$B$50="AN Sensizym",0,IF(AND(A47&gt;='01_Run_Config'!$B$32,OR(AL47="",AL47&lt;=49)),2,0))</x:f>
        <x:v>2</x:v>
      </x:c>
      <x:c r="Y47" s="63" t="n">
        <x:f>0.015</x:f>
        <x:v>0.015</x:v>
      </x:c>
      <x:c r="Z47" s="63" t="n">
        <x:f>IF('01_Run_Config'!$B$51="HESI Hesilicio",2,0)</x:f>
        <x:v>0</x:v>
      </x:c>
      <x:c r="AA47" s="63" t="n">
        <x:f>IF('01_Run_Config'!$B$48="AN Bud Candy (replaces HESI Boost)",0,IF(AND(A47&gt;='01_Run_Config'!$B$33,MOD(A47-'01_Run_Config'!$B$33,7)=0),2,0))</x:f>
        <x:v>0</x:v>
      </x:c>
      <x:c r="AB47" s="63" t="n">
        <x:f>IF('01_Run_Config'!$B$52="AN Bud Ignitor &gt; Big Bud &gt; Overdrive",0,IF(AND(ISNUMBER(AL47),AL47&gt;=29,AL47&lt;=42),0.25+((AL47-29)/13)*0.25,0))</x:f>
        <x:v>0</x:v>
      </x:c>
      <x:c r="AC47" s="63" t="n">
        <x:f>IF('01_Run_Config'!$B$46="OFF",0,IF(OR(AND(A47&gt;='01_Run_Config'!$B$32,A47&lt;='01_Run_Config'!$B$32+13),AND(A47&gt;='01_Run_Config'!$B$33,A47&lt;='01_Run_Config'!$B$33+13)),2,0))</x:f>
        <x:v>0</x:v>
      </x:c>
      <x:c r="AD47" s="63" t="str">
        <x:f>IF(BG47="BLOCK","HYBRID BLOCKED - Konfiguration prüfen",IF(SUM(AC47,AT47:BF47)&gt;0,"AN aktiv: "&amp;BH47,"AN: keine Dosis heute / Module aus"))</x:f>
        <x:v>AN: keine Dosis heute / Module aus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7" s="34" t="str">
        <x:f>IF(A47&lt;2,"PRE-EMERGENCE · kein Kalenderwert","AVAILABLE IF NEEDED · nur wenn vollständiger Endmix unter pH-Ziel liegt")</x:f>
        <x:v>AVAILABLE IF NEEDED · nur wenn vollständiger Endmix unter pH-Ziel liegt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  <x:c r="AT47" t="n">
        <x:f>IF(AND('01_Run_Config'!$B$46="Voodoo + Piranha + Tarantula",AC47&gt;0),2,0)</x:f>
        <x:v>0</x:v>
      </x:c>
      <x:c r="AU47" t="n">
        <x:f>IF(AND(OR('01_Run_Config'!$B$46="Voodoo + Tarantula",'01_Run_Config'!$B$46="Voodoo + Piranha + Tarantula"),AC47&gt;0),2,0)</x:f>
        <x:v>0</x:v>
      </x:c>
      <x:c r="AV47" t="n">
        <x:f>IF('01_Run_Config'!$B$47&lt;&gt;"ON / A-B",0,IF(OR(AND(A47&gt;='01_Run_Config'!$B$32,A47&lt;'01_Run_Config'!$B$33),AND(ISNUMBER(AL47),AL47&gt;=15,AL47&lt;=49)),2,0))</x:f>
        <x:v>0</x:v>
      </x:c>
      <x:c r="AW47" t="n">
        <x:f>IF('01_Run_Config'!$B$48="AN Bud Candy (replaces HESI Boost)",IF(AND(A47&gt;='01_Run_Config'!$B$32,OR(AL47="",AL47&lt;=49)),2,0),0)</x:f>
        <x:v>0</x:v>
      </x:c>
      <x:c r="AX47" t="n">
        <x:f>IF('01_Run_Config'!$B$49&lt;&gt;"ON / EXPERIMENTAL",0,IF(OR(AND(A47&gt;='01_Run_Config'!$B$32+7,A47&lt;'01_Run_Config'!$B$33),AND(ISNUMBER(AL47),AL47&gt;=1,AL47&lt;=49)),2,0))</x:f>
        <x:v>0</x:v>
      </x:c>
      <x:c r="AY47" t="n">
        <x:f>IF('01_Run_Config'!$B$50="AN Sensizym",IF(AND(A47&gt;='01_Run_Config'!$B$32,OR(AL47="",AL47&lt;=49)),2,0),0)</x:f>
        <x:v>0</x:v>
      </x:c>
      <x:c r="AZ47" t="n">
        <x:f>IF('01_Run_Config'!$B$51="AN Rhino Skin",IF(AND(A47&gt;='01_Run_Config'!$B$32,OR(AL47="",AL47&lt;=49)),2,0),0)</x:f>
        <x:v>0</x:v>
      </x:c>
      <x:c r="BA47" t="n">
        <x:f>IF(AND('01_Run_Config'!$B$52="AN Bud Ignitor &gt; Big Bud &gt; Overdrive",ISNUMBER(AL47),AL47&gt;=1,AL47&lt;=14),2,0)</x:f>
        <x:v>0</x:v>
      </x:c>
      <x:c r="BB47" t="n">
        <x:f>IF(AND('01_Run_Config'!$B$52="AN Bud Ignitor &gt; Big Bud &gt; Overdrive",ISNUMBER(AL47),AL47&gt;=8,AL47&lt;=35),2,0)</x:f>
        <x:v>0</x:v>
      </x:c>
      <x:c r="BC47" t="n">
        <x:f>IF(AND('01_Run_Config'!$B$52="AN Bud Ignitor &gt; Big Bud &gt; Overdrive",ISNUMBER(AL47),AL47&gt;=36,AL47&lt;=49),2,0)</x:f>
        <x:v>0</x:v>
      </x:c>
      <x:c r="BD47" t="n">
        <x:f>IF('01_Run_Config'!$B$53="ON / EXPERIMENTAL",IF(OR(AND(A47&gt;='01_Run_Config'!$B$32,A47&lt;'01_Run_Config'!$B$33),AND(ISNUMBER(AL47),AL47&gt;=15,AL47&lt;=49)),2,0),0)</x:f>
        <x:v>0</x:v>
      </x:c>
      <x:c r="BE47" t="n">
        <x:f>IF('01_Run_Config'!$B$54="AN Sensi CalMag Xtra conditional",'01_Run_Config'!$B$17,0)</x:f>
        <x:v>0</x:v>
      </x:c>
      <x:c r="BF47" t="n">
        <x:f>0</x:f>
        <x:v>0</x:v>
      </x:c>
      <x:c r="BG47" t="str">
        <x:f>'01_Run_Config'!$E$57</x:f>
        <x:v>OK</x:v>
      </x:c>
      <x:c r="BH47" t="str">
        <x:f>IF(SUM(AC47,AT47:BF47)=0,"keine AN-Dosis heute",IF(AC47&gt;0,"Voodoo "&amp;AC47&amp;" ml/L; ","")&amp;IF(AT47&gt;0,"Piranha "&amp;AT47&amp;" ml/L; ","")&amp;IF(AU47&gt;0,"Tarantula "&amp;AU47&amp;" ml/L; ","")&amp;IF(AV47&gt;0,"B-52 "&amp;AV47&amp;" ml/L; ","")&amp;IF(AW47&gt;0,"Bud Candy "&amp;AW47&amp;" ml/L; ","")&amp;IF(AX47&gt;0,"Bud Factor X "&amp;AX47&amp;" ml/L; ","")&amp;IF(AY47&gt;0,"Sensizym "&amp;AY47&amp;" ml/L; ","")&amp;IF(AZ47&gt;0,"Rhino Skin "&amp;AZ47&amp;" ml/L; ","")&amp;IF(BA47&gt;0,"Bud Ignitor "&amp;BA47&amp;" ml/L; ","")&amp;IF(BB47&gt;0,"Big Bud "&amp;BB47&amp;" ml/L; ","")&amp;IF(BC47&gt;0,"Overdrive "&amp;BC47&amp;" ml/L; ","")&amp;IF(BD47&gt;0,"Tasty Terpenes "&amp;BD47&amp;" ml/L; ","")&amp;IF(BE47&gt;0,"Sensi CalMag "&amp;BE47&amp;" ml/L",""))</x:f>
        <x:v>keine AN-Dosis heute</x:v>
      </x:c>
      <x:c r="BI47" s="60" t="n">
        <x:f>IF(ISNUMBER('01_Run_Config'!$B$91),IF(B47&lt;'01_Run_Config'!$B$91,"PRE",B47-'01_Run_Config'!$B$91),"PRE")</x:f>
        <x:v>43</x:v>
      </x:c>
      <x:c r="BJ47" s="60" t="str">
        <x:f>IF(ISNUMBER('01_Run_Config'!$B$92),IF(B47&lt;'01_Run_Config'!$B$92,"PRE",B47-'01_Run_Config'!$B$92),"PRE")</x:f>
        <x:v>PRE</x:v>
      </x:c>
      <x:c r="BK47" s="60" t="str">
        <x:f>IF(ISNUMBER('01_Run_Config'!$B$93),IF(B47&lt;'01_Run_Config'!$B$93,"PRE",B47-'01_Run_Config'!$B$93),"PRE")</x:f>
        <x:v>PRE</x:v>
      </x:c>
      <x:c r="BL47" s="2482" t="n">
        <x:f>IF(BM47=5.8,5.8,5.8)</x:f>
        <x:v>5.8</x:v>
      </x:c>
      <x:c r="BM47" s="2482" t="n">
        <x:f>IF(A47&lt;IF(ISNUMBER('01_Run_Config'!$B$81),'01_Run_Config'!$B$81,15),5.8,6)</x:f>
        <x:v>6</x:v>
      </x:c>
      <x:c r="BN47" s="2482" t="n">
        <x:f>IF(BM47=5.8,5.8,6.2)</x:f>
        <x:v>6.2</x:v>
      </x:c>
      <x:c r="BO47" s="60" t="str">
        <x:f>IF(BM47=5.8,"Eazy Plug/Block: Herstellerziel 5.80","Final Coco: UKD 6.00 = Mitte HESI 5.8–6.2")</x:f>
        <x:v>Final Coco: UKD 6.00 = Mitte HESI 5.8–6.2</x:v>
      </x:c>
      <x:c r="BP47" s="60" t="str">
        <x:f>IF(A47&lt;2,"PRE-EMERGENCE: Balance normalerweise nicht nötig",IF(BM47=5.8,"ab Durchbruch AVAILABLE IF endmix &lt; 5.80","AVAILABLE IF endmix &lt; 6.00"))</x:f>
        <x:v>AVAILABLE IF endmix &lt; 6.00</x:v>
      </x:c>
      <x:c r="BQ47" s="60" t="str">
        <x:f>IF(A47=0,"Run Day 0 = Aussaat 21.08.2026; Plant Day beginnt erst beim Durchbruch.",IF(A47=2,"P46 Double Grape: 23.08.2026 = Plant Day 0.","Daily pH is a projection; actual root-stage/event overrides calendar."))</x:f>
        <x:v>Daily pH is a projection; actual root-stage/event overrides calendar.</x:v>
      </x:c>
    </x:row>
    <x:row r="48">
      <x:c r="A48" s="34" t="n">
        <x:v>46</x:v>
      </x:c>
      <x:c r="B48" s="129" t="n">
        <x:f>'01_Run_Config'!$B$4+A48</x:f>
        <x:v>46301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f>BM48</x:f>
        <x:v>6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IF(A48&lt;=14,2.5,0)</x:f>
        <x:v>0</x:v>
      </x:c>
      <x:c r="X48" s="63" t="n">
        <x:f>IF('01_Run_Config'!$B$50="AN Sensizym",0,IF(AND(A48&gt;='01_Run_Config'!$B$32,OR(AL48="",AL48&lt;=49)),2,0))</x:f>
        <x:v>2</x:v>
      </x:c>
      <x:c r="Y48" s="63" t="n">
        <x:f>0.015</x:f>
        <x:v>0.015</x:v>
      </x:c>
      <x:c r="Z48" s="63" t="n">
        <x:f>IF('01_Run_Config'!$B$51="HESI Hesilicio",2,0)</x:f>
        <x:v>0</x:v>
      </x:c>
      <x:c r="AA48" s="63" t="n">
        <x:f>IF('01_Run_Config'!$B$48="AN Bud Candy (replaces HESI Boost)",0,IF(AND(A48&gt;='01_Run_Config'!$B$33,MOD(A48-'01_Run_Config'!$B$33,7)=0),2,0))</x:f>
        <x:v>0</x:v>
      </x:c>
      <x:c r="AB48" s="63" t="n">
        <x:f>IF('01_Run_Config'!$B$52="AN Bud Ignitor &gt; Big Bud &gt; Overdrive",0,IF(AND(ISNUMBER(AL48),AL48&gt;=29,AL48&lt;=42),0.25+((AL48-29)/13)*0.25,0))</x:f>
        <x:v>0</x:v>
      </x:c>
      <x:c r="AC48" s="63" t="n">
        <x:f>IF('01_Run_Config'!$B$46="OFF",0,IF(OR(AND(A48&gt;='01_Run_Config'!$B$32,A48&lt;='01_Run_Config'!$B$32+13),AND(A48&gt;='01_Run_Config'!$B$33,A48&lt;='01_Run_Config'!$B$33+13)),2,0))</x:f>
        <x:v>0</x:v>
      </x:c>
      <x:c r="AD48" s="63" t="str">
        <x:f>IF(BG48="BLOCK","HYBRID BLOCKED - Konfiguration prüfen",IF(SUM(AC48,AT48:BF48)&gt;0,"AN aktiv: "&amp;BH48,"AN: keine Dosis heute / Module aus"))</x:f>
        <x:v>AN: keine Dosis heute / Module aus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8" s="34" t="str">
        <x:f>IF(A48&lt;2,"PRE-EMERGENCE · kein Kalenderwert","AVAILABLE IF NEEDED · nur wenn vollständiger Endmix unter pH-Ziel liegt")</x:f>
        <x:v>AVAILABLE IF NEEDED · nur wenn vollständiger Endmix unter pH-Ziel liegt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  <x:c r="AT48" t="n">
        <x:f>IF(AND('01_Run_Config'!$B$46="Voodoo + Piranha + Tarantula",AC48&gt;0),2,0)</x:f>
        <x:v>0</x:v>
      </x:c>
      <x:c r="AU48" t="n">
        <x:f>IF(AND(OR('01_Run_Config'!$B$46="Voodoo + Tarantula",'01_Run_Config'!$B$46="Voodoo + Piranha + Tarantula"),AC48&gt;0),2,0)</x:f>
        <x:v>0</x:v>
      </x:c>
      <x:c r="AV48" t="n">
        <x:f>IF('01_Run_Config'!$B$47&lt;&gt;"ON / A-B",0,IF(OR(AND(A48&gt;='01_Run_Config'!$B$32,A48&lt;'01_Run_Config'!$B$33),AND(ISNUMBER(AL48),AL48&gt;=15,AL48&lt;=49)),2,0))</x:f>
        <x:v>0</x:v>
      </x:c>
      <x:c r="AW48" t="n">
        <x:f>IF('01_Run_Config'!$B$48="AN Bud Candy (replaces HESI Boost)",IF(AND(A48&gt;='01_Run_Config'!$B$32,OR(AL48="",AL48&lt;=49)),2,0),0)</x:f>
        <x:v>0</x:v>
      </x:c>
      <x:c r="AX48" t="n">
        <x:f>IF('01_Run_Config'!$B$49&lt;&gt;"ON / EXPERIMENTAL",0,IF(OR(AND(A48&gt;='01_Run_Config'!$B$32+7,A48&lt;'01_Run_Config'!$B$33),AND(ISNUMBER(AL48),AL48&gt;=1,AL48&lt;=49)),2,0))</x:f>
        <x:v>0</x:v>
      </x:c>
      <x:c r="AY48" t="n">
        <x:f>IF('01_Run_Config'!$B$50="AN Sensizym",IF(AND(A48&gt;='01_Run_Config'!$B$32,OR(AL48="",AL48&lt;=49)),2,0),0)</x:f>
        <x:v>0</x:v>
      </x:c>
      <x:c r="AZ48" t="n">
        <x:f>IF('01_Run_Config'!$B$51="AN Rhino Skin",IF(AND(A48&gt;='01_Run_Config'!$B$32,OR(AL48="",AL48&lt;=49)),2,0),0)</x:f>
        <x:v>0</x:v>
      </x:c>
      <x:c r="BA48" t="n">
        <x:f>IF(AND('01_Run_Config'!$B$52="AN Bud Ignitor &gt; Big Bud &gt; Overdrive",ISNUMBER(AL48),AL48&gt;=1,AL48&lt;=14),2,0)</x:f>
        <x:v>0</x:v>
      </x:c>
      <x:c r="BB48" t="n">
        <x:f>IF(AND('01_Run_Config'!$B$52="AN Bud Ignitor &gt; Big Bud &gt; Overdrive",ISNUMBER(AL48),AL48&gt;=8,AL48&lt;=35),2,0)</x:f>
        <x:v>0</x:v>
      </x:c>
      <x:c r="BC48" t="n">
        <x:f>IF(AND('01_Run_Config'!$B$52="AN Bud Ignitor &gt; Big Bud &gt; Overdrive",ISNUMBER(AL48),AL48&gt;=36,AL48&lt;=49),2,0)</x:f>
        <x:v>0</x:v>
      </x:c>
      <x:c r="BD48" t="n">
        <x:f>IF('01_Run_Config'!$B$53="ON / EXPERIMENTAL",IF(OR(AND(A48&gt;='01_Run_Config'!$B$32,A48&lt;'01_Run_Config'!$B$33),AND(ISNUMBER(AL48),AL48&gt;=15,AL48&lt;=49)),2,0),0)</x:f>
        <x:v>0</x:v>
      </x:c>
      <x:c r="BE48" t="n">
        <x:f>IF('01_Run_Config'!$B$54="AN Sensi CalMag Xtra conditional",'01_Run_Config'!$B$17,0)</x:f>
        <x:v>0</x:v>
      </x:c>
      <x:c r="BF48" t="n">
        <x:f>0</x:f>
        <x:v>0</x:v>
      </x:c>
      <x:c r="BG48" t="str">
        <x:f>'01_Run_Config'!$E$57</x:f>
        <x:v>OK</x:v>
      </x:c>
      <x:c r="BH48" t="str">
        <x:f>IF(SUM(AC48,AT48:BF48)=0,"keine AN-Dosis heute",IF(AC48&gt;0,"Voodoo "&amp;AC48&amp;" ml/L; ","")&amp;IF(AT48&gt;0,"Piranha "&amp;AT48&amp;" ml/L; ","")&amp;IF(AU48&gt;0,"Tarantula "&amp;AU48&amp;" ml/L; ","")&amp;IF(AV48&gt;0,"B-52 "&amp;AV48&amp;" ml/L; ","")&amp;IF(AW48&gt;0,"Bud Candy "&amp;AW48&amp;" ml/L; ","")&amp;IF(AX48&gt;0,"Bud Factor X "&amp;AX48&amp;" ml/L; ","")&amp;IF(AY48&gt;0,"Sensizym "&amp;AY48&amp;" ml/L; ","")&amp;IF(AZ48&gt;0,"Rhino Skin "&amp;AZ48&amp;" ml/L; ","")&amp;IF(BA48&gt;0,"Bud Ignitor "&amp;BA48&amp;" ml/L; ","")&amp;IF(BB48&gt;0,"Big Bud "&amp;BB48&amp;" ml/L; ","")&amp;IF(BC48&gt;0,"Overdrive "&amp;BC48&amp;" ml/L; ","")&amp;IF(BD48&gt;0,"Tasty Terpenes "&amp;BD48&amp;" ml/L; ","")&amp;IF(BE48&gt;0,"Sensi CalMag "&amp;BE48&amp;" ml/L",""))</x:f>
        <x:v>keine AN-Dosis heute</x:v>
      </x:c>
      <x:c r="BI48" s="60" t="n">
        <x:f>IF(ISNUMBER('01_Run_Config'!$B$91),IF(B48&lt;'01_Run_Config'!$B$91,"PRE",B48-'01_Run_Config'!$B$91),"PRE")</x:f>
        <x:v>44</x:v>
      </x:c>
      <x:c r="BJ48" s="60" t="str">
        <x:f>IF(ISNUMBER('01_Run_Config'!$B$92),IF(B48&lt;'01_Run_Config'!$B$92,"PRE",B48-'01_Run_Config'!$B$92),"PRE")</x:f>
        <x:v>PRE</x:v>
      </x:c>
      <x:c r="BK48" s="60" t="str">
        <x:f>IF(ISNUMBER('01_Run_Config'!$B$93),IF(B48&lt;'01_Run_Config'!$B$93,"PRE",B48-'01_Run_Config'!$B$93),"PRE")</x:f>
        <x:v>PRE</x:v>
      </x:c>
      <x:c r="BL48" s="2482" t="n">
        <x:f>IF(BM48=5.8,5.8,5.8)</x:f>
        <x:v>5.8</x:v>
      </x:c>
      <x:c r="BM48" s="2482" t="n">
        <x:f>IF(A48&lt;IF(ISNUMBER('01_Run_Config'!$B$81),'01_Run_Config'!$B$81,15),5.8,6)</x:f>
        <x:v>6</x:v>
      </x:c>
      <x:c r="BN48" s="2482" t="n">
        <x:f>IF(BM48=5.8,5.8,6.2)</x:f>
        <x:v>6.2</x:v>
      </x:c>
      <x:c r="BO48" s="60" t="str">
        <x:f>IF(BM48=5.8,"Eazy Plug/Block: Herstellerziel 5.80","Final Coco: UKD 6.00 = Mitte HESI 5.8–6.2")</x:f>
        <x:v>Final Coco: UKD 6.00 = Mitte HESI 5.8–6.2</x:v>
      </x:c>
      <x:c r="BP48" s="60" t="str">
        <x:f>IF(A48&lt;2,"PRE-EMERGENCE: Balance normalerweise nicht nötig",IF(BM48=5.8,"ab Durchbruch AVAILABLE IF endmix &lt; 5.80","AVAILABLE IF endmix &lt; 6.00"))</x:f>
        <x:v>AVAILABLE IF endmix &lt; 6.00</x:v>
      </x:c>
      <x:c r="BQ48" s="60" t="str">
        <x:f>IF(A48=0,"Run Day 0 = Aussaat 21.08.2026; Plant Day beginnt erst beim Durchbruch.",IF(A48=2,"P47 Double Grape: 23.08.2026 = Plant Day 0.","Daily pH is a projection; actual root-stage/event overrides calendar."))</x:f>
        <x:v>Daily pH is a projection; actual root-stage/event overrides calendar.</x:v>
      </x:c>
    </x:row>
    <x:row r="49">
      <x:c r="A49" s="34" t="n">
        <x:v>47</x:v>
      </x:c>
      <x:c r="B49" s="129" t="n">
        <x:f>'01_Run_Config'!$B$4+A49</x:f>
        <x:v>46302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f>BM49</x:f>
        <x:v>6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IF(A49&lt;=14,2.5,0)</x:f>
        <x:v>0</x:v>
      </x:c>
      <x:c r="X49" s="63" t="n">
        <x:f>IF('01_Run_Config'!$B$50="AN Sensizym",0,IF(AND(A49&gt;='01_Run_Config'!$B$32,OR(AL49="",AL49&lt;=49)),2,0))</x:f>
        <x:v>2</x:v>
      </x:c>
      <x:c r="Y49" s="63" t="n">
        <x:f>0.015</x:f>
        <x:v>0.015</x:v>
      </x:c>
      <x:c r="Z49" s="63" t="n">
        <x:f>IF('01_Run_Config'!$B$51="HESI Hesilicio",2,0)</x:f>
        <x:v>0</x:v>
      </x:c>
      <x:c r="AA49" s="63" t="n">
        <x:f>IF('01_Run_Config'!$B$48="AN Bud Candy (replaces HESI Boost)",0,IF(AND(A49&gt;='01_Run_Config'!$B$33,MOD(A49-'01_Run_Config'!$B$33,7)=0),2,0))</x:f>
        <x:v>0</x:v>
      </x:c>
      <x:c r="AB49" s="63" t="n">
        <x:f>IF('01_Run_Config'!$B$52="AN Bud Ignitor &gt; Big Bud &gt; Overdrive",0,IF(AND(ISNUMBER(AL49),AL49&gt;=29,AL49&lt;=42),0.25+((AL49-29)/13)*0.25,0))</x:f>
        <x:v>0</x:v>
      </x:c>
      <x:c r="AC49" s="63" t="n">
        <x:f>IF('01_Run_Config'!$B$46="OFF",0,IF(OR(AND(A49&gt;='01_Run_Config'!$B$32,A49&lt;='01_Run_Config'!$B$32+13),AND(A49&gt;='01_Run_Config'!$B$33,A49&lt;='01_Run_Config'!$B$33+13)),2,0))</x:f>
        <x:v>0</x:v>
      </x:c>
      <x:c r="AD49" s="63" t="str">
        <x:f>IF(BG49="BLOCK","HYBRID BLOCKED - Konfiguration prüfen",IF(SUM(AC49,AT49:BF49)&gt;0,"AN aktiv: "&amp;BH49,"AN: keine Dosis heute / Module aus"))</x:f>
        <x:v>AN: keine Dosis heute / Module aus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9" s="34" t="str">
        <x:f>IF(A49&lt;2,"PRE-EMERGENCE · kein Kalenderwert","AVAILABLE IF NEEDED · nur wenn vollständiger Endmix unter pH-Ziel liegt")</x:f>
        <x:v>AVAILABLE IF NEEDED · nur wenn vollständiger Endmix unter pH-Ziel liegt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  <x:c r="AT49" t="n">
        <x:f>IF(AND('01_Run_Config'!$B$46="Voodoo + Piranha + Tarantula",AC49&gt;0),2,0)</x:f>
        <x:v>0</x:v>
      </x:c>
      <x:c r="AU49" t="n">
        <x:f>IF(AND(OR('01_Run_Config'!$B$46="Voodoo + Tarantula",'01_Run_Config'!$B$46="Voodoo + Piranha + Tarantula"),AC49&gt;0),2,0)</x:f>
        <x:v>0</x:v>
      </x:c>
      <x:c r="AV49" t="n">
        <x:f>IF('01_Run_Config'!$B$47&lt;&gt;"ON / A-B",0,IF(OR(AND(A49&gt;='01_Run_Config'!$B$32,A49&lt;'01_Run_Config'!$B$33),AND(ISNUMBER(AL49),AL49&gt;=15,AL49&lt;=49)),2,0))</x:f>
        <x:v>0</x:v>
      </x:c>
      <x:c r="AW49" t="n">
        <x:f>IF('01_Run_Config'!$B$48="AN Bud Candy (replaces HESI Boost)",IF(AND(A49&gt;='01_Run_Config'!$B$32,OR(AL49="",AL49&lt;=49)),2,0),0)</x:f>
        <x:v>0</x:v>
      </x:c>
      <x:c r="AX49" t="n">
        <x:f>IF('01_Run_Config'!$B$49&lt;&gt;"ON / EXPERIMENTAL",0,IF(OR(AND(A49&gt;='01_Run_Config'!$B$32+7,A49&lt;'01_Run_Config'!$B$33),AND(ISNUMBER(AL49),AL49&gt;=1,AL49&lt;=49)),2,0))</x:f>
        <x:v>0</x:v>
      </x:c>
      <x:c r="AY49" t="n">
        <x:f>IF('01_Run_Config'!$B$50="AN Sensizym",IF(AND(A49&gt;='01_Run_Config'!$B$32,OR(AL49="",AL49&lt;=49)),2,0),0)</x:f>
        <x:v>0</x:v>
      </x:c>
      <x:c r="AZ49" t="n">
        <x:f>IF('01_Run_Config'!$B$51="AN Rhino Skin",IF(AND(A49&gt;='01_Run_Config'!$B$32,OR(AL49="",AL49&lt;=49)),2,0),0)</x:f>
        <x:v>0</x:v>
      </x:c>
      <x:c r="BA49" t="n">
        <x:f>IF(AND('01_Run_Config'!$B$52="AN Bud Ignitor &gt; Big Bud &gt; Overdrive",ISNUMBER(AL49),AL49&gt;=1,AL49&lt;=14),2,0)</x:f>
        <x:v>0</x:v>
      </x:c>
      <x:c r="BB49" t="n">
        <x:f>IF(AND('01_Run_Config'!$B$52="AN Bud Ignitor &gt; Big Bud &gt; Overdrive",ISNUMBER(AL49),AL49&gt;=8,AL49&lt;=35),2,0)</x:f>
        <x:v>0</x:v>
      </x:c>
      <x:c r="BC49" t="n">
        <x:f>IF(AND('01_Run_Config'!$B$52="AN Bud Ignitor &gt; Big Bud &gt; Overdrive",ISNUMBER(AL49),AL49&gt;=36,AL49&lt;=49),2,0)</x:f>
        <x:v>0</x:v>
      </x:c>
      <x:c r="BD49" t="n">
        <x:f>IF('01_Run_Config'!$B$53="ON / EXPERIMENTAL",IF(OR(AND(A49&gt;='01_Run_Config'!$B$32,A49&lt;'01_Run_Config'!$B$33),AND(ISNUMBER(AL49),AL49&gt;=15,AL49&lt;=49)),2,0),0)</x:f>
        <x:v>0</x:v>
      </x:c>
      <x:c r="BE49" t="n">
        <x:f>IF('01_Run_Config'!$B$54="AN Sensi CalMag Xtra conditional",'01_Run_Config'!$B$17,0)</x:f>
        <x:v>0</x:v>
      </x:c>
      <x:c r="BF49" t="n">
        <x:f>0</x:f>
        <x:v>0</x:v>
      </x:c>
      <x:c r="BG49" t="str">
        <x:f>'01_Run_Config'!$E$57</x:f>
        <x:v>OK</x:v>
      </x:c>
      <x:c r="BH49" t="str">
        <x:f>IF(SUM(AC49,AT49:BF49)=0,"keine AN-Dosis heute",IF(AC49&gt;0,"Voodoo "&amp;AC49&amp;" ml/L; ","")&amp;IF(AT49&gt;0,"Piranha "&amp;AT49&amp;" ml/L; ","")&amp;IF(AU49&gt;0,"Tarantula "&amp;AU49&amp;" ml/L; ","")&amp;IF(AV49&gt;0,"B-52 "&amp;AV49&amp;" ml/L; ","")&amp;IF(AW49&gt;0,"Bud Candy "&amp;AW49&amp;" ml/L; ","")&amp;IF(AX49&gt;0,"Bud Factor X "&amp;AX49&amp;" ml/L; ","")&amp;IF(AY49&gt;0,"Sensizym "&amp;AY49&amp;" ml/L; ","")&amp;IF(AZ49&gt;0,"Rhino Skin "&amp;AZ49&amp;" ml/L; ","")&amp;IF(BA49&gt;0,"Bud Ignitor "&amp;BA49&amp;" ml/L; ","")&amp;IF(BB49&gt;0,"Big Bud "&amp;BB49&amp;" ml/L; ","")&amp;IF(BC49&gt;0,"Overdrive "&amp;BC49&amp;" ml/L; ","")&amp;IF(BD49&gt;0,"Tasty Terpenes "&amp;BD49&amp;" ml/L; ","")&amp;IF(BE49&gt;0,"Sensi CalMag "&amp;BE49&amp;" ml/L",""))</x:f>
        <x:v>keine AN-Dosis heute</x:v>
      </x:c>
      <x:c r="BI49" s="60" t="n">
        <x:f>IF(ISNUMBER('01_Run_Config'!$B$91),IF(B49&lt;'01_Run_Config'!$B$91,"PRE",B49-'01_Run_Config'!$B$91),"PRE")</x:f>
        <x:v>45</x:v>
      </x:c>
      <x:c r="BJ49" s="60" t="str">
        <x:f>IF(ISNUMBER('01_Run_Config'!$B$92),IF(B49&lt;'01_Run_Config'!$B$92,"PRE",B49-'01_Run_Config'!$B$92),"PRE")</x:f>
        <x:v>PRE</x:v>
      </x:c>
      <x:c r="BK49" s="60" t="str">
        <x:f>IF(ISNUMBER('01_Run_Config'!$B$93),IF(B49&lt;'01_Run_Config'!$B$93,"PRE",B49-'01_Run_Config'!$B$93),"PRE")</x:f>
        <x:v>PRE</x:v>
      </x:c>
      <x:c r="BL49" s="2482" t="n">
        <x:f>IF(BM49=5.8,5.8,5.8)</x:f>
        <x:v>5.8</x:v>
      </x:c>
      <x:c r="BM49" s="2482" t="n">
        <x:f>IF(A49&lt;IF(ISNUMBER('01_Run_Config'!$B$81),'01_Run_Config'!$B$81,15),5.8,6)</x:f>
        <x:v>6</x:v>
      </x:c>
      <x:c r="BN49" s="2482" t="n">
        <x:f>IF(BM49=5.8,5.8,6.2)</x:f>
        <x:v>6.2</x:v>
      </x:c>
      <x:c r="BO49" s="60" t="str">
        <x:f>IF(BM49=5.8,"Eazy Plug/Block: Herstellerziel 5.80","Final Coco: UKD 6.00 = Mitte HESI 5.8–6.2")</x:f>
        <x:v>Final Coco: UKD 6.00 = Mitte HESI 5.8–6.2</x:v>
      </x:c>
      <x:c r="BP49" s="60" t="str">
        <x:f>IF(A49&lt;2,"PRE-EMERGENCE: Balance normalerweise nicht nötig",IF(BM49=5.8,"ab Durchbruch AVAILABLE IF endmix &lt; 5.80","AVAILABLE IF endmix &lt; 6.00"))</x:f>
        <x:v>AVAILABLE IF endmix &lt; 6.00</x:v>
      </x:c>
      <x:c r="BQ49" s="60" t="str">
        <x:f>IF(A49=0,"Run Day 0 = Aussaat 21.08.2026; Plant Day beginnt erst beim Durchbruch.",IF(A49=2,"P48 Double Grape: 23.08.2026 = Plant Day 0.","Daily pH is a projection; actual root-stage/event overrides calendar."))</x:f>
        <x:v>Daily pH is a projection; actual root-stage/event overrides calendar.</x:v>
      </x:c>
    </x:row>
    <x:row r="50">
      <x:c r="A50" s="34" t="n">
        <x:v>48</x:v>
      </x:c>
      <x:c r="B50" s="129" t="n">
        <x:f>'01_Run_Config'!$B$4+A50</x:f>
        <x:v>46303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f>BM50</x:f>
        <x:v>6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IF(A50&lt;=14,2.5,0)</x:f>
        <x:v>0</x:v>
      </x:c>
      <x:c r="X50" s="63" t="n">
        <x:f>IF('01_Run_Config'!$B$50="AN Sensizym",0,IF(AND(A50&gt;='01_Run_Config'!$B$32,OR(AL50="",AL50&lt;=49)),2,0))</x:f>
        <x:v>2</x:v>
      </x:c>
      <x:c r="Y50" s="63" t="n">
        <x:f>0.015</x:f>
        <x:v>0.015</x:v>
      </x:c>
      <x:c r="Z50" s="63" t="n">
        <x:f>IF('01_Run_Config'!$B$51="HESI Hesilicio",2,0)</x:f>
        <x:v>0</x:v>
      </x:c>
      <x:c r="AA50" s="63" t="n">
        <x:f>IF('01_Run_Config'!$B$48="AN Bud Candy (replaces HESI Boost)",0,IF(AND(A50&gt;='01_Run_Config'!$B$33,MOD(A50-'01_Run_Config'!$B$33,7)=0),2,0))</x:f>
        <x:v>0</x:v>
      </x:c>
      <x:c r="AB50" s="63" t="n">
        <x:f>IF('01_Run_Config'!$B$52="AN Bud Ignitor &gt; Big Bud &gt; Overdrive",0,IF(AND(ISNUMBER(AL50),AL50&gt;=29,AL50&lt;=42),0.25+((AL50-29)/13)*0.25,0))</x:f>
        <x:v>0</x:v>
      </x:c>
      <x:c r="AC50" s="63" t="n">
        <x:f>IF('01_Run_Config'!$B$46="OFF",0,IF(OR(AND(A50&gt;='01_Run_Config'!$B$32,A50&lt;='01_Run_Config'!$B$32+13),AND(A50&gt;='01_Run_Config'!$B$33,A50&lt;='01_Run_Config'!$B$33+13)),2,0))</x:f>
        <x:v>0</x:v>
      </x:c>
      <x:c r="AD50" s="63" t="str">
        <x:f>IF(BG50="BLOCK","HYBRID BLOCKED - Konfiguration prüfen",IF(SUM(AC50,AT50:BF50)&gt;0,"AN aktiv: "&amp;BH50,"AN: keine Dosis heute / Module aus"))</x:f>
        <x:v>AN: keine Dosis heute / Module aus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0" s="34" t="str">
        <x:f>IF(A50&lt;2,"PRE-EMERGENCE · kein Kalenderwert","AVAILABLE IF NEEDED · nur wenn vollständiger Endmix unter pH-Ziel liegt")</x:f>
        <x:v>AVAILABLE IF NEEDED · nur wenn vollständiger Endmix unter pH-Ziel liegt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  <x:c r="AT50" t="n">
        <x:f>IF(AND('01_Run_Config'!$B$46="Voodoo + Piranha + Tarantula",AC50&gt;0),2,0)</x:f>
        <x:v>0</x:v>
      </x:c>
      <x:c r="AU50" t="n">
        <x:f>IF(AND(OR('01_Run_Config'!$B$46="Voodoo + Tarantula",'01_Run_Config'!$B$46="Voodoo + Piranha + Tarantula"),AC50&gt;0),2,0)</x:f>
        <x:v>0</x:v>
      </x:c>
      <x:c r="AV50" t="n">
        <x:f>IF('01_Run_Config'!$B$47&lt;&gt;"ON / A-B",0,IF(OR(AND(A50&gt;='01_Run_Config'!$B$32,A50&lt;'01_Run_Config'!$B$33),AND(ISNUMBER(AL50),AL50&gt;=15,AL50&lt;=49)),2,0))</x:f>
        <x:v>0</x:v>
      </x:c>
      <x:c r="AW50" t="n">
        <x:f>IF('01_Run_Config'!$B$48="AN Bud Candy (replaces HESI Boost)",IF(AND(A50&gt;='01_Run_Config'!$B$32,OR(AL50="",AL50&lt;=49)),2,0),0)</x:f>
        <x:v>0</x:v>
      </x:c>
      <x:c r="AX50" t="n">
        <x:f>IF('01_Run_Config'!$B$49&lt;&gt;"ON / EXPERIMENTAL",0,IF(OR(AND(A50&gt;='01_Run_Config'!$B$32+7,A50&lt;'01_Run_Config'!$B$33),AND(ISNUMBER(AL50),AL50&gt;=1,AL50&lt;=49)),2,0))</x:f>
        <x:v>0</x:v>
      </x:c>
      <x:c r="AY50" t="n">
        <x:f>IF('01_Run_Config'!$B$50="AN Sensizym",IF(AND(A50&gt;='01_Run_Config'!$B$32,OR(AL50="",AL50&lt;=49)),2,0),0)</x:f>
        <x:v>0</x:v>
      </x:c>
      <x:c r="AZ50" t="n">
        <x:f>IF('01_Run_Config'!$B$51="AN Rhino Skin",IF(AND(A50&gt;='01_Run_Config'!$B$32,OR(AL50="",AL50&lt;=49)),2,0),0)</x:f>
        <x:v>0</x:v>
      </x:c>
      <x:c r="BA50" t="n">
        <x:f>IF(AND('01_Run_Config'!$B$52="AN Bud Ignitor &gt; Big Bud &gt; Overdrive",ISNUMBER(AL50),AL50&gt;=1,AL50&lt;=14),2,0)</x:f>
        <x:v>0</x:v>
      </x:c>
      <x:c r="BB50" t="n">
        <x:f>IF(AND('01_Run_Config'!$B$52="AN Bud Ignitor &gt; Big Bud &gt; Overdrive",ISNUMBER(AL50),AL50&gt;=8,AL50&lt;=35),2,0)</x:f>
        <x:v>0</x:v>
      </x:c>
      <x:c r="BC50" t="n">
        <x:f>IF(AND('01_Run_Config'!$B$52="AN Bud Ignitor &gt; Big Bud &gt; Overdrive",ISNUMBER(AL50),AL50&gt;=36,AL50&lt;=49),2,0)</x:f>
        <x:v>0</x:v>
      </x:c>
      <x:c r="BD50" t="n">
        <x:f>IF('01_Run_Config'!$B$53="ON / EXPERIMENTAL",IF(OR(AND(A50&gt;='01_Run_Config'!$B$32,A50&lt;'01_Run_Config'!$B$33),AND(ISNUMBER(AL50),AL50&gt;=15,AL50&lt;=49)),2,0),0)</x:f>
        <x:v>0</x:v>
      </x:c>
      <x:c r="BE50" t="n">
        <x:f>IF('01_Run_Config'!$B$54="AN Sensi CalMag Xtra conditional",'01_Run_Config'!$B$17,0)</x:f>
        <x:v>0</x:v>
      </x:c>
      <x:c r="BF50" t="n">
        <x:f>0</x:f>
        <x:v>0</x:v>
      </x:c>
      <x:c r="BG50" t="str">
        <x:f>'01_Run_Config'!$E$57</x:f>
        <x:v>OK</x:v>
      </x:c>
      <x:c r="BH50" t="str">
        <x:f>IF(SUM(AC50,AT50:BF50)=0,"keine AN-Dosis heute",IF(AC50&gt;0,"Voodoo "&amp;AC50&amp;" ml/L; ","")&amp;IF(AT50&gt;0,"Piranha "&amp;AT50&amp;" ml/L; ","")&amp;IF(AU50&gt;0,"Tarantula "&amp;AU50&amp;" ml/L; ","")&amp;IF(AV50&gt;0,"B-52 "&amp;AV50&amp;" ml/L; ","")&amp;IF(AW50&gt;0,"Bud Candy "&amp;AW50&amp;" ml/L; ","")&amp;IF(AX50&gt;0,"Bud Factor X "&amp;AX50&amp;" ml/L; ","")&amp;IF(AY50&gt;0,"Sensizym "&amp;AY50&amp;" ml/L; ","")&amp;IF(AZ50&gt;0,"Rhino Skin "&amp;AZ50&amp;" ml/L; ","")&amp;IF(BA50&gt;0,"Bud Ignitor "&amp;BA50&amp;" ml/L; ","")&amp;IF(BB50&gt;0,"Big Bud "&amp;BB50&amp;" ml/L; ","")&amp;IF(BC50&gt;0,"Overdrive "&amp;BC50&amp;" ml/L; ","")&amp;IF(BD50&gt;0,"Tasty Terpenes "&amp;BD50&amp;" ml/L; ","")&amp;IF(BE50&gt;0,"Sensi CalMag "&amp;BE50&amp;" ml/L",""))</x:f>
        <x:v>keine AN-Dosis heute</x:v>
      </x:c>
      <x:c r="BI50" s="60" t="n">
        <x:f>IF(ISNUMBER('01_Run_Config'!$B$91),IF(B50&lt;'01_Run_Config'!$B$91,"PRE",B50-'01_Run_Config'!$B$91),"PRE")</x:f>
        <x:v>46</x:v>
      </x:c>
      <x:c r="BJ50" s="60" t="str">
        <x:f>IF(ISNUMBER('01_Run_Config'!$B$92),IF(B50&lt;'01_Run_Config'!$B$92,"PRE",B50-'01_Run_Config'!$B$92),"PRE")</x:f>
        <x:v>PRE</x:v>
      </x:c>
      <x:c r="BK50" s="60" t="str">
        <x:f>IF(ISNUMBER('01_Run_Config'!$B$93),IF(B50&lt;'01_Run_Config'!$B$93,"PRE",B50-'01_Run_Config'!$B$93),"PRE")</x:f>
        <x:v>PRE</x:v>
      </x:c>
      <x:c r="BL50" s="2482" t="n">
        <x:f>IF(BM50=5.8,5.8,5.8)</x:f>
        <x:v>5.8</x:v>
      </x:c>
      <x:c r="BM50" s="2482" t="n">
        <x:f>IF(A50&lt;IF(ISNUMBER('01_Run_Config'!$B$81),'01_Run_Config'!$B$81,15),5.8,6)</x:f>
        <x:v>6</x:v>
      </x:c>
      <x:c r="BN50" s="2482" t="n">
        <x:f>IF(BM50=5.8,5.8,6.2)</x:f>
        <x:v>6.2</x:v>
      </x:c>
      <x:c r="BO50" s="60" t="str">
        <x:f>IF(BM50=5.8,"Eazy Plug/Block: Herstellerziel 5.80","Final Coco: UKD 6.00 = Mitte HESI 5.8–6.2")</x:f>
        <x:v>Final Coco: UKD 6.00 = Mitte HESI 5.8–6.2</x:v>
      </x:c>
      <x:c r="BP50" s="60" t="str">
        <x:f>IF(A50&lt;2,"PRE-EMERGENCE: Balance normalerweise nicht nötig",IF(BM50=5.8,"ab Durchbruch AVAILABLE IF endmix &lt; 5.80","AVAILABLE IF endmix &lt; 6.00"))</x:f>
        <x:v>AVAILABLE IF endmix &lt; 6.00</x:v>
      </x:c>
      <x:c r="BQ50" s="60" t="str">
        <x:f>IF(A50=0,"Run Day 0 = Aussaat 21.08.2026; Plant Day beginnt erst beim Durchbruch.",IF(A50=2,"P49 Double Grape: 23.08.2026 = Plant Day 0.","Daily pH is a projection; actual root-stage/event overrides calendar."))</x:f>
        <x:v>Daily pH is a projection; actual root-stage/event overrides calendar.</x:v>
      </x:c>
    </x:row>
    <x:row r="51">
      <x:c r="A51" s="34" t="n">
        <x:v>49</x:v>
      </x:c>
      <x:c r="B51" s="129" t="n">
        <x:f>'01_Run_Config'!$B$4+A51</x:f>
        <x:v>46304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f>BM51</x:f>
        <x:v>6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IF(A51&lt;=14,2.5,0)</x:f>
        <x:v>0</x:v>
      </x:c>
      <x:c r="X51" s="63" t="n">
        <x:f>IF('01_Run_Config'!$B$50="AN Sensizym",0,IF(AND(A51&gt;='01_Run_Config'!$B$32,OR(AL51="",AL51&lt;=49)),2,0))</x:f>
        <x:v>2</x:v>
      </x:c>
      <x:c r="Y51" s="63" t="n">
        <x:f>0.015</x:f>
        <x:v>0.015</x:v>
      </x:c>
      <x:c r="Z51" s="63" t="n">
        <x:f>IF('01_Run_Config'!$B$51="HESI Hesilicio",2,0)</x:f>
        <x:v>0</x:v>
      </x:c>
      <x:c r="AA51" s="63" t="n">
        <x:f>IF('01_Run_Config'!$B$48="AN Bud Candy (replaces HESI Boost)",0,IF(AND(A51&gt;='01_Run_Config'!$B$33,MOD(A51-'01_Run_Config'!$B$33,7)=0),2,0))</x:f>
        <x:v>2</x:v>
      </x:c>
      <x:c r="AB51" s="63" t="n">
        <x:f>IF('01_Run_Config'!$B$52="AN Bud Ignitor &gt; Big Bud &gt; Overdrive",0,IF(AND(ISNUMBER(AL51),AL51&gt;=29,AL51&lt;=42),0.25+((AL51-29)/13)*0.25,0))</x:f>
        <x:v>0</x:v>
      </x:c>
      <x:c r="AC51" s="63" t="n">
        <x:f>IF('01_Run_Config'!$B$46="OFF",0,IF(OR(AND(A51&gt;='01_Run_Config'!$B$32,A51&lt;='01_Run_Config'!$B$32+13),AND(A51&gt;='01_Run_Config'!$B$33,A51&lt;='01_Run_Config'!$B$33+13)),2,0))</x:f>
        <x:v>0</x:v>
      </x:c>
      <x:c r="AD51" s="63" t="str">
        <x:f>IF(BG51="BLOCK","HYBRID BLOCKED - Konfiguration prüfen",IF(SUM(AC51,AT51:BF51)&gt;0,"AN aktiv: "&amp;BH51,"AN: keine Dosis heute / Module aus"))</x:f>
        <x:v>AN: keine Dosis heute / Module aus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1" s="34" t="str">
        <x:f>IF(A51&lt;2,"PRE-EMERGENCE · kein Kalenderwert","AVAILABLE IF NEEDED · nur wenn vollständiger Endmix unter pH-Ziel liegt")</x:f>
        <x:v>AVAILABLE IF NEEDED · nur wenn vollständiger Endmix unter pH-Ziel liegt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  <x:c r="AT51" t="n">
        <x:f>IF(AND('01_Run_Config'!$B$46="Voodoo + Piranha + Tarantula",AC51&gt;0),2,0)</x:f>
        <x:v>0</x:v>
      </x:c>
      <x:c r="AU51" t="n">
        <x:f>IF(AND(OR('01_Run_Config'!$B$46="Voodoo + Tarantula",'01_Run_Config'!$B$46="Voodoo + Piranha + Tarantula"),AC51&gt;0),2,0)</x:f>
        <x:v>0</x:v>
      </x:c>
      <x:c r="AV51" t="n">
        <x:f>IF('01_Run_Config'!$B$47&lt;&gt;"ON / A-B",0,IF(OR(AND(A51&gt;='01_Run_Config'!$B$32,A51&lt;'01_Run_Config'!$B$33),AND(ISNUMBER(AL51),AL51&gt;=15,AL51&lt;=49)),2,0))</x:f>
        <x:v>0</x:v>
      </x:c>
      <x:c r="AW51" t="n">
        <x:f>IF('01_Run_Config'!$B$48="AN Bud Candy (replaces HESI Boost)",IF(AND(A51&gt;='01_Run_Config'!$B$32,OR(AL51="",AL51&lt;=49)),2,0),0)</x:f>
        <x:v>0</x:v>
      </x:c>
      <x:c r="AX51" t="n">
        <x:f>IF('01_Run_Config'!$B$49&lt;&gt;"ON / EXPERIMENTAL",0,IF(OR(AND(A51&gt;='01_Run_Config'!$B$32+7,A51&lt;'01_Run_Config'!$B$33),AND(ISNUMBER(AL51),AL51&gt;=1,AL51&lt;=49)),2,0))</x:f>
        <x:v>0</x:v>
      </x:c>
      <x:c r="AY51" t="n">
        <x:f>IF('01_Run_Config'!$B$50="AN Sensizym",IF(AND(A51&gt;='01_Run_Config'!$B$32,OR(AL51="",AL51&lt;=49)),2,0),0)</x:f>
        <x:v>0</x:v>
      </x:c>
      <x:c r="AZ51" t="n">
        <x:f>IF('01_Run_Config'!$B$51="AN Rhino Skin",IF(AND(A51&gt;='01_Run_Config'!$B$32,OR(AL51="",AL51&lt;=49)),2,0),0)</x:f>
        <x:v>0</x:v>
      </x:c>
      <x:c r="BA51" t="n">
        <x:f>IF(AND('01_Run_Config'!$B$52="AN Bud Ignitor &gt; Big Bud &gt; Overdrive",ISNUMBER(AL51),AL51&gt;=1,AL51&lt;=14),2,0)</x:f>
        <x:v>0</x:v>
      </x:c>
      <x:c r="BB51" t="n">
        <x:f>IF(AND('01_Run_Config'!$B$52="AN Bud Ignitor &gt; Big Bud &gt; Overdrive",ISNUMBER(AL51),AL51&gt;=8,AL51&lt;=35),2,0)</x:f>
        <x:v>0</x:v>
      </x:c>
      <x:c r="BC51" t="n">
        <x:f>IF(AND('01_Run_Config'!$B$52="AN Bud Ignitor &gt; Big Bud &gt; Overdrive",ISNUMBER(AL51),AL51&gt;=36,AL51&lt;=49),2,0)</x:f>
        <x:v>0</x:v>
      </x:c>
      <x:c r="BD51" t="n">
        <x:f>IF('01_Run_Config'!$B$53="ON / EXPERIMENTAL",IF(OR(AND(A51&gt;='01_Run_Config'!$B$32,A51&lt;'01_Run_Config'!$B$33),AND(ISNUMBER(AL51),AL51&gt;=15,AL51&lt;=49)),2,0),0)</x:f>
        <x:v>0</x:v>
      </x:c>
      <x:c r="BE51" t="n">
        <x:f>IF('01_Run_Config'!$B$54="AN Sensi CalMag Xtra conditional",'01_Run_Config'!$B$17,0)</x:f>
        <x:v>0</x:v>
      </x:c>
      <x:c r="BF51" t="n">
        <x:f>0</x:f>
        <x:v>0</x:v>
      </x:c>
      <x:c r="BG51" t="str">
        <x:f>'01_Run_Config'!$E$57</x:f>
        <x:v>OK</x:v>
      </x:c>
      <x:c r="BH51" t="str">
        <x:f>IF(SUM(AC51,AT51:BF51)=0,"keine AN-Dosis heute",IF(AC51&gt;0,"Voodoo "&amp;AC51&amp;" ml/L; ","")&amp;IF(AT51&gt;0,"Piranha "&amp;AT51&amp;" ml/L; ","")&amp;IF(AU51&gt;0,"Tarantula "&amp;AU51&amp;" ml/L; ","")&amp;IF(AV51&gt;0,"B-52 "&amp;AV51&amp;" ml/L; ","")&amp;IF(AW51&gt;0,"Bud Candy "&amp;AW51&amp;" ml/L; ","")&amp;IF(AX51&gt;0,"Bud Factor X "&amp;AX51&amp;" ml/L; ","")&amp;IF(AY51&gt;0,"Sensizym "&amp;AY51&amp;" ml/L; ","")&amp;IF(AZ51&gt;0,"Rhino Skin "&amp;AZ51&amp;" ml/L; ","")&amp;IF(BA51&gt;0,"Bud Ignitor "&amp;BA51&amp;" ml/L; ","")&amp;IF(BB51&gt;0,"Big Bud "&amp;BB51&amp;" ml/L; ","")&amp;IF(BC51&gt;0,"Overdrive "&amp;BC51&amp;" ml/L; ","")&amp;IF(BD51&gt;0,"Tasty Terpenes "&amp;BD51&amp;" ml/L; ","")&amp;IF(BE51&gt;0,"Sensi CalMag "&amp;BE51&amp;" ml/L",""))</x:f>
        <x:v>keine AN-Dosis heute</x:v>
      </x:c>
      <x:c r="BI51" s="60" t="n">
        <x:f>IF(ISNUMBER('01_Run_Config'!$B$91),IF(B51&lt;'01_Run_Config'!$B$91,"PRE",B51-'01_Run_Config'!$B$91),"PRE")</x:f>
        <x:v>47</x:v>
      </x:c>
      <x:c r="BJ51" s="60" t="str">
        <x:f>IF(ISNUMBER('01_Run_Config'!$B$92),IF(B51&lt;'01_Run_Config'!$B$92,"PRE",B51-'01_Run_Config'!$B$92),"PRE")</x:f>
        <x:v>PRE</x:v>
      </x:c>
      <x:c r="BK51" s="60" t="str">
        <x:f>IF(ISNUMBER('01_Run_Config'!$B$93),IF(B51&lt;'01_Run_Config'!$B$93,"PRE",B51-'01_Run_Config'!$B$93),"PRE")</x:f>
        <x:v>PRE</x:v>
      </x:c>
      <x:c r="BL51" s="2482" t="n">
        <x:f>IF(BM51=5.8,5.8,5.8)</x:f>
        <x:v>5.8</x:v>
      </x:c>
      <x:c r="BM51" s="2482" t="n">
        <x:f>IF(A51&lt;IF(ISNUMBER('01_Run_Config'!$B$81),'01_Run_Config'!$B$81,15),5.8,6)</x:f>
        <x:v>6</x:v>
      </x:c>
      <x:c r="BN51" s="2482" t="n">
        <x:f>IF(BM51=5.8,5.8,6.2)</x:f>
        <x:v>6.2</x:v>
      </x:c>
      <x:c r="BO51" s="60" t="str">
        <x:f>IF(BM51=5.8,"Eazy Plug/Block: Herstellerziel 5.80","Final Coco: UKD 6.00 = Mitte HESI 5.8–6.2")</x:f>
        <x:v>Final Coco: UKD 6.00 = Mitte HESI 5.8–6.2</x:v>
      </x:c>
      <x:c r="BP51" s="60" t="str">
        <x:f>IF(A51&lt;2,"PRE-EMERGENCE: Balance normalerweise nicht nötig",IF(BM51=5.8,"ab Durchbruch AVAILABLE IF endmix &lt; 5.80","AVAILABLE IF endmix &lt; 6.00"))</x:f>
        <x:v>AVAILABLE IF endmix &lt; 6.00</x:v>
      </x:c>
      <x:c r="BQ51" s="60" t="str">
        <x:f>IF(A51=0,"Run Day 0 = Aussaat 21.08.2026; Plant Day beginnt erst beim Durchbruch.",IF(A51=2,"P50 Double Grape: 23.08.2026 = Plant Day 0.","Daily pH is a projection; actual root-stage/event overrides calendar."))</x:f>
        <x:v>Daily pH is a projection; actual root-stage/event overrides calendar.</x:v>
      </x:c>
    </x:row>
    <x:row r="52">
      <x:c r="A52" s="34" t="n">
        <x:v>50</x:v>
      </x:c>
      <x:c r="B52" s="129" t="n">
        <x:f>'01_Run_Config'!$B$4+A52</x:f>
        <x:v>46305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f>BM52</x:f>
        <x:v>6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IF(A52&lt;=14,2.5,0)</x:f>
        <x:v>0</x:v>
      </x:c>
      <x:c r="X52" s="63" t="n">
        <x:f>IF('01_Run_Config'!$B$50="AN Sensizym",0,IF(AND(A52&gt;='01_Run_Config'!$B$32,OR(AL52="",AL52&lt;=49)),2,0))</x:f>
        <x:v>2</x:v>
      </x:c>
      <x:c r="Y52" s="63" t="n">
        <x:f>0.015</x:f>
        <x:v>0.015</x:v>
      </x:c>
      <x:c r="Z52" s="63" t="n">
        <x:f>IF('01_Run_Config'!$B$51="HESI Hesilicio",2,0)</x:f>
        <x:v>0</x:v>
      </x:c>
      <x:c r="AA52" s="63" t="n">
        <x:f>IF('01_Run_Config'!$B$48="AN Bud Candy (replaces HESI Boost)",0,IF(AND(A52&gt;='01_Run_Config'!$B$33,MOD(A52-'01_Run_Config'!$B$33,7)=0),2,0))</x:f>
        <x:v>0</x:v>
      </x:c>
      <x:c r="AB52" s="63" t="n">
        <x:f>IF('01_Run_Config'!$B$52="AN Bud Ignitor &gt; Big Bud &gt; Overdrive",0,IF(AND(ISNUMBER(AL52),AL52&gt;=29,AL52&lt;=42),0.25+((AL52-29)/13)*0.25,0))</x:f>
        <x:v>0</x:v>
      </x:c>
      <x:c r="AC52" s="63" t="n">
        <x:f>IF('01_Run_Config'!$B$46="OFF",0,IF(OR(AND(A52&gt;='01_Run_Config'!$B$32,A52&lt;='01_Run_Config'!$B$32+13),AND(A52&gt;='01_Run_Config'!$B$33,A52&lt;='01_Run_Config'!$B$33+13)),2,0))</x:f>
        <x:v>0</x:v>
      </x:c>
      <x:c r="AD52" s="63" t="str">
        <x:f>IF(BG52="BLOCK","HYBRID BLOCKED - Konfiguration prüfen",IF(SUM(AC52,AT52:BF52)&gt;0,"AN aktiv: "&amp;BH52,"AN: keine Dosis heute / Module aus"))</x:f>
        <x:v>AN: keine Dosis heute / Module aus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2" s="34" t="str">
        <x:f>IF(A52&lt;2,"PRE-EMERGENCE · kein Kalenderwert","AVAILABLE IF NEEDED · nur wenn vollständiger Endmix unter pH-Ziel liegt")</x:f>
        <x:v>AVAILABLE IF NEEDED · nur wenn vollständiger Endmix unter pH-Ziel liegt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  <x:c r="AT52" t="n">
        <x:f>IF(AND('01_Run_Config'!$B$46="Voodoo + Piranha + Tarantula",AC52&gt;0),2,0)</x:f>
        <x:v>0</x:v>
      </x:c>
      <x:c r="AU52" t="n">
        <x:f>IF(AND(OR('01_Run_Config'!$B$46="Voodoo + Tarantula",'01_Run_Config'!$B$46="Voodoo + Piranha + Tarantula"),AC52&gt;0),2,0)</x:f>
        <x:v>0</x:v>
      </x:c>
      <x:c r="AV52" t="n">
        <x:f>IF('01_Run_Config'!$B$47&lt;&gt;"ON / A-B",0,IF(OR(AND(A52&gt;='01_Run_Config'!$B$32,A52&lt;'01_Run_Config'!$B$33),AND(ISNUMBER(AL52),AL52&gt;=15,AL52&lt;=49)),2,0))</x:f>
        <x:v>0</x:v>
      </x:c>
      <x:c r="AW52" t="n">
        <x:f>IF('01_Run_Config'!$B$48="AN Bud Candy (replaces HESI Boost)",IF(AND(A52&gt;='01_Run_Config'!$B$32,OR(AL52="",AL52&lt;=49)),2,0),0)</x:f>
        <x:v>0</x:v>
      </x:c>
      <x:c r="AX52" t="n">
        <x:f>IF('01_Run_Config'!$B$49&lt;&gt;"ON / EXPERIMENTAL",0,IF(OR(AND(A52&gt;='01_Run_Config'!$B$32+7,A52&lt;'01_Run_Config'!$B$33),AND(ISNUMBER(AL52),AL52&gt;=1,AL52&lt;=49)),2,0))</x:f>
        <x:v>0</x:v>
      </x:c>
      <x:c r="AY52" t="n">
        <x:f>IF('01_Run_Config'!$B$50="AN Sensizym",IF(AND(A52&gt;='01_Run_Config'!$B$32,OR(AL52="",AL52&lt;=49)),2,0),0)</x:f>
        <x:v>0</x:v>
      </x:c>
      <x:c r="AZ52" t="n">
        <x:f>IF('01_Run_Config'!$B$51="AN Rhino Skin",IF(AND(A52&gt;='01_Run_Config'!$B$32,OR(AL52="",AL52&lt;=49)),2,0),0)</x:f>
        <x:v>0</x:v>
      </x:c>
      <x:c r="BA52" t="n">
        <x:f>IF(AND('01_Run_Config'!$B$52="AN Bud Ignitor &gt; Big Bud &gt; Overdrive",ISNUMBER(AL52),AL52&gt;=1,AL52&lt;=14),2,0)</x:f>
        <x:v>0</x:v>
      </x:c>
      <x:c r="BB52" t="n">
        <x:f>IF(AND('01_Run_Config'!$B$52="AN Bud Ignitor &gt; Big Bud &gt; Overdrive",ISNUMBER(AL52),AL52&gt;=8,AL52&lt;=35),2,0)</x:f>
        <x:v>0</x:v>
      </x:c>
      <x:c r="BC52" t="n">
        <x:f>IF(AND('01_Run_Config'!$B$52="AN Bud Ignitor &gt; Big Bud &gt; Overdrive",ISNUMBER(AL52),AL52&gt;=36,AL52&lt;=49),2,0)</x:f>
        <x:v>0</x:v>
      </x:c>
      <x:c r="BD52" t="n">
        <x:f>IF('01_Run_Config'!$B$53="ON / EXPERIMENTAL",IF(OR(AND(A52&gt;='01_Run_Config'!$B$32,A52&lt;'01_Run_Config'!$B$33),AND(ISNUMBER(AL52),AL52&gt;=15,AL52&lt;=49)),2,0),0)</x:f>
        <x:v>0</x:v>
      </x:c>
      <x:c r="BE52" t="n">
        <x:f>IF('01_Run_Config'!$B$54="AN Sensi CalMag Xtra conditional",'01_Run_Config'!$B$17,0)</x:f>
        <x:v>0</x:v>
      </x:c>
      <x:c r="BF52" t="n">
        <x:f>0</x:f>
        <x:v>0</x:v>
      </x:c>
      <x:c r="BG52" t="str">
        <x:f>'01_Run_Config'!$E$57</x:f>
        <x:v>OK</x:v>
      </x:c>
      <x:c r="BH52" t="str">
        <x:f>IF(SUM(AC52,AT52:BF52)=0,"keine AN-Dosis heute",IF(AC52&gt;0,"Voodoo "&amp;AC52&amp;" ml/L; ","")&amp;IF(AT52&gt;0,"Piranha "&amp;AT52&amp;" ml/L; ","")&amp;IF(AU52&gt;0,"Tarantula "&amp;AU52&amp;" ml/L; ","")&amp;IF(AV52&gt;0,"B-52 "&amp;AV52&amp;" ml/L; ","")&amp;IF(AW52&gt;0,"Bud Candy "&amp;AW52&amp;" ml/L; ","")&amp;IF(AX52&gt;0,"Bud Factor X "&amp;AX52&amp;" ml/L; ","")&amp;IF(AY52&gt;0,"Sensizym "&amp;AY52&amp;" ml/L; ","")&amp;IF(AZ52&gt;0,"Rhino Skin "&amp;AZ52&amp;" ml/L; ","")&amp;IF(BA52&gt;0,"Bud Ignitor "&amp;BA52&amp;" ml/L; ","")&amp;IF(BB52&gt;0,"Big Bud "&amp;BB52&amp;" ml/L; ","")&amp;IF(BC52&gt;0,"Overdrive "&amp;BC52&amp;" ml/L; ","")&amp;IF(BD52&gt;0,"Tasty Terpenes "&amp;BD52&amp;" ml/L; ","")&amp;IF(BE52&gt;0,"Sensi CalMag "&amp;BE52&amp;" ml/L",""))</x:f>
        <x:v>keine AN-Dosis heute</x:v>
      </x:c>
      <x:c r="BI52" s="60" t="n">
        <x:f>IF(ISNUMBER('01_Run_Config'!$B$91),IF(B52&lt;'01_Run_Config'!$B$91,"PRE",B52-'01_Run_Config'!$B$91),"PRE")</x:f>
        <x:v>48</x:v>
      </x:c>
      <x:c r="BJ52" s="60" t="str">
        <x:f>IF(ISNUMBER('01_Run_Config'!$B$92),IF(B52&lt;'01_Run_Config'!$B$92,"PRE",B52-'01_Run_Config'!$B$92),"PRE")</x:f>
        <x:v>PRE</x:v>
      </x:c>
      <x:c r="BK52" s="60" t="str">
        <x:f>IF(ISNUMBER('01_Run_Config'!$B$93),IF(B52&lt;'01_Run_Config'!$B$93,"PRE",B52-'01_Run_Config'!$B$93),"PRE")</x:f>
        <x:v>PRE</x:v>
      </x:c>
      <x:c r="BL52" s="2482" t="n">
        <x:f>IF(BM52=5.8,5.8,5.8)</x:f>
        <x:v>5.8</x:v>
      </x:c>
      <x:c r="BM52" s="2482" t="n">
        <x:f>IF(A52&lt;IF(ISNUMBER('01_Run_Config'!$B$81),'01_Run_Config'!$B$81,15),5.8,6)</x:f>
        <x:v>6</x:v>
      </x:c>
      <x:c r="BN52" s="2482" t="n">
        <x:f>IF(BM52=5.8,5.8,6.2)</x:f>
        <x:v>6.2</x:v>
      </x:c>
      <x:c r="BO52" s="60" t="str">
        <x:f>IF(BM52=5.8,"Eazy Plug/Block: Herstellerziel 5.80","Final Coco: UKD 6.00 = Mitte HESI 5.8–6.2")</x:f>
        <x:v>Final Coco: UKD 6.00 = Mitte HESI 5.8–6.2</x:v>
      </x:c>
      <x:c r="BP52" s="60" t="str">
        <x:f>IF(A52&lt;2,"PRE-EMERGENCE: Balance normalerweise nicht nötig",IF(BM52=5.8,"ab Durchbruch AVAILABLE IF endmix &lt; 5.80","AVAILABLE IF endmix &lt; 6.00"))</x:f>
        <x:v>AVAILABLE IF endmix &lt; 6.00</x:v>
      </x:c>
      <x:c r="BQ52" s="60" t="str">
        <x:f>IF(A52=0,"Run Day 0 = Aussaat 21.08.2026; Plant Day beginnt erst beim Durchbruch.",IF(A52=2,"P51 Double Grape: 23.08.2026 = Plant Day 0.","Daily pH is a projection; actual root-stage/event overrides calendar."))</x:f>
        <x:v>Daily pH is a projection; actual root-stage/event overrides calendar.</x:v>
      </x:c>
    </x:row>
    <x:row r="53">
      <x:c r="A53" s="34" t="n">
        <x:v>51</x:v>
      </x:c>
      <x:c r="B53" s="129" t="n">
        <x:f>'01_Run_Config'!$B$4+A53</x:f>
        <x:v>46306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f>BM53</x:f>
        <x:v>6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IF(A53&lt;=14,2.5,0)</x:f>
        <x:v>0</x:v>
      </x:c>
      <x:c r="X53" s="63" t="n">
        <x:f>IF('01_Run_Config'!$B$50="AN Sensizym",0,IF(AND(A53&gt;='01_Run_Config'!$B$32,OR(AL53="",AL53&lt;=49)),2,0))</x:f>
        <x:v>2</x:v>
      </x:c>
      <x:c r="Y53" s="63" t="n">
        <x:f>0.015</x:f>
        <x:v>0.015</x:v>
      </x:c>
      <x:c r="Z53" s="63" t="n">
        <x:f>IF('01_Run_Config'!$B$51="HESI Hesilicio",2,0)</x:f>
        <x:v>0</x:v>
      </x:c>
      <x:c r="AA53" s="63" t="n">
        <x:f>IF('01_Run_Config'!$B$48="AN Bud Candy (replaces HESI Boost)",0,IF(AND(A53&gt;='01_Run_Config'!$B$33,MOD(A53-'01_Run_Config'!$B$33,7)=0),2,0))</x:f>
        <x:v>0</x:v>
      </x:c>
      <x:c r="AB53" s="63" t="n">
        <x:f>IF('01_Run_Config'!$B$52="AN Bud Ignitor &gt; Big Bud &gt; Overdrive",0,IF(AND(ISNUMBER(AL53),AL53&gt;=29,AL53&lt;=42),0.25+((AL53-29)/13)*0.25,0))</x:f>
        <x:v>0</x:v>
      </x:c>
      <x:c r="AC53" s="63" t="n">
        <x:f>IF('01_Run_Config'!$B$46="OFF",0,IF(OR(AND(A53&gt;='01_Run_Config'!$B$32,A53&lt;='01_Run_Config'!$B$32+13),AND(A53&gt;='01_Run_Config'!$B$33,A53&lt;='01_Run_Config'!$B$33+13)),2,0))</x:f>
        <x:v>0</x:v>
      </x:c>
      <x:c r="AD53" s="63" t="str">
        <x:f>IF(BG53="BLOCK","HYBRID BLOCKED - Konfiguration prüfen",IF(SUM(AC53,AT53:BF53)&gt;0,"AN aktiv: "&amp;BH53,"AN: keine Dosis heute / Module aus"))</x:f>
        <x:v>AN: keine Dosis heute / Module aus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3" s="34" t="str">
        <x:f>IF(A53&lt;2,"PRE-EMERGENCE · kein Kalenderwert","AVAILABLE IF NEEDED · nur wenn vollständiger Endmix unter pH-Ziel liegt")</x:f>
        <x:v>AVAILABLE IF NEEDED · nur wenn vollständiger Endmix unter pH-Ziel liegt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  <x:c r="AT53" t="n">
        <x:f>IF(AND('01_Run_Config'!$B$46="Voodoo + Piranha + Tarantula",AC53&gt;0),2,0)</x:f>
        <x:v>0</x:v>
      </x:c>
      <x:c r="AU53" t="n">
        <x:f>IF(AND(OR('01_Run_Config'!$B$46="Voodoo + Tarantula",'01_Run_Config'!$B$46="Voodoo + Piranha + Tarantula"),AC53&gt;0),2,0)</x:f>
        <x:v>0</x:v>
      </x:c>
      <x:c r="AV53" t="n">
        <x:f>IF('01_Run_Config'!$B$47&lt;&gt;"ON / A-B",0,IF(OR(AND(A53&gt;='01_Run_Config'!$B$32,A53&lt;'01_Run_Config'!$B$33),AND(ISNUMBER(AL53),AL53&gt;=15,AL53&lt;=49)),2,0))</x:f>
        <x:v>0</x:v>
      </x:c>
      <x:c r="AW53" t="n">
        <x:f>IF('01_Run_Config'!$B$48="AN Bud Candy (replaces HESI Boost)",IF(AND(A53&gt;='01_Run_Config'!$B$32,OR(AL53="",AL53&lt;=49)),2,0),0)</x:f>
        <x:v>0</x:v>
      </x:c>
      <x:c r="AX53" t="n">
        <x:f>IF('01_Run_Config'!$B$49&lt;&gt;"ON / EXPERIMENTAL",0,IF(OR(AND(A53&gt;='01_Run_Config'!$B$32+7,A53&lt;'01_Run_Config'!$B$33),AND(ISNUMBER(AL53),AL53&gt;=1,AL53&lt;=49)),2,0))</x:f>
        <x:v>0</x:v>
      </x:c>
      <x:c r="AY53" t="n">
        <x:f>IF('01_Run_Config'!$B$50="AN Sensizym",IF(AND(A53&gt;='01_Run_Config'!$B$32,OR(AL53="",AL53&lt;=49)),2,0),0)</x:f>
        <x:v>0</x:v>
      </x:c>
      <x:c r="AZ53" t="n">
        <x:f>IF('01_Run_Config'!$B$51="AN Rhino Skin",IF(AND(A53&gt;='01_Run_Config'!$B$32,OR(AL53="",AL53&lt;=49)),2,0),0)</x:f>
        <x:v>0</x:v>
      </x:c>
      <x:c r="BA53" t="n">
        <x:f>IF(AND('01_Run_Config'!$B$52="AN Bud Ignitor &gt; Big Bud &gt; Overdrive",ISNUMBER(AL53),AL53&gt;=1,AL53&lt;=14),2,0)</x:f>
        <x:v>0</x:v>
      </x:c>
      <x:c r="BB53" t="n">
        <x:f>IF(AND('01_Run_Config'!$B$52="AN Bud Ignitor &gt; Big Bud &gt; Overdrive",ISNUMBER(AL53),AL53&gt;=8,AL53&lt;=35),2,0)</x:f>
        <x:v>0</x:v>
      </x:c>
      <x:c r="BC53" t="n">
        <x:f>IF(AND('01_Run_Config'!$B$52="AN Bud Ignitor &gt; Big Bud &gt; Overdrive",ISNUMBER(AL53),AL53&gt;=36,AL53&lt;=49),2,0)</x:f>
        <x:v>0</x:v>
      </x:c>
      <x:c r="BD53" t="n">
        <x:f>IF('01_Run_Config'!$B$53="ON / EXPERIMENTAL",IF(OR(AND(A53&gt;='01_Run_Config'!$B$32,A53&lt;'01_Run_Config'!$B$33),AND(ISNUMBER(AL53),AL53&gt;=15,AL53&lt;=49)),2,0),0)</x:f>
        <x:v>0</x:v>
      </x:c>
      <x:c r="BE53" t="n">
        <x:f>IF('01_Run_Config'!$B$54="AN Sensi CalMag Xtra conditional",'01_Run_Config'!$B$17,0)</x:f>
        <x:v>0</x:v>
      </x:c>
      <x:c r="BF53" t="n">
        <x:f>0</x:f>
        <x:v>0</x:v>
      </x:c>
      <x:c r="BG53" t="str">
        <x:f>'01_Run_Config'!$E$57</x:f>
        <x:v>OK</x:v>
      </x:c>
      <x:c r="BH53" t="str">
        <x:f>IF(SUM(AC53,AT53:BF53)=0,"keine AN-Dosis heute",IF(AC53&gt;0,"Voodoo "&amp;AC53&amp;" ml/L; ","")&amp;IF(AT53&gt;0,"Piranha "&amp;AT53&amp;" ml/L; ","")&amp;IF(AU53&gt;0,"Tarantula "&amp;AU53&amp;" ml/L; ","")&amp;IF(AV53&gt;0,"B-52 "&amp;AV53&amp;" ml/L; ","")&amp;IF(AW53&gt;0,"Bud Candy "&amp;AW53&amp;" ml/L; ","")&amp;IF(AX53&gt;0,"Bud Factor X "&amp;AX53&amp;" ml/L; ","")&amp;IF(AY53&gt;0,"Sensizym "&amp;AY53&amp;" ml/L; ","")&amp;IF(AZ53&gt;0,"Rhino Skin "&amp;AZ53&amp;" ml/L; ","")&amp;IF(BA53&gt;0,"Bud Ignitor "&amp;BA53&amp;" ml/L; ","")&amp;IF(BB53&gt;0,"Big Bud "&amp;BB53&amp;" ml/L; ","")&amp;IF(BC53&gt;0,"Overdrive "&amp;BC53&amp;" ml/L; ","")&amp;IF(BD53&gt;0,"Tasty Terpenes "&amp;BD53&amp;" ml/L; ","")&amp;IF(BE53&gt;0,"Sensi CalMag "&amp;BE53&amp;" ml/L",""))</x:f>
        <x:v>keine AN-Dosis heute</x:v>
      </x:c>
      <x:c r="BI53" s="60" t="n">
        <x:f>IF(ISNUMBER('01_Run_Config'!$B$91),IF(B53&lt;'01_Run_Config'!$B$91,"PRE",B53-'01_Run_Config'!$B$91),"PRE")</x:f>
        <x:v>49</x:v>
      </x:c>
      <x:c r="BJ53" s="60" t="str">
        <x:f>IF(ISNUMBER('01_Run_Config'!$B$92),IF(B53&lt;'01_Run_Config'!$B$92,"PRE",B53-'01_Run_Config'!$B$92),"PRE")</x:f>
        <x:v>PRE</x:v>
      </x:c>
      <x:c r="BK53" s="60" t="str">
        <x:f>IF(ISNUMBER('01_Run_Config'!$B$93),IF(B53&lt;'01_Run_Config'!$B$93,"PRE",B53-'01_Run_Config'!$B$93),"PRE")</x:f>
        <x:v>PRE</x:v>
      </x:c>
      <x:c r="BL53" s="2482" t="n">
        <x:f>IF(BM53=5.8,5.8,5.8)</x:f>
        <x:v>5.8</x:v>
      </x:c>
      <x:c r="BM53" s="2482" t="n">
        <x:f>IF(A53&lt;IF(ISNUMBER('01_Run_Config'!$B$81),'01_Run_Config'!$B$81,15),5.8,6)</x:f>
        <x:v>6</x:v>
      </x:c>
      <x:c r="BN53" s="2482" t="n">
        <x:f>IF(BM53=5.8,5.8,6.2)</x:f>
        <x:v>6.2</x:v>
      </x:c>
      <x:c r="BO53" s="60" t="str">
        <x:f>IF(BM53=5.8,"Eazy Plug/Block: Herstellerziel 5.80","Final Coco: UKD 6.00 = Mitte HESI 5.8–6.2")</x:f>
        <x:v>Final Coco: UKD 6.00 = Mitte HESI 5.8–6.2</x:v>
      </x:c>
      <x:c r="BP53" s="60" t="str">
        <x:f>IF(A53&lt;2,"PRE-EMERGENCE: Balance normalerweise nicht nötig",IF(BM53=5.8,"ab Durchbruch AVAILABLE IF endmix &lt; 5.80","AVAILABLE IF endmix &lt; 6.00"))</x:f>
        <x:v>AVAILABLE IF endmix &lt; 6.00</x:v>
      </x:c>
      <x:c r="BQ53" s="60" t="str">
        <x:f>IF(A53=0,"Run Day 0 = Aussaat 21.08.2026; Plant Day beginnt erst beim Durchbruch.",IF(A53=2,"P52 Double Grape: 23.08.2026 = Plant Day 0.","Daily pH is a projection; actual root-stage/event overrides calendar."))</x:f>
        <x:v>Daily pH is a projection; actual root-stage/event overrides calendar.</x:v>
      </x:c>
    </x:row>
    <x:row r="54">
      <x:c r="A54" s="34" t="n">
        <x:v>52</x:v>
      </x:c>
      <x:c r="B54" s="129" t="n">
        <x:f>'01_Run_Config'!$B$4+A54</x:f>
        <x:v>46307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f>BM54</x:f>
        <x:v>6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IF(A54&lt;=14,2.5,0)</x:f>
        <x:v>0</x:v>
      </x:c>
      <x:c r="X54" s="63" t="n">
        <x:f>IF('01_Run_Config'!$B$50="AN Sensizym",0,IF(AND(A54&gt;='01_Run_Config'!$B$32,OR(AL54="",AL54&lt;=49)),2,0))</x:f>
        <x:v>2</x:v>
      </x:c>
      <x:c r="Y54" s="63" t="n">
        <x:f>0.015</x:f>
        <x:v>0.015</x:v>
      </x:c>
      <x:c r="Z54" s="63" t="n">
        <x:f>IF('01_Run_Config'!$B$51="HESI Hesilicio",2,0)</x:f>
        <x:v>0</x:v>
      </x:c>
      <x:c r="AA54" s="63" t="n">
        <x:f>IF('01_Run_Config'!$B$48="AN Bud Candy (replaces HESI Boost)",0,IF(AND(A54&gt;='01_Run_Config'!$B$33,MOD(A54-'01_Run_Config'!$B$33,7)=0),2,0))</x:f>
        <x:v>0</x:v>
      </x:c>
      <x:c r="AB54" s="63" t="n">
        <x:f>IF('01_Run_Config'!$B$52="AN Bud Ignitor &gt; Big Bud &gt; Overdrive",0,IF(AND(ISNUMBER(AL54),AL54&gt;=29,AL54&lt;=42),0.25+((AL54-29)/13)*0.25,0))</x:f>
        <x:v>0</x:v>
      </x:c>
      <x:c r="AC54" s="63" t="n">
        <x:f>IF('01_Run_Config'!$B$46="OFF",0,IF(OR(AND(A54&gt;='01_Run_Config'!$B$32,A54&lt;='01_Run_Config'!$B$32+13),AND(A54&gt;='01_Run_Config'!$B$33,A54&lt;='01_Run_Config'!$B$33+13)),2,0))</x:f>
        <x:v>0</x:v>
      </x:c>
      <x:c r="AD54" s="63" t="str">
        <x:f>IF(BG54="BLOCK","HYBRID BLOCKED - Konfiguration prüfen",IF(SUM(AC54,AT54:BF54)&gt;0,"AN aktiv: "&amp;BH54,"AN: keine Dosis heute / Module aus"))</x:f>
        <x:v>AN: keine Dosis heute / Module aus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4" s="34" t="str">
        <x:f>IF(A54&lt;2,"PRE-EMERGENCE · kein Kalenderwert","AVAILABLE IF NEEDED · nur wenn vollständiger Endmix unter pH-Ziel liegt")</x:f>
        <x:v>AVAILABLE IF NEEDED · nur wenn vollständiger Endmix unter pH-Ziel liegt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  <x:c r="AT54" t="n">
        <x:f>IF(AND('01_Run_Config'!$B$46="Voodoo + Piranha + Tarantula",AC54&gt;0),2,0)</x:f>
        <x:v>0</x:v>
      </x:c>
      <x:c r="AU54" t="n">
        <x:f>IF(AND(OR('01_Run_Config'!$B$46="Voodoo + Tarantula",'01_Run_Config'!$B$46="Voodoo + Piranha + Tarantula"),AC54&gt;0),2,0)</x:f>
        <x:v>0</x:v>
      </x:c>
      <x:c r="AV54" t="n">
        <x:f>IF('01_Run_Config'!$B$47&lt;&gt;"ON / A-B",0,IF(OR(AND(A54&gt;='01_Run_Config'!$B$32,A54&lt;'01_Run_Config'!$B$33),AND(ISNUMBER(AL54),AL54&gt;=15,AL54&lt;=49)),2,0))</x:f>
        <x:v>0</x:v>
      </x:c>
      <x:c r="AW54" t="n">
        <x:f>IF('01_Run_Config'!$B$48="AN Bud Candy (replaces HESI Boost)",IF(AND(A54&gt;='01_Run_Config'!$B$32,OR(AL54="",AL54&lt;=49)),2,0),0)</x:f>
        <x:v>0</x:v>
      </x:c>
      <x:c r="AX54" t="n">
        <x:f>IF('01_Run_Config'!$B$49&lt;&gt;"ON / EXPERIMENTAL",0,IF(OR(AND(A54&gt;='01_Run_Config'!$B$32+7,A54&lt;'01_Run_Config'!$B$33),AND(ISNUMBER(AL54),AL54&gt;=1,AL54&lt;=49)),2,0))</x:f>
        <x:v>0</x:v>
      </x:c>
      <x:c r="AY54" t="n">
        <x:f>IF('01_Run_Config'!$B$50="AN Sensizym",IF(AND(A54&gt;='01_Run_Config'!$B$32,OR(AL54="",AL54&lt;=49)),2,0),0)</x:f>
        <x:v>0</x:v>
      </x:c>
      <x:c r="AZ54" t="n">
        <x:f>IF('01_Run_Config'!$B$51="AN Rhino Skin",IF(AND(A54&gt;='01_Run_Config'!$B$32,OR(AL54="",AL54&lt;=49)),2,0),0)</x:f>
        <x:v>0</x:v>
      </x:c>
      <x:c r="BA54" t="n">
        <x:f>IF(AND('01_Run_Config'!$B$52="AN Bud Ignitor &gt; Big Bud &gt; Overdrive",ISNUMBER(AL54),AL54&gt;=1,AL54&lt;=14),2,0)</x:f>
        <x:v>0</x:v>
      </x:c>
      <x:c r="BB54" t="n">
        <x:f>IF(AND('01_Run_Config'!$B$52="AN Bud Ignitor &gt; Big Bud &gt; Overdrive",ISNUMBER(AL54),AL54&gt;=8,AL54&lt;=35),2,0)</x:f>
        <x:v>0</x:v>
      </x:c>
      <x:c r="BC54" t="n">
        <x:f>IF(AND('01_Run_Config'!$B$52="AN Bud Ignitor &gt; Big Bud &gt; Overdrive",ISNUMBER(AL54),AL54&gt;=36,AL54&lt;=49),2,0)</x:f>
        <x:v>0</x:v>
      </x:c>
      <x:c r="BD54" t="n">
        <x:f>IF('01_Run_Config'!$B$53="ON / EXPERIMENTAL",IF(OR(AND(A54&gt;='01_Run_Config'!$B$32,A54&lt;'01_Run_Config'!$B$33),AND(ISNUMBER(AL54),AL54&gt;=15,AL54&lt;=49)),2,0),0)</x:f>
        <x:v>0</x:v>
      </x:c>
      <x:c r="BE54" t="n">
        <x:f>IF('01_Run_Config'!$B$54="AN Sensi CalMag Xtra conditional",'01_Run_Config'!$B$17,0)</x:f>
        <x:v>0</x:v>
      </x:c>
      <x:c r="BF54" t="n">
        <x:f>0</x:f>
        <x:v>0</x:v>
      </x:c>
      <x:c r="BG54" t="str">
        <x:f>'01_Run_Config'!$E$57</x:f>
        <x:v>OK</x:v>
      </x:c>
      <x:c r="BH54" t="str">
        <x:f>IF(SUM(AC54,AT54:BF54)=0,"keine AN-Dosis heute",IF(AC54&gt;0,"Voodoo "&amp;AC54&amp;" ml/L; ","")&amp;IF(AT54&gt;0,"Piranha "&amp;AT54&amp;" ml/L; ","")&amp;IF(AU54&gt;0,"Tarantula "&amp;AU54&amp;" ml/L; ","")&amp;IF(AV54&gt;0,"B-52 "&amp;AV54&amp;" ml/L; ","")&amp;IF(AW54&gt;0,"Bud Candy "&amp;AW54&amp;" ml/L; ","")&amp;IF(AX54&gt;0,"Bud Factor X "&amp;AX54&amp;" ml/L; ","")&amp;IF(AY54&gt;0,"Sensizym "&amp;AY54&amp;" ml/L; ","")&amp;IF(AZ54&gt;0,"Rhino Skin "&amp;AZ54&amp;" ml/L; ","")&amp;IF(BA54&gt;0,"Bud Ignitor "&amp;BA54&amp;" ml/L; ","")&amp;IF(BB54&gt;0,"Big Bud "&amp;BB54&amp;" ml/L; ","")&amp;IF(BC54&gt;0,"Overdrive "&amp;BC54&amp;" ml/L; ","")&amp;IF(BD54&gt;0,"Tasty Terpenes "&amp;BD54&amp;" ml/L; ","")&amp;IF(BE54&gt;0,"Sensi CalMag "&amp;BE54&amp;" ml/L",""))</x:f>
        <x:v>keine AN-Dosis heute</x:v>
      </x:c>
      <x:c r="BI54" s="60" t="n">
        <x:f>IF(ISNUMBER('01_Run_Config'!$B$91),IF(B54&lt;'01_Run_Config'!$B$91,"PRE",B54-'01_Run_Config'!$B$91),"PRE")</x:f>
        <x:v>50</x:v>
      </x:c>
      <x:c r="BJ54" s="60" t="str">
        <x:f>IF(ISNUMBER('01_Run_Config'!$B$92),IF(B54&lt;'01_Run_Config'!$B$92,"PRE",B54-'01_Run_Config'!$B$92),"PRE")</x:f>
        <x:v>PRE</x:v>
      </x:c>
      <x:c r="BK54" s="60" t="str">
        <x:f>IF(ISNUMBER('01_Run_Config'!$B$93),IF(B54&lt;'01_Run_Config'!$B$93,"PRE",B54-'01_Run_Config'!$B$93),"PRE")</x:f>
        <x:v>PRE</x:v>
      </x:c>
      <x:c r="BL54" s="2482" t="n">
        <x:f>IF(BM54=5.8,5.8,5.8)</x:f>
        <x:v>5.8</x:v>
      </x:c>
      <x:c r="BM54" s="2482" t="n">
        <x:f>IF(A54&lt;IF(ISNUMBER('01_Run_Config'!$B$81),'01_Run_Config'!$B$81,15),5.8,6)</x:f>
        <x:v>6</x:v>
      </x:c>
      <x:c r="BN54" s="2482" t="n">
        <x:f>IF(BM54=5.8,5.8,6.2)</x:f>
        <x:v>6.2</x:v>
      </x:c>
      <x:c r="BO54" s="60" t="str">
        <x:f>IF(BM54=5.8,"Eazy Plug/Block: Herstellerziel 5.80","Final Coco: UKD 6.00 = Mitte HESI 5.8–6.2")</x:f>
        <x:v>Final Coco: UKD 6.00 = Mitte HESI 5.8–6.2</x:v>
      </x:c>
      <x:c r="BP54" s="60" t="str">
        <x:f>IF(A54&lt;2,"PRE-EMERGENCE: Balance normalerweise nicht nötig",IF(BM54=5.8,"ab Durchbruch AVAILABLE IF endmix &lt; 5.80","AVAILABLE IF endmix &lt; 6.00"))</x:f>
        <x:v>AVAILABLE IF endmix &lt; 6.00</x:v>
      </x:c>
      <x:c r="BQ54" s="60" t="str">
        <x:f>IF(A54=0,"Run Day 0 = Aussaat 21.08.2026; Plant Day beginnt erst beim Durchbruch.",IF(A54=2,"P53 Double Grape: 23.08.2026 = Plant Day 0.","Daily pH is a projection; actual root-stage/event overrides calendar."))</x:f>
        <x:v>Daily pH is a projection; actual root-stage/event overrides calendar.</x:v>
      </x:c>
    </x:row>
    <x:row r="55">
      <x:c r="A55" s="34" t="n">
        <x:v>53</x:v>
      </x:c>
      <x:c r="B55" s="129" t="n">
        <x:f>'01_Run_Config'!$B$4+A55</x:f>
        <x:v>46308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f>BM55</x:f>
        <x:v>6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IF(A55&lt;=14,2.5,0)</x:f>
        <x:v>0</x:v>
      </x:c>
      <x:c r="X55" s="63" t="n">
        <x:f>IF('01_Run_Config'!$B$50="AN Sensizym",0,IF(AND(A55&gt;='01_Run_Config'!$B$32,OR(AL55="",AL55&lt;=49)),2,0))</x:f>
        <x:v>2</x:v>
      </x:c>
      <x:c r="Y55" s="63" t="n">
        <x:f>0.015</x:f>
        <x:v>0.015</x:v>
      </x:c>
      <x:c r="Z55" s="63" t="n">
        <x:f>IF('01_Run_Config'!$B$51="HESI Hesilicio",2,0)</x:f>
        <x:v>0</x:v>
      </x:c>
      <x:c r="AA55" s="63" t="n">
        <x:f>IF('01_Run_Config'!$B$48="AN Bud Candy (replaces HESI Boost)",0,IF(AND(A55&gt;='01_Run_Config'!$B$33,MOD(A55-'01_Run_Config'!$B$33,7)=0),2,0))</x:f>
        <x:v>0</x:v>
      </x:c>
      <x:c r="AB55" s="63" t="n">
        <x:f>IF('01_Run_Config'!$B$52="AN Bud Ignitor &gt; Big Bud &gt; Overdrive",0,IF(AND(ISNUMBER(AL55),AL55&gt;=29,AL55&lt;=42),0.25+((AL55-29)/13)*0.25,0))</x:f>
        <x:v>0</x:v>
      </x:c>
      <x:c r="AC55" s="63" t="n">
        <x:f>IF('01_Run_Config'!$B$46="OFF",0,IF(OR(AND(A55&gt;='01_Run_Config'!$B$32,A55&lt;='01_Run_Config'!$B$32+13),AND(A55&gt;='01_Run_Config'!$B$33,A55&lt;='01_Run_Config'!$B$33+13)),2,0))</x:f>
        <x:v>0</x:v>
      </x:c>
      <x:c r="AD55" s="63" t="str">
        <x:f>IF(BG55="BLOCK","HYBRID BLOCKED - Konfiguration prüfen",IF(SUM(AC55,AT55:BF55)&gt;0,"AN aktiv: "&amp;BH55,"AN: keine Dosis heute / Module aus"))</x:f>
        <x:v>AN: keine Dosis heute / Module aus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5" s="34" t="str">
        <x:f>IF(A55&lt;2,"PRE-EMERGENCE · kein Kalenderwert","AVAILABLE IF NEEDED · nur wenn vollständiger Endmix unter pH-Ziel liegt")</x:f>
        <x:v>AVAILABLE IF NEEDED · nur wenn vollständiger Endmix unter pH-Ziel liegt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  <x:c r="AT55" t="n">
        <x:f>IF(AND('01_Run_Config'!$B$46="Voodoo + Piranha + Tarantula",AC55&gt;0),2,0)</x:f>
        <x:v>0</x:v>
      </x:c>
      <x:c r="AU55" t="n">
        <x:f>IF(AND(OR('01_Run_Config'!$B$46="Voodoo + Tarantula",'01_Run_Config'!$B$46="Voodoo + Piranha + Tarantula"),AC55&gt;0),2,0)</x:f>
        <x:v>0</x:v>
      </x:c>
      <x:c r="AV55" t="n">
        <x:f>IF('01_Run_Config'!$B$47&lt;&gt;"ON / A-B",0,IF(OR(AND(A55&gt;='01_Run_Config'!$B$32,A55&lt;'01_Run_Config'!$B$33),AND(ISNUMBER(AL55),AL55&gt;=15,AL55&lt;=49)),2,0))</x:f>
        <x:v>0</x:v>
      </x:c>
      <x:c r="AW55" t="n">
        <x:f>IF('01_Run_Config'!$B$48="AN Bud Candy (replaces HESI Boost)",IF(AND(A55&gt;='01_Run_Config'!$B$32,OR(AL55="",AL55&lt;=49)),2,0),0)</x:f>
        <x:v>0</x:v>
      </x:c>
      <x:c r="AX55" t="n">
        <x:f>IF('01_Run_Config'!$B$49&lt;&gt;"ON / EXPERIMENTAL",0,IF(OR(AND(A55&gt;='01_Run_Config'!$B$32+7,A55&lt;'01_Run_Config'!$B$33),AND(ISNUMBER(AL55),AL55&gt;=1,AL55&lt;=49)),2,0))</x:f>
        <x:v>0</x:v>
      </x:c>
      <x:c r="AY55" t="n">
        <x:f>IF('01_Run_Config'!$B$50="AN Sensizym",IF(AND(A55&gt;='01_Run_Config'!$B$32,OR(AL55="",AL55&lt;=49)),2,0),0)</x:f>
        <x:v>0</x:v>
      </x:c>
      <x:c r="AZ55" t="n">
        <x:f>IF('01_Run_Config'!$B$51="AN Rhino Skin",IF(AND(A55&gt;='01_Run_Config'!$B$32,OR(AL55="",AL55&lt;=49)),2,0),0)</x:f>
        <x:v>0</x:v>
      </x:c>
      <x:c r="BA55" t="n">
        <x:f>IF(AND('01_Run_Config'!$B$52="AN Bud Ignitor &gt; Big Bud &gt; Overdrive",ISNUMBER(AL55),AL55&gt;=1,AL55&lt;=14),2,0)</x:f>
        <x:v>0</x:v>
      </x:c>
      <x:c r="BB55" t="n">
        <x:f>IF(AND('01_Run_Config'!$B$52="AN Bud Ignitor &gt; Big Bud &gt; Overdrive",ISNUMBER(AL55),AL55&gt;=8,AL55&lt;=35),2,0)</x:f>
        <x:v>0</x:v>
      </x:c>
      <x:c r="BC55" t="n">
        <x:f>IF(AND('01_Run_Config'!$B$52="AN Bud Ignitor &gt; Big Bud &gt; Overdrive",ISNUMBER(AL55),AL55&gt;=36,AL55&lt;=49),2,0)</x:f>
        <x:v>0</x:v>
      </x:c>
      <x:c r="BD55" t="n">
        <x:f>IF('01_Run_Config'!$B$53="ON / EXPERIMENTAL",IF(OR(AND(A55&gt;='01_Run_Config'!$B$32,A55&lt;'01_Run_Config'!$B$33),AND(ISNUMBER(AL55),AL55&gt;=15,AL55&lt;=49)),2,0),0)</x:f>
        <x:v>0</x:v>
      </x:c>
      <x:c r="BE55" t="n">
        <x:f>IF('01_Run_Config'!$B$54="AN Sensi CalMag Xtra conditional",'01_Run_Config'!$B$17,0)</x:f>
        <x:v>0</x:v>
      </x:c>
      <x:c r="BF55" t="n">
        <x:f>0</x:f>
        <x:v>0</x:v>
      </x:c>
      <x:c r="BG55" t="str">
        <x:f>'01_Run_Config'!$E$57</x:f>
        <x:v>OK</x:v>
      </x:c>
      <x:c r="BH55" t="str">
        <x:f>IF(SUM(AC55,AT55:BF55)=0,"keine AN-Dosis heute",IF(AC55&gt;0,"Voodoo "&amp;AC55&amp;" ml/L; ","")&amp;IF(AT55&gt;0,"Piranha "&amp;AT55&amp;" ml/L; ","")&amp;IF(AU55&gt;0,"Tarantula "&amp;AU55&amp;" ml/L; ","")&amp;IF(AV55&gt;0,"B-52 "&amp;AV55&amp;" ml/L; ","")&amp;IF(AW55&gt;0,"Bud Candy "&amp;AW55&amp;" ml/L; ","")&amp;IF(AX55&gt;0,"Bud Factor X "&amp;AX55&amp;" ml/L; ","")&amp;IF(AY55&gt;0,"Sensizym "&amp;AY55&amp;" ml/L; ","")&amp;IF(AZ55&gt;0,"Rhino Skin "&amp;AZ55&amp;" ml/L; ","")&amp;IF(BA55&gt;0,"Bud Ignitor "&amp;BA55&amp;" ml/L; ","")&amp;IF(BB55&gt;0,"Big Bud "&amp;BB55&amp;" ml/L; ","")&amp;IF(BC55&gt;0,"Overdrive "&amp;BC55&amp;" ml/L; ","")&amp;IF(BD55&gt;0,"Tasty Terpenes "&amp;BD55&amp;" ml/L; ","")&amp;IF(BE55&gt;0,"Sensi CalMag "&amp;BE55&amp;" ml/L",""))</x:f>
        <x:v>keine AN-Dosis heute</x:v>
      </x:c>
      <x:c r="BI55" s="60" t="n">
        <x:f>IF(ISNUMBER('01_Run_Config'!$B$91),IF(B55&lt;'01_Run_Config'!$B$91,"PRE",B55-'01_Run_Config'!$B$91),"PRE")</x:f>
        <x:v>51</x:v>
      </x:c>
      <x:c r="BJ55" s="60" t="str">
        <x:f>IF(ISNUMBER('01_Run_Config'!$B$92),IF(B55&lt;'01_Run_Config'!$B$92,"PRE",B55-'01_Run_Config'!$B$92),"PRE")</x:f>
        <x:v>PRE</x:v>
      </x:c>
      <x:c r="BK55" s="60" t="str">
        <x:f>IF(ISNUMBER('01_Run_Config'!$B$93),IF(B55&lt;'01_Run_Config'!$B$93,"PRE",B55-'01_Run_Config'!$B$93),"PRE")</x:f>
        <x:v>PRE</x:v>
      </x:c>
      <x:c r="BL55" s="2482" t="n">
        <x:f>IF(BM55=5.8,5.8,5.8)</x:f>
        <x:v>5.8</x:v>
      </x:c>
      <x:c r="BM55" s="2482" t="n">
        <x:f>IF(A55&lt;IF(ISNUMBER('01_Run_Config'!$B$81),'01_Run_Config'!$B$81,15),5.8,6)</x:f>
        <x:v>6</x:v>
      </x:c>
      <x:c r="BN55" s="2482" t="n">
        <x:f>IF(BM55=5.8,5.8,6.2)</x:f>
        <x:v>6.2</x:v>
      </x:c>
      <x:c r="BO55" s="60" t="str">
        <x:f>IF(BM55=5.8,"Eazy Plug/Block: Herstellerziel 5.80","Final Coco: UKD 6.00 = Mitte HESI 5.8–6.2")</x:f>
        <x:v>Final Coco: UKD 6.00 = Mitte HESI 5.8–6.2</x:v>
      </x:c>
      <x:c r="BP55" s="60" t="str">
        <x:f>IF(A55&lt;2,"PRE-EMERGENCE: Balance normalerweise nicht nötig",IF(BM55=5.8,"ab Durchbruch AVAILABLE IF endmix &lt; 5.80","AVAILABLE IF endmix &lt; 6.00"))</x:f>
        <x:v>AVAILABLE IF endmix &lt; 6.00</x:v>
      </x:c>
      <x:c r="BQ55" s="60" t="str">
        <x:f>IF(A55=0,"Run Day 0 = Aussaat 21.08.2026; Plant Day beginnt erst beim Durchbruch.",IF(A55=2,"P54 Double Grape: 23.08.2026 = Plant Day 0.","Daily pH is a projection; actual root-stage/event overrides calendar."))</x:f>
        <x:v>Daily pH is a projection; actual root-stage/event overrides calendar.</x:v>
      </x:c>
    </x:row>
    <x:row r="56">
      <x:c r="A56" s="34" t="n">
        <x:v>54</x:v>
      </x:c>
      <x:c r="B56" s="129" t="n">
        <x:f>'01_Run_Config'!$B$4+A56</x:f>
        <x:v>46309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f>BM56</x:f>
        <x:v>6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IF(A56&lt;=14,2.5,0)</x:f>
        <x:v>0</x:v>
      </x:c>
      <x:c r="X56" s="63" t="n">
        <x:f>IF('01_Run_Config'!$B$50="AN Sensizym",0,IF(AND(A56&gt;='01_Run_Config'!$B$32,OR(AL56="",AL56&lt;=49)),2,0))</x:f>
        <x:v>2</x:v>
      </x:c>
      <x:c r="Y56" s="63" t="n">
        <x:f>0.015</x:f>
        <x:v>0.015</x:v>
      </x:c>
      <x:c r="Z56" s="63" t="n">
        <x:f>IF('01_Run_Config'!$B$51="HESI Hesilicio",2,0)</x:f>
        <x:v>0</x:v>
      </x:c>
      <x:c r="AA56" s="63" t="n">
        <x:f>IF('01_Run_Config'!$B$48="AN Bud Candy (replaces HESI Boost)",0,IF(AND(A56&gt;='01_Run_Config'!$B$33,MOD(A56-'01_Run_Config'!$B$33,7)=0),2,0))</x:f>
        <x:v>0</x:v>
      </x:c>
      <x:c r="AB56" s="63" t="n">
        <x:f>IF('01_Run_Config'!$B$52="AN Bud Ignitor &gt; Big Bud &gt; Overdrive",0,IF(AND(ISNUMBER(AL56),AL56&gt;=29,AL56&lt;=42),0.25+((AL56-29)/13)*0.25,0))</x:f>
        <x:v>0</x:v>
      </x:c>
      <x:c r="AC56" s="63" t="n">
        <x:f>IF('01_Run_Config'!$B$46="OFF",0,IF(OR(AND(A56&gt;='01_Run_Config'!$B$32,A56&lt;='01_Run_Config'!$B$32+13),AND(A56&gt;='01_Run_Config'!$B$33,A56&lt;='01_Run_Config'!$B$33+13)),2,0))</x:f>
        <x:v>0</x:v>
      </x:c>
      <x:c r="AD56" s="63" t="str">
        <x:f>IF(BG56="BLOCK","HYBRID BLOCKED - Konfiguration prüfen",IF(SUM(AC56,AT56:BF56)&gt;0,"AN aktiv: "&amp;BH56,"AN: keine Dosis heute / Module aus"))</x:f>
        <x:v>AN: keine Dosis heute / Module aus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6" s="34" t="str">
        <x:f>IF(A56&lt;2,"PRE-EMERGENCE · kein Kalenderwert","AVAILABLE IF NEEDED · nur wenn vollständiger Endmix unter pH-Ziel liegt")</x:f>
        <x:v>AVAILABLE IF NEEDED · nur wenn vollständiger Endmix unter pH-Ziel liegt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  <x:c r="AT56" t="n">
        <x:f>IF(AND('01_Run_Config'!$B$46="Voodoo + Piranha + Tarantula",AC56&gt;0),2,0)</x:f>
        <x:v>0</x:v>
      </x:c>
      <x:c r="AU56" t="n">
        <x:f>IF(AND(OR('01_Run_Config'!$B$46="Voodoo + Tarantula",'01_Run_Config'!$B$46="Voodoo + Piranha + Tarantula"),AC56&gt;0),2,0)</x:f>
        <x:v>0</x:v>
      </x:c>
      <x:c r="AV56" t="n">
        <x:f>IF('01_Run_Config'!$B$47&lt;&gt;"ON / A-B",0,IF(OR(AND(A56&gt;='01_Run_Config'!$B$32,A56&lt;'01_Run_Config'!$B$33),AND(ISNUMBER(AL56),AL56&gt;=15,AL56&lt;=49)),2,0))</x:f>
        <x:v>0</x:v>
      </x:c>
      <x:c r="AW56" t="n">
        <x:f>IF('01_Run_Config'!$B$48="AN Bud Candy (replaces HESI Boost)",IF(AND(A56&gt;='01_Run_Config'!$B$32,OR(AL56="",AL56&lt;=49)),2,0),0)</x:f>
        <x:v>0</x:v>
      </x:c>
      <x:c r="AX56" t="n">
        <x:f>IF('01_Run_Config'!$B$49&lt;&gt;"ON / EXPERIMENTAL",0,IF(OR(AND(A56&gt;='01_Run_Config'!$B$32+7,A56&lt;'01_Run_Config'!$B$33),AND(ISNUMBER(AL56),AL56&gt;=1,AL56&lt;=49)),2,0))</x:f>
        <x:v>0</x:v>
      </x:c>
      <x:c r="AY56" t="n">
        <x:f>IF('01_Run_Config'!$B$50="AN Sensizym",IF(AND(A56&gt;='01_Run_Config'!$B$32,OR(AL56="",AL56&lt;=49)),2,0),0)</x:f>
        <x:v>0</x:v>
      </x:c>
      <x:c r="AZ56" t="n">
        <x:f>IF('01_Run_Config'!$B$51="AN Rhino Skin",IF(AND(A56&gt;='01_Run_Config'!$B$32,OR(AL56="",AL56&lt;=49)),2,0),0)</x:f>
        <x:v>0</x:v>
      </x:c>
      <x:c r="BA56" t="n">
        <x:f>IF(AND('01_Run_Config'!$B$52="AN Bud Ignitor &gt; Big Bud &gt; Overdrive",ISNUMBER(AL56),AL56&gt;=1,AL56&lt;=14),2,0)</x:f>
        <x:v>0</x:v>
      </x:c>
      <x:c r="BB56" t="n">
        <x:f>IF(AND('01_Run_Config'!$B$52="AN Bud Ignitor &gt; Big Bud &gt; Overdrive",ISNUMBER(AL56),AL56&gt;=8,AL56&lt;=35),2,0)</x:f>
        <x:v>0</x:v>
      </x:c>
      <x:c r="BC56" t="n">
        <x:f>IF(AND('01_Run_Config'!$B$52="AN Bud Ignitor &gt; Big Bud &gt; Overdrive",ISNUMBER(AL56),AL56&gt;=36,AL56&lt;=49),2,0)</x:f>
        <x:v>0</x:v>
      </x:c>
      <x:c r="BD56" t="n">
        <x:f>IF('01_Run_Config'!$B$53="ON / EXPERIMENTAL",IF(OR(AND(A56&gt;='01_Run_Config'!$B$32,A56&lt;'01_Run_Config'!$B$33),AND(ISNUMBER(AL56),AL56&gt;=15,AL56&lt;=49)),2,0),0)</x:f>
        <x:v>0</x:v>
      </x:c>
      <x:c r="BE56" t="n">
        <x:f>IF('01_Run_Config'!$B$54="AN Sensi CalMag Xtra conditional",'01_Run_Config'!$B$17,0)</x:f>
        <x:v>0</x:v>
      </x:c>
      <x:c r="BF56" t="n">
        <x:f>0</x:f>
        <x:v>0</x:v>
      </x:c>
      <x:c r="BG56" t="str">
        <x:f>'01_Run_Config'!$E$57</x:f>
        <x:v>OK</x:v>
      </x:c>
      <x:c r="BH56" t="str">
        <x:f>IF(SUM(AC56,AT56:BF56)=0,"keine AN-Dosis heute",IF(AC56&gt;0,"Voodoo "&amp;AC56&amp;" ml/L; ","")&amp;IF(AT56&gt;0,"Piranha "&amp;AT56&amp;" ml/L; ","")&amp;IF(AU56&gt;0,"Tarantula "&amp;AU56&amp;" ml/L; ","")&amp;IF(AV56&gt;0,"B-52 "&amp;AV56&amp;" ml/L; ","")&amp;IF(AW56&gt;0,"Bud Candy "&amp;AW56&amp;" ml/L; ","")&amp;IF(AX56&gt;0,"Bud Factor X "&amp;AX56&amp;" ml/L; ","")&amp;IF(AY56&gt;0,"Sensizym "&amp;AY56&amp;" ml/L; ","")&amp;IF(AZ56&gt;0,"Rhino Skin "&amp;AZ56&amp;" ml/L; ","")&amp;IF(BA56&gt;0,"Bud Ignitor "&amp;BA56&amp;" ml/L; ","")&amp;IF(BB56&gt;0,"Big Bud "&amp;BB56&amp;" ml/L; ","")&amp;IF(BC56&gt;0,"Overdrive "&amp;BC56&amp;" ml/L; ","")&amp;IF(BD56&gt;0,"Tasty Terpenes "&amp;BD56&amp;" ml/L; ","")&amp;IF(BE56&gt;0,"Sensi CalMag "&amp;BE56&amp;" ml/L",""))</x:f>
        <x:v>keine AN-Dosis heute</x:v>
      </x:c>
      <x:c r="BI56" s="60" t="n">
        <x:f>IF(ISNUMBER('01_Run_Config'!$B$91),IF(B56&lt;'01_Run_Config'!$B$91,"PRE",B56-'01_Run_Config'!$B$91),"PRE")</x:f>
        <x:v>52</x:v>
      </x:c>
      <x:c r="BJ56" s="60" t="str">
        <x:f>IF(ISNUMBER('01_Run_Config'!$B$92),IF(B56&lt;'01_Run_Config'!$B$92,"PRE",B56-'01_Run_Config'!$B$92),"PRE")</x:f>
        <x:v>PRE</x:v>
      </x:c>
      <x:c r="BK56" s="60" t="str">
        <x:f>IF(ISNUMBER('01_Run_Config'!$B$93),IF(B56&lt;'01_Run_Config'!$B$93,"PRE",B56-'01_Run_Config'!$B$93),"PRE")</x:f>
        <x:v>PRE</x:v>
      </x:c>
      <x:c r="BL56" s="2482" t="n">
        <x:f>IF(BM56=5.8,5.8,5.8)</x:f>
        <x:v>5.8</x:v>
      </x:c>
      <x:c r="BM56" s="2482" t="n">
        <x:f>IF(A56&lt;IF(ISNUMBER('01_Run_Config'!$B$81),'01_Run_Config'!$B$81,15),5.8,6)</x:f>
        <x:v>6</x:v>
      </x:c>
      <x:c r="BN56" s="2482" t="n">
        <x:f>IF(BM56=5.8,5.8,6.2)</x:f>
        <x:v>6.2</x:v>
      </x:c>
      <x:c r="BO56" s="60" t="str">
        <x:f>IF(BM56=5.8,"Eazy Plug/Block: Herstellerziel 5.80","Final Coco: UKD 6.00 = Mitte HESI 5.8–6.2")</x:f>
        <x:v>Final Coco: UKD 6.00 = Mitte HESI 5.8–6.2</x:v>
      </x:c>
      <x:c r="BP56" s="60" t="str">
        <x:f>IF(A56&lt;2,"PRE-EMERGENCE: Balance normalerweise nicht nötig",IF(BM56=5.8,"ab Durchbruch AVAILABLE IF endmix &lt; 5.80","AVAILABLE IF endmix &lt; 6.00"))</x:f>
        <x:v>AVAILABLE IF endmix &lt; 6.00</x:v>
      </x:c>
      <x:c r="BQ56" s="60" t="str">
        <x:f>IF(A56=0,"Run Day 0 = Aussaat 21.08.2026; Plant Day beginnt erst beim Durchbruch.",IF(A56=2,"P55 Double Grape: 23.08.2026 = Plant Day 0.","Daily pH is a projection; actual root-stage/event overrides calendar."))</x:f>
        <x:v>Daily pH is a projection; actual root-stage/event overrides calendar.</x:v>
      </x:c>
    </x:row>
    <x:row r="57">
      <x:c r="A57" s="34" t="n">
        <x:v>55</x:v>
      </x:c>
      <x:c r="B57" s="129" t="n">
        <x:f>'01_Run_Config'!$B$4+A57</x:f>
        <x:v>46310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f>BM57</x:f>
        <x:v>6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IF(A57&lt;=14,2.5,0)</x:f>
        <x:v>0</x:v>
      </x:c>
      <x:c r="X57" s="63" t="n">
        <x:f>IF('01_Run_Config'!$B$50="AN Sensizym",0,IF(AND(A57&gt;='01_Run_Config'!$B$32,OR(AL57="",AL57&lt;=49)),2,0))</x:f>
        <x:v>2</x:v>
      </x:c>
      <x:c r="Y57" s="63" t="n">
        <x:f>0.015</x:f>
        <x:v>0.015</x:v>
      </x:c>
      <x:c r="Z57" s="63" t="n">
        <x:f>IF('01_Run_Config'!$B$51="HESI Hesilicio",2,0)</x:f>
        <x:v>0</x:v>
      </x:c>
      <x:c r="AA57" s="63" t="n">
        <x:f>IF('01_Run_Config'!$B$48="AN Bud Candy (replaces HESI Boost)",0,IF(AND(A57&gt;='01_Run_Config'!$B$33,MOD(A57-'01_Run_Config'!$B$33,7)=0),2,0))</x:f>
        <x:v>0</x:v>
      </x:c>
      <x:c r="AB57" s="63" t="n">
        <x:f>IF('01_Run_Config'!$B$52="AN Bud Ignitor &gt; Big Bud &gt; Overdrive",0,IF(AND(ISNUMBER(AL57),AL57&gt;=29,AL57&lt;=42),0.25+((AL57-29)/13)*0.25,0))</x:f>
        <x:v>0</x:v>
      </x:c>
      <x:c r="AC57" s="63" t="n">
        <x:f>IF('01_Run_Config'!$B$46="OFF",0,IF(OR(AND(A57&gt;='01_Run_Config'!$B$32,A57&lt;='01_Run_Config'!$B$32+13),AND(A57&gt;='01_Run_Config'!$B$33,A57&lt;='01_Run_Config'!$B$33+13)),2,0))</x:f>
        <x:v>0</x:v>
      </x:c>
      <x:c r="AD57" s="63" t="str">
        <x:f>IF(BG57="BLOCK","HYBRID BLOCKED - Konfiguration prüfen",IF(SUM(AC57,AT57:BF57)&gt;0,"AN aktiv: "&amp;BH57,"AN: keine Dosis heute / Module aus"))</x:f>
        <x:v>AN: keine Dosis heute / Module aus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7" s="34" t="str">
        <x:f>IF(A57&lt;2,"PRE-EMERGENCE · kein Kalenderwert","AVAILABLE IF NEEDED · nur wenn vollständiger Endmix unter pH-Ziel liegt")</x:f>
        <x:v>AVAILABLE IF NEEDED · nur wenn vollständiger Endmix unter pH-Ziel liegt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  <x:c r="AT57" t="n">
        <x:f>IF(AND('01_Run_Config'!$B$46="Voodoo + Piranha + Tarantula",AC57&gt;0),2,0)</x:f>
        <x:v>0</x:v>
      </x:c>
      <x:c r="AU57" t="n">
        <x:f>IF(AND(OR('01_Run_Config'!$B$46="Voodoo + Tarantula",'01_Run_Config'!$B$46="Voodoo + Piranha + Tarantula"),AC57&gt;0),2,0)</x:f>
        <x:v>0</x:v>
      </x:c>
      <x:c r="AV57" t="n">
        <x:f>IF('01_Run_Config'!$B$47&lt;&gt;"ON / A-B",0,IF(OR(AND(A57&gt;='01_Run_Config'!$B$32,A57&lt;'01_Run_Config'!$B$33),AND(ISNUMBER(AL57),AL57&gt;=15,AL57&lt;=49)),2,0))</x:f>
        <x:v>0</x:v>
      </x:c>
      <x:c r="AW57" t="n">
        <x:f>IF('01_Run_Config'!$B$48="AN Bud Candy (replaces HESI Boost)",IF(AND(A57&gt;='01_Run_Config'!$B$32,OR(AL57="",AL57&lt;=49)),2,0),0)</x:f>
        <x:v>0</x:v>
      </x:c>
      <x:c r="AX57" t="n">
        <x:f>IF('01_Run_Config'!$B$49&lt;&gt;"ON / EXPERIMENTAL",0,IF(OR(AND(A57&gt;='01_Run_Config'!$B$32+7,A57&lt;'01_Run_Config'!$B$33),AND(ISNUMBER(AL57),AL57&gt;=1,AL57&lt;=49)),2,0))</x:f>
        <x:v>0</x:v>
      </x:c>
      <x:c r="AY57" t="n">
        <x:f>IF('01_Run_Config'!$B$50="AN Sensizym",IF(AND(A57&gt;='01_Run_Config'!$B$32,OR(AL57="",AL57&lt;=49)),2,0),0)</x:f>
        <x:v>0</x:v>
      </x:c>
      <x:c r="AZ57" t="n">
        <x:f>IF('01_Run_Config'!$B$51="AN Rhino Skin",IF(AND(A57&gt;='01_Run_Config'!$B$32,OR(AL57="",AL57&lt;=49)),2,0),0)</x:f>
        <x:v>0</x:v>
      </x:c>
      <x:c r="BA57" t="n">
        <x:f>IF(AND('01_Run_Config'!$B$52="AN Bud Ignitor &gt; Big Bud &gt; Overdrive",ISNUMBER(AL57),AL57&gt;=1,AL57&lt;=14),2,0)</x:f>
        <x:v>0</x:v>
      </x:c>
      <x:c r="BB57" t="n">
        <x:f>IF(AND('01_Run_Config'!$B$52="AN Bud Ignitor &gt; Big Bud &gt; Overdrive",ISNUMBER(AL57),AL57&gt;=8,AL57&lt;=35),2,0)</x:f>
        <x:v>0</x:v>
      </x:c>
      <x:c r="BC57" t="n">
        <x:f>IF(AND('01_Run_Config'!$B$52="AN Bud Ignitor &gt; Big Bud &gt; Overdrive",ISNUMBER(AL57),AL57&gt;=36,AL57&lt;=49),2,0)</x:f>
        <x:v>0</x:v>
      </x:c>
      <x:c r="BD57" t="n">
        <x:f>IF('01_Run_Config'!$B$53="ON / EXPERIMENTAL",IF(OR(AND(A57&gt;='01_Run_Config'!$B$32,A57&lt;'01_Run_Config'!$B$33),AND(ISNUMBER(AL57),AL57&gt;=15,AL57&lt;=49)),2,0),0)</x:f>
        <x:v>0</x:v>
      </x:c>
      <x:c r="BE57" t="n">
        <x:f>IF('01_Run_Config'!$B$54="AN Sensi CalMag Xtra conditional",'01_Run_Config'!$B$17,0)</x:f>
        <x:v>0</x:v>
      </x:c>
      <x:c r="BF57" t="n">
        <x:f>0</x:f>
        <x:v>0</x:v>
      </x:c>
      <x:c r="BG57" t="str">
        <x:f>'01_Run_Config'!$E$57</x:f>
        <x:v>OK</x:v>
      </x:c>
      <x:c r="BH57" t="str">
        <x:f>IF(SUM(AC57,AT57:BF57)=0,"keine AN-Dosis heute",IF(AC57&gt;0,"Voodoo "&amp;AC57&amp;" ml/L; ","")&amp;IF(AT57&gt;0,"Piranha "&amp;AT57&amp;" ml/L; ","")&amp;IF(AU57&gt;0,"Tarantula "&amp;AU57&amp;" ml/L; ","")&amp;IF(AV57&gt;0,"B-52 "&amp;AV57&amp;" ml/L; ","")&amp;IF(AW57&gt;0,"Bud Candy "&amp;AW57&amp;" ml/L; ","")&amp;IF(AX57&gt;0,"Bud Factor X "&amp;AX57&amp;" ml/L; ","")&amp;IF(AY57&gt;0,"Sensizym "&amp;AY57&amp;" ml/L; ","")&amp;IF(AZ57&gt;0,"Rhino Skin "&amp;AZ57&amp;" ml/L; ","")&amp;IF(BA57&gt;0,"Bud Ignitor "&amp;BA57&amp;" ml/L; ","")&amp;IF(BB57&gt;0,"Big Bud "&amp;BB57&amp;" ml/L; ","")&amp;IF(BC57&gt;0,"Overdrive "&amp;BC57&amp;" ml/L; ","")&amp;IF(BD57&gt;0,"Tasty Terpenes "&amp;BD57&amp;" ml/L; ","")&amp;IF(BE57&gt;0,"Sensi CalMag "&amp;BE57&amp;" ml/L",""))</x:f>
        <x:v>keine AN-Dosis heute</x:v>
      </x:c>
      <x:c r="BI57" s="60" t="n">
        <x:f>IF(ISNUMBER('01_Run_Config'!$B$91),IF(B57&lt;'01_Run_Config'!$B$91,"PRE",B57-'01_Run_Config'!$B$91),"PRE")</x:f>
        <x:v>53</x:v>
      </x:c>
      <x:c r="BJ57" s="60" t="str">
        <x:f>IF(ISNUMBER('01_Run_Config'!$B$92),IF(B57&lt;'01_Run_Config'!$B$92,"PRE",B57-'01_Run_Config'!$B$92),"PRE")</x:f>
        <x:v>PRE</x:v>
      </x:c>
      <x:c r="BK57" s="60" t="str">
        <x:f>IF(ISNUMBER('01_Run_Config'!$B$93),IF(B57&lt;'01_Run_Config'!$B$93,"PRE",B57-'01_Run_Config'!$B$93),"PRE")</x:f>
        <x:v>PRE</x:v>
      </x:c>
      <x:c r="BL57" s="2482" t="n">
        <x:f>IF(BM57=5.8,5.8,5.8)</x:f>
        <x:v>5.8</x:v>
      </x:c>
      <x:c r="BM57" s="2482" t="n">
        <x:f>IF(A57&lt;IF(ISNUMBER('01_Run_Config'!$B$81),'01_Run_Config'!$B$81,15),5.8,6)</x:f>
        <x:v>6</x:v>
      </x:c>
      <x:c r="BN57" s="2482" t="n">
        <x:f>IF(BM57=5.8,5.8,6.2)</x:f>
        <x:v>6.2</x:v>
      </x:c>
      <x:c r="BO57" s="60" t="str">
        <x:f>IF(BM57=5.8,"Eazy Plug/Block: Herstellerziel 5.80","Final Coco: UKD 6.00 = Mitte HESI 5.8–6.2")</x:f>
        <x:v>Final Coco: UKD 6.00 = Mitte HESI 5.8–6.2</x:v>
      </x:c>
      <x:c r="BP57" s="60" t="str">
        <x:f>IF(A57&lt;2,"PRE-EMERGENCE: Balance normalerweise nicht nötig",IF(BM57=5.8,"ab Durchbruch AVAILABLE IF endmix &lt; 5.80","AVAILABLE IF endmix &lt; 6.00"))</x:f>
        <x:v>AVAILABLE IF endmix &lt; 6.00</x:v>
      </x:c>
      <x:c r="BQ57" s="60" t="str">
        <x:f>IF(A57=0,"Run Day 0 = Aussaat 21.08.2026; Plant Day beginnt erst beim Durchbruch.",IF(A57=2,"P56 Double Grape: 23.08.2026 = Plant Day 0.","Daily pH is a projection; actual root-stage/event overrides calendar."))</x:f>
        <x:v>Daily pH is a projection; actual root-stage/event overrides calendar.</x:v>
      </x:c>
    </x:row>
    <x:row r="58">
      <x:c r="A58" s="34" t="n">
        <x:v>56</x:v>
      </x:c>
      <x:c r="B58" s="129" t="n">
        <x:f>'01_Run_Config'!$B$4+A58</x:f>
        <x:v>46311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f>BM58</x:f>
        <x:v>6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IF(A58&lt;=14,2.5,0)</x:f>
        <x:v>0</x:v>
      </x:c>
      <x:c r="X58" s="63" t="n">
        <x:f>IF('01_Run_Config'!$B$50="AN Sensizym",0,IF(AND(A58&gt;='01_Run_Config'!$B$32,OR(AL58="",AL58&lt;=49)),2,0))</x:f>
        <x:v>2</x:v>
      </x:c>
      <x:c r="Y58" s="63" t="n">
        <x:f>0.015</x:f>
        <x:v>0.015</x:v>
      </x:c>
      <x:c r="Z58" s="63" t="n">
        <x:f>IF('01_Run_Config'!$B$51="HESI Hesilicio",2,0)</x:f>
        <x:v>0</x:v>
      </x:c>
      <x:c r="AA58" s="63" t="n">
        <x:f>IF('01_Run_Config'!$B$48="AN Bud Candy (replaces HESI Boost)",0,IF(AND(A58&gt;='01_Run_Config'!$B$33,MOD(A58-'01_Run_Config'!$B$33,7)=0),2,0))</x:f>
        <x:v>2</x:v>
      </x:c>
      <x:c r="AB58" s="63" t="n">
        <x:f>IF('01_Run_Config'!$B$52="AN Bud Ignitor &gt; Big Bud &gt; Overdrive",0,IF(AND(ISNUMBER(AL58),AL58&gt;=29,AL58&lt;=42),0.25+((AL58-29)/13)*0.25,0))</x:f>
        <x:v>0.25</x:v>
      </x:c>
      <x:c r="AC58" s="63" t="n">
        <x:f>IF('01_Run_Config'!$B$46="OFF",0,IF(OR(AND(A58&gt;='01_Run_Config'!$B$32,A58&lt;='01_Run_Config'!$B$32+13),AND(A58&gt;='01_Run_Config'!$B$33,A58&lt;='01_Run_Config'!$B$33+13)),2,0))</x:f>
        <x:v>0</x:v>
      </x:c>
      <x:c r="AD58" s="63" t="str">
        <x:f>IF(BG58="BLOCK","HYBRID BLOCKED - Konfiguration prüfen",IF(SUM(AC58,AT58:BF58)&gt;0,"AN aktiv: "&amp;BH58,"AN: keine Dosis heute / Module aus"))</x:f>
        <x:v>AN: keine Dosis heute / Module aus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8" s="34" t="str">
        <x:f>IF(A58&lt;2,"PRE-EMERGENCE · kein Kalenderwert","AVAILABLE IF NEEDED · nur wenn vollständiger Endmix unter pH-Ziel liegt")</x:f>
        <x:v>AVAILABLE IF NEEDED · nur wenn vollständiger Endmix unter pH-Ziel liegt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  <x:c r="AT58" t="n">
        <x:f>IF(AND('01_Run_Config'!$B$46="Voodoo + Piranha + Tarantula",AC58&gt;0),2,0)</x:f>
        <x:v>0</x:v>
      </x:c>
      <x:c r="AU58" t="n">
        <x:f>IF(AND(OR('01_Run_Config'!$B$46="Voodoo + Tarantula",'01_Run_Config'!$B$46="Voodoo + Piranha + Tarantula"),AC58&gt;0),2,0)</x:f>
        <x:v>0</x:v>
      </x:c>
      <x:c r="AV58" t="n">
        <x:f>IF('01_Run_Config'!$B$47&lt;&gt;"ON / A-B",0,IF(OR(AND(A58&gt;='01_Run_Config'!$B$32,A58&lt;'01_Run_Config'!$B$33),AND(ISNUMBER(AL58),AL58&gt;=15,AL58&lt;=49)),2,0))</x:f>
        <x:v>0</x:v>
      </x:c>
      <x:c r="AW58" t="n">
        <x:f>IF('01_Run_Config'!$B$48="AN Bud Candy (replaces HESI Boost)",IF(AND(A58&gt;='01_Run_Config'!$B$32,OR(AL58="",AL58&lt;=49)),2,0),0)</x:f>
        <x:v>0</x:v>
      </x:c>
      <x:c r="AX58" t="n">
        <x:f>IF('01_Run_Config'!$B$49&lt;&gt;"ON / EXPERIMENTAL",0,IF(OR(AND(A58&gt;='01_Run_Config'!$B$32+7,A58&lt;'01_Run_Config'!$B$33),AND(ISNUMBER(AL58),AL58&gt;=1,AL58&lt;=49)),2,0))</x:f>
        <x:v>0</x:v>
      </x:c>
      <x:c r="AY58" t="n">
        <x:f>IF('01_Run_Config'!$B$50="AN Sensizym",IF(AND(A58&gt;='01_Run_Config'!$B$32,OR(AL58="",AL58&lt;=49)),2,0),0)</x:f>
        <x:v>0</x:v>
      </x:c>
      <x:c r="AZ58" t="n">
        <x:f>IF('01_Run_Config'!$B$51="AN Rhino Skin",IF(AND(A58&gt;='01_Run_Config'!$B$32,OR(AL58="",AL58&lt;=49)),2,0),0)</x:f>
        <x:v>0</x:v>
      </x:c>
      <x:c r="BA58" t="n">
        <x:f>IF(AND('01_Run_Config'!$B$52="AN Bud Ignitor &gt; Big Bud &gt; Overdrive",ISNUMBER(AL58),AL58&gt;=1,AL58&lt;=14),2,0)</x:f>
        <x:v>0</x:v>
      </x:c>
      <x:c r="BB58" t="n">
        <x:f>IF(AND('01_Run_Config'!$B$52="AN Bud Ignitor &gt; Big Bud &gt; Overdrive",ISNUMBER(AL58),AL58&gt;=8,AL58&lt;=35),2,0)</x:f>
        <x:v>0</x:v>
      </x:c>
      <x:c r="BC58" t="n">
        <x:f>IF(AND('01_Run_Config'!$B$52="AN Bud Ignitor &gt; Big Bud &gt; Overdrive",ISNUMBER(AL58),AL58&gt;=36,AL58&lt;=49),2,0)</x:f>
        <x:v>0</x:v>
      </x:c>
      <x:c r="BD58" t="n">
        <x:f>IF('01_Run_Config'!$B$53="ON / EXPERIMENTAL",IF(OR(AND(A58&gt;='01_Run_Config'!$B$32,A58&lt;'01_Run_Config'!$B$33),AND(ISNUMBER(AL58),AL58&gt;=15,AL58&lt;=49)),2,0),0)</x:f>
        <x:v>0</x:v>
      </x:c>
      <x:c r="BE58" t="n">
        <x:f>IF('01_Run_Config'!$B$54="AN Sensi CalMag Xtra conditional",'01_Run_Config'!$B$17,0)</x:f>
        <x:v>0</x:v>
      </x:c>
      <x:c r="BF58" t="n">
        <x:f>0</x:f>
        <x:v>0</x:v>
      </x:c>
      <x:c r="BG58" t="str">
        <x:f>'01_Run_Config'!$E$57</x:f>
        <x:v>OK</x:v>
      </x:c>
      <x:c r="BH58" t="str">
        <x:f>IF(SUM(AC58,AT58:BF58)=0,"keine AN-Dosis heute",IF(AC58&gt;0,"Voodoo "&amp;AC58&amp;" ml/L; ","")&amp;IF(AT58&gt;0,"Piranha "&amp;AT58&amp;" ml/L; ","")&amp;IF(AU58&gt;0,"Tarantula "&amp;AU58&amp;" ml/L; ","")&amp;IF(AV58&gt;0,"B-52 "&amp;AV58&amp;" ml/L; ","")&amp;IF(AW58&gt;0,"Bud Candy "&amp;AW58&amp;" ml/L; ","")&amp;IF(AX58&gt;0,"Bud Factor X "&amp;AX58&amp;" ml/L; ","")&amp;IF(AY58&gt;0,"Sensizym "&amp;AY58&amp;" ml/L; ","")&amp;IF(AZ58&gt;0,"Rhino Skin "&amp;AZ58&amp;" ml/L; ","")&amp;IF(BA58&gt;0,"Bud Ignitor "&amp;BA58&amp;" ml/L; ","")&amp;IF(BB58&gt;0,"Big Bud "&amp;BB58&amp;" ml/L; ","")&amp;IF(BC58&gt;0,"Overdrive "&amp;BC58&amp;" ml/L; ","")&amp;IF(BD58&gt;0,"Tasty Terpenes "&amp;BD58&amp;" ml/L; ","")&amp;IF(BE58&gt;0,"Sensi CalMag "&amp;BE58&amp;" ml/L",""))</x:f>
        <x:v>keine AN-Dosis heute</x:v>
      </x:c>
      <x:c r="BI58" s="60" t="n">
        <x:f>IF(ISNUMBER('01_Run_Config'!$B$91),IF(B58&lt;'01_Run_Config'!$B$91,"PRE",B58-'01_Run_Config'!$B$91),"PRE")</x:f>
        <x:v>54</x:v>
      </x:c>
      <x:c r="BJ58" s="60" t="str">
        <x:f>IF(ISNUMBER('01_Run_Config'!$B$92),IF(B58&lt;'01_Run_Config'!$B$92,"PRE",B58-'01_Run_Config'!$B$92),"PRE")</x:f>
        <x:v>PRE</x:v>
      </x:c>
      <x:c r="BK58" s="60" t="str">
        <x:f>IF(ISNUMBER('01_Run_Config'!$B$93),IF(B58&lt;'01_Run_Config'!$B$93,"PRE",B58-'01_Run_Config'!$B$93),"PRE")</x:f>
        <x:v>PRE</x:v>
      </x:c>
      <x:c r="BL58" s="2482" t="n">
        <x:f>IF(BM58=5.8,5.8,5.8)</x:f>
        <x:v>5.8</x:v>
      </x:c>
      <x:c r="BM58" s="2482" t="n">
        <x:f>IF(A58&lt;IF(ISNUMBER('01_Run_Config'!$B$81),'01_Run_Config'!$B$81,15),5.8,6)</x:f>
        <x:v>6</x:v>
      </x:c>
      <x:c r="BN58" s="2482" t="n">
        <x:f>IF(BM58=5.8,5.8,6.2)</x:f>
        <x:v>6.2</x:v>
      </x:c>
      <x:c r="BO58" s="60" t="str">
        <x:f>IF(BM58=5.8,"Eazy Plug/Block: Herstellerziel 5.80","Final Coco: UKD 6.00 = Mitte HESI 5.8–6.2")</x:f>
        <x:v>Final Coco: UKD 6.00 = Mitte HESI 5.8–6.2</x:v>
      </x:c>
      <x:c r="BP58" s="60" t="str">
        <x:f>IF(A58&lt;2,"PRE-EMERGENCE: Balance normalerweise nicht nötig",IF(BM58=5.8,"ab Durchbruch AVAILABLE IF endmix &lt; 5.80","AVAILABLE IF endmix &lt; 6.00"))</x:f>
        <x:v>AVAILABLE IF endmix &lt; 6.00</x:v>
      </x:c>
      <x:c r="BQ58" s="60" t="str">
        <x:f>IF(A58=0,"Run Day 0 = Aussaat 21.08.2026; Plant Day beginnt erst beim Durchbruch.",IF(A58=2,"P57 Double Grape: 23.08.2026 = Plant Day 0.","Daily pH is a projection; actual root-stage/event overrides calendar."))</x:f>
        <x:v>Daily pH is a projection; actual root-stage/event overrides calendar.</x:v>
      </x:c>
    </x:row>
    <x:row r="59">
      <x:c r="A59" s="34" t="n">
        <x:v>57</x:v>
      </x:c>
      <x:c r="B59" s="129" t="n">
        <x:f>'01_Run_Config'!$B$4+A59</x:f>
        <x:v>46312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f>BM59</x:f>
        <x:v>6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IF(A59&lt;=14,2.5,0)</x:f>
        <x:v>0</x:v>
      </x:c>
      <x:c r="X59" s="63" t="n">
        <x:f>IF('01_Run_Config'!$B$50="AN Sensizym",0,IF(AND(A59&gt;='01_Run_Config'!$B$32,OR(AL59="",AL59&lt;=49)),2,0))</x:f>
        <x:v>2</x:v>
      </x:c>
      <x:c r="Y59" s="63" t="n">
        <x:f>0.015</x:f>
        <x:v>0.015</x:v>
      </x:c>
      <x:c r="Z59" s="63" t="n">
        <x:f>IF('01_Run_Config'!$B$51="HESI Hesilicio",2,0)</x:f>
        <x:v>0</x:v>
      </x:c>
      <x:c r="AA59" s="63" t="n">
        <x:f>IF('01_Run_Config'!$B$48="AN Bud Candy (replaces HESI Boost)",0,IF(AND(A59&gt;='01_Run_Config'!$B$33,MOD(A59-'01_Run_Config'!$B$33,7)=0),2,0))</x:f>
        <x:v>0</x:v>
      </x:c>
      <x:c r="AB59" s="63" t="n">
        <x:f>IF('01_Run_Config'!$B$52="AN Bud Ignitor &gt; Big Bud &gt; Overdrive",0,IF(AND(ISNUMBER(AL59),AL59&gt;=29,AL59&lt;=42),0.25+((AL59-29)/13)*0.25,0))</x:f>
        <x:v>0.2692307692307692</x:v>
      </x:c>
      <x:c r="AC59" s="63" t="n">
        <x:f>IF('01_Run_Config'!$B$46="OFF",0,IF(OR(AND(A59&gt;='01_Run_Config'!$B$32,A59&lt;='01_Run_Config'!$B$32+13),AND(A59&gt;='01_Run_Config'!$B$33,A59&lt;='01_Run_Config'!$B$33+13)),2,0))</x:f>
        <x:v>0</x:v>
      </x:c>
      <x:c r="AD59" s="63" t="str">
        <x:f>IF(BG59="BLOCK","HYBRID BLOCKED - Konfiguration prüfen",IF(SUM(AC59,AT59:BF59)&gt;0,"AN aktiv: "&amp;BH59,"AN: keine Dosis heute / Module aus"))</x:f>
        <x:v>AN: keine Dosis heute / Module aus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9" s="34" t="str">
        <x:f>IF(A59&lt;2,"PRE-EMERGENCE · kein Kalenderwert","AVAILABLE IF NEEDED · nur wenn vollständiger Endmix unter pH-Ziel liegt")</x:f>
        <x:v>AVAILABLE IF NEEDED · nur wenn vollständiger Endmix unter pH-Ziel liegt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  <x:c r="AT59" t="n">
        <x:f>IF(AND('01_Run_Config'!$B$46="Voodoo + Piranha + Tarantula",AC59&gt;0),2,0)</x:f>
        <x:v>0</x:v>
      </x:c>
      <x:c r="AU59" t="n">
        <x:f>IF(AND(OR('01_Run_Config'!$B$46="Voodoo + Tarantula",'01_Run_Config'!$B$46="Voodoo + Piranha + Tarantula"),AC59&gt;0),2,0)</x:f>
        <x:v>0</x:v>
      </x:c>
      <x:c r="AV59" t="n">
        <x:f>IF('01_Run_Config'!$B$47&lt;&gt;"ON / A-B",0,IF(OR(AND(A59&gt;='01_Run_Config'!$B$32,A59&lt;'01_Run_Config'!$B$33),AND(ISNUMBER(AL59),AL59&gt;=15,AL59&lt;=49)),2,0))</x:f>
        <x:v>0</x:v>
      </x:c>
      <x:c r="AW59" t="n">
        <x:f>IF('01_Run_Config'!$B$48="AN Bud Candy (replaces HESI Boost)",IF(AND(A59&gt;='01_Run_Config'!$B$32,OR(AL59="",AL59&lt;=49)),2,0),0)</x:f>
        <x:v>0</x:v>
      </x:c>
      <x:c r="AX59" t="n">
        <x:f>IF('01_Run_Config'!$B$49&lt;&gt;"ON / EXPERIMENTAL",0,IF(OR(AND(A59&gt;='01_Run_Config'!$B$32+7,A59&lt;'01_Run_Config'!$B$33),AND(ISNUMBER(AL59),AL59&gt;=1,AL59&lt;=49)),2,0))</x:f>
        <x:v>0</x:v>
      </x:c>
      <x:c r="AY59" t="n">
        <x:f>IF('01_Run_Config'!$B$50="AN Sensizym",IF(AND(A59&gt;='01_Run_Config'!$B$32,OR(AL59="",AL59&lt;=49)),2,0),0)</x:f>
        <x:v>0</x:v>
      </x:c>
      <x:c r="AZ59" t="n">
        <x:f>IF('01_Run_Config'!$B$51="AN Rhino Skin",IF(AND(A59&gt;='01_Run_Config'!$B$32,OR(AL59="",AL59&lt;=49)),2,0),0)</x:f>
        <x:v>0</x:v>
      </x:c>
      <x:c r="BA59" t="n">
        <x:f>IF(AND('01_Run_Config'!$B$52="AN Bud Ignitor &gt; Big Bud &gt; Overdrive",ISNUMBER(AL59),AL59&gt;=1,AL59&lt;=14),2,0)</x:f>
        <x:v>0</x:v>
      </x:c>
      <x:c r="BB59" t="n">
        <x:f>IF(AND('01_Run_Config'!$B$52="AN Bud Ignitor &gt; Big Bud &gt; Overdrive",ISNUMBER(AL59),AL59&gt;=8,AL59&lt;=35),2,0)</x:f>
        <x:v>0</x:v>
      </x:c>
      <x:c r="BC59" t="n">
        <x:f>IF(AND('01_Run_Config'!$B$52="AN Bud Ignitor &gt; Big Bud &gt; Overdrive",ISNUMBER(AL59),AL59&gt;=36,AL59&lt;=49),2,0)</x:f>
        <x:v>0</x:v>
      </x:c>
      <x:c r="BD59" t="n">
        <x:f>IF('01_Run_Config'!$B$53="ON / EXPERIMENTAL",IF(OR(AND(A59&gt;='01_Run_Config'!$B$32,A59&lt;'01_Run_Config'!$B$33),AND(ISNUMBER(AL59),AL59&gt;=15,AL59&lt;=49)),2,0),0)</x:f>
        <x:v>0</x:v>
      </x:c>
      <x:c r="BE59" t="n">
        <x:f>IF('01_Run_Config'!$B$54="AN Sensi CalMag Xtra conditional",'01_Run_Config'!$B$17,0)</x:f>
        <x:v>0</x:v>
      </x:c>
      <x:c r="BF59" t="n">
        <x:f>0</x:f>
        <x:v>0</x:v>
      </x:c>
      <x:c r="BG59" t="str">
        <x:f>'01_Run_Config'!$E$57</x:f>
        <x:v>OK</x:v>
      </x:c>
      <x:c r="BH59" t="str">
        <x:f>IF(SUM(AC59,AT59:BF59)=0,"keine AN-Dosis heute",IF(AC59&gt;0,"Voodoo "&amp;AC59&amp;" ml/L; ","")&amp;IF(AT59&gt;0,"Piranha "&amp;AT59&amp;" ml/L; ","")&amp;IF(AU59&gt;0,"Tarantula "&amp;AU59&amp;" ml/L; ","")&amp;IF(AV59&gt;0,"B-52 "&amp;AV59&amp;" ml/L; ","")&amp;IF(AW59&gt;0,"Bud Candy "&amp;AW59&amp;" ml/L; ","")&amp;IF(AX59&gt;0,"Bud Factor X "&amp;AX59&amp;" ml/L; ","")&amp;IF(AY59&gt;0,"Sensizym "&amp;AY59&amp;" ml/L; ","")&amp;IF(AZ59&gt;0,"Rhino Skin "&amp;AZ59&amp;" ml/L; ","")&amp;IF(BA59&gt;0,"Bud Ignitor "&amp;BA59&amp;" ml/L; ","")&amp;IF(BB59&gt;0,"Big Bud "&amp;BB59&amp;" ml/L; ","")&amp;IF(BC59&gt;0,"Overdrive "&amp;BC59&amp;" ml/L; ","")&amp;IF(BD59&gt;0,"Tasty Terpenes "&amp;BD59&amp;" ml/L; ","")&amp;IF(BE59&gt;0,"Sensi CalMag "&amp;BE59&amp;" ml/L",""))</x:f>
        <x:v>keine AN-Dosis heute</x:v>
      </x:c>
      <x:c r="BI59" s="60" t="n">
        <x:f>IF(ISNUMBER('01_Run_Config'!$B$91),IF(B59&lt;'01_Run_Config'!$B$91,"PRE",B59-'01_Run_Config'!$B$91),"PRE")</x:f>
        <x:v>55</x:v>
      </x:c>
      <x:c r="BJ59" s="60" t="str">
        <x:f>IF(ISNUMBER('01_Run_Config'!$B$92),IF(B59&lt;'01_Run_Config'!$B$92,"PRE",B59-'01_Run_Config'!$B$92),"PRE")</x:f>
        <x:v>PRE</x:v>
      </x:c>
      <x:c r="BK59" s="60" t="str">
        <x:f>IF(ISNUMBER('01_Run_Config'!$B$93),IF(B59&lt;'01_Run_Config'!$B$93,"PRE",B59-'01_Run_Config'!$B$93),"PRE")</x:f>
        <x:v>PRE</x:v>
      </x:c>
      <x:c r="BL59" s="2482" t="n">
        <x:f>IF(BM59=5.8,5.8,5.8)</x:f>
        <x:v>5.8</x:v>
      </x:c>
      <x:c r="BM59" s="2482" t="n">
        <x:f>IF(A59&lt;IF(ISNUMBER('01_Run_Config'!$B$81),'01_Run_Config'!$B$81,15),5.8,6)</x:f>
        <x:v>6</x:v>
      </x:c>
      <x:c r="BN59" s="2482" t="n">
        <x:f>IF(BM59=5.8,5.8,6.2)</x:f>
        <x:v>6.2</x:v>
      </x:c>
      <x:c r="BO59" s="60" t="str">
        <x:f>IF(BM59=5.8,"Eazy Plug/Block: Herstellerziel 5.80","Final Coco: UKD 6.00 = Mitte HESI 5.8–6.2")</x:f>
        <x:v>Final Coco: UKD 6.00 = Mitte HESI 5.8–6.2</x:v>
      </x:c>
      <x:c r="BP59" s="60" t="str">
        <x:f>IF(A59&lt;2,"PRE-EMERGENCE: Balance normalerweise nicht nötig",IF(BM59=5.8,"ab Durchbruch AVAILABLE IF endmix &lt; 5.80","AVAILABLE IF endmix &lt; 6.00"))</x:f>
        <x:v>AVAILABLE IF endmix &lt; 6.00</x:v>
      </x:c>
      <x:c r="BQ59" s="60" t="str">
        <x:f>IF(A59=0,"Run Day 0 = Aussaat 21.08.2026; Plant Day beginnt erst beim Durchbruch.",IF(A59=2,"P58 Double Grape: 23.08.2026 = Plant Day 0.","Daily pH is a projection; actual root-stage/event overrides calendar."))</x:f>
        <x:v>Daily pH is a projection; actual root-stage/event overrides calendar.</x:v>
      </x:c>
    </x:row>
    <x:row r="60">
      <x:c r="A60" s="34" t="n">
        <x:v>58</x:v>
      </x:c>
      <x:c r="B60" s="129" t="n">
        <x:f>'01_Run_Config'!$B$4+A60</x:f>
        <x:v>46313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f>BM60</x:f>
        <x:v>6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IF(A60&lt;=14,2.5,0)</x:f>
        <x:v>0</x:v>
      </x:c>
      <x:c r="X60" s="63" t="n">
        <x:f>IF('01_Run_Config'!$B$50="AN Sensizym",0,IF(AND(A60&gt;='01_Run_Config'!$B$32,OR(AL60="",AL60&lt;=49)),2,0))</x:f>
        <x:v>2</x:v>
      </x:c>
      <x:c r="Y60" s="63" t="n">
        <x:f>0.015</x:f>
        <x:v>0.015</x:v>
      </x:c>
      <x:c r="Z60" s="63" t="n">
        <x:f>IF('01_Run_Config'!$B$51="HESI Hesilicio",2,0)</x:f>
        <x:v>0</x:v>
      </x:c>
      <x:c r="AA60" s="63" t="n">
        <x:f>IF('01_Run_Config'!$B$48="AN Bud Candy (replaces HESI Boost)",0,IF(AND(A60&gt;='01_Run_Config'!$B$33,MOD(A60-'01_Run_Config'!$B$33,7)=0),2,0))</x:f>
        <x:v>0</x:v>
      </x:c>
      <x:c r="AB60" s="63" t="n">
        <x:f>IF('01_Run_Config'!$B$52="AN Bud Ignitor &gt; Big Bud &gt; Overdrive",0,IF(AND(ISNUMBER(AL60),AL60&gt;=29,AL60&lt;=42),0.25+((AL60-29)/13)*0.25,0))</x:f>
        <x:v>0.28846153846153844</x:v>
      </x:c>
      <x:c r="AC60" s="63" t="n">
        <x:f>IF('01_Run_Config'!$B$46="OFF",0,IF(OR(AND(A60&gt;='01_Run_Config'!$B$32,A60&lt;='01_Run_Config'!$B$32+13),AND(A60&gt;='01_Run_Config'!$B$33,A60&lt;='01_Run_Config'!$B$33+13)),2,0))</x:f>
        <x:v>0</x:v>
      </x:c>
      <x:c r="AD60" s="63" t="str">
        <x:f>IF(BG60="BLOCK","HYBRID BLOCKED - Konfiguration prüfen",IF(SUM(AC60,AT60:BF60)&gt;0,"AN aktiv: "&amp;BH60,"AN: keine Dosis heute / Module aus"))</x:f>
        <x:v>AN: keine Dosis heute / Module aus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0" s="34" t="str">
        <x:f>IF(A60&lt;2,"PRE-EMERGENCE · kein Kalenderwert","AVAILABLE IF NEEDED · nur wenn vollständiger Endmix unter pH-Ziel liegt")</x:f>
        <x:v>AVAILABLE IF NEEDED · nur wenn vollständiger Endmix unter pH-Ziel liegt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  <x:c r="AT60" t="n">
        <x:f>IF(AND('01_Run_Config'!$B$46="Voodoo + Piranha + Tarantula",AC60&gt;0),2,0)</x:f>
        <x:v>0</x:v>
      </x:c>
      <x:c r="AU60" t="n">
        <x:f>IF(AND(OR('01_Run_Config'!$B$46="Voodoo + Tarantula",'01_Run_Config'!$B$46="Voodoo + Piranha + Tarantula"),AC60&gt;0),2,0)</x:f>
        <x:v>0</x:v>
      </x:c>
      <x:c r="AV60" t="n">
        <x:f>IF('01_Run_Config'!$B$47&lt;&gt;"ON / A-B",0,IF(OR(AND(A60&gt;='01_Run_Config'!$B$32,A60&lt;'01_Run_Config'!$B$33),AND(ISNUMBER(AL60),AL60&gt;=15,AL60&lt;=49)),2,0))</x:f>
        <x:v>0</x:v>
      </x:c>
      <x:c r="AW60" t="n">
        <x:f>IF('01_Run_Config'!$B$48="AN Bud Candy (replaces HESI Boost)",IF(AND(A60&gt;='01_Run_Config'!$B$32,OR(AL60="",AL60&lt;=49)),2,0),0)</x:f>
        <x:v>0</x:v>
      </x:c>
      <x:c r="AX60" t="n">
        <x:f>IF('01_Run_Config'!$B$49&lt;&gt;"ON / EXPERIMENTAL",0,IF(OR(AND(A60&gt;='01_Run_Config'!$B$32+7,A60&lt;'01_Run_Config'!$B$33),AND(ISNUMBER(AL60),AL60&gt;=1,AL60&lt;=49)),2,0))</x:f>
        <x:v>0</x:v>
      </x:c>
      <x:c r="AY60" t="n">
        <x:f>IF('01_Run_Config'!$B$50="AN Sensizym",IF(AND(A60&gt;='01_Run_Config'!$B$32,OR(AL60="",AL60&lt;=49)),2,0),0)</x:f>
        <x:v>0</x:v>
      </x:c>
      <x:c r="AZ60" t="n">
        <x:f>IF('01_Run_Config'!$B$51="AN Rhino Skin",IF(AND(A60&gt;='01_Run_Config'!$B$32,OR(AL60="",AL60&lt;=49)),2,0),0)</x:f>
        <x:v>0</x:v>
      </x:c>
      <x:c r="BA60" t="n">
        <x:f>IF(AND('01_Run_Config'!$B$52="AN Bud Ignitor &gt; Big Bud &gt; Overdrive",ISNUMBER(AL60),AL60&gt;=1,AL60&lt;=14),2,0)</x:f>
        <x:v>0</x:v>
      </x:c>
      <x:c r="BB60" t="n">
        <x:f>IF(AND('01_Run_Config'!$B$52="AN Bud Ignitor &gt; Big Bud &gt; Overdrive",ISNUMBER(AL60),AL60&gt;=8,AL60&lt;=35),2,0)</x:f>
        <x:v>0</x:v>
      </x:c>
      <x:c r="BC60" t="n">
        <x:f>IF(AND('01_Run_Config'!$B$52="AN Bud Ignitor &gt; Big Bud &gt; Overdrive",ISNUMBER(AL60),AL60&gt;=36,AL60&lt;=49),2,0)</x:f>
        <x:v>0</x:v>
      </x:c>
      <x:c r="BD60" t="n">
        <x:f>IF('01_Run_Config'!$B$53="ON / EXPERIMENTAL",IF(OR(AND(A60&gt;='01_Run_Config'!$B$32,A60&lt;'01_Run_Config'!$B$33),AND(ISNUMBER(AL60),AL60&gt;=15,AL60&lt;=49)),2,0),0)</x:f>
        <x:v>0</x:v>
      </x:c>
      <x:c r="BE60" t="n">
        <x:f>IF('01_Run_Config'!$B$54="AN Sensi CalMag Xtra conditional",'01_Run_Config'!$B$17,0)</x:f>
        <x:v>0</x:v>
      </x:c>
      <x:c r="BF60" t="n">
        <x:f>0</x:f>
        <x:v>0</x:v>
      </x:c>
      <x:c r="BG60" t="str">
        <x:f>'01_Run_Config'!$E$57</x:f>
        <x:v>OK</x:v>
      </x:c>
      <x:c r="BH60" t="str">
        <x:f>IF(SUM(AC60,AT60:BF60)=0,"keine AN-Dosis heute",IF(AC60&gt;0,"Voodoo "&amp;AC60&amp;" ml/L; ","")&amp;IF(AT60&gt;0,"Piranha "&amp;AT60&amp;" ml/L; ","")&amp;IF(AU60&gt;0,"Tarantula "&amp;AU60&amp;" ml/L; ","")&amp;IF(AV60&gt;0,"B-52 "&amp;AV60&amp;" ml/L; ","")&amp;IF(AW60&gt;0,"Bud Candy "&amp;AW60&amp;" ml/L; ","")&amp;IF(AX60&gt;0,"Bud Factor X "&amp;AX60&amp;" ml/L; ","")&amp;IF(AY60&gt;0,"Sensizym "&amp;AY60&amp;" ml/L; ","")&amp;IF(AZ60&gt;0,"Rhino Skin "&amp;AZ60&amp;" ml/L; ","")&amp;IF(BA60&gt;0,"Bud Ignitor "&amp;BA60&amp;" ml/L; ","")&amp;IF(BB60&gt;0,"Big Bud "&amp;BB60&amp;" ml/L; ","")&amp;IF(BC60&gt;0,"Overdrive "&amp;BC60&amp;" ml/L; ","")&amp;IF(BD60&gt;0,"Tasty Terpenes "&amp;BD60&amp;" ml/L; ","")&amp;IF(BE60&gt;0,"Sensi CalMag "&amp;BE60&amp;" ml/L",""))</x:f>
        <x:v>keine AN-Dosis heute</x:v>
      </x:c>
      <x:c r="BI60" s="60" t="n">
        <x:f>IF(ISNUMBER('01_Run_Config'!$B$91),IF(B60&lt;'01_Run_Config'!$B$91,"PRE",B60-'01_Run_Config'!$B$91),"PRE")</x:f>
        <x:v>56</x:v>
      </x:c>
      <x:c r="BJ60" s="60" t="str">
        <x:f>IF(ISNUMBER('01_Run_Config'!$B$92),IF(B60&lt;'01_Run_Config'!$B$92,"PRE",B60-'01_Run_Config'!$B$92),"PRE")</x:f>
        <x:v>PRE</x:v>
      </x:c>
      <x:c r="BK60" s="60" t="str">
        <x:f>IF(ISNUMBER('01_Run_Config'!$B$93),IF(B60&lt;'01_Run_Config'!$B$93,"PRE",B60-'01_Run_Config'!$B$93),"PRE")</x:f>
        <x:v>PRE</x:v>
      </x:c>
      <x:c r="BL60" s="2482" t="n">
        <x:f>IF(BM60=5.8,5.8,5.8)</x:f>
        <x:v>5.8</x:v>
      </x:c>
      <x:c r="BM60" s="2482" t="n">
        <x:f>IF(A60&lt;IF(ISNUMBER('01_Run_Config'!$B$81),'01_Run_Config'!$B$81,15),5.8,6)</x:f>
        <x:v>6</x:v>
      </x:c>
      <x:c r="BN60" s="2482" t="n">
        <x:f>IF(BM60=5.8,5.8,6.2)</x:f>
        <x:v>6.2</x:v>
      </x:c>
      <x:c r="BO60" s="60" t="str">
        <x:f>IF(BM60=5.8,"Eazy Plug/Block: Herstellerziel 5.80","Final Coco: UKD 6.00 = Mitte HESI 5.8–6.2")</x:f>
        <x:v>Final Coco: UKD 6.00 = Mitte HESI 5.8–6.2</x:v>
      </x:c>
      <x:c r="BP60" s="60" t="str">
        <x:f>IF(A60&lt;2,"PRE-EMERGENCE: Balance normalerweise nicht nötig",IF(BM60=5.8,"ab Durchbruch AVAILABLE IF endmix &lt; 5.80","AVAILABLE IF endmix &lt; 6.00"))</x:f>
        <x:v>AVAILABLE IF endmix &lt; 6.00</x:v>
      </x:c>
      <x:c r="BQ60" s="60" t="str">
        <x:f>IF(A60=0,"Run Day 0 = Aussaat 21.08.2026; Plant Day beginnt erst beim Durchbruch.",IF(A60=2,"P59 Double Grape: 23.08.2026 = Plant Day 0.","Daily pH is a projection; actual root-stage/event overrides calendar."))</x:f>
        <x:v>Daily pH is a projection; actual root-stage/event overrides calendar.</x:v>
      </x:c>
    </x:row>
    <x:row r="61">
      <x:c r="A61" s="34" t="n">
        <x:v>59</x:v>
      </x:c>
      <x:c r="B61" s="129" t="n">
        <x:f>'01_Run_Config'!$B$4+A61</x:f>
        <x:v>46314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f>BM61</x:f>
        <x:v>6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IF(A61&lt;=14,2.5,0)</x:f>
        <x:v>0</x:v>
      </x:c>
      <x:c r="X61" s="63" t="n">
        <x:f>IF('01_Run_Config'!$B$50="AN Sensizym",0,IF(AND(A61&gt;='01_Run_Config'!$B$32,OR(AL61="",AL61&lt;=49)),2,0))</x:f>
        <x:v>2</x:v>
      </x:c>
      <x:c r="Y61" s="63" t="n">
        <x:f>0.015</x:f>
        <x:v>0.015</x:v>
      </x:c>
      <x:c r="Z61" s="63" t="n">
        <x:f>IF('01_Run_Config'!$B$51="HESI Hesilicio",2,0)</x:f>
        <x:v>0</x:v>
      </x:c>
      <x:c r="AA61" s="63" t="n">
        <x:f>IF('01_Run_Config'!$B$48="AN Bud Candy (replaces HESI Boost)",0,IF(AND(A61&gt;='01_Run_Config'!$B$33,MOD(A61-'01_Run_Config'!$B$33,7)=0),2,0))</x:f>
        <x:v>0</x:v>
      </x:c>
      <x:c r="AB61" s="63" t="n">
        <x:f>IF('01_Run_Config'!$B$52="AN Bud Ignitor &gt; Big Bud &gt; Overdrive",0,IF(AND(ISNUMBER(AL61),AL61&gt;=29,AL61&lt;=42),0.25+((AL61-29)/13)*0.25,0))</x:f>
        <x:v>0.3076923076923077</x:v>
      </x:c>
      <x:c r="AC61" s="63" t="n">
        <x:f>IF('01_Run_Config'!$B$46="OFF",0,IF(OR(AND(A61&gt;='01_Run_Config'!$B$32,A61&lt;='01_Run_Config'!$B$32+13),AND(A61&gt;='01_Run_Config'!$B$33,A61&lt;='01_Run_Config'!$B$33+13)),2,0))</x:f>
        <x:v>0</x:v>
      </x:c>
      <x:c r="AD61" s="63" t="str">
        <x:f>IF(BG61="BLOCK","HYBRID BLOCKED - Konfiguration prüfen",IF(SUM(AC61,AT61:BF61)&gt;0,"AN aktiv: "&amp;BH61,"AN: keine Dosis heute / Module aus"))</x:f>
        <x:v>AN: keine Dosis heute / Module aus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1" s="34" t="str">
        <x:f>IF(A61&lt;2,"PRE-EMERGENCE · kein Kalenderwert","AVAILABLE IF NEEDED · nur wenn vollständiger Endmix unter pH-Ziel liegt")</x:f>
        <x:v>AVAILABLE IF NEEDED · nur wenn vollständiger Endmix unter pH-Ziel liegt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  <x:c r="AT61" t="n">
        <x:f>IF(AND('01_Run_Config'!$B$46="Voodoo + Piranha + Tarantula",AC61&gt;0),2,0)</x:f>
        <x:v>0</x:v>
      </x:c>
      <x:c r="AU61" t="n">
        <x:f>IF(AND(OR('01_Run_Config'!$B$46="Voodoo + Tarantula",'01_Run_Config'!$B$46="Voodoo + Piranha + Tarantula"),AC61&gt;0),2,0)</x:f>
        <x:v>0</x:v>
      </x:c>
      <x:c r="AV61" t="n">
        <x:f>IF('01_Run_Config'!$B$47&lt;&gt;"ON / A-B",0,IF(OR(AND(A61&gt;='01_Run_Config'!$B$32,A61&lt;'01_Run_Config'!$B$33),AND(ISNUMBER(AL61),AL61&gt;=15,AL61&lt;=49)),2,0))</x:f>
        <x:v>0</x:v>
      </x:c>
      <x:c r="AW61" t="n">
        <x:f>IF('01_Run_Config'!$B$48="AN Bud Candy (replaces HESI Boost)",IF(AND(A61&gt;='01_Run_Config'!$B$32,OR(AL61="",AL61&lt;=49)),2,0),0)</x:f>
        <x:v>0</x:v>
      </x:c>
      <x:c r="AX61" t="n">
        <x:f>IF('01_Run_Config'!$B$49&lt;&gt;"ON / EXPERIMENTAL",0,IF(OR(AND(A61&gt;='01_Run_Config'!$B$32+7,A61&lt;'01_Run_Config'!$B$33),AND(ISNUMBER(AL61),AL61&gt;=1,AL61&lt;=49)),2,0))</x:f>
        <x:v>0</x:v>
      </x:c>
      <x:c r="AY61" t="n">
        <x:f>IF('01_Run_Config'!$B$50="AN Sensizym",IF(AND(A61&gt;='01_Run_Config'!$B$32,OR(AL61="",AL61&lt;=49)),2,0),0)</x:f>
        <x:v>0</x:v>
      </x:c>
      <x:c r="AZ61" t="n">
        <x:f>IF('01_Run_Config'!$B$51="AN Rhino Skin",IF(AND(A61&gt;='01_Run_Config'!$B$32,OR(AL61="",AL61&lt;=49)),2,0),0)</x:f>
        <x:v>0</x:v>
      </x:c>
      <x:c r="BA61" t="n">
        <x:f>IF(AND('01_Run_Config'!$B$52="AN Bud Ignitor &gt; Big Bud &gt; Overdrive",ISNUMBER(AL61),AL61&gt;=1,AL61&lt;=14),2,0)</x:f>
        <x:v>0</x:v>
      </x:c>
      <x:c r="BB61" t="n">
        <x:f>IF(AND('01_Run_Config'!$B$52="AN Bud Ignitor &gt; Big Bud &gt; Overdrive",ISNUMBER(AL61),AL61&gt;=8,AL61&lt;=35),2,0)</x:f>
        <x:v>0</x:v>
      </x:c>
      <x:c r="BC61" t="n">
        <x:f>IF(AND('01_Run_Config'!$B$52="AN Bud Ignitor &gt; Big Bud &gt; Overdrive",ISNUMBER(AL61),AL61&gt;=36,AL61&lt;=49),2,0)</x:f>
        <x:v>0</x:v>
      </x:c>
      <x:c r="BD61" t="n">
        <x:f>IF('01_Run_Config'!$B$53="ON / EXPERIMENTAL",IF(OR(AND(A61&gt;='01_Run_Config'!$B$32,A61&lt;'01_Run_Config'!$B$33),AND(ISNUMBER(AL61),AL61&gt;=15,AL61&lt;=49)),2,0),0)</x:f>
        <x:v>0</x:v>
      </x:c>
      <x:c r="BE61" t="n">
        <x:f>IF('01_Run_Config'!$B$54="AN Sensi CalMag Xtra conditional",'01_Run_Config'!$B$17,0)</x:f>
        <x:v>0</x:v>
      </x:c>
      <x:c r="BF61" t="n">
        <x:f>0</x:f>
        <x:v>0</x:v>
      </x:c>
      <x:c r="BG61" t="str">
        <x:f>'01_Run_Config'!$E$57</x:f>
        <x:v>OK</x:v>
      </x:c>
      <x:c r="BH61" t="str">
        <x:f>IF(SUM(AC61,AT61:BF61)=0,"keine AN-Dosis heute",IF(AC61&gt;0,"Voodoo "&amp;AC61&amp;" ml/L; ","")&amp;IF(AT61&gt;0,"Piranha "&amp;AT61&amp;" ml/L; ","")&amp;IF(AU61&gt;0,"Tarantula "&amp;AU61&amp;" ml/L; ","")&amp;IF(AV61&gt;0,"B-52 "&amp;AV61&amp;" ml/L; ","")&amp;IF(AW61&gt;0,"Bud Candy "&amp;AW61&amp;" ml/L; ","")&amp;IF(AX61&gt;0,"Bud Factor X "&amp;AX61&amp;" ml/L; ","")&amp;IF(AY61&gt;0,"Sensizym "&amp;AY61&amp;" ml/L; ","")&amp;IF(AZ61&gt;0,"Rhino Skin "&amp;AZ61&amp;" ml/L; ","")&amp;IF(BA61&gt;0,"Bud Ignitor "&amp;BA61&amp;" ml/L; ","")&amp;IF(BB61&gt;0,"Big Bud "&amp;BB61&amp;" ml/L; ","")&amp;IF(BC61&gt;0,"Overdrive "&amp;BC61&amp;" ml/L; ","")&amp;IF(BD61&gt;0,"Tasty Terpenes "&amp;BD61&amp;" ml/L; ","")&amp;IF(BE61&gt;0,"Sensi CalMag "&amp;BE61&amp;" ml/L",""))</x:f>
        <x:v>keine AN-Dosis heute</x:v>
      </x:c>
      <x:c r="BI61" s="60" t="n">
        <x:f>IF(ISNUMBER('01_Run_Config'!$B$91),IF(B61&lt;'01_Run_Config'!$B$91,"PRE",B61-'01_Run_Config'!$B$91),"PRE")</x:f>
        <x:v>57</x:v>
      </x:c>
      <x:c r="BJ61" s="60" t="str">
        <x:f>IF(ISNUMBER('01_Run_Config'!$B$92),IF(B61&lt;'01_Run_Config'!$B$92,"PRE",B61-'01_Run_Config'!$B$92),"PRE")</x:f>
        <x:v>PRE</x:v>
      </x:c>
      <x:c r="BK61" s="60" t="str">
        <x:f>IF(ISNUMBER('01_Run_Config'!$B$93),IF(B61&lt;'01_Run_Config'!$B$93,"PRE",B61-'01_Run_Config'!$B$93),"PRE")</x:f>
        <x:v>PRE</x:v>
      </x:c>
      <x:c r="BL61" s="2482" t="n">
        <x:f>IF(BM61=5.8,5.8,5.8)</x:f>
        <x:v>5.8</x:v>
      </x:c>
      <x:c r="BM61" s="2482" t="n">
        <x:f>IF(A61&lt;IF(ISNUMBER('01_Run_Config'!$B$81),'01_Run_Config'!$B$81,15),5.8,6)</x:f>
        <x:v>6</x:v>
      </x:c>
      <x:c r="BN61" s="2482" t="n">
        <x:f>IF(BM61=5.8,5.8,6.2)</x:f>
        <x:v>6.2</x:v>
      </x:c>
      <x:c r="BO61" s="60" t="str">
        <x:f>IF(BM61=5.8,"Eazy Plug/Block: Herstellerziel 5.80","Final Coco: UKD 6.00 = Mitte HESI 5.8–6.2")</x:f>
        <x:v>Final Coco: UKD 6.00 = Mitte HESI 5.8–6.2</x:v>
      </x:c>
      <x:c r="BP61" s="60" t="str">
        <x:f>IF(A61&lt;2,"PRE-EMERGENCE: Balance normalerweise nicht nötig",IF(BM61=5.8,"ab Durchbruch AVAILABLE IF endmix &lt; 5.80","AVAILABLE IF endmix &lt; 6.00"))</x:f>
        <x:v>AVAILABLE IF endmix &lt; 6.00</x:v>
      </x:c>
      <x:c r="BQ61" s="60" t="str">
        <x:f>IF(A61=0,"Run Day 0 = Aussaat 21.08.2026; Plant Day beginnt erst beim Durchbruch.",IF(A61=2,"P60 Double Grape: 23.08.2026 = Plant Day 0.","Daily pH is a projection; actual root-stage/event overrides calendar."))</x:f>
        <x:v>Daily pH is a projection; actual root-stage/event overrides calendar.</x:v>
      </x:c>
    </x:row>
    <x:row r="62">
      <x:c r="A62" s="34" t="n">
        <x:v>60</x:v>
      </x:c>
      <x:c r="B62" s="129" t="n">
        <x:f>'01_Run_Config'!$B$4+A62</x:f>
        <x:v>46315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f>BM62</x:f>
        <x:v>6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IF(A62&lt;=14,2.5,0)</x:f>
        <x:v>0</x:v>
      </x:c>
      <x:c r="X62" s="63" t="n">
        <x:f>IF('01_Run_Config'!$B$50="AN Sensizym",0,IF(AND(A62&gt;='01_Run_Config'!$B$32,OR(AL62="",AL62&lt;=49)),2,0))</x:f>
        <x:v>2</x:v>
      </x:c>
      <x:c r="Y62" s="63" t="n">
        <x:f>0.015</x:f>
        <x:v>0.015</x:v>
      </x:c>
      <x:c r="Z62" s="63" t="n">
        <x:f>IF('01_Run_Config'!$B$51="HESI Hesilicio",2,0)</x:f>
        <x:v>0</x:v>
      </x:c>
      <x:c r="AA62" s="63" t="n">
        <x:f>IF('01_Run_Config'!$B$48="AN Bud Candy (replaces HESI Boost)",0,IF(AND(A62&gt;='01_Run_Config'!$B$33,MOD(A62-'01_Run_Config'!$B$33,7)=0),2,0))</x:f>
        <x:v>0</x:v>
      </x:c>
      <x:c r="AB62" s="63" t="n">
        <x:f>IF('01_Run_Config'!$B$52="AN Bud Ignitor &gt; Big Bud &gt; Overdrive",0,IF(AND(ISNUMBER(AL62),AL62&gt;=29,AL62&lt;=42),0.25+((AL62-29)/13)*0.25,0))</x:f>
        <x:v>0.3269230769230769</x:v>
      </x:c>
      <x:c r="AC62" s="63" t="n">
        <x:f>IF('01_Run_Config'!$B$46="OFF",0,IF(OR(AND(A62&gt;='01_Run_Config'!$B$32,A62&lt;='01_Run_Config'!$B$32+13),AND(A62&gt;='01_Run_Config'!$B$33,A62&lt;='01_Run_Config'!$B$33+13)),2,0))</x:f>
        <x:v>0</x:v>
      </x:c>
      <x:c r="AD62" s="63" t="str">
        <x:f>IF(BG62="BLOCK","HYBRID BLOCKED - Konfiguration prüfen",IF(SUM(AC62,AT62:BF62)&gt;0,"AN aktiv: "&amp;BH62,"AN: keine Dosis heute / Module aus"))</x:f>
        <x:v>AN: keine Dosis heute / Module aus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2" s="34" t="str">
        <x:f>IF(A62&lt;2,"PRE-EMERGENCE · kein Kalenderwert","AVAILABLE IF NEEDED · nur wenn vollständiger Endmix unter pH-Ziel liegt")</x:f>
        <x:v>AVAILABLE IF NEEDED · nur wenn vollständiger Endmix unter pH-Ziel liegt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  <x:c r="AT62" t="n">
        <x:f>IF(AND('01_Run_Config'!$B$46="Voodoo + Piranha + Tarantula",AC62&gt;0),2,0)</x:f>
        <x:v>0</x:v>
      </x:c>
      <x:c r="AU62" t="n">
        <x:f>IF(AND(OR('01_Run_Config'!$B$46="Voodoo + Tarantula",'01_Run_Config'!$B$46="Voodoo + Piranha + Tarantula"),AC62&gt;0),2,0)</x:f>
        <x:v>0</x:v>
      </x:c>
      <x:c r="AV62" t="n">
        <x:f>IF('01_Run_Config'!$B$47&lt;&gt;"ON / A-B",0,IF(OR(AND(A62&gt;='01_Run_Config'!$B$32,A62&lt;'01_Run_Config'!$B$33),AND(ISNUMBER(AL62),AL62&gt;=15,AL62&lt;=49)),2,0))</x:f>
        <x:v>0</x:v>
      </x:c>
      <x:c r="AW62" t="n">
        <x:f>IF('01_Run_Config'!$B$48="AN Bud Candy (replaces HESI Boost)",IF(AND(A62&gt;='01_Run_Config'!$B$32,OR(AL62="",AL62&lt;=49)),2,0),0)</x:f>
        <x:v>0</x:v>
      </x:c>
      <x:c r="AX62" t="n">
        <x:f>IF('01_Run_Config'!$B$49&lt;&gt;"ON / EXPERIMENTAL",0,IF(OR(AND(A62&gt;='01_Run_Config'!$B$32+7,A62&lt;'01_Run_Config'!$B$33),AND(ISNUMBER(AL62),AL62&gt;=1,AL62&lt;=49)),2,0))</x:f>
        <x:v>0</x:v>
      </x:c>
      <x:c r="AY62" t="n">
        <x:f>IF('01_Run_Config'!$B$50="AN Sensizym",IF(AND(A62&gt;='01_Run_Config'!$B$32,OR(AL62="",AL62&lt;=49)),2,0),0)</x:f>
        <x:v>0</x:v>
      </x:c>
      <x:c r="AZ62" t="n">
        <x:f>IF('01_Run_Config'!$B$51="AN Rhino Skin",IF(AND(A62&gt;='01_Run_Config'!$B$32,OR(AL62="",AL62&lt;=49)),2,0),0)</x:f>
        <x:v>0</x:v>
      </x:c>
      <x:c r="BA62" t="n">
        <x:f>IF(AND('01_Run_Config'!$B$52="AN Bud Ignitor &gt; Big Bud &gt; Overdrive",ISNUMBER(AL62),AL62&gt;=1,AL62&lt;=14),2,0)</x:f>
        <x:v>0</x:v>
      </x:c>
      <x:c r="BB62" t="n">
        <x:f>IF(AND('01_Run_Config'!$B$52="AN Bud Ignitor &gt; Big Bud &gt; Overdrive",ISNUMBER(AL62),AL62&gt;=8,AL62&lt;=35),2,0)</x:f>
        <x:v>0</x:v>
      </x:c>
      <x:c r="BC62" t="n">
        <x:f>IF(AND('01_Run_Config'!$B$52="AN Bud Ignitor &gt; Big Bud &gt; Overdrive",ISNUMBER(AL62),AL62&gt;=36,AL62&lt;=49),2,0)</x:f>
        <x:v>0</x:v>
      </x:c>
      <x:c r="BD62" t="n">
        <x:f>IF('01_Run_Config'!$B$53="ON / EXPERIMENTAL",IF(OR(AND(A62&gt;='01_Run_Config'!$B$32,A62&lt;'01_Run_Config'!$B$33),AND(ISNUMBER(AL62),AL62&gt;=15,AL62&lt;=49)),2,0),0)</x:f>
        <x:v>0</x:v>
      </x:c>
      <x:c r="BE62" t="n">
        <x:f>IF('01_Run_Config'!$B$54="AN Sensi CalMag Xtra conditional",'01_Run_Config'!$B$17,0)</x:f>
        <x:v>0</x:v>
      </x:c>
      <x:c r="BF62" t="n">
        <x:f>0</x:f>
        <x:v>0</x:v>
      </x:c>
      <x:c r="BG62" t="str">
        <x:f>'01_Run_Config'!$E$57</x:f>
        <x:v>OK</x:v>
      </x:c>
      <x:c r="BH62" t="str">
        <x:f>IF(SUM(AC62,AT62:BF62)=0,"keine AN-Dosis heute",IF(AC62&gt;0,"Voodoo "&amp;AC62&amp;" ml/L; ","")&amp;IF(AT62&gt;0,"Piranha "&amp;AT62&amp;" ml/L; ","")&amp;IF(AU62&gt;0,"Tarantula "&amp;AU62&amp;" ml/L; ","")&amp;IF(AV62&gt;0,"B-52 "&amp;AV62&amp;" ml/L; ","")&amp;IF(AW62&gt;0,"Bud Candy "&amp;AW62&amp;" ml/L; ","")&amp;IF(AX62&gt;0,"Bud Factor X "&amp;AX62&amp;" ml/L; ","")&amp;IF(AY62&gt;0,"Sensizym "&amp;AY62&amp;" ml/L; ","")&amp;IF(AZ62&gt;0,"Rhino Skin "&amp;AZ62&amp;" ml/L; ","")&amp;IF(BA62&gt;0,"Bud Ignitor "&amp;BA62&amp;" ml/L; ","")&amp;IF(BB62&gt;0,"Big Bud "&amp;BB62&amp;" ml/L; ","")&amp;IF(BC62&gt;0,"Overdrive "&amp;BC62&amp;" ml/L; ","")&amp;IF(BD62&gt;0,"Tasty Terpenes "&amp;BD62&amp;" ml/L; ","")&amp;IF(BE62&gt;0,"Sensi CalMag "&amp;BE62&amp;" ml/L",""))</x:f>
        <x:v>keine AN-Dosis heute</x:v>
      </x:c>
      <x:c r="BI62" s="60" t="n">
        <x:f>IF(ISNUMBER('01_Run_Config'!$B$91),IF(B62&lt;'01_Run_Config'!$B$91,"PRE",B62-'01_Run_Config'!$B$91),"PRE")</x:f>
        <x:v>58</x:v>
      </x:c>
      <x:c r="BJ62" s="60" t="str">
        <x:f>IF(ISNUMBER('01_Run_Config'!$B$92),IF(B62&lt;'01_Run_Config'!$B$92,"PRE",B62-'01_Run_Config'!$B$92),"PRE")</x:f>
        <x:v>PRE</x:v>
      </x:c>
      <x:c r="BK62" s="60" t="str">
        <x:f>IF(ISNUMBER('01_Run_Config'!$B$93),IF(B62&lt;'01_Run_Config'!$B$93,"PRE",B62-'01_Run_Config'!$B$93),"PRE")</x:f>
        <x:v>PRE</x:v>
      </x:c>
      <x:c r="BL62" s="2482" t="n">
        <x:f>IF(BM62=5.8,5.8,5.8)</x:f>
        <x:v>5.8</x:v>
      </x:c>
      <x:c r="BM62" s="2482" t="n">
        <x:f>IF(A62&lt;IF(ISNUMBER('01_Run_Config'!$B$81),'01_Run_Config'!$B$81,15),5.8,6)</x:f>
        <x:v>6</x:v>
      </x:c>
      <x:c r="BN62" s="2482" t="n">
        <x:f>IF(BM62=5.8,5.8,6.2)</x:f>
        <x:v>6.2</x:v>
      </x:c>
      <x:c r="BO62" s="60" t="str">
        <x:f>IF(BM62=5.8,"Eazy Plug/Block: Herstellerziel 5.80","Final Coco: UKD 6.00 = Mitte HESI 5.8–6.2")</x:f>
        <x:v>Final Coco: UKD 6.00 = Mitte HESI 5.8–6.2</x:v>
      </x:c>
      <x:c r="BP62" s="60" t="str">
        <x:f>IF(A62&lt;2,"PRE-EMERGENCE: Balance normalerweise nicht nötig",IF(BM62=5.8,"ab Durchbruch AVAILABLE IF endmix &lt; 5.80","AVAILABLE IF endmix &lt; 6.00"))</x:f>
        <x:v>AVAILABLE IF endmix &lt; 6.00</x:v>
      </x:c>
      <x:c r="BQ62" s="60" t="str">
        <x:f>IF(A62=0,"Run Day 0 = Aussaat 21.08.2026; Plant Day beginnt erst beim Durchbruch.",IF(A62=2,"P61 Double Grape: 23.08.2026 = Plant Day 0.","Daily pH is a projection; actual root-stage/event overrides calendar."))</x:f>
        <x:v>Daily pH is a projection; actual root-stage/event overrides calendar.</x:v>
      </x:c>
    </x:row>
    <x:row r="63">
      <x:c r="A63" s="34" t="n">
        <x:v>61</x:v>
      </x:c>
      <x:c r="B63" s="129" t="n">
        <x:f>'01_Run_Config'!$B$4+A63</x:f>
        <x:v>46316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f>BM63</x:f>
        <x:v>6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IF(A63&lt;=14,2.5,0)</x:f>
        <x:v>0</x:v>
      </x:c>
      <x:c r="X63" s="63" t="n">
        <x:f>IF('01_Run_Config'!$B$50="AN Sensizym",0,IF(AND(A63&gt;='01_Run_Config'!$B$32,OR(AL63="",AL63&lt;=49)),2,0))</x:f>
        <x:v>2</x:v>
      </x:c>
      <x:c r="Y63" s="63" t="n">
        <x:f>0.015</x:f>
        <x:v>0.015</x:v>
      </x:c>
      <x:c r="Z63" s="63" t="n">
        <x:f>IF('01_Run_Config'!$B$51="HESI Hesilicio",2,0)</x:f>
        <x:v>0</x:v>
      </x:c>
      <x:c r="AA63" s="63" t="n">
        <x:f>IF('01_Run_Config'!$B$48="AN Bud Candy (replaces HESI Boost)",0,IF(AND(A63&gt;='01_Run_Config'!$B$33,MOD(A63-'01_Run_Config'!$B$33,7)=0),2,0))</x:f>
        <x:v>0</x:v>
      </x:c>
      <x:c r="AB63" s="63" t="n">
        <x:f>IF('01_Run_Config'!$B$52="AN Bud Ignitor &gt; Big Bud &gt; Overdrive",0,IF(AND(ISNUMBER(AL63),AL63&gt;=29,AL63&lt;=42),0.25+((AL63-29)/13)*0.25,0))</x:f>
        <x:v>0.34615384615384615</x:v>
      </x:c>
      <x:c r="AC63" s="63" t="n">
        <x:f>IF('01_Run_Config'!$B$46="OFF",0,IF(OR(AND(A63&gt;='01_Run_Config'!$B$32,A63&lt;='01_Run_Config'!$B$32+13),AND(A63&gt;='01_Run_Config'!$B$33,A63&lt;='01_Run_Config'!$B$33+13)),2,0))</x:f>
        <x:v>0</x:v>
      </x:c>
      <x:c r="AD63" s="63" t="str">
        <x:f>IF(BG63="BLOCK","HYBRID BLOCKED - Konfiguration prüfen",IF(SUM(AC63,AT63:BF63)&gt;0,"AN aktiv: "&amp;BH63,"AN: keine Dosis heute / Module aus"))</x:f>
        <x:v>AN: keine Dosis heute / Module aus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3" s="34" t="str">
        <x:f>IF(A63&lt;2,"PRE-EMERGENCE · kein Kalenderwert","AVAILABLE IF NEEDED · nur wenn vollständiger Endmix unter pH-Ziel liegt")</x:f>
        <x:v>AVAILABLE IF NEEDED · nur wenn vollständiger Endmix unter pH-Ziel liegt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  <x:c r="AT63" t="n">
        <x:f>IF(AND('01_Run_Config'!$B$46="Voodoo + Piranha + Tarantula",AC63&gt;0),2,0)</x:f>
        <x:v>0</x:v>
      </x:c>
      <x:c r="AU63" t="n">
        <x:f>IF(AND(OR('01_Run_Config'!$B$46="Voodoo + Tarantula",'01_Run_Config'!$B$46="Voodoo + Piranha + Tarantula"),AC63&gt;0),2,0)</x:f>
        <x:v>0</x:v>
      </x:c>
      <x:c r="AV63" t="n">
        <x:f>IF('01_Run_Config'!$B$47&lt;&gt;"ON / A-B",0,IF(OR(AND(A63&gt;='01_Run_Config'!$B$32,A63&lt;'01_Run_Config'!$B$33),AND(ISNUMBER(AL63),AL63&gt;=15,AL63&lt;=49)),2,0))</x:f>
        <x:v>0</x:v>
      </x:c>
      <x:c r="AW63" t="n">
        <x:f>IF('01_Run_Config'!$B$48="AN Bud Candy (replaces HESI Boost)",IF(AND(A63&gt;='01_Run_Config'!$B$32,OR(AL63="",AL63&lt;=49)),2,0),0)</x:f>
        <x:v>0</x:v>
      </x:c>
      <x:c r="AX63" t="n">
        <x:f>IF('01_Run_Config'!$B$49&lt;&gt;"ON / EXPERIMENTAL",0,IF(OR(AND(A63&gt;='01_Run_Config'!$B$32+7,A63&lt;'01_Run_Config'!$B$33),AND(ISNUMBER(AL63),AL63&gt;=1,AL63&lt;=49)),2,0))</x:f>
        <x:v>0</x:v>
      </x:c>
      <x:c r="AY63" t="n">
        <x:f>IF('01_Run_Config'!$B$50="AN Sensizym",IF(AND(A63&gt;='01_Run_Config'!$B$32,OR(AL63="",AL63&lt;=49)),2,0),0)</x:f>
        <x:v>0</x:v>
      </x:c>
      <x:c r="AZ63" t="n">
        <x:f>IF('01_Run_Config'!$B$51="AN Rhino Skin",IF(AND(A63&gt;='01_Run_Config'!$B$32,OR(AL63="",AL63&lt;=49)),2,0),0)</x:f>
        <x:v>0</x:v>
      </x:c>
      <x:c r="BA63" t="n">
        <x:f>IF(AND('01_Run_Config'!$B$52="AN Bud Ignitor &gt; Big Bud &gt; Overdrive",ISNUMBER(AL63),AL63&gt;=1,AL63&lt;=14),2,0)</x:f>
        <x:v>0</x:v>
      </x:c>
      <x:c r="BB63" t="n">
        <x:f>IF(AND('01_Run_Config'!$B$52="AN Bud Ignitor &gt; Big Bud &gt; Overdrive",ISNUMBER(AL63),AL63&gt;=8,AL63&lt;=35),2,0)</x:f>
        <x:v>0</x:v>
      </x:c>
      <x:c r="BC63" t="n">
        <x:f>IF(AND('01_Run_Config'!$B$52="AN Bud Ignitor &gt; Big Bud &gt; Overdrive",ISNUMBER(AL63),AL63&gt;=36,AL63&lt;=49),2,0)</x:f>
        <x:v>0</x:v>
      </x:c>
      <x:c r="BD63" t="n">
        <x:f>IF('01_Run_Config'!$B$53="ON / EXPERIMENTAL",IF(OR(AND(A63&gt;='01_Run_Config'!$B$32,A63&lt;'01_Run_Config'!$B$33),AND(ISNUMBER(AL63),AL63&gt;=15,AL63&lt;=49)),2,0),0)</x:f>
        <x:v>0</x:v>
      </x:c>
      <x:c r="BE63" t="n">
        <x:f>IF('01_Run_Config'!$B$54="AN Sensi CalMag Xtra conditional",'01_Run_Config'!$B$17,0)</x:f>
        <x:v>0</x:v>
      </x:c>
      <x:c r="BF63" t="n">
        <x:f>0</x:f>
        <x:v>0</x:v>
      </x:c>
      <x:c r="BG63" t="str">
        <x:f>'01_Run_Config'!$E$57</x:f>
        <x:v>OK</x:v>
      </x:c>
      <x:c r="BH63" t="str">
        <x:f>IF(SUM(AC63,AT63:BF63)=0,"keine AN-Dosis heute",IF(AC63&gt;0,"Voodoo "&amp;AC63&amp;" ml/L; ","")&amp;IF(AT63&gt;0,"Piranha "&amp;AT63&amp;" ml/L; ","")&amp;IF(AU63&gt;0,"Tarantula "&amp;AU63&amp;" ml/L; ","")&amp;IF(AV63&gt;0,"B-52 "&amp;AV63&amp;" ml/L; ","")&amp;IF(AW63&gt;0,"Bud Candy "&amp;AW63&amp;" ml/L; ","")&amp;IF(AX63&gt;0,"Bud Factor X "&amp;AX63&amp;" ml/L; ","")&amp;IF(AY63&gt;0,"Sensizym "&amp;AY63&amp;" ml/L; ","")&amp;IF(AZ63&gt;0,"Rhino Skin "&amp;AZ63&amp;" ml/L; ","")&amp;IF(BA63&gt;0,"Bud Ignitor "&amp;BA63&amp;" ml/L; ","")&amp;IF(BB63&gt;0,"Big Bud "&amp;BB63&amp;" ml/L; ","")&amp;IF(BC63&gt;0,"Overdrive "&amp;BC63&amp;" ml/L; ","")&amp;IF(BD63&gt;0,"Tasty Terpenes "&amp;BD63&amp;" ml/L; ","")&amp;IF(BE63&gt;0,"Sensi CalMag "&amp;BE63&amp;" ml/L",""))</x:f>
        <x:v>keine AN-Dosis heute</x:v>
      </x:c>
      <x:c r="BI63" s="60" t="n">
        <x:f>IF(ISNUMBER('01_Run_Config'!$B$91),IF(B63&lt;'01_Run_Config'!$B$91,"PRE",B63-'01_Run_Config'!$B$91),"PRE")</x:f>
        <x:v>59</x:v>
      </x:c>
      <x:c r="BJ63" s="60" t="str">
        <x:f>IF(ISNUMBER('01_Run_Config'!$B$92),IF(B63&lt;'01_Run_Config'!$B$92,"PRE",B63-'01_Run_Config'!$B$92),"PRE")</x:f>
        <x:v>PRE</x:v>
      </x:c>
      <x:c r="BK63" s="60" t="str">
        <x:f>IF(ISNUMBER('01_Run_Config'!$B$93),IF(B63&lt;'01_Run_Config'!$B$93,"PRE",B63-'01_Run_Config'!$B$93),"PRE")</x:f>
        <x:v>PRE</x:v>
      </x:c>
      <x:c r="BL63" s="2482" t="n">
        <x:f>IF(BM63=5.8,5.8,5.8)</x:f>
        <x:v>5.8</x:v>
      </x:c>
      <x:c r="BM63" s="2482" t="n">
        <x:f>IF(A63&lt;IF(ISNUMBER('01_Run_Config'!$B$81),'01_Run_Config'!$B$81,15),5.8,6)</x:f>
        <x:v>6</x:v>
      </x:c>
      <x:c r="BN63" s="2482" t="n">
        <x:f>IF(BM63=5.8,5.8,6.2)</x:f>
        <x:v>6.2</x:v>
      </x:c>
      <x:c r="BO63" s="60" t="str">
        <x:f>IF(BM63=5.8,"Eazy Plug/Block: Herstellerziel 5.80","Final Coco: UKD 6.00 = Mitte HESI 5.8–6.2")</x:f>
        <x:v>Final Coco: UKD 6.00 = Mitte HESI 5.8–6.2</x:v>
      </x:c>
      <x:c r="BP63" s="60" t="str">
        <x:f>IF(A63&lt;2,"PRE-EMERGENCE: Balance normalerweise nicht nötig",IF(BM63=5.8,"ab Durchbruch AVAILABLE IF endmix &lt; 5.80","AVAILABLE IF endmix &lt; 6.00"))</x:f>
        <x:v>AVAILABLE IF endmix &lt; 6.00</x:v>
      </x:c>
      <x:c r="BQ63" s="60" t="str">
        <x:f>IF(A63=0,"Run Day 0 = Aussaat 21.08.2026; Plant Day beginnt erst beim Durchbruch.",IF(A63=2,"P62 Double Grape: 23.08.2026 = Plant Day 0.","Daily pH is a projection; actual root-stage/event overrides calendar."))</x:f>
        <x:v>Daily pH is a projection; actual root-stage/event overrides calendar.</x:v>
      </x:c>
    </x:row>
    <x:row r="64">
      <x:c r="A64" s="34" t="n">
        <x:v>62</x:v>
      </x:c>
      <x:c r="B64" s="129" t="n">
        <x:f>'01_Run_Config'!$B$4+A64</x:f>
        <x:v>46317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f>BM64</x:f>
        <x:v>6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IF(A64&lt;=14,2.5,0)</x:f>
        <x:v>0</x:v>
      </x:c>
      <x:c r="X64" s="63" t="n">
        <x:f>IF('01_Run_Config'!$B$50="AN Sensizym",0,IF(AND(A64&gt;='01_Run_Config'!$B$32,OR(AL64="",AL64&lt;=49)),2,0))</x:f>
        <x:v>2</x:v>
      </x:c>
      <x:c r="Y64" s="63" t="n">
        <x:f>0.015</x:f>
        <x:v>0.015</x:v>
      </x:c>
      <x:c r="Z64" s="63" t="n">
        <x:f>IF('01_Run_Config'!$B$51="HESI Hesilicio",2,0)</x:f>
        <x:v>0</x:v>
      </x:c>
      <x:c r="AA64" s="63" t="n">
        <x:f>IF('01_Run_Config'!$B$48="AN Bud Candy (replaces HESI Boost)",0,IF(AND(A64&gt;='01_Run_Config'!$B$33,MOD(A64-'01_Run_Config'!$B$33,7)=0),2,0))</x:f>
        <x:v>0</x:v>
      </x:c>
      <x:c r="AB64" s="63" t="n">
        <x:f>IF('01_Run_Config'!$B$52="AN Bud Ignitor &gt; Big Bud &gt; Overdrive",0,IF(AND(ISNUMBER(AL64),AL64&gt;=29,AL64&lt;=42),0.25+((AL64-29)/13)*0.25,0))</x:f>
        <x:v>0.3653846153846154</x:v>
      </x:c>
      <x:c r="AC64" s="63" t="n">
        <x:f>IF('01_Run_Config'!$B$46="OFF",0,IF(OR(AND(A64&gt;='01_Run_Config'!$B$32,A64&lt;='01_Run_Config'!$B$32+13),AND(A64&gt;='01_Run_Config'!$B$33,A64&lt;='01_Run_Config'!$B$33+13)),2,0))</x:f>
        <x:v>0</x:v>
      </x:c>
      <x:c r="AD64" s="63" t="str">
        <x:f>IF(BG64="BLOCK","HYBRID BLOCKED - Konfiguration prüfen",IF(SUM(AC64,AT64:BF64)&gt;0,"AN aktiv: "&amp;BH64,"AN: keine Dosis heute / Module aus"))</x:f>
        <x:v>AN: keine Dosis heute / Module aus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4" s="34" t="str">
        <x:f>IF(A64&lt;2,"PRE-EMERGENCE · kein Kalenderwert","AVAILABLE IF NEEDED · nur wenn vollständiger Endmix unter pH-Ziel liegt")</x:f>
        <x:v>AVAILABLE IF NEEDED · nur wenn vollständiger Endmix unter pH-Ziel liegt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  <x:c r="AT64" t="n">
        <x:f>IF(AND('01_Run_Config'!$B$46="Voodoo + Piranha + Tarantula",AC64&gt;0),2,0)</x:f>
        <x:v>0</x:v>
      </x:c>
      <x:c r="AU64" t="n">
        <x:f>IF(AND(OR('01_Run_Config'!$B$46="Voodoo + Tarantula",'01_Run_Config'!$B$46="Voodoo + Piranha + Tarantula"),AC64&gt;0),2,0)</x:f>
        <x:v>0</x:v>
      </x:c>
      <x:c r="AV64" t="n">
        <x:f>IF('01_Run_Config'!$B$47&lt;&gt;"ON / A-B",0,IF(OR(AND(A64&gt;='01_Run_Config'!$B$32,A64&lt;'01_Run_Config'!$B$33),AND(ISNUMBER(AL64),AL64&gt;=15,AL64&lt;=49)),2,0))</x:f>
        <x:v>0</x:v>
      </x:c>
      <x:c r="AW64" t="n">
        <x:f>IF('01_Run_Config'!$B$48="AN Bud Candy (replaces HESI Boost)",IF(AND(A64&gt;='01_Run_Config'!$B$32,OR(AL64="",AL64&lt;=49)),2,0),0)</x:f>
        <x:v>0</x:v>
      </x:c>
      <x:c r="AX64" t="n">
        <x:f>IF('01_Run_Config'!$B$49&lt;&gt;"ON / EXPERIMENTAL",0,IF(OR(AND(A64&gt;='01_Run_Config'!$B$32+7,A64&lt;'01_Run_Config'!$B$33),AND(ISNUMBER(AL64),AL64&gt;=1,AL64&lt;=49)),2,0))</x:f>
        <x:v>0</x:v>
      </x:c>
      <x:c r="AY64" t="n">
        <x:f>IF('01_Run_Config'!$B$50="AN Sensizym",IF(AND(A64&gt;='01_Run_Config'!$B$32,OR(AL64="",AL64&lt;=49)),2,0),0)</x:f>
        <x:v>0</x:v>
      </x:c>
      <x:c r="AZ64" t="n">
        <x:f>IF('01_Run_Config'!$B$51="AN Rhino Skin",IF(AND(A64&gt;='01_Run_Config'!$B$32,OR(AL64="",AL64&lt;=49)),2,0),0)</x:f>
        <x:v>0</x:v>
      </x:c>
      <x:c r="BA64" t="n">
        <x:f>IF(AND('01_Run_Config'!$B$52="AN Bud Ignitor &gt; Big Bud &gt; Overdrive",ISNUMBER(AL64),AL64&gt;=1,AL64&lt;=14),2,0)</x:f>
        <x:v>0</x:v>
      </x:c>
      <x:c r="BB64" t="n">
        <x:f>IF(AND('01_Run_Config'!$B$52="AN Bud Ignitor &gt; Big Bud &gt; Overdrive",ISNUMBER(AL64),AL64&gt;=8,AL64&lt;=35),2,0)</x:f>
        <x:v>0</x:v>
      </x:c>
      <x:c r="BC64" t="n">
        <x:f>IF(AND('01_Run_Config'!$B$52="AN Bud Ignitor &gt; Big Bud &gt; Overdrive",ISNUMBER(AL64),AL64&gt;=36,AL64&lt;=49),2,0)</x:f>
        <x:v>0</x:v>
      </x:c>
      <x:c r="BD64" t="n">
        <x:f>IF('01_Run_Config'!$B$53="ON / EXPERIMENTAL",IF(OR(AND(A64&gt;='01_Run_Config'!$B$32,A64&lt;'01_Run_Config'!$B$33),AND(ISNUMBER(AL64),AL64&gt;=15,AL64&lt;=49)),2,0),0)</x:f>
        <x:v>0</x:v>
      </x:c>
      <x:c r="BE64" t="n">
        <x:f>IF('01_Run_Config'!$B$54="AN Sensi CalMag Xtra conditional",'01_Run_Config'!$B$17,0)</x:f>
        <x:v>0</x:v>
      </x:c>
      <x:c r="BF64" t="n">
        <x:f>0</x:f>
        <x:v>0</x:v>
      </x:c>
      <x:c r="BG64" t="str">
        <x:f>'01_Run_Config'!$E$57</x:f>
        <x:v>OK</x:v>
      </x:c>
      <x:c r="BH64" t="str">
        <x:f>IF(SUM(AC64,AT64:BF64)=0,"keine AN-Dosis heute",IF(AC64&gt;0,"Voodoo "&amp;AC64&amp;" ml/L; ","")&amp;IF(AT64&gt;0,"Piranha "&amp;AT64&amp;" ml/L; ","")&amp;IF(AU64&gt;0,"Tarantula "&amp;AU64&amp;" ml/L; ","")&amp;IF(AV64&gt;0,"B-52 "&amp;AV64&amp;" ml/L; ","")&amp;IF(AW64&gt;0,"Bud Candy "&amp;AW64&amp;" ml/L; ","")&amp;IF(AX64&gt;0,"Bud Factor X "&amp;AX64&amp;" ml/L; ","")&amp;IF(AY64&gt;0,"Sensizym "&amp;AY64&amp;" ml/L; ","")&amp;IF(AZ64&gt;0,"Rhino Skin "&amp;AZ64&amp;" ml/L; ","")&amp;IF(BA64&gt;0,"Bud Ignitor "&amp;BA64&amp;" ml/L; ","")&amp;IF(BB64&gt;0,"Big Bud "&amp;BB64&amp;" ml/L; ","")&amp;IF(BC64&gt;0,"Overdrive "&amp;BC64&amp;" ml/L; ","")&amp;IF(BD64&gt;0,"Tasty Terpenes "&amp;BD64&amp;" ml/L; ","")&amp;IF(BE64&gt;0,"Sensi CalMag "&amp;BE64&amp;" ml/L",""))</x:f>
        <x:v>keine AN-Dosis heute</x:v>
      </x:c>
      <x:c r="BI64" s="60" t="n">
        <x:f>IF(ISNUMBER('01_Run_Config'!$B$91),IF(B64&lt;'01_Run_Config'!$B$91,"PRE",B64-'01_Run_Config'!$B$91),"PRE")</x:f>
        <x:v>60</x:v>
      </x:c>
      <x:c r="BJ64" s="60" t="str">
        <x:f>IF(ISNUMBER('01_Run_Config'!$B$92),IF(B64&lt;'01_Run_Config'!$B$92,"PRE",B64-'01_Run_Config'!$B$92),"PRE")</x:f>
        <x:v>PRE</x:v>
      </x:c>
      <x:c r="BK64" s="60" t="str">
        <x:f>IF(ISNUMBER('01_Run_Config'!$B$93),IF(B64&lt;'01_Run_Config'!$B$93,"PRE",B64-'01_Run_Config'!$B$93),"PRE")</x:f>
        <x:v>PRE</x:v>
      </x:c>
      <x:c r="BL64" s="2482" t="n">
        <x:f>IF(BM64=5.8,5.8,5.8)</x:f>
        <x:v>5.8</x:v>
      </x:c>
      <x:c r="BM64" s="2482" t="n">
        <x:f>IF(A64&lt;IF(ISNUMBER('01_Run_Config'!$B$81),'01_Run_Config'!$B$81,15),5.8,6)</x:f>
        <x:v>6</x:v>
      </x:c>
      <x:c r="BN64" s="2482" t="n">
        <x:f>IF(BM64=5.8,5.8,6.2)</x:f>
        <x:v>6.2</x:v>
      </x:c>
      <x:c r="BO64" s="60" t="str">
        <x:f>IF(BM64=5.8,"Eazy Plug/Block: Herstellerziel 5.80","Final Coco: UKD 6.00 = Mitte HESI 5.8–6.2")</x:f>
        <x:v>Final Coco: UKD 6.00 = Mitte HESI 5.8–6.2</x:v>
      </x:c>
      <x:c r="BP64" s="60" t="str">
        <x:f>IF(A64&lt;2,"PRE-EMERGENCE: Balance normalerweise nicht nötig",IF(BM64=5.8,"ab Durchbruch AVAILABLE IF endmix &lt; 5.80","AVAILABLE IF endmix &lt; 6.00"))</x:f>
        <x:v>AVAILABLE IF endmix &lt; 6.00</x:v>
      </x:c>
      <x:c r="BQ64" s="60" t="str">
        <x:f>IF(A64=0,"Run Day 0 = Aussaat 21.08.2026; Plant Day beginnt erst beim Durchbruch.",IF(A64=2,"P63 Double Grape: 23.08.2026 = Plant Day 0.","Daily pH is a projection; actual root-stage/event overrides calendar."))</x:f>
        <x:v>Daily pH is a projection; actual root-stage/event overrides calendar.</x:v>
      </x:c>
    </x:row>
    <x:row r="65">
      <x:c r="A65" s="34" t="n">
        <x:v>63</x:v>
      </x:c>
      <x:c r="B65" s="129" t="n">
        <x:f>'01_Run_Config'!$B$4+A65</x:f>
        <x:v>46318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f>BM65</x:f>
        <x:v>6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IF(A65&lt;=14,2.5,0)</x:f>
        <x:v>0</x:v>
      </x:c>
      <x:c r="X65" s="63" t="n">
        <x:f>IF('01_Run_Config'!$B$50="AN Sensizym",0,IF(AND(A65&gt;='01_Run_Config'!$B$32,OR(AL65="",AL65&lt;=49)),2,0))</x:f>
        <x:v>2</x:v>
      </x:c>
      <x:c r="Y65" s="63" t="n">
        <x:f>0.015</x:f>
        <x:v>0.015</x:v>
      </x:c>
      <x:c r="Z65" s="63" t="n">
        <x:f>IF('01_Run_Config'!$B$51="HESI Hesilicio",2,0)</x:f>
        <x:v>0</x:v>
      </x:c>
      <x:c r="AA65" s="63" t="n">
        <x:f>IF('01_Run_Config'!$B$48="AN Bud Candy (replaces HESI Boost)",0,IF(AND(A65&gt;='01_Run_Config'!$B$33,MOD(A65-'01_Run_Config'!$B$33,7)=0),2,0))</x:f>
        <x:v>2</x:v>
      </x:c>
      <x:c r="AB65" s="63" t="n">
        <x:f>IF('01_Run_Config'!$B$52="AN Bud Ignitor &gt; Big Bud &gt; Overdrive",0,IF(AND(ISNUMBER(AL65),AL65&gt;=29,AL65&lt;=42),0.25+((AL65-29)/13)*0.25,0))</x:f>
        <x:v>0.3846153846153846</x:v>
      </x:c>
      <x:c r="AC65" s="63" t="n">
        <x:f>IF('01_Run_Config'!$B$46="OFF",0,IF(OR(AND(A65&gt;='01_Run_Config'!$B$32,A65&lt;='01_Run_Config'!$B$32+13),AND(A65&gt;='01_Run_Config'!$B$33,A65&lt;='01_Run_Config'!$B$33+13)),2,0))</x:f>
        <x:v>0</x:v>
      </x:c>
      <x:c r="AD65" s="63" t="str">
        <x:f>IF(BG65="BLOCK","HYBRID BLOCKED - Konfiguration prüfen",IF(SUM(AC65,AT65:BF65)&gt;0,"AN aktiv: "&amp;BH65,"AN: keine Dosis heute / Module aus"))</x:f>
        <x:v>AN: keine Dosis heute / Module aus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5" s="34" t="str">
        <x:f>IF(A65&lt;2,"PRE-EMERGENCE · kein Kalenderwert","AVAILABLE IF NEEDED · nur wenn vollständiger Endmix unter pH-Ziel liegt")</x:f>
        <x:v>AVAILABLE IF NEEDED · nur wenn vollständiger Endmix unter pH-Ziel liegt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  <x:c r="AT65" t="n">
        <x:f>IF(AND('01_Run_Config'!$B$46="Voodoo + Piranha + Tarantula",AC65&gt;0),2,0)</x:f>
        <x:v>0</x:v>
      </x:c>
      <x:c r="AU65" t="n">
        <x:f>IF(AND(OR('01_Run_Config'!$B$46="Voodoo + Tarantula",'01_Run_Config'!$B$46="Voodoo + Piranha + Tarantula"),AC65&gt;0),2,0)</x:f>
        <x:v>0</x:v>
      </x:c>
      <x:c r="AV65" t="n">
        <x:f>IF('01_Run_Config'!$B$47&lt;&gt;"ON / A-B",0,IF(OR(AND(A65&gt;='01_Run_Config'!$B$32,A65&lt;'01_Run_Config'!$B$33),AND(ISNUMBER(AL65),AL65&gt;=15,AL65&lt;=49)),2,0))</x:f>
        <x:v>0</x:v>
      </x:c>
      <x:c r="AW65" t="n">
        <x:f>IF('01_Run_Config'!$B$48="AN Bud Candy (replaces HESI Boost)",IF(AND(A65&gt;='01_Run_Config'!$B$32,OR(AL65="",AL65&lt;=49)),2,0),0)</x:f>
        <x:v>0</x:v>
      </x:c>
      <x:c r="AX65" t="n">
        <x:f>IF('01_Run_Config'!$B$49&lt;&gt;"ON / EXPERIMENTAL",0,IF(OR(AND(A65&gt;='01_Run_Config'!$B$32+7,A65&lt;'01_Run_Config'!$B$33),AND(ISNUMBER(AL65),AL65&gt;=1,AL65&lt;=49)),2,0))</x:f>
        <x:v>0</x:v>
      </x:c>
      <x:c r="AY65" t="n">
        <x:f>IF('01_Run_Config'!$B$50="AN Sensizym",IF(AND(A65&gt;='01_Run_Config'!$B$32,OR(AL65="",AL65&lt;=49)),2,0),0)</x:f>
        <x:v>0</x:v>
      </x:c>
      <x:c r="AZ65" t="n">
        <x:f>IF('01_Run_Config'!$B$51="AN Rhino Skin",IF(AND(A65&gt;='01_Run_Config'!$B$32,OR(AL65="",AL65&lt;=49)),2,0),0)</x:f>
        <x:v>0</x:v>
      </x:c>
      <x:c r="BA65" t="n">
        <x:f>IF(AND('01_Run_Config'!$B$52="AN Bud Ignitor &gt; Big Bud &gt; Overdrive",ISNUMBER(AL65),AL65&gt;=1,AL65&lt;=14),2,0)</x:f>
        <x:v>0</x:v>
      </x:c>
      <x:c r="BB65" t="n">
        <x:f>IF(AND('01_Run_Config'!$B$52="AN Bud Ignitor &gt; Big Bud &gt; Overdrive",ISNUMBER(AL65),AL65&gt;=8,AL65&lt;=35),2,0)</x:f>
        <x:v>0</x:v>
      </x:c>
      <x:c r="BC65" t="n">
        <x:f>IF(AND('01_Run_Config'!$B$52="AN Bud Ignitor &gt; Big Bud &gt; Overdrive",ISNUMBER(AL65),AL65&gt;=36,AL65&lt;=49),2,0)</x:f>
        <x:v>0</x:v>
      </x:c>
      <x:c r="BD65" t="n">
        <x:f>IF('01_Run_Config'!$B$53="ON / EXPERIMENTAL",IF(OR(AND(A65&gt;='01_Run_Config'!$B$32,A65&lt;'01_Run_Config'!$B$33),AND(ISNUMBER(AL65),AL65&gt;=15,AL65&lt;=49)),2,0),0)</x:f>
        <x:v>0</x:v>
      </x:c>
      <x:c r="BE65" t="n">
        <x:f>IF('01_Run_Config'!$B$54="AN Sensi CalMag Xtra conditional",'01_Run_Config'!$B$17,0)</x:f>
        <x:v>0</x:v>
      </x:c>
      <x:c r="BF65" t="n">
        <x:f>0</x:f>
        <x:v>0</x:v>
      </x:c>
      <x:c r="BG65" t="str">
        <x:f>'01_Run_Config'!$E$57</x:f>
        <x:v>OK</x:v>
      </x:c>
      <x:c r="BH65" t="str">
        <x:f>IF(SUM(AC65,AT65:BF65)=0,"keine AN-Dosis heute",IF(AC65&gt;0,"Voodoo "&amp;AC65&amp;" ml/L; ","")&amp;IF(AT65&gt;0,"Piranha "&amp;AT65&amp;" ml/L; ","")&amp;IF(AU65&gt;0,"Tarantula "&amp;AU65&amp;" ml/L; ","")&amp;IF(AV65&gt;0,"B-52 "&amp;AV65&amp;" ml/L; ","")&amp;IF(AW65&gt;0,"Bud Candy "&amp;AW65&amp;" ml/L; ","")&amp;IF(AX65&gt;0,"Bud Factor X "&amp;AX65&amp;" ml/L; ","")&amp;IF(AY65&gt;0,"Sensizym "&amp;AY65&amp;" ml/L; ","")&amp;IF(AZ65&gt;0,"Rhino Skin "&amp;AZ65&amp;" ml/L; ","")&amp;IF(BA65&gt;0,"Bud Ignitor "&amp;BA65&amp;" ml/L; ","")&amp;IF(BB65&gt;0,"Big Bud "&amp;BB65&amp;" ml/L; ","")&amp;IF(BC65&gt;0,"Overdrive "&amp;BC65&amp;" ml/L; ","")&amp;IF(BD65&gt;0,"Tasty Terpenes "&amp;BD65&amp;" ml/L; ","")&amp;IF(BE65&gt;0,"Sensi CalMag "&amp;BE65&amp;" ml/L",""))</x:f>
        <x:v>keine AN-Dosis heute</x:v>
      </x:c>
      <x:c r="BI65" s="60" t="n">
        <x:f>IF(ISNUMBER('01_Run_Config'!$B$91),IF(B65&lt;'01_Run_Config'!$B$91,"PRE",B65-'01_Run_Config'!$B$91),"PRE")</x:f>
        <x:v>61</x:v>
      </x:c>
      <x:c r="BJ65" s="60" t="str">
        <x:f>IF(ISNUMBER('01_Run_Config'!$B$92),IF(B65&lt;'01_Run_Config'!$B$92,"PRE",B65-'01_Run_Config'!$B$92),"PRE")</x:f>
        <x:v>PRE</x:v>
      </x:c>
      <x:c r="BK65" s="60" t="str">
        <x:f>IF(ISNUMBER('01_Run_Config'!$B$93),IF(B65&lt;'01_Run_Config'!$B$93,"PRE",B65-'01_Run_Config'!$B$93),"PRE")</x:f>
        <x:v>PRE</x:v>
      </x:c>
      <x:c r="BL65" s="2482" t="n">
        <x:f>IF(BM65=5.8,5.8,5.8)</x:f>
        <x:v>5.8</x:v>
      </x:c>
      <x:c r="BM65" s="2482" t="n">
        <x:f>IF(A65&lt;IF(ISNUMBER('01_Run_Config'!$B$81),'01_Run_Config'!$B$81,15),5.8,6)</x:f>
        <x:v>6</x:v>
      </x:c>
      <x:c r="BN65" s="2482" t="n">
        <x:f>IF(BM65=5.8,5.8,6.2)</x:f>
        <x:v>6.2</x:v>
      </x:c>
      <x:c r="BO65" s="60" t="str">
        <x:f>IF(BM65=5.8,"Eazy Plug/Block: Herstellerziel 5.80","Final Coco: UKD 6.00 = Mitte HESI 5.8–6.2")</x:f>
        <x:v>Final Coco: UKD 6.00 = Mitte HESI 5.8–6.2</x:v>
      </x:c>
      <x:c r="BP65" s="60" t="str">
        <x:f>IF(A65&lt;2,"PRE-EMERGENCE: Balance normalerweise nicht nötig",IF(BM65=5.8,"ab Durchbruch AVAILABLE IF endmix &lt; 5.80","AVAILABLE IF endmix &lt; 6.00"))</x:f>
        <x:v>AVAILABLE IF endmix &lt; 6.00</x:v>
      </x:c>
      <x:c r="BQ65" s="60" t="str">
        <x:f>IF(A65=0,"Run Day 0 = Aussaat 21.08.2026; Plant Day beginnt erst beim Durchbruch.",IF(A65=2,"P64 Double Grape: 23.08.2026 = Plant Day 0.","Daily pH is a projection; actual root-stage/event overrides calendar."))</x:f>
        <x:v>Daily pH is a projection; actual root-stage/event overrides calendar.</x:v>
      </x:c>
    </x:row>
    <x:row r="66">
      <x:c r="A66" s="34" t="n">
        <x:v>64</x:v>
      </x:c>
      <x:c r="B66" s="129" t="n">
        <x:f>'01_Run_Config'!$B$4+A66</x:f>
        <x:v>46319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f>BM66</x:f>
        <x:v>6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IF(A66&lt;=14,2.5,0)</x:f>
        <x:v>0</x:v>
      </x:c>
      <x:c r="X66" s="63" t="n">
        <x:f>IF('01_Run_Config'!$B$50="AN Sensizym",0,IF(AND(A66&gt;='01_Run_Config'!$B$32,OR(AL66="",AL66&lt;=49)),2,0))</x:f>
        <x:v>2</x:v>
      </x:c>
      <x:c r="Y66" s="63" t="n">
        <x:f>0.015</x:f>
        <x:v>0.015</x:v>
      </x:c>
      <x:c r="Z66" s="63" t="n">
        <x:f>IF('01_Run_Config'!$B$51="HESI Hesilicio",2,0)</x:f>
        <x:v>0</x:v>
      </x:c>
      <x:c r="AA66" s="63" t="n">
        <x:f>IF('01_Run_Config'!$B$48="AN Bud Candy (replaces HESI Boost)",0,IF(AND(A66&gt;='01_Run_Config'!$B$33,MOD(A66-'01_Run_Config'!$B$33,7)=0),2,0))</x:f>
        <x:v>0</x:v>
      </x:c>
      <x:c r="AB66" s="63" t="n">
        <x:f>IF('01_Run_Config'!$B$52="AN Bud Ignitor &gt; Big Bud &gt; Overdrive",0,IF(AND(ISNUMBER(AL66),AL66&gt;=29,AL66&lt;=42),0.25+((AL66-29)/13)*0.25,0))</x:f>
        <x:v>0.40384615384615385</x:v>
      </x:c>
      <x:c r="AC66" s="63" t="n">
        <x:f>IF('01_Run_Config'!$B$46="OFF",0,IF(OR(AND(A66&gt;='01_Run_Config'!$B$32,A66&lt;='01_Run_Config'!$B$32+13),AND(A66&gt;='01_Run_Config'!$B$33,A66&lt;='01_Run_Config'!$B$33+13)),2,0))</x:f>
        <x:v>0</x:v>
      </x:c>
      <x:c r="AD66" s="63" t="str">
        <x:f>IF(BG66="BLOCK","HYBRID BLOCKED - Konfiguration prüfen",IF(SUM(AC66,AT66:BF66)&gt;0,"AN aktiv: "&amp;BH66,"AN: keine Dosis heute / Module aus"))</x:f>
        <x:v>AN: keine Dosis heute / Module aus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6" s="34" t="str">
        <x:f>IF(A66&lt;2,"PRE-EMERGENCE · kein Kalenderwert","AVAILABLE IF NEEDED · nur wenn vollständiger Endmix unter pH-Ziel liegt")</x:f>
        <x:v>AVAILABLE IF NEEDED · nur wenn vollständiger Endmix unter pH-Ziel liegt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  <x:c r="AT66" t="n">
        <x:f>IF(AND('01_Run_Config'!$B$46="Voodoo + Piranha + Tarantula",AC66&gt;0),2,0)</x:f>
        <x:v>0</x:v>
      </x:c>
      <x:c r="AU66" t="n">
        <x:f>IF(AND(OR('01_Run_Config'!$B$46="Voodoo + Tarantula",'01_Run_Config'!$B$46="Voodoo + Piranha + Tarantula"),AC66&gt;0),2,0)</x:f>
        <x:v>0</x:v>
      </x:c>
      <x:c r="AV66" t="n">
        <x:f>IF('01_Run_Config'!$B$47&lt;&gt;"ON / A-B",0,IF(OR(AND(A66&gt;='01_Run_Config'!$B$32,A66&lt;'01_Run_Config'!$B$33),AND(ISNUMBER(AL66),AL66&gt;=15,AL66&lt;=49)),2,0))</x:f>
        <x:v>0</x:v>
      </x:c>
      <x:c r="AW66" t="n">
        <x:f>IF('01_Run_Config'!$B$48="AN Bud Candy (replaces HESI Boost)",IF(AND(A66&gt;='01_Run_Config'!$B$32,OR(AL66="",AL66&lt;=49)),2,0),0)</x:f>
        <x:v>0</x:v>
      </x:c>
      <x:c r="AX66" t="n">
        <x:f>IF('01_Run_Config'!$B$49&lt;&gt;"ON / EXPERIMENTAL",0,IF(OR(AND(A66&gt;='01_Run_Config'!$B$32+7,A66&lt;'01_Run_Config'!$B$33),AND(ISNUMBER(AL66),AL66&gt;=1,AL66&lt;=49)),2,0))</x:f>
        <x:v>0</x:v>
      </x:c>
      <x:c r="AY66" t="n">
        <x:f>IF('01_Run_Config'!$B$50="AN Sensizym",IF(AND(A66&gt;='01_Run_Config'!$B$32,OR(AL66="",AL66&lt;=49)),2,0),0)</x:f>
        <x:v>0</x:v>
      </x:c>
      <x:c r="AZ66" t="n">
        <x:f>IF('01_Run_Config'!$B$51="AN Rhino Skin",IF(AND(A66&gt;='01_Run_Config'!$B$32,OR(AL66="",AL66&lt;=49)),2,0),0)</x:f>
        <x:v>0</x:v>
      </x:c>
      <x:c r="BA66" t="n">
        <x:f>IF(AND('01_Run_Config'!$B$52="AN Bud Ignitor &gt; Big Bud &gt; Overdrive",ISNUMBER(AL66),AL66&gt;=1,AL66&lt;=14),2,0)</x:f>
        <x:v>0</x:v>
      </x:c>
      <x:c r="BB66" t="n">
        <x:f>IF(AND('01_Run_Config'!$B$52="AN Bud Ignitor &gt; Big Bud &gt; Overdrive",ISNUMBER(AL66),AL66&gt;=8,AL66&lt;=35),2,0)</x:f>
        <x:v>0</x:v>
      </x:c>
      <x:c r="BC66" t="n">
        <x:f>IF(AND('01_Run_Config'!$B$52="AN Bud Ignitor &gt; Big Bud &gt; Overdrive",ISNUMBER(AL66),AL66&gt;=36,AL66&lt;=49),2,0)</x:f>
        <x:v>0</x:v>
      </x:c>
      <x:c r="BD66" t="n">
        <x:f>IF('01_Run_Config'!$B$53="ON / EXPERIMENTAL",IF(OR(AND(A66&gt;='01_Run_Config'!$B$32,A66&lt;'01_Run_Config'!$B$33),AND(ISNUMBER(AL66),AL66&gt;=15,AL66&lt;=49)),2,0),0)</x:f>
        <x:v>0</x:v>
      </x:c>
      <x:c r="BE66" t="n">
        <x:f>IF('01_Run_Config'!$B$54="AN Sensi CalMag Xtra conditional",'01_Run_Config'!$B$17,0)</x:f>
        <x:v>0</x:v>
      </x:c>
      <x:c r="BF66" t="n">
        <x:f>0</x:f>
        <x:v>0</x:v>
      </x:c>
      <x:c r="BG66" t="str">
        <x:f>'01_Run_Config'!$E$57</x:f>
        <x:v>OK</x:v>
      </x:c>
      <x:c r="BH66" t="str">
        <x:f>IF(SUM(AC66,AT66:BF66)=0,"keine AN-Dosis heute",IF(AC66&gt;0,"Voodoo "&amp;AC66&amp;" ml/L; ","")&amp;IF(AT66&gt;0,"Piranha "&amp;AT66&amp;" ml/L; ","")&amp;IF(AU66&gt;0,"Tarantula "&amp;AU66&amp;" ml/L; ","")&amp;IF(AV66&gt;0,"B-52 "&amp;AV66&amp;" ml/L; ","")&amp;IF(AW66&gt;0,"Bud Candy "&amp;AW66&amp;" ml/L; ","")&amp;IF(AX66&gt;0,"Bud Factor X "&amp;AX66&amp;" ml/L; ","")&amp;IF(AY66&gt;0,"Sensizym "&amp;AY66&amp;" ml/L; ","")&amp;IF(AZ66&gt;0,"Rhino Skin "&amp;AZ66&amp;" ml/L; ","")&amp;IF(BA66&gt;0,"Bud Ignitor "&amp;BA66&amp;" ml/L; ","")&amp;IF(BB66&gt;0,"Big Bud "&amp;BB66&amp;" ml/L; ","")&amp;IF(BC66&gt;0,"Overdrive "&amp;BC66&amp;" ml/L; ","")&amp;IF(BD66&gt;0,"Tasty Terpenes "&amp;BD66&amp;" ml/L; ","")&amp;IF(BE66&gt;0,"Sensi CalMag "&amp;BE66&amp;" ml/L",""))</x:f>
        <x:v>keine AN-Dosis heute</x:v>
      </x:c>
      <x:c r="BI66" s="60" t="n">
        <x:f>IF(ISNUMBER('01_Run_Config'!$B$91),IF(B66&lt;'01_Run_Config'!$B$91,"PRE",B66-'01_Run_Config'!$B$91),"PRE")</x:f>
        <x:v>62</x:v>
      </x:c>
      <x:c r="BJ66" s="60" t="str">
        <x:f>IF(ISNUMBER('01_Run_Config'!$B$92),IF(B66&lt;'01_Run_Config'!$B$92,"PRE",B66-'01_Run_Config'!$B$92),"PRE")</x:f>
        <x:v>PRE</x:v>
      </x:c>
      <x:c r="BK66" s="60" t="str">
        <x:f>IF(ISNUMBER('01_Run_Config'!$B$93),IF(B66&lt;'01_Run_Config'!$B$93,"PRE",B66-'01_Run_Config'!$B$93),"PRE")</x:f>
        <x:v>PRE</x:v>
      </x:c>
      <x:c r="BL66" s="2482" t="n">
        <x:f>IF(BM66=5.8,5.8,5.8)</x:f>
        <x:v>5.8</x:v>
      </x:c>
      <x:c r="BM66" s="2482" t="n">
        <x:f>IF(A66&lt;IF(ISNUMBER('01_Run_Config'!$B$81),'01_Run_Config'!$B$81,15),5.8,6)</x:f>
        <x:v>6</x:v>
      </x:c>
      <x:c r="BN66" s="2482" t="n">
        <x:f>IF(BM66=5.8,5.8,6.2)</x:f>
        <x:v>6.2</x:v>
      </x:c>
      <x:c r="BO66" s="60" t="str">
        <x:f>IF(BM66=5.8,"Eazy Plug/Block: Herstellerziel 5.80","Final Coco: UKD 6.00 = Mitte HESI 5.8–6.2")</x:f>
        <x:v>Final Coco: UKD 6.00 = Mitte HESI 5.8–6.2</x:v>
      </x:c>
      <x:c r="BP66" s="60" t="str">
        <x:f>IF(A66&lt;2,"PRE-EMERGENCE: Balance normalerweise nicht nötig",IF(BM66=5.8,"ab Durchbruch AVAILABLE IF endmix &lt; 5.80","AVAILABLE IF endmix &lt; 6.00"))</x:f>
        <x:v>AVAILABLE IF endmix &lt; 6.00</x:v>
      </x:c>
      <x:c r="BQ66" s="60" t="str">
        <x:f>IF(A66=0,"Run Day 0 = Aussaat 21.08.2026; Plant Day beginnt erst beim Durchbruch.",IF(A66=2,"P65 Double Grape: 23.08.2026 = Plant Day 0.","Daily pH is a projection; actual root-stage/event overrides calendar."))</x:f>
        <x:v>Daily pH is a projection; actual root-stage/event overrides calendar.</x:v>
      </x:c>
    </x:row>
    <x:row r="67">
      <x:c r="A67" s="34" t="n">
        <x:v>65</x:v>
      </x:c>
      <x:c r="B67" s="129" t="n">
        <x:f>'01_Run_Config'!$B$4+A67</x:f>
        <x:v>46320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f>BM67</x:f>
        <x:v>6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IF(A67&lt;=14,2.5,0)</x:f>
        <x:v>0</x:v>
      </x:c>
      <x:c r="X67" s="63" t="n">
        <x:f>IF('01_Run_Config'!$B$50="AN Sensizym",0,IF(AND(A67&gt;='01_Run_Config'!$B$32,OR(AL67="",AL67&lt;=49)),2,0))</x:f>
        <x:v>2</x:v>
      </x:c>
      <x:c r="Y67" s="63" t="n">
        <x:f>0.015</x:f>
        <x:v>0.015</x:v>
      </x:c>
      <x:c r="Z67" s="63" t="n">
        <x:f>IF('01_Run_Config'!$B$51="HESI Hesilicio",2,0)</x:f>
        <x:v>0</x:v>
      </x:c>
      <x:c r="AA67" s="63" t="n">
        <x:f>IF('01_Run_Config'!$B$48="AN Bud Candy (replaces HESI Boost)",0,IF(AND(A67&gt;='01_Run_Config'!$B$33,MOD(A67-'01_Run_Config'!$B$33,7)=0),2,0))</x:f>
        <x:v>0</x:v>
      </x:c>
      <x:c r="AB67" s="63" t="n">
        <x:f>IF('01_Run_Config'!$B$52="AN Bud Ignitor &gt; Big Bud &gt; Overdrive",0,IF(AND(ISNUMBER(AL67),AL67&gt;=29,AL67&lt;=42),0.25+((AL67-29)/13)*0.25,0))</x:f>
        <x:v>0.4230769230769231</x:v>
      </x:c>
      <x:c r="AC67" s="63" t="n">
        <x:f>IF('01_Run_Config'!$B$46="OFF",0,IF(OR(AND(A67&gt;='01_Run_Config'!$B$32,A67&lt;='01_Run_Config'!$B$32+13),AND(A67&gt;='01_Run_Config'!$B$33,A67&lt;='01_Run_Config'!$B$33+13)),2,0))</x:f>
        <x:v>0</x:v>
      </x:c>
      <x:c r="AD67" s="63" t="str">
        <x:f>IF(BG67="BLOCK","HYBRID BLOCKED - Konfiguration prüfen",IF(SUM(AC67,AT67:BF67)&gt;0,"AN aktiv: "&amp;BH67,"AN: keine Dosis heute / Module aus"))</x:f>
        <x:v>AN: keine Dosis heute / Module aus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7" s="34" t="str">
        <x:f>IF(A67&lt;2,"PRE-EMERGENCE · kein Kalenderwert","AVAILABLE IF NEEDED · nur wenn vollständiger Endmix unter pH-Ziel liegt")</x:f>
        <x:v>AVAILABLE IF NEEDED · nur wenn vollständiger Endmix unter pH-Ziel liegt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  <x:c r="AT67" t="n">
        <x:f>IF(AND('01_Run_Config'!$B$46="Voodoo + Piranha + Tarantula",AC67&gt;0),2,0)</x:f>
        <x:v>0</x:v>
      </x:c>
      <x:c r="AU67" t="n">
        <x:f>IF(AND(OR('01_Run_Config'!$B$46="Voodoo + Tarantula",'01_Run_Config'!$B$46="Voodoo + Piranha + Tarantula"),AC67&gt;0),2,0)</x:f>
        <x:v>0</x:v>
      </x:c>
      <x:c r="AV67" t="n">
        <x:f>IF('01_Run_Config'!$B$47&lt;&gt;"ON / A-B",0,IF(OR(AND(A67&gt;='01_Run_Config'!$B$32,A67&lt;'01_Run_Config'!$B$33),AND(ISNUMBER(AL67),AL67&gt;=15,AL67&lt;=49)),2,0))</x:f>
        <x:v>0</x:v>
      </x:c>
      <x:c r="AW67" t="n">
        <x:f>IF('01_Run_Config'!$B$48="AN Bud Candy (replaces HESI Boost)",IF(AND(A67&gt;='01_Run_Config'!$B$32,OR(AL67="",AL67&lt;=49)),2,0),0)</x:f>
        <x:v>0</x:v>
      </x:c>
      <x:c r="AX67" t="n">
        <x:f>IF('01_Run_Config'!$B$49&lt;&gt;"ON / EXPERIMENTAL",0,IF(OR(AND(A67&gt;='01_Run_Config'!$B$32+7,A67&lt;'01_Run_Config'!$B$33),AND(ISNUMBER(AL67),AL67&gt;=1,AL67&lt;=49)),2,0))</x:f>
        <x:v>0</x:v>
      </x:c>
      <x:c r="AY67" t="n">
        <x:f>IF('01_Run_Config'!$B$50="AN Sensizym",IF(AND(A67&gt;='01_Run_Config'!$B$32,OR(AL67="",AL67&lt;=49)),2,0),0)</x:f>
        <x:v>0</x:v>
      </x:c>
      <x:c r="AZ67" t="n">
        <x:f>IF('01_Run_Config'!$B$51="AN Rhino Skin",IF(AND(A67&gt;='01_Run_Config'!$B$32,OR(AL67="",AL67&lt;=49)),2,0),0)</x:f>
        <x:v>0</x:v>
      </x:c>
      <x:c r="BA67" t="n">
        <x:f>IF(AND('01_Run_Config'!$B$52="AN Bud Ignitor &gt; Big Bud &gt; Overdrive",ISNUMBER(AL67),AL67&gt;=1,AL67&lt;=14),2,0)</x:f>
        <x:v>0</x:v>
      </x:c>
      <x:c r="BB67" t="n">
        <x:f>IF(AND('01_Run_Config'!$B$52="AN Bud Ignitor &gt; Big Bud &gt; Overdrive",ISNUMBER(AL67),AL67&gt;=8,AL67&lt;=35),2,0)</x:f>
        <x:v>0</x:v>
      </x:c>
      <x:c r="BC67" t="n">
        <x:f>IF(AND('01_Run_Config'!$B$52="AN Bud Ignitor &gt; Big Bud &gt; Overdrive",ISNUMBER(AL67),AL67&gt;=36,AL67&lt;=49),2,0)</x:f>
        <x:v>0</x:v>
      </x:c>
      <x:c r="BD67" t="n">
        <x:f>IF('01_Run_Config'!$B$53="ON / EXPERIMENTAL",IF(OR(AND(A67&gt;='01_Run_Config'!$B$32,A67&lt;'01_Run_Config'!$B$33),AND(ISNUMBER(AL67),AL67&gt;=15,AL67&lt;=49)),2,0),0)</x:f>
        <x:v>0</x:v>
      </x:c>
      <x:c r="BE67" t="n">
        <x:f>IF('01_Run_Config'!$B$54="AN Sensi CalMag Xtra conditional",'01_Run_Config'!$B$17,0)</x:f>
        <x:v>0</x:v>
      </x:c>
      <x:c r="BF67" t="n">
        <x:f>0</x:f>
        <x:v>0</x:v>
      </x:c>
      <x:c r="BG67" t="str">
        <x:f>'01_Run_Config'!$E$57</x:f>
        <x:v>OK</x:v>
      </x:c>
      <x:c r="BH67" t="str">
        <x:f>IF(SUM(AC67,AT67:BF67)=0,"keine AN-Dosis heute",IF(AC67&gt;0,"Voodoo "&amp;AC67&amp;" ml/L; ","")&amp;IF(AT67&gt;0,"Piranha "&amp;AT67&amp;" ml/L; ","")&amp;IF(AU67&gt;0,"Tarantula "&amp;AU67&amp;" ml/L; ","")&amp;IF(AV67&gt;0,"B-52 "&amp;AV67&amp;" ml/L; ","")&amp;IF(AW67&gt;0,"Bud Candy "&amp;AW67&amp;" ml/L; ","")&amp;IF(AX67&gt;0,"Bud Factor X "&amp;AX67&amp;" ml/L; ","")&amp;IF(AY67&gt;0,"Sensizym "&amp;AY67&amp;" ml/L; ","")&amp;IF(AZ67&gt;0,"Rhino Skin "&amp;AZ67&amp;" ml/L; ","")&amp;IF(BA67&gt;0,"Bud Ignitor "&amp;BA67&amp;" ml/L; ","")&amp;IF(BB67&gt;0,"Big Bud "&amp;BB67&amp;" ml/L; ","")&amp;IF(BC67&gt;0,"Overdrive "&amp;BC67&amp;" ml/L; ","")&amp;IF(BD67&gt;0,"Tasty Terpenes "&amp;BD67&amp;" ml/L; ","")&amp;IF(BE67&gt;0,"Sensi CalMag "&amp;BE67&amp;" ml/L",""))</x:f>
        <x:v>keine AN-Dosis heute</x:v>
      </x:c>
      <x:c r="BI67" s="60" t="n">
        <x:f>IF(ISNUMBER('01_Run_Config'!$B$91),IF(B67&lt;'01_Run_Config'!$B$91,"PRE",B67-'01_Run_Config'!$B$91),"PRE")</x:f>
        <x:v>63</x:v>
      </x:c>
      <x:c r="BJ67" s="60" t="str">
        <x:f>IF(ISNUMBER('01_Run_Config'!$B$92),IF(B67&lt;'01_Run_Config'!$B$92,"PRE",B67-'01_Run_Config'!$B$92),"PRE")</x:f>
        <x:v>PRE</x:v>
      </x:c>
      <x:c r="BK67" s="60" t="str">
        <x:f>IF(ISNUMBER('01_Run_Config'!$B$93),IF(B67&lt;'01_Run_Config'!$B$93,"PRE",B67-'01_Run_Config'!$B$93),"PRE")</x:f>
        <x:v>PRE</x:v>
      </x:c>
      <x:c r="BL67" s="2482" t="n">
        <x:f>IF(BM67=5.8,5.8,5.8)</x:f>
        <x:v>5.8</x:v>
      </x:c>
      <x:c r="BM67" s="2482" t="n">
        <x:f>IF(A67&lt;IF(ISNUMBER('01_Run_Config'!$B$81),'01_Run_Config'!$B$81,15),5.8,6)</x:f>
        <x:v>6</x:v>
      </x:c>
      <x:c r="BN67" s="2482" t="n">
        <x:f>IF(BM67=5.8,5.8,6.2)</x:f>
        <x:v>6.2</x:v>
      </x:c>
      <x:c r="BO67" s="60" t="str">
        <x:f>IF(BM67=5.8,"Eazy Plug/Block: Herstellerziel 5.80","Final Coco: UKD 6.00 = Mitte HESI 5.8–6.2")</x:f>
        <x:v>Final Coco: UKD 6.00 = Mitte HESI 5.8–6.2</x:v>
      </x:c>
      <x:c r="BP67" s="60" t="str">
        <x:f>IF(A67&lt;2,"PRE-EMERGENCE: Balance normalerweise nicht nötig",IF(BM67=5.8,"ab Durchbruch AVAILABLE IF endmix &lt; 5.80","AVAILABLE IF endmix &lt; 6.00"))</x:f>
        <x:v>AVAILABLE IF endmix &lt; 6.00</x:v>
      </x:c>
      <x:c r="BQ67" s="60" t="str">
        <x:f>IF(A67=0,"Run Day 0 = Aussaat 21.08.2026; Plant Day beginnt erst beim Durchbruch.",IF(A67=2,"P66 Double Grape: 23.08.2026 = Plant Day 0.","Daily pH is a projection; actual root-stage/event overrides calendar."))</x:f>
        <x:v>Daily pH is a projection; actual root-stage/event overrides calendar.</x:v>
      </x:c>
    </x:row>
    <x:row r="68">
      <x:c r="A68" s="34" t="n">
        <x:v>66</x:v>
      </x:c>
      <x:c r="B68" s="129" t="n">
        <x:f>'01_Run_Config'!$B$4+A68</x:f>
        <x:v>46321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f>BM68</x:f>
        <x:v>6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IF(A68&lt;=14,2.5,0)</x:f>
        <x:v>0</x:v>
      </x:c>
      <x:c r="X68" s="63" t="n">
        <x:f>IF('01_Run_Config'!$B$50="AN Sensizym",0,IF(AND(A68&gt;='01_Run_Config'!$B$32,OR(AL68="",AL68&lt;=49)),2,0))</x:f>
        <x:v>2</x:v>
      </x:c>
      <x:c r="Y68" s="63" t="n">
        <x:f>0.015</x:f>
        <x:v>0.015</x:v>
      </x:c>
      <x:c r="Z68" s="63" t="n">
        <x:f>IF('01_Run_Config'!$B$51="HESI Hesilicio",2,0)</x:f>
        <x:v>0</x:v>
      </x:c>
      <x:c r="AA68" s="63" t="n">
        <x:f>IF('01_Run_Config'!$B$48="AN Bud Candy (replaces HESI Boost)",0,IF(AND(A68&gt;='01_Run_Config'!$B$33,MOD(A68-'01_Run_Config'!$B$33,7)=0),2,0))</x:f>
        <x:v>0</x:v>
      </x:c>
      <x:c r="AB68" s="63" t="n">
        <x:f>IF('01_Run_Config'!$B$52="AN Bud Ignitor &gt; Big Bud &gt; Overdrive",0,IF(AND(ISNUMBER(AL68),AL68&gt;=29,AL68&lt;=42),0.25+((AL68-29)/13)*0.25,0))</x:f>
        <x:v>0.4423076923076923</x:v>
      </x:c>
      <x:c r="AC68" s="63" t="n">
        <x:f>IF('01_Run_Config'!$B$46="OFF",0,IF(OR(AND(A68&gt;='01_Run_Config'!$B$32,A68&lt;='01_Run_Config'!$B$32+13),AND(A68&gt;='01_Run_Config'!$B$33,A68&lt;='01_Run_Config'!$B$33+13)),2,0))</x:f>
        <x:v>0</x:v>
      </x:c>
      <x:c r="AD68" s="63" t="str">
        <x:f>IF(BG68="BLOCK","HYBRID BLOCKED - Konfiguration prüfen",IF(SUM(AC68,AT68:BF68)&gt;0,"AN aktiv: "&amp;BH68,"AN: keine Dosis heute / Module aus"))</x:f>
        <x:v>AN: keine Dosis heute / Module aus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8" s="34" t="str">
        <x:f>IF(A68&lt;2,"PRE-EMERGENCE · kein Kalenderwert","AVAILABLE IF NEEDED · nur wenn vollständiger Endmix unter pH-Ziel liegt")</x:f>
        <x:v>AVAILABLE IF NEEDED · nur wenn vollständiger Endmix unter pH-Ziel liegt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  <x:c r="AT68" t="n">
        <x:f>IF(AND('01_Run_Config'!$B$46="Voodoo + Piranha + Tarantula",AC68&gt;0),2,0)</x:f>
        <x:v>0</x:v>
      </x:c>
      <x:c r="AU68" t="n">
        <x:f>IF(AND(OR('01_Run_Config'!$B$46="Voodoo + Tarantula",'01_Run_Config'!$B$46="Voodoo + Piranha + Tarantula"),AC68&gt;0),2,0)</x:f>
        <x:v>0</x:v>
      </x:c>
      <x:c r="AV68" t="n">
        <x:f>IF('01_Run_Config'!$B$47&lt;&gt;"ON / A-B",0,IF(OR(AND(A68&gt;='01_Run_Config'!$B$32,A68&lt;'01_Run_Config'!$B$33),AND(ISNUMBER(AL68),AL68&gt;=15,AL68&lt;=49)),2,0))</x:f>
        <x:v>0</x:v>
      </x:c>
      <x:c r="AW68" t="n">
        <x:f>IF('01_Run_Config'!$B$48="AN Bud Candy (replaces HESI Boost)",IF(AND(A68&gt;='01_Run_Config'!$B$32,OR(AL68="",AL68&lt;=49)),2,0),0)</x:f>
        <x:v>0</x:v>
      </x:c>
      <x:c r="AX68" t="n">
        <x:f>IF('01_Run_Config'!$B$49&lt;&gt;"ON / EXPERIMENTAL",0,IF(OR(AND(A68&gt;='01_Run_Config'!$B$32+7,A68&lt;'01_Run_Config'!$B$33),AND(ISNUMBER(AL68),AL68&gt;=1,AL68&lt;=49)),2,0))</x:f>
        <x:v>0</x:v>
      </x:c>
      <x:c r="AY68" t="n">
        <x:f>IF('01_Run_Config'!$B$50="AN Sensizym",IF(AND(A68&gt;='01_Run_Config'!$B$32,OR(AL68="",AL68&lt;=49)),2,0),0)</x:f>
        <x:v>0</x:v>
      </x:c>
      <x:c r="AZ68" t="n">
        <x:f>IF('01_Run_Config'!$B$51="AN Rhino Skin",IF(AND(A68&gt;='01_Run_Config'!$B$32,OR(AL68="",AL68&lt;=49)),2,0),0)</x:f>
        <x:v>0</x:v>
      </x:c>
      <x:c r="BA68" t="n">
        <x:f>IF(AND('01_Run_Config'!$B$52="AN Bud Ignitor &gt; Big Bud &gt; Overdrive",ISNUMBER(AL68),AL68&gt;=1,AL68&lt;=14),2,0)</x:f>
        <x:v>0</x:v>
      </x:c>
      <x:c r="BB68" t="n">
        <x:f>IF(AND('01_Run_Config'!$B$52="AN Bud Ignitor &gt; Big Bud &gt; Overdrive",ISNUMBER(AL68),AL68&gt;=8,AL68&lt;=35),2,0)</x:f>
        <x:v>0</x:v>
      </x:c>
      <x:c r="BC68" t="n">
        <x:f>IF(AND('01_Run_Config'!$B$52="AN Bud Ignitor &gt; Big Bud &gt; Overdrive",ISNUMBER(AL68),AL68&gt;=36,AL68&lt;=49),2,0)</x:f>
        <x:v>0</x:v>
      </x:c>
      <x:c r="BD68" t="n">
        <x:f>IF('01_Run_Config'!$B$53="ON / EXPERIMENTAL",IF(OR(AND(A68&gt;='01_Run_Config'!$B$32,A68&lt;'01_Run_Config'!$B$33),AND(ISNUMBER(AL68),AL68&gt;=15,AL68&lt;=49)),2,0),0)</x:f>
        <x:v>0</x:v>
      </x:c>
      <x:c r="BE68" t="n">
        <x:f>IF('01_Run_Config'!$B$54="AN Sensi CalMag Xtra conditional",'01_Run_Config'!$B$17,0)</x:f>
        <x:v>0</x:v>
      </x:c>
      <x:c r="BF68" t="n">
        <x:f>0</x:f>
        <x:v>0</x:v>
      </x:c>
      <x:c r="BG68" t="str">
        <x:f>'01_Run_Config'!$E$57</x:f>
        <x:v>OK</x:v>
      </x:c>
      <x:c r="BH68" t="str">
        <x:f>IF(SUM(AC68,AT68:BF68)=0,"keine AN-Dosis heute",IF(AC68&gt;0,"Voodoo "&amp;AC68&amp;" ml/L; ","")&amp;IF(AT68&gt;0,"Piranha "&amp;AT68&amp;" ml/L; ","")&amp;IF(AU68&gt;0,"Tarantula "&amp;AU68&amp;" ml/L; ","")&amp;IF(AV68&gt;0,"B-52 "&amp;AV68&amp;" ml/L; ","")&amp;IF(AW68&gt;0,"Bud Candy "&amp;AW68&amp;" ml/L; ","")&amp;IF(AX68&gt;0,"Bud Factor X "&amp;AX68&amp;" ml/L; ","")&amp;IF(AY68&gt;0,"Sensizym "&amp;AY68&amp;" ml/L; ","")&amp;IF(AZ68&gt;0,"Rhino Skin "&amp;AZ68&amp;" ml/L; ","")&amp;IF(BA68&gt;0,"Bud Ignitor "&amp;BA68&amp;" ml/L; ","")&amp;IF(BB68&gt;0,"Big Bud "&amp;BB68&amp;" ml/L; ","")&amp;IF(BC68&gt;0,"Overdrive "&amp;BC68&amp;" ml/L; ","")&amp;IF(BD68&gt;0,"Tasty Terpenes "&amp;BD68&amp;" ml/L; ","")&amp;IF(BE68&gt;0,"Sensi CalMag "&amp;BE68&amp;" ml/L",""))</x:f>
        <x:v>keine AN-Dosis heute</x:v>
      </x:c>
      <x:c r="BI68" s="60" t="n">
        <x:f>IF(ISNUMBER('01_Run_Config'!$B$91),IF(B68&lt;'01_Run_Config'!$B$91,"PRE",B68-'01_Run_Config'!$B$91),"PRE")</x:f>
        <x:v>64</x:v>
      </x:c>
      <x:c r="BJ68" s="60" t="str">
        <x:f>IF(ISNUMBER('01_Run_Config'!$B$92),IF(B68&lt;'01_Run_Config'!$B$92,"PRE",B68-'01_Run_Config'!$B$92),"PRE")</x:f>
        <x:v>PRE</x:v>
      </x:c>
      <x:c r="BK68" s="60" t="str">
        <x:f>IF(ISNUMBER('01_Run_Config'!$B$93),IF(B68&lt;'01_Run_Config'!$B$93,"PRE",B68-'01_Run_Config'!$B$93),"PRE")</x:f>
        <x:v>PRE</x:v>
      </x:c>
      <x:c r="BL68" s="2482" t="n">
        <x:f>IF(BM68=5.8,5.8,5.8)</x:f>
        <x:v>5.8</x:v>
      </x:c>
      <x:c r="BM68" s="2482" t="n">
        <x:f>IF(A68&lt;IF(ISNUMBER('01_Run_Config'!$B$81),'01_Run_Config'!$B$81,15),5.8,6)</x:f>
        <x:v>6</x:v>
      </x:c>
      <x:c r="BN68" s="2482" t="n">
        <x:f>IF(BM68=5.8,5.8,6.2)</x:f>
        <x:v>6.2</x:v>
      </x:c>
      <x:c r="BO68" s="60" t="str">
        <x:f>IF(BM68=5.8,"Eazy Plug/Block: Herstellerziel 5.80","Final Coco: UKD 6.00 = Mitte HESI 5.8–6.2")</x:f>
        <x:v>Final Coco: UKD 6.00 = Mitte HESI 5.8–6.2</x:v>
      </x:c>
      <x:c r="BP68" s="60" t="str">
        <x:f>IF(A68&lt;2,"PRE-EMERGENCE: Balance normalerweise nicht nötig",IF(BM68=5.8,"ab Durchbruch AVAILABLE IF endmix &lt; 5.80","AVAILABLE IF endmix &lt; 6.00"))</x:f>
        <x:v>AVAILABLE IF endmix &lt; 6.00</x:v>
      </x:c>
      <x:c r="BQ68" s="60" t="str">
        <x:f>IF(A68=0,"Run Day 0 = Aussaat 21.08.2026; Plant Day beginnt erst beim Durchbruch.",IF(A68=2,"P67 Double Grape: 23.08.2026 = Plant Day 0.","Daily pH is a projection; actual root-stage/event overrides calendar."))</x:f>
        <x:v>Daily pH is a projection; actual root-stage/event overrides calendar.</x:v>
      </x:c>
    </x:row>
    <x:row r="69">
      <x:c r="A69" s="34" t="n">
        <x:v>67</x:v>
      </x:c>
      <x:c r="B69" s="129" t="n">
        <x:f>'01_Run_Config'!$B$4+A69</x:f>
        <x:v>46322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f>BM69</x:f>
        <x:v>6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IF(A69&lt;=14,2.5,0)</x:f>
        <x:v>0</x:v>
      </x:c>
      <x:c r="X69" s="63" t="n">
        <x:f>IF('01_Run_Config'!$B$50="AN Sensizym",0,IF(AND(A69&gt;='01_Run_Config'!$B$32,OR(AL69="",AL69&lt;=49)),2,0))</x:f>
        <x:v>2</x:v>
      </x:c>
      <x:c r="Y69" s="63" t="n">
        <x:f>0.015</x:f>
        <x:v>0.015</x:v>
      </x:c>
      <x:c r="Z69" s="63" t="n">
        <x:f>IF('01_Run_Config'!$B$51="HESI Hesilicio",2,0)</x:f>
        <x:v>0</x:v>
      </x:c>
      <x:c r="AA69" s="63" t="n">
        <x:f>IF('01_Run_Config'!$B$48="AN Bud Candy (replaces HESI Boost)",0,IF(AND(A69&gt;='01_Run_Config'!$B$33,MOD(A69-'01_Run_Config'!$B$33,7)=0),2,0))</x:f>
        <x:v>0</x:v>
      </x:c>
      <x:c r="AB69" s="63" t="n">
        <x:f>IF('01_Run_Config'!$B$52="AN Bud Ignitor &gt; Big Bud &gt; Overdrive",0,IF(AND(ISNUMBER(AL69),AL69&gt;=29,AL69&lt;=42),0.25+((AL69-29)/13)*0.25,0))</x:f>
        <x:v>0.46153846153846156</x:v>
      </x:c>
      <x:c r="AC69" s="63" t="n">
        <x:f>IF('01_Run_Config'!$B$46="OFF",0,IF(OR(AND(A69&gt;='01_Run_Config'!$B$32,A69&lt;='01_Run_Config'!$B$32+13),AND(A69&gt;='01_Run_Config'!$B$33,A69&lt;='01_Run_Config'!$B$33+13)),2,0))</x:f>
        <x:v>0</x:v>
      </x:c>
      <x:c r="AD69" s="63" t="str">
        <x:f>IF(BG69="BLOCK","HYBRID BLOCKED - Konfiguration prüfen",IF(SUM(AC69,AT69:BF69)&gt;0,"AN aktiv: "&amp;BH69,"AN: keine Dosis heute / Module aus"))</x:f>
        <x:v>AN: keine Dosis heute / Module aus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9" s="34" t="str">
        <x:f>IF(A69&lt;2,"PRE-EMERGENCE · kein Kalenderwert","AVAILABLE IF NEEDED · nur wenn vollständiger Endmix unter pH-Ziel liegt")</x:f>
        <x:v>AVAILABLE IF NEEDED · nur wenn vollständiger Endmix unter pH-Ziel liegt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  <x:c r="AT69" t="n">
        <x:f>IF(AND('01_Run_Config'!$B$46="Voodoo + Piranha + Tarantula",AC69&gt;0),2,0)</x:f>
        <x:v>0</x:v>
      </x:c>
      <x:c r="AU69" t="n">
        <x:f>IF(AND(OR('01_Run_Config'!$B$46="Voodoo + Tarantula",'01_Run_Config'!$B$46="Voodoo + Piranha + Tarantula"),AC69&gt;0),2,0)</x:f>
        <x:v>0</x:v>
      </x:c>
      <x:c r="AV69" t="n">
        <x:f>IF('01_Run_Config'!$B$47&lt;&gt;"ON / A-B",0,IF(OR(AND(A69&gt;='01_Run_Config'!$B$32,A69&lt;'01_Run_Config'!$B$33),AND(ISNUMBER(AL69),AL69&gt;=15,AL69&lt;=49)),2,0))</x:f>
        <x:v>0</x:v>
      </x:c>
      <x:c r="AW69" t="n">
        <x:f>IF('01_Run_Config'!$B$48="AN Bud Candy (replaces HESI Boost)",IF(AND(A69&gt;='01_Run_Config'!$B$32,OR(AL69="",AL69&lt;=49)),2,0),0)</x:f>
        <x:v>0</x:v>
      </x:c>
      <x:c r="AX69" t="n">
        <x:f>IF('01_Run_Config'!$B$49&lt;&gt;"ON / EXPERIMENTAL",0,IF(OR(AND(A69&gt;='01_Run_Config'!$B$32+7,A69&lt;'01_Run_Config'!$B$33),AND(ISNUMBER(AL69),AL69&gt;=1,AL69&lt;=49)),2,0))</x:f>
        <x:v>0</x:v>
      </x:c>
      <x:c r="AY69" t="n">
        <x:f>IF('01_Run_Config'!$B$50="AN Sensizym",IF(AND(A69&gt;='01_Run_Config'!$B$32,OR(AL69="",AL69&lt;=49)),2,0),0)</x:f>
        <x:v>0</x:v>
      </x:c>
      <x:c r="AZ69" t="n">
        <x:f>IF('01_Run_Config'!$B$51="AN Rhino Skin",IF(AND(A69&gt;='01_Run_Config'!$B$32,OR(AL69="",AL69&lt;=49)),2,0),0)</x:f>
        <x:v>0</x:v>
      </x:c>
      <x:c r="BA69" t="n">
        <x:f>IF(AND('01_Run_Config'!$B$52="AN Bud Ignitor &gt; Big Bud &gt; Overdrive",ISNUMBER(AL69),AL69&gt;=1,AL69&lt;=14),2,0)</x:f>
        <x:v>0</x:v>
      </x:c>
      <x:c r="BB69" t="n">
        <x:f>IF(AND('01_Run_Config'!$B$52="AN Bud Ignitor &gt; Big Bud &gt; Overdrive",ISNUMBER(AL69),AL69&gt;=8,AL69&lt;=35),2,0)</x:f>
        <x:v>0</x:v>
      </x:c>
      <x:c r="BC69" t="n">
        <x:f>IF(AND('01_Run_Config'!$B$52="AN Bud Ignitor &gt; Big Bud &gt; Overdrive",ISNUMBER(AL69),AL69&gt;=36,AL69&lt;=49),2,0)</x:f>
        <x:v>0</x:v>
      </x:c>
      <x:c r="BD69" t="n">
        <x:f>IF('01_Run_Config'!$B$53="ON / EXPERIMENTAL",IF(OR(AND(A69&gt;='01_Run_Config'!$B$32,A69&lt;'01_Run_Config'!$B$33),AND(ISNUMBER(AL69),AL69&gt;=15,AL69&lt;=49)),2,0),0)</x:f>
        <x:v>0</x:v>
      </x:c>
      <x:c r="BE69" t="n">
        <x:f>IF('01_Run_Config'!$B$54="AN Sensi CalMag Xtra conditional",'01_Run_Config'!$B$17,0)</x:f>
        <x:v>0</x:v>
      </x:c>
      <x:c r="BF69" t="n">
        <x:f>0</x:f>
        <x:v>0</x:v>
      </x:c>
      <x:c r="BG69" t="str">
        <x:f>'01_Run_Config'!$E$57</x:f>
        <x:v>OK</x:v>
      </x:c>
      <x:c r="BH69" t="str">
        <x:f>IF(SUM(AC69,AT69:BF69)=0,"keine AN-Dosis heute",IF(AC69&gt;0,"Voodoo "&amp;AC69&amp;" ml/L; ","")&amp;IF(AT69&gt;0,"Piranha "&amp;AT69&amp;" ml/L; ","")&amp;IF(AU69&gt;0,"Tarantula "&amp;AU69&amp;" ml/L; ","")&amp;IF(AV69&gt;0,"B-52 "&amp;AV69&amp;" ml/L; ","")&amp;IF(AW69&gt;0,"Bud Candy "&amp;AW69&amp;" ml/L; ","")&amp;IF(AX69&gt;0,"Bud Factor X "&amp;AX69&amp;" ml/L; ","")&amp;IF(AY69&gt;0,"Sensizym "&amp;AY69&amp;" ml/L; ","")&amp;IF(AZ69&gt;0,"Rhino Skin "&amp;AZ69&amp;" ml/L; ","")&amp;IF(BA69&gt;0,"Bud Ignitor "&amp;BA69&amp;" ml/L; ","")&amp;IF(BB69&gt;0,"Big Bud "&amp;BB69&amp;" ml/L; ","")&amp;IF(BC69&gt;0,"Overdrive "&amp;BC69&amp;" ml/L; ","")&amp;IF(BD69&gt;0,"Tasty Terpenes "&amp;BD69&amp;" ml/L; ","")&amp;IF(BE69&gt;0,"Sensi CalMag "&amp;BE69&amp;" ml/L",""))</x:f>
        <x:v>keine AN-Dosis heute</x:v>
      </x:c>
      <x:c r="BI69" s="60" t="n">
        <x:f>IF(ISNUMBER('01_Run_Config'!$B$91),IF(B69&lt;'01_Run_Config'!$B$91,"PRE",B69-'01_Run_Config'!$B$91),"PRE")</x:f>
        <x:v>65</x:v>
      </x:c>
      <x:c r="BJ69" s="60" t="str">
        <x:f>IF(ISNUMBER('01_Run_Config'!$B$92),IF(B69&lt;'01_Run_Config'!$B$92,"PRE",B69-'01_Run_Config'!$B$92),"PRE")</x:f>
        <x:v>PRE</x:v>
      </x:c>
      <x:c r="BK69" s="60" t="str">
        <x:f>IF(ISNUMBER('01_Run_Config'!$B$93),IF(B69&lt;'01_Run_Config'!$B$93,"PRE",B69-'01_Run_Config'!$B$93),"PRE")</x:f>
        <x:v>PRE</x:v>
      </x:c>
      <x:c r="BL69" s="2482" t="n">
        <x:f>IF(BM69=5.8,5.8,5.8)</x:f>
        <x:v>5.8</x:v>
      </x:c>
      <x:c r="BM69" s="2482" t="n">
        <x:f>IF(A69&lt;IF(ISNUMBER('01_Run_Config'!$B$81),'01_Run_Config'!$B$81,15),5.8,6)</x:f>
        <x:v>6</x:v>
      </x:c>
      <x:c r="BN69" s="2482" t="n">
        <x:f>IF(BM69=5.8,5.8,6.2)</x:f>
        <x:v>6.2</x:v>
      </x:c>
      <x:c r="BO69" s="60" t="str">
        <x:f>IF(BM69=5.8,"Eazy Plug/Block: Herstellerziel 5.80","Final Coco: UKD 6.00 = Mitte HESI 5.8–6.2")</x:f>
        <x:v>Final Coco: UKD 6.00 = Mitte HESI 5.8–6.2</x:v>
      </x:c>
      <x:c r="BP69" s="60" t="str">
        <x:f>IF(A69&lt;2,"PRE-EMERGENCE: Balance normalerweise nicht nötig",IF(BM69=5.8,"ab Durchbruch AVAILABLE IF endmix &lt; 5.80","AVAILABLE IF endmix &lt; 6.00"))</x:f>
        <x:v>AVAILABLE IF endmix &lt; 6.00</x:v>
      </x:c>
      <x:c r="BQ69" s="60" t="str">
        <x:f>IF(A69=0,"Run Day 0 = Aussaat 21.08.2026; Plant Day beginnt erst beim Durchbruch.",IF(A69=2,"P68 Double Grape: 23.08.2026 = Plant Day 0.","Daily pH is a projection; actual root-stage/event overrides calendar."))</x:f>
        <x:v>Daily pH is a projection; actual root-stage/event overrides calendar.</x:v>
      </x:c>
    </x:row>
    <x:row r="70">
      <x:c r="A70" s="34" t="n">
        <x:v>68</x:v>
      </x:c>
      <x:c r="B70" s="129" t="n">
        <x:f>'01_Run_Config'!$B$4+A70</x:f>
        <x:v>46323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f>BM70</x:f>
        <x:v>6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IF(A70&lt;=14,2.5,0)</x:f>
        <x:v>0</x:v>
      </x:c>
      <x:c r="X70" s="63" t="n">
        <x:f>IF('01_Run_Config'!$B$50="AN Sensizym",0,IF(AND(A70&gt;='01_Run_Config'!$B$32,OR(AL70="",AL70&lt;=49)),2,0))</x:f>
        <x:v>2</x:v>
      </x:c>
      <x:c r="Y70" s="63" t="n">
        <x:f>0.015</x:f>
        <x:v>0.015</x:v>
      </x:c>
      <x:c r="Z70" s="63" t="n">
        <x:f>IF('01_Run_Config'!$B$51="HESI Hesilicio",2,0)</x:f>
        <x:v>0</x:v>
      </x:c>
      <x:c r="AA70" s="63" t="n">
        <x:f>IF('01_Run_Config'!$B$48="AN Bud Candy (replaces HESI Boost)",0,IF(AND(A70&gt;='01_Run_Config'!$B$33,MOD(A70-'01_Run_Config'!$B$33,7)=0),2,0))</x:f>
        <x:v>0</x:v>
      </x:c>
      <x:c r="AB70" s="63" t="n">
        <x:f>IF('01_Run_Config'!$B$52="AN Bud Ignitor &gt; Big Bud &gt; Overdrive",0,IF(AND(ISNUMBER(AL70),AL70&gt;=29,AL70&lt;=42),0.25+((AL70-29)/13)*0.25,0))</x:f>
        <x:v>0.4807692307692308</x:v>
      </x:c>
      <x:c r="AC70" s="63" t="n">
        <x:f>IF('01_Run_Config'!$B$46="OFF",0,IF(OR(AND(A70&gt;='01_Run_Config'!$B$32,A70&lt;='01_Run_Config'!$B$32+13),AND(A70&gt;='01_Run_Config'!$B$33,A70&lt;='01_Run_Config'!$B$33+13)),2,0))</x:f>
        <x:v>0</x:v>
      </x:c>
      <x:c r="AD70" s="63" t="str">
        <x:f>IF(BG70="BLOCK","HYBRID BLOCKED - Konfiguration prüfen",IF(SUM(AC70,AT70:BF70)&gt;0,"AN aktiv: "&amp;BH70,"AN: keine Dosis heute / Module aus"))</x:f>
        <x:v>AN: keine Dosis heute / Module aus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0" s="34" t="str">
        <x:f>IF(A70&lt;2,"PRE-EMERGENCE · kein Kalenderwert","AVAILABLE IF NEEDED · nur wenn vollständiger Endmix unter pH-Ziel liegt")</x:f>
        <x:v>AVAILABLE IF NEEDED · nur wenn vollständiger Endmix unter pH-Ziel liegt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  <x:c r="AT70" t="n">
        <x:f>IF(AND('01_Run_Config'!$B$46="Voodoo + Piranha + Tarantula",AC70&gt;0),2,0)</x:f>
        <x:v>0</x:v>
      </x:c>
      <x:c r="AU70" t="n">
        <x:f>IF(AND(OR('01_Run_Config'!$B$46="Voodoo + Tarantula",'01_Run_Config'!$B$46="Voodoo + Piranha + Tarantula"),AC70&gt;0),2,0)</x:f>
        <x:v>0</x:v>
      </x:c>
      <x:c r="AV70" t="n">
        <x:f>IF('01_Run_Config'!$B$47&lt;&gt;"ON / A-B",0,IF(OR(AND(A70&gt;='01_Run_Config'!$B$32,A70&lt;'01_Run_Config'!$B$33),AND(ISNUMBER(AL70),AL70&gt;=15,AL70&lt;=49)),2,0))</x:f>
        <x:v>0</x:v>
      </x:c>
      <x:c r="AW70" t="n">
        <x:f>IF('01_Run_Config'!$B$48="AN Bud Candy (replaces HESI Boost)",IF(AND(A70&gt;='01_Run_Config'!$B$32,OR(AL70="",AL70&lt;=49)),2,0),0)</x:f>
        <x:v>0</x:v>
      </x:c>
      <x:c r="AX70" t="n">
        <x:f>IF('01_Run_Config'!$B$49&lt;&gt;"ON / EXPERIMENTAL",0,IF(OR(AND(A70&gt;='01_Run_Config'!$B$32+7,A70&lt;'01_Run_Config'!$B$33),AND(ISNUMBER(AL70),AL70&gt;=1,AL70&lt;=49)),2,0))</x:f>
        <x:v>0</x:v>
      </x:c>
      <x:c r="AY70" t="n">
        <x:f>IF('01_Run_Config'!$B$50="AN Sensizym",IF(AND(A70&gt;='01_Run_Config'!$B$32,OR(AL70="",AL70&lt;=49)),2,0),0)</x:f>
        <x:v>0</x:v>
      </x:c>
      <x:c r="AZ70" t="n">
        <x:f>IF('01_Run_Config'!$B$51="AN Rhino Skin",IF(AND(A70&gt;='01_Run_Config'!$B$32,OR(AL70="",AL70&lt;=49)),2,0),0)</x:f>
        <x:v>0</x:v>
      </x:c>
      <x:c r="BA70" t="n">
        <x:f>IF(AND('01_Run_Config'!$B$52="AN Bud Ignitor &gt; Big Bud &gt; Overdrive",ISNUMBER(AL70),AL70&gt;=1,AL70&lt;=14),2,0)</x:f>
        <x:v>0</x:v>
      </x:c>
      <x:c r="BB70" t="n">
        <x:f>IF(AND('01_Run_Config'!$B$52="AN Bud Ignitor &gt; Big Bud &gt; Overdrive",ISNUMBER(AL70),AL70&gt;=8,AL70&lt;=35),2,0)</x:f>
        <x:v>0</x:v>
      </x:c>
      <x:c r="BC70" t="n">
        <x:f>IF(AND('01_Run_Config'!$B$52="AN Bud Ignitor &gt; Big Bud &gt; Overdrive",ISNUMBER(AL70),AL70&gt;=36,AL70&lt;=49),2,0)</x:f>
        <x:v>0</x:v>
      </x:c>
      <x:c r="BD70" t="n">
        <x:f>IF('01_Run_Config'!$B$53="ON / EXPERIMENTAL",IF(OR(AND(A70&gt;='01_Run_Config'!$B$32,A70&lt;'01_Run_Config'!$B$33),AND(ISNUMBER(AL70),AL70&gt;=15,AL70&lt;=49)),2,0),0)</x:f>
        <x:v>0</x:v>
      </x:c>
      <x:c r="BE70" t="n">
        <x:f>IF('01_Run_Config'!$B$54="AN Sensi CalMag Xtra conditional",'01_Run_Config'!$B$17,0)</x:f>
        <x:v>0</x:v>
      </x:c>
      <x:c r="BF70" t="n">
        <x:f>0</x:f>
        <x:v>0</x:v>
      </x:c>
      <x:c r="BG70" t="str">
        <x:f>'01_Run_Config'!$E$57</x:f>
        <x:v>OK</x:v>
      </x:c>
      <x:c r="BH70" t="str">
        <x:f>IF(SUM(AC70,AT70:BF70)=0,"keine AN-Dosis heute",IF(AC70&gt;0,"Voodoo "&amp;AC70&amp;" ml/L; ","")&amp;IF(AT70&gt;0,"Piranha "&amp;AT70&amp;" ml/L; ","")&amp;IF(AU70&gt;0,"Tarantula "&amp;AU70&amp;" ml/L; ","")&amp;IF(AV70&gt;0,"B-52 "&amp;AV70&amp;" ml/L; ","")&amp;IF(AW70&gt;0,"Bud Candy "&amp;AW70&amp;" ml/L; ","")&amp;IF(AX70&gt;0,"Bud Factor X "&amp;AX70&amp;" ml/L; ","")&amp;IF(AY70&gt;0,"Sensizym "&amp;AY70&amp;" ml/L; ","")&amp;IF(AZ70&gt;0,"Rhino Skin "&amp;AZ70&amp;" ml/L; ","")&amp;IF(BA70&gt;0,"Bud Ignitor "&amp;BA70&amp;" ml/L; ","")&amp;IF(BB70&gt;0,"Big Bud "&amp;BB70&amp;" ml/L; ","")&amp;IF(BC70&gt;0,"Overdrive "&amp;BC70&amp;" ml/L; ","")&amp;IF(BD70&gt;0,"Tasty Terpenes "&amp;BD70&amp;" ml/L; ","")&amp;IF(BE70&gt;0,"Sensi CalMag "&amp;BE70&amp;" ml/L",""))</x:f>
        <x:v>keine AN-Dosis heute</x:v>
      </x:c>
      <x:c r="BI70" s="60" t="n">
        <x:f>IF(ISNUMBER('01_Run_Config'!$B$91),IF(B70&lt;'01_Run_Config'!$B$91,"PRE",B70-'01_Run_Config'!$B$91),"PRE")</x:f>
        <x:v>66</x:v>
      </x:c>
      <x:c r="BJ70" s="60" t="str">
        <x:f>IF(ISNUMBER('01_Run_Config'!$B$92),IF(B70&lt;'01_Run_Config'!$B$92,"PRE",B70-'01_Run_Config'!$B$92),"PRE")</x:f>
        <x:v>PRE</x:v>
      </x:c>
      <x:c r="BK70" s="60" t="str">
        <x:f>IF(ISNUMBER('01_Run_Config'!$B$93),IF(B70&lt;'01_Run_Config'!$B$93,"PRE",B70-'01_Run_Config'!$B$93),"PRE")</x:f>
        <x:v>PRE</x:v>
      </x:c>
      <x:c r="BL70" s="2482" t="n">
        <x:f>IF(BM70=5.8,5.8,5.8)</x:f>
        <x:v>5.8</x:v>
      </x:c>
      <x:c r="BM70" s="2482" t="n">
        <x:f>IF(A70&lt;IF(ISNUMBER('01_Run_Config'!$B$81),'01_Run_Config'!$B$81,15),5.8,6)</x:f>
        <x:v>6</x:v>
      </x:c>
      <x:c r="BN70" s="2482" t="n">
        <x:f>IF(BM70=5.8,5.8,6.2)</x:f>
        <x:v>6.2</x:v>
      </x:c>
      <x:c r="BO70" s="60" t="str">
        <x:f>IF(BM70=5.8,"Eazy Plug/Block: Herstellerziel 5.80","Final Coco: UKD 6.00 = Mitte HESI 5.8–6.2")</x:f>
        <x:v>Final Coco: UKD 6.00 = Mitte HESI 5.8–6.2</x:v>
      </x:c>
      <x:c r="BP70" s="60" t="str">
        <x:f>IF(A70&lt;2,"PRE-EMERGENCE: Balance normalerweise nicht nötig",IF(BM70=5.8,"ab Durchbruch AVAILABLE IF endmix &lt; 5.80","AVAILABLE IF endmix &lt; 6.00"))</x:f>
        <x:v>AVAILABLE IF endmix &lt; 6.00</x:v>
      </x:c>
      <x:c r="BQ70" s="60" t="str">
        <x:f>IF(A70=0,"Run Day 0 = Aussaat 21.08.2026; Plant Day beginnt erst beim Durchbruch.",IF(A70=2,"P69 Double Grape: 23.08.2026 = Plant Day 0.","Daily pH is a projection; actual root-stage/event overrides calendar."))</x:f>
        <x:v>Daily pH is a projection; actual root-stage/event overrides calendar.</x:v>
      </x:c>
    </x:row>
    <x:row r="71">
      <x:c r="A71" s="34" t="n">
        <x:v>69</x:v>
      </x:c>
      <x:c r="B71" s="129" t="n">
        <x:f>'01_Run_Config'!$B$4+A71</x:f>
        <x:v>46324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f>BM71</x:f>
        <x:v>6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IF(A71&lt;=14,2.5,0)</x:f>
        <x:v>0</x:v>
      </x:c>
      <x:c r="X71" s="63" t="n">
        <x:f>IF('01_Run_Config'!$B$50="AN Sensizym",0,IF(AND(A71&gt;='01_Run_Config'!$B$32,OR(AL71="",AL71&lt;=49)),2,0))</x:f>
        <x:v>2</x:v>
      </x:c>
      <x:c r="Y71" s="63" t="n">
        <x:f>0.015</x:f>
        <x:v>0.015</x:v>
      </x:c>
      <x:c r="Z71" s="63" t="n">
        <x:f>IF('01_Run_Config'!$B$51="HESI Hesilicio",2,0)</x:f>
        <x:v>0</x:v>
      </x:c>
      <x:c r="AA71" s="63" t="n">
        <x:f>IF('01_Run_Config'!$B$48="AN Bud Candy (replaces HESI Boost)",0,IF(AND(A71&gt;='01_Run_Config'!$B$33,MOD(A71-'01_Run_Config'!$B$33,7)=0),2,0))</x:f>
        <x:v>0</x:v>
      </x:c>
      <x:c r="AB71" s="63" t="n">
        <x:f>IF('01_Run_Config'!$B$52="AN Bud Ignitor &gt; Big Bud &gt; Overdrive",0,IF(AND(ISNUMBER(AL71),AL71&gt;=29,AL71&lt;=42),0.25+((AL71-29)/13)*0.25,0))</x:f>
        <x:v>0.5</x:v>
      </x:c>
      <x:c r="AC71" s="63" t="n">
        <x:f>IF('01_Run_Config'!$B$46="OFF",0,IF(OR(AND(A71&gt;='01_Run_Config'!$B$32,A71&lt;='01_Run_Config'!$B$32+13),AND(A71&gt;='01_Run_Config'!$B$33,A71&lt;='01_Run_Config'!$B$33+13)),2,0))</x:f>
        <x:v>0</x:v>
      </x:c>
      <x:c r="AD71" s="63" t="str">
        <x:f>IF(BG71="BLOCK","HYBRID BLOCKED - Konfiguration prüfen",IF(SUM(AC71,AT71:BF71)&gt;0,"AN aktiv: "&amp;BH71,"AN: keine Dosis heute / Module aus"))</x:f>
        <x:v>AN: keine Dosis heute / Module aus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1" s="34" t="str">
        <x:f>IF(A71&lt;2,"PRE-EMERGENCE · kein Kalenderwert","AVAILABLE IF NEEDED · nur wenn vollständiger Endmix unter pH-Ziel liegt")</x:f>
        <x:v>AVAILABLE IF NEEDED · nur wenn vollständiger Endmix unter pH-Ziel liegt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  <x:c r="AT71" t="n">
        <x:f>IF(AND('01_Run_Config'!$B$46="Voodoo + Piranha + Tarantula",AC71&gt;0),2,0)</x:f>
        <x:v>0</x:v>
      </x:c>
      <x:c r="AU71" t="n">
        <x:f>IF(AND(OR('01_Run_Config'!$B$46="Voodoo + Tarantula",'01_Run_Config'!$B$46="Voodoo + Piranha + Tarantula"),AC71&gt;0),2,0)</x:f>
        <x:v>0</x:v>
      </x:c>
      <x:c r="AV71" t="n">
        <x:f>IF('01_Run_Config'!$B$47&lt;&gt;"ON / A-B",0,IF(OR(AND(A71&gt;='01_Run_Config'!$B$32,A71&lt;'01_Run_Config'!$B$33),AND(ISNUMBER(AL71),AL71&gt;=15,AL71&lt;=49)),2,0))</x:f>
        <x:v>0</x:v>
      </x:c>
      <x:c r="AW71" t="n">
        <x:f>IF('01_Run_Config'!$B$48="AN Bud Candy (replaces HESI Boost)",IF(AND(A71&gt;='01_Run_Config'!$B$32,OR(AL71="",AL71&lt;=49)),2,0),0)</x:f>
        <x:v>0</x:v>
      </x:c>
      <x:c r="AX71" t="n">
        <x:f>IF('01_Run_Config'!$B$49&lt;&gt;"ON / EXPERIMENTAL",0,IF(OR(AND(A71&gt;='01_Run_Config'!$B$32+7,A71&lt;'01_Run_Config'!$B$33),AND(ISNUMBER(AL71),AL71&gt;=1,AL71&lt;=49)),2,0))</x:f>
        <x:v>0</x:v>
      </x:c>
      <x:c r="AY71" t="n">
        <x:f>IF('01_Run_Config'!$B$50="AN Sensizym",IF(AND(A71&gt;='01_Run_Config'!$B$32,OR(AL71="",AL71&lt;=49)),2,0),0)</x:f>
        <x:v>0</x:v>
      </x:c>
      <x:c r="AZ71" t="n">
        <x:f>IF('01_Run_Config'!$B$51="AN Rhino Skin",IF(AND(A71&gt;='01_Run_Config'!$B$32,OR(AL71="",AL71&lt;=49)),2,0),0)</x:f>
        <x:v>0</x:v>
      </x:c>
      <x:c r="BA71" t="n">
        <x:f>IF(AND('01_Run_Config'!$B$52="AN Bud Ignitor &gt; Big Bud &gt; Overdrive",ISNUMBER(AL71),AL71&gt;=1,AL71&lt;=14),2,0)</x:f>
        <x:v>0</x:v>
      </x:c>
      <x:c r="BB71" t="n">
        <x:f>IF(AND('01_Run_Config'!$B$52="AN Bud Ignitor &gt; Big Bud &gt; Overdrive",ISNUMBER(AL71),AL71&gt;=8,AL71&lt;=35),2,0)</x:f>
        <x:v>0</x:v>
      </x:c>
      <x:c r="BC71" t="n">
        <x:f>IF(AND('01_Run_Config'!$B$52="AN Bud Ignitor &gt; Big Bud &gt; Overdrive",ISNUMBER(AL71),AL71&gt;=36,AL71&lt;=49),2,0)</x:f>
        <x:v>0</x:v>
      </x:c>
      <x:c r="BD71" t="n">
        <x:f>IF('01_Run_Config'!$B$53="ON / EXPERIMENTAL",IF(OR(AND(A71&gt;='01_Run_Config'!$B$32,A71&lt;'01_Run_Config'!$B$33),AND(ISNUMBER(AL71),AL71&gt;=15,AL71&lt;=49)),2,0),0)</x:f>
        <x:v>0</x:v>
      </x:c>
      <x:c r="BE71" t="n">
        <x:f>IF('01_Run_Config'!$B$54="AN Sensi CalMag Xtra conditional",'01_Run_Config'!$B$17,0)</x:f>
        <x:v>0</x:v>
      </x:c>
      <x:c r="BF71" t="n">
        <x:f>0</x:f>
        <x:v>0</x:v>
      </x:c>
      <x:c r="BG71" t="str">
        <x:f>'01_Run_Config'!$E$57</x:f>
        <x:v>OK</x:v>
      </x:c>
      <x:c r="BH71" t="str">
        <x:f>IF(SUM(AC71,AT71:BF71)=0,"keine AN-Dosis heute",IF(AC71&gt;0,"Voodoo "&amp;AC71&amp;" ml/L; ","")&amp;IF(AT71&gt;0,"Piranha "&amp;AT71&amp;" ml/L; ","")&amp;IF(AU71&gt;0,"Tarantula "&amp;AU71&amp;" ml/L; ","")&amp;IF(AV71&gt;0,"B-52 "&amp;AV71&amp;" ml/L; ","")&amp;IF(AW71&gt;0,"Bud Candy "&amp;AW71&amp;" ml/L; ","")&amp;IF(AX71&gt;0,"Bud Factor X "&amp;AX71&amp;" ml/L; ","")&amp;IF(AY71&gt;0,"Sensizym "&amp;AY71&amp;" ml/L; ","")&amp;IF(AZ71&gt;0,"Rhino Skin "&amp;AZ71&amp;" ml/L; ","")&amp;IF(BA71&gt;0,"Bud Ignitor "&amp;BA71&amp;" ml/L; ","")&amp;IF(BB71&gt;0,"Big Bud "&amp;BB71&amp;" ml/L; ","")&amp;IF(BC71&gt;0,"Overdrive "&amp;BC71&amp;" ml/L; ","")&amp;IF(BD71&gt;0,"Tasty Terpenes "&amp;BD71&amp;" ml/L; ","")&amp;IF(BE71&gt;0,"Sensi CalMag "&amp;BE71&amp;" ml/L",""))</x:f>
        <x:v>keine AN-Dosis heute</x:v>
      </x:c>
      <x:c r="BI71" s="60" t="n">
        <x:f>IF(ISNUMBER('01_Run_Config'!$B$91),IF(B71&lt;'01_Run_Config'!$B$91,"PRE",B71-'01_Run_Config'!$B$91),"PRE")</x:f>
        <x:v>67</x:v>
      </x:c>
      <x:c r="BJ71" s="60" t="str">
        <x:f>IF(ISNUMBER('01_Run_Config'!$B$92),IF(B71&lt;'01_Run_Config'!$B$92,"PRE",B71-'01_Run_Config'!$B$92),"PRE")</x:f>
        <x:v>PRE</x:v>
      </x:c>
      <x:c r="BK71" s="60" t="str">
        <x:f>IF(ISNUMBER('01_Run_Config'!$B$93),IF(B71&lt;'01_Run_Config'!$B$93,"PRE",B71-'01_Run_Config'!$B$93),"PRE")</x:f>
        <x:v>PRE</x:v>
      </x:c>
      <x:c r="BL71" s="2482" t="n">
        <x:f>IF(BM71=5.8,5.8,5.8)</x:f>
        <x:v>5.8</x:v>
      </x:c>
      <x:c r="BM71" s="2482" t="n">
        <x:f>IF(A71&lt;IF(ISNUMBER('01_Run_Config'!$B$81),'01_Run_Config'!$B$81,15),5.8,6)</x:f>
        <x:v>6</x:v>
      </x:c>
      <x:c r="BN71" s="2482" t="n">
        <x:f>IF(BM71=5.8,5.8,6.2)</x:f>
        <x:v>6.2</x:v>
      </x:c>
      <x:c r="BO71" s="60" t="str">
        <x:f>IF(BM71=5.8,"Eazy Plug/Block: Herstellerziel 5.80","Final Coco: UKD 6.00 = Mitte HESI 5.8–6.2")</x:f>
        <x:v>Final Coco: UKD 6.00 = Mitte HESI 5.8–6.2</x:v>
      </x:c>
      <x:c r="BP71" s="60" t="str">
        <x:f>IF(A71&lt;2,"PRE-EMERGENCE: Balance normalerweise nicht nötig",IF(BM71=5.8,"ab Durchbruch AVAILABLE IF endmix &lt; 5.80","AVAILABLE IF endmix &lt; 6.00"))</x:f>
        <x:v>AVAILABLE IF endmix &lt; 6.00</x:v>
      </x:c>
      <x:c r="BQ71" s="60" t="str">
        <x:f>IF(A71=0,"Run Day 0 = Aussaat 21.08.2026; Plant Day beginnt erst beim Durchbruch.",IF(A71=2,"P70 Double Grape: 23.08.2026 = Plant Day 0.","Daily pH is a projection; actual root-stage/event overrides calendar."))</x:f>
        <x:v>Daily pH is a projection; actual root-stage/event overrides calendar.</x:v>
      </x:c>
    </x:row>
    <x:row r="72">
      <x:c r="A72" s="34" t="n">
        <x:v>70</x:v>
      </x:c>
      <x:c r="B72" s="129" t="n">
        <x:f>'01_Run_Config'!$B$4+A72</x:f>
        <x:v>46325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f>BM72</x:f>
        <x:v>6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IF(A72&lt;=14,2.5,0)</x:f>
        <x:v>0</x:v>
      </x:c>
      <x:c r="X72" s="63" t="n">
        <x:f>IF('01_Run_Config'!$B$50="AN Sensizym",0,IF(AND(A72&gt;='01_Run_Config'!$B$32,OR(AL72="",AL72&lt;=49)),2,0))</x:f>
        <x:v>2</x:v>
      </x:c>
      <x:c r="Y72" s="63" t="n">
        <x:f>0.015</x:f>
        <x:v>0.015</x:v>
      </x:c>
      <x:c r="Z72" s="63" t="n">
        <x:f>IF('01_Run_Config'!$B$51="HESI Hesilicio",2,0)</x:f>
        <x:v>0</x:v>
      </x:c>
      <x:c r="AA72" s="63" t="n">
        <x:f>IF('01_Run_Config'!$B$48="AN Bud Candy (replaces HESI Boost)",0,IF(AND(A72&gt;='01_Run_Config'!$B$33,MOD(A72-'01_Run_Config'!$B$33,7)=0),2,0))</x:f>
        <x:v>2</x:v>
      </x:c>
      <x:c r="AB72" s="63" t="n">
        <x:f>IF('01_Run_Config'!$B$52="AN Bud Ignitor &gt; Big Bud &gt; Overdrive",0,IF(AND(ISNUMBER(AL72),AL72&gt;=29,AL72&lt;=42),0.25+((AL72-29)/13)*0.25,0))</x:f>
        <x:v>0</x:v>
      </x:c>
      <x:c r="AC72" s="63" t="n">
        <x:f>IF('01_Run_Config'!$B$46="OFF",0,IF(OR(AND(A72&gt;='01_Run_Config'!$B$32,A72&lt;='01_Run_Config'!$B$32+13),AND(A72&gt;='01_Run_Config'!$B$33,A72&lt;='01_Run_Config'!$B$33+13)),2,0))</x:f>
        <x:v>0</x:v>
      </x:c>
      <x:c r="AD72" s="63" t="str">
        <x:f>IF(BG72="BLOCK","HYBRID BLOCKED - Konfiguration prüfen",IF(SUM(AC72,AT72:BF72)&gt;0,"AN aktiv: "&amp;BH72,"AN: keine Dosis heute / Module aus"))</x:f>
        <x:v>AN: keine Dosis heute / Module aus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2" s="34" t="str">
        <x:f>IF(A72&lt;2,"PRE-EMERGENCE · kein Kalenderwert","AVAILABLE IF NEEDED · nur wenn vollständiger Endmix unter pH-Ziel liegt")</x:f>
        <x:v>AVAILABLE IF NEEDED · nur wenn vollständiger Endmix unter pH-Ziel liegt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  <x:c r="AT72" t="n">
        <x:f>IF(AND('01_Run_Config'!$B$46="Voodoo + Piranha + Tarantula",AC72&gt;0),2,0)</x:f>
        <x:v>0</x:v>
      </x:c>
      <x:c r="AU72" t="n">
        <x:f>IF(AND(OR('01_Run_Config'!$B$46="Voodoo + Tarantula",'01_Run_Config'!$B$46="Voodoo + Piranha + Tarantula"),AC72&gt;0),2,0)</x:f>
        <x:v>0</x:v>
      </x:c>
      <x:c r="AV72" t="n">
        <x:f>IF('01_Run_Config'!$B$47&lt;&gt;"ON / A-B",0,IF(OR(AND(A72&gt;='01_Run_Config'!$B$32,A72&lt;'01_Run_Config'!$B$33),AND(ISNUMBER(AL72),AL72&gt;=15,AL72&lt;=49)),2,0))</x:f>
        <x:v>0</x:v>
      </x:c>
      <x:c r="AW72" t="n">
        <x:f>IF('01_Run_Config'!$B$48="AN Bud Candy (replaces HESI Boost)",IF(AND(A72&gt;='01_Run_Config'!$B$32,OR(AL72="",AL72&lt;=49)),2,0),0)</x:f>
        <x:v>0</x:v>
      </x:c>
      <x:c r="AX72" t="n">
        <x:f>IF('01_Run_Config'!$B$49&lt;&gt;"ON / EXPERIMENTAL",0,IF(OR(AND(A72&gt;='01_Run_Config'!$B$32+7,A72&lt;'01_Run_Config'!$B$33),AND(ISNUMBER(AL72),AL72&gt;=1,AL72&lt;=49)),2,0))</x:f>
        <x:v>0</x:v>
      </x:c>
      <x:c r="AY72" t="n">
        <x:f>IF('01_Run_Config'!$B$50="AN Sensizym",IF(AND(A72&gt;='01_Run_Config'!$B$32,OR(AL72="",AL72&lt;=49)),2,0),0)</x:f>
        <x:v>0</x:v>
      </x:c>
      <x:c r="AZ72" t="n">
        <x:f>IF('01_Run_Config'!$B$51="AN Rhino Skin",IF(AND(A72&gt;='01_Run_Config'!$B$32,OR(AL72="",AL72&lt;=49)),2,0),0)</x:f>
        <x:v>0</x:v>
      </x:c>
      <x:c r="BA72" t="n">
        <x:f>IF(AND('01_Run_Config'!$B$52="AN Bud Ignitor &gt; Big Bud &gt; Overdrive",ISNUMBER(AL72),AL72&gt;=1,AL72&lt;=14),2,0)</x:f>
        <x:v>0</x:v>
      </x:c>
      <x:c r="BB72" t="n">
        <x:f>IF(AND('01_Run_Config'!$B$52="AN Bud Ignitor &gt; Big Bud &gt; Overdrive",ISNUMBER(AL72),AL72&gt;=8,AL72&lt;=35),2,0)</x:f>
        <x:v>0</x:v>
      </x:c>
      <x:c r="BC72" t="n">
        <x:f>IF(AND('01_Run_Config'!$B$52="AN Bud Ignitor &gt; Big Bud &gt; Overdrive",ISNUMBER(AL72),AL72&gt;=36,AL72&lt;=49),2,0)</x:f>
        <x:v>0</x:v>
      </x:c>
      <x:c r="BD72" t="n">
        <x:f>IF('01_Run_Config'!$B$53="ON / EXPERIMENTAL",IF(OR(AND(A72&gt;='01_Run_Config'!$B$32,A72&lt;'01_Run_Config'!$B$33),AND(ISNUMBER(AL72),AL72&gt;=15,AL72&lt;=49)),2,0),0)</x:f>
        <x:v>0</x:v>
      </x:c>
      <x:c r="BE72" t="n">
        <x:f>IF('01_Run_Config'!$B$54="AN Sensi CalMag Xtra conditional",'01_Run_Config'!$B$17,0)</x:f>
        <x:v>0</x:v>
      </x:c>
      <x:c r="BF72" t="n">
        <x:f>0</x:f>
        <x:v>0</x:v>
      </x:c>
      <x:c r="BG72" t="str">
        <x:f>'01_Run_Config'!$E$57</x:f>
        <x:v>OK</x:v>
      </x:c>
      <x:c r="BH72" t="str">
        <x:f>IF(SUM(AC72,AT72:BF72)=0,"keine AN-Dosis heute",IF(AC72&gt;0,"Voodoo "&amp;AC72&amp;" ml/L; ","")&amp;IF(AT72&gt;0,"Piranha "&amp;AT72&amp;" ml/L; ","")&amp;IF(AU72&gt;0,"Tarantula "&amp;AU72&amp;" ml/L; ","")&amp;IF(AV72&gt;0,"B-52 "&amp;AV72&amp;" ml/L; ","")&amp;IF(AW72&gt;0,"Bud Candy "&amp;AW72&amp;" ml/L; ","")&amp;IF(AX72&gt;0,"Bud Factor X "&amp;AX72&amp;" ml/L; ","")&amp;IF(AY72&gt;0,"Sensizym "&amp;AY72&amp;" ml/L; ","")&amp;IF(AZ72&gt;0,"Rhino Skin "&amp;AZ72&amp;" ml/L; ","")&amp;IF(BA72&gt;0,"Bud Ignitor "&amp;BA72&amp;" ml/L; ","")&amp;IF(BB72&gt;0,"Big Bud "&amp;BB72&amp;" ml/L; ","")&amp;IF(BC72&gt;0,"Overdrive "&amp;BC72&amp;" ml/L; ","")&amp;IF(BD72&gt;0,"Tasty Terpenes "&amp;BD72&amp;" ml/L; ","")&amp;IF(BE72&gt;0,"Sensi CalMag "&amp;BE72&amp;" ml/L",""))</x:f>
        <x:v>keine AN-Dosis heute</x:v>
      </x:c>
      <x:c r="BI72" s="60" t="n">
        <x:f>IF(ISNUMBER('01_Run_Config'!$B$91),IF(B72&lt;'01_Run_Config'!$B$91,"PRE",B72-'01_Run_Config'!$B$91),"PRE")</x:f>
        <x:v>68</x:v>
      </x:c>
      <x:c r="BJ72" s="60" t="str">
        <x:f>IF(ISNUMBER('01_Run_Config'!$B$92),IF(B72&lt;'01_Run_Config'!$B$92,"PRE",B72-'01_Run_Config'!$B$92),"PRE")</x:f>
        <x:v>PRE</x:v>
      </x:c>
      <x:c r="BK72" s="60" t="str">
        <x:f>IF(ISNUMBER('01_Run_Config'!$B$93),IF(B72&lt;'01_Run_Config'!$B$93,"PRE",B72-'01_Run_Config'!$B$93),"PRE")</x:f>
        <x:v>PRE</x:v>
      </x:c>
      <x:c r="BL72" s="2482" t="n">
        <x:f>IF(BM72=5.8,5.8,5.8)</x:f>
        <x:v>5.8</x:v>
      </x:c>
      <x:c r="BM72" s="2482" t="n">
        <x:f>IF(A72&lt;IF(ISNUMBER('01_Run_Config'!$B$81),'01_Run_Config'!$B$81,15),5.8,6)</x:f>
        <x:v>6</x:v>
      </x:c>
      <x:c r="BN72" s="2482" t="n">
        <x:f>IF(BM72=5.8,5.8,6.2)</x:f>
        <x:v>6.2</x:v>
      </x:c>
      <x:c r="BO72" s="60" t="str">
        <x:f>IF(BM72=5.8,"Eazy Plug/Block: Herstellerziel 5.80","Final Coco: UKD 6.00 = Mitte HESI 5.8–6.2")</x:f>
        <x:v>Final Coco: UKD 6.00 = Mitte HESI 5.8–6.2</x:v>
      </x:c>
      <x:c r="BP72" s="60" t="str">
        <x:f>IF(A72&lt;2,"PRE-EMERGENCE: Balance normalerweise nicht nötig",IF(BM72=5.8,"ab Durchbruch AVAILABLE IF endmix &lt; 5.80","AVAILABLE IF endmix &lt; 6.00"))</x:f>
        <x:v>AVAILABLE IF endmix &lt; 6.00</x:v>
      </x:c>
      <x:c r="BQ72" s="60" t="str">
        <x:f>IF(A72=0,"Run Day 0 = Aussaat 21.08.2026; Plant Day beginnt erst beim Durchbruch.",IF(A72=2,"P71 Double Grape: 23.08.2026 = Plant Day 0.","Daily pH is a projection; actual root-stage/event overrides calendar."))</x:f>
        <x:v>Daily pH is a projection; actual root-stage/event overrides calendar.</x:v>
      </x:c>
    </x:row>
    <x:row r="73">
      <x:c r="A73" s="34" t="n">
        <x:v>71</x:v>
      </x:c>
      <x:c r="B73" s="129" t="n">
        <x:f>'01_Run_Config'!$B$4+A73</x:f>
        <x:v>46326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f>BM73</x:f>
        <x:v>6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IF(A73&lt;=14,2.5,0)</x:f>
        <x:v>0</x:v>
      </x:c>
      <x:c r="X73" s="63" t="n">
        <x:f>IF('01_Run_Config'!$B$50="AN Sensizym",0,IF(AND(A73&gt;='01_Run_Config'!$B$32,OR(AL73="",AL73&lt;=49)),2,0))</x:f>
        <x:v>2</x:v>
      </x:c>
      <x:c r="Y73" s="63" t="n">
        <x:f>0.015</x:f>
        <x:v>0.015</x:v>
      </x:c>
      <x:c r="Z73" s="63" t="n">
        <x:f>IF('01_Run_Config'!$B$51="HESI Hesilicio",2,0)</x:f>
        <x:v>0</x:v>
      </x:c>
      <x:c r="AA73" s="63" t="n">
        <x:f>IF('01_Run_Config'!$B$48="AN Bud Candy (replaces HESI Boost)",0,IF(AND(A73&gt;='01_Run_Config'!$B$33,MOD(A73-'01_Run_Config'!$B$33,7)=0),2,0))</x:f>
        <x:v>0</x:v>
      </x:c>
      <x:c r="AB73" s="63" t="n">
        <x:f>IF('01_Run_Config'!$B$52="AN Bud Ignitor &gt; Big Bud &gt; Overdrive",0,IF(AND(ISNUMBER(AL73),AL73&gt;=29,AL73&lt;=42),0.25+((AL73-29)/13)*0.25,0))</x:f>
        <x:v>0</x:v>
      </x:c>
      <x:c r="AC73" s="63" t="n">
        <x:f>IF('01_Run_Config'!$B$46="OFF",0,IF(OR(AND(A73&gt;='01_Run_Config'!$B$32,A73&lt;='01_Run_Config'!$B$32+13),AND(A73&gt;='01_Run_Config'!$B$33,A73&lt;='01_Run_Config'!$B$33+13)),2,0))</x:f>
        <x:v>0</x:v>
      </x:c>
      <x:c r="AD73" s="63" t="str">
        <x:f>IF(BG73="BLOCK","HYBRID BLOCKED - Konfiguration prüfen",IF(SUM(AC73,AT73:BF73)&gt;0,"AN aktiv: "&amp;BH73,"AN: keine Dosis heute / Module aus"))</x:f>
        <x:v>AN: keine Dosis heute / Module aus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3" s="34" t="str">
        <x:f>IF(A73&lt;2,"PRE-EMERGENCE · kein Kalenderwert","AVAILABLE IF NEEDED · nur wenn vollständiger Endmix unter pH-Ziel liegt")</x:f>
        <x:v>AVAILABLE IF NEEDED · nur wenn vollständiger Endmix unter pH-Ziel liegt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  <x:c r="AT73" t="n">
        <x:f>IF(AND('01_Run_Config'!$B$46="Voodoo + Piranha + Tarantula",AC73&gt;0),2,0)</x:f>
        <x:v>0</x:v>
      </x:c>
      <x:c r="AU73" t="n">
        <x:f>IF(AND(OR('01_Run_Config'!$B$46="Voodoo + Tarantula",'01_Run_Config'!$B$46="Voodoo + Piranha + Tarantula"),AC73&gt;0),2,0)</x:f>
        <x:v>0</x:v>
      </x:c>
      <x:c r="AV73" t="n">
        <x:f>IF('01_Run_Config'!$B$47&lt;&gt;"ON / A-B",0,IF(OR(AND(A73&gt;='01_Run_Config'!$B$32,A73&lt;'01_Run_Config'!$B$33),AND(ISNUMBER(AL73),AL73&gt;=15,AL73&lt;=49)),2,0))</x:f>
        <x:v>0</x:v>
      </x:c>
      <x:c r="AW73" t="n">
        <x:f>IF('01_Run_Config'!$B$48="AN Bud Candy (replaces HESI Boost)",IF(AND(A73&gt;='01_Run_Config'!$B$32,OR(AL73="",AL73&lt;=49)),2,0),0)</x:f>
        <x:v>0</x:v>
      </x:c>
      <x:c r="AX73" t="n">
        <x:f>IF('01_Run_Config'!$B$49&lt;&gt;"ON / EXPERIMENTAL",0,IF(OR(AND(A73&gt;='01_Run_Config'!$B$32+7,A73&lt;'01_Run_Config'!$B$33),AND(ISNUMBER(AL73),AL73&gt;=1,AL73&lt;=49)),2,0))</x:f>
        <x:v>0</x:v>
      </x:c>
      <x:c r="AY73" t="n">
        <x:f>IF('01_Run_Config'!$B$50="AN Sensizym",IF(AND(A73&gt;='01_Run_Config'!$B$32,OR(AL73="",AL73&lt;=49)),2,0),0)</x:f>
        <x:v>0</x:v>
      </x:c>
      <x:c r="AZ73" t="n">
        <x:f>IF('01_Run_Config'!$B$51="AN Rhino Skin",IF(AND(A73&gt;='01_Run_Config'!$B$32,OR(AL73="",AL73&lt;=49)),2,0),0)</x:f>
        <x:v>0</x:v>
      </x:c>
      <x:c r="BA73" t="n">
        <x:f>IF(AND('01_Run_Config'!$B$52="AN Bud Ignitor &gt; Big Bud &gt; Overdrive",ISNUMBER(AL73),AL73&gt;=1,AL73&lt;=14),2,0)</x:f>
        <x:v>0</x:v>
      </x:c>
      <x:c r="BB73" t="n">
        <x:f>IF(AND('01_Run_Config'!$B$52="AN Bud Ignitor &gt; Big Bud &gt; Overdrive",ISNUMBER(AL73),AL73&gt;=8,AL73&lt;=35),2,0)</x:f>
        <x:v>0</x:v>
      </x:c>
      <x:c r="BC73" t="n">
        <x:f>IF(AND('01_Run_Config'!$B$52="AN Bud Ignitor &gt; Big Bud &gt; Overdrive",ISNUMBER(AL73),AL73&gt;=36,AL73&lt;=49),2,0)</x:f>
        <x:v>0</x:v>
      </x:c>
      <x:c r="BD73" t="n">
        <x:f>IF('01_Run_Config'!$B$53="ON / EXPERIMENTAL",IF(OR(AND(A73&gt;='01_Run_Config'!$B$32,A73&lt;'01_Run_Config'!$B$33),AND(ISNUMBER(AL73),AL73&gt;=15,AL73&lt;=49)),2,0),0)</x:f>
        <x:v>0</x:v>
      </x:c>
      <x:c r="BE73" t="n">
        <x:f>IF('01_Run_Config'!$B$54="AN Sensi CalMag Xtra conditional",'01_Run_Config'!$B$17,0)</x:f>
        <x:v>0</x:v>
      </x:c>
      <x:c r="BF73" t="n">
        <x:f>0</x:f>
        <x:v>0</x:v>
      </x:c>
      <x:c r="BG73" t="str">
        <x:f>'01_Run_Config'!$E$57</x:f>
        <x:v>OK</x:v>
      </x:c>
      <x:c r="BH73" t="str">
        <x:f>IF(SUM(AC73,AT73:BF73)=0,"keine AN-Dosis heute",IF(AC73&gt;0,"Voodoo "&amp;AC73&amp;" ml/L; ","")&amp;IF(AT73&gt;0,"Piranha "&amp;AT73&amp;" ml/L; ","")&amp;IF(AU73&gt;0,"Tarantula "&amp;AU73&amp;" ml/L; ","")&amp;IF(AV73&gt;0,"B-52 "&amp;AV73&amp;" ml/L; ","")&amp;IF(AW73&gt;0,"Bud Candy "&amp;AW73&amp;" ml/L; ","")&amp;IF(AX73&gt;0,"Bud Factor X "&amp;AX73&amp;" ml/L; ","")&amp;IF(AY73&gt;0,"Sensizym "&amp;AY73&amp;" ml/L; ","")&amp;IF(AZ73&gt;0,"Rhino Skin "&amp;AZ73&amp;" ml/L; ","")&amp;IF(BA73&gt;0,"Bud Ignitor "&amp;BA73&amp;" ml/L; ","")&amp;IF(BB73&gt;0,"Big Bud "&amp;BB73&amp;" ml/L; ","")&amp;IF(BC73&gt;0,"Overdrive "&amp;BC73&amp;" ml/L; ","")&amp;IF(BD73&gt;0,"Tasty Terpenes "&amp;BD73&amp;" ml/L; ","")&amp;IF(BE73&gt;0,"Sensi CalMag "&amp;BE73&amp;" ml/L",""))</x:f>
        <x:v>keine AN-Dosis heute</x:v>
      </x:c>
      <x:c r="BI73" s="60" t="n">
        <x:f>IF(ISNUMBER('01_Run_Config'!$B$91),IF(B73&lt;'01_Run_Config'!$B$91,"PRE",B73-'01_Run_Config'!$B$91),"PRE")</x:f>
        <x:v>69</x:v>
      </x:c>
      <x:c r="BJ73" s="60" t="str">
        <x:f>IF(ISNUMBER('01_Run_Config'!$B$92),IF(B73&lt;'01_Run_Config'!$B$92,"PRE",B73-'01_Run_Config'!$B$92),"PRE")</x:f>
        <x:v>PRE</x:v>
      </x:c>
      <x:c r="BK73" s="60" t="str">
        <x:f>IF(ISNUMBER('01_Run_Config'!$B$93),IF(B73&lt;'01_Run_Config'!$B$93,"PRE",B73-'01_Run_Config'!$B$93),"PRE")</x:f>
        <x:v>PRE</x:v>
      </x:c>
      <x:c r="BL73" s="2482" t="n">
        <x:f>IF(BM73=5.8,5.8,5.8)</x:f>
        <x:v>5.8</x:v>
      </x:c>
      <x:c r="BM73" s="2482" t="n">
        <x:f>IF(A73&lt;IF(ISNUMBER('01_Run_Config'!$B$81),'01_Run_Config'!$B$81,15),5.8,6)</x:f>
        <x:v>6</x:v>
      </x:c>
      <x:c r="BN73" s="2482" t="n">
        <x:f>IF(BM73=5.8,5.8,6.2)</x:f>
        <x:v>6.2</x:v>
      </x:c>
      <x:c r="BO73" s="60" t="str">
        <x:f>IF(BM73=5.8,"Eazy Plug/Block: Herstellerziel 5.80","Final Coco: UKD 6.00 = Mitte HESI 5.8–6.2")</x:f>
        <x:v>Final Coco: UKD 6.00 = Mitte HESI 5.8–6.2</x:v>
      </x:c>
      <x:c r="BP73" s="60" t="str">
        <x:f>IF(A73&lt;2,"PRE-EMERGENCE: Balance normalerweise nicht nötig",IF(BM73=5.8,"ab Durchbruch AVAILABLE IF endmix &lt; 5.80","AVAILABLE IF endmix &lt; 6.00"))</x:f>
        <x:v>AVAILABLE IF endmix &lt; 6.00</x:v>
      </x:c>
      <x:c r="BQ73" s="60" t="str">
        <x:f>IF(A73=0,"Run Day 0 = Aussaat 21.08.2026; Plant Day beginnt erst beim Durchbruch.",IF(A73=2,"P72 Double Grape: 23.08.2026 = Plant Day 0.","Daily pH is a projection; actual root-stage/event overrides calendar."))</x:f>
        <x:v>Daily pH is a projection; actual root-stage/event overrides calendar.</x:v>
      </x:c>
    </x:row>
    <x:row r="74">
      <x:c r="A74" s="34" t="n">
        <x:v>72</x:v>
      </x:c>
      <x:c r="B74" s="129" t="n">
        <x:f>'01_Run_Config'!$B$4+A74</x:f>
        <x:v>46327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f>BM74</x:f>
        <x:v>6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IF(A74&lt;=14,2.5,0)</x:f>
        <x:v>0</x:v>
      </x:c>
      <x:c r="X74" s="63" t="n">
        <x:f>IF('01_Run_Config'!$B$50="AN Sensizym",0,IF(AND(A74&gt;='01_Run_Config'!$B$32,OR(AL74="",AL74&lt;=49)),2,0))</x:f>
        <x:v>2</x:v>
      </x:c>
      <x:c r="Y74" s="63" t="n">
        <x:f>0.015</x:f>
        <x:v>0.015</x:v>
      </x:c>
      <x:c r="Z74" s="63" t="n">
        <x:f>IF('01_Run_Config'!$B$51="HESI Hesilicio",2,0)</x:f>
        <x:v>0</x:v>
      </x:c>
      <x:c r="AA74" s="63" t="n">
        <x:f>IF('01_Run_Config'!$B$48="AN Bud Candy (replaces HESI Boost)",0,IF(AND(A74&gt;='01_Run_Config'!$B$33,MOD(A74-'01_Run_Config'!$B$33,7)=0),2,0))</x:f>
        <x:v>0</x:v>
      </x:c>
      <x:c r="AB74" s="63" t="n">
        <x:f>IF('01_Run_Config'!$B$52="AN Bud Ignitor &gt; Big Bud &gt; Overdrive",0,IF(AND(ISNUMBER(AL74),AL74&gt;=29,AL74&lt;=42),0.25+((AL74-29)/13)*0.25,0))</x:f>
        <x:v>0</x:v>
      </x:c>
      <x:c r="AC74" s="63" t="n">
        <x:f>IF('01_Run_Config'!$B$46="OFF",0,IF(OR(AND(A74&gt;='01_Run_Config'!$B$32,A74&lt;='01_Run_Config'!$B$32+13),AND(A74&gt;='01_Run_Config'!$B$33,A74&lt;='01_Run_Config'!$B$33+13)),2,0))</x:f>
        <x:v>0</x:v>
      </x:c>
      <x:c r="AD74" s="63" t="str">
        <x:f>IF(BG74="BLOCK","HYBRID BLOCKED - Konfiguration prüfen",IF(SUM(AC74,AT74:BF74)&gt;0,"AN aktiv: "&amp;BH74,"AN: keine Dosis heute / Module aus"))</x:f>
        <x:v>AN: keine Dosis heute / Module aus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4" s="34" t="str">
        <x:f>IF(A74&lt;2,"PRE-EMERGENCE · kein Kalenderwert","AVAILABLE IF NEEDED · nur wenn vollständiger Endmix unter pH-Ziel liegt")</x:f>
        <x:v>AVAILABLE IF NEEDED · nur wenn vollständiger Endmix unter pH-Ziel liegt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  <x:c r="AT74" t="n">
        <x:f>IF(AND('01_Run_Config'!$B$46="Voodoo + Piranha + Tarantula",AC74&gt;0),2,0)</x:f>
        <x:v>0</x:v>
      </x:c>
      <x:c r="AU74" t="n">
        <x:f>IF(AND(OR('01_Run_Config'!$B$46="Voodoo + Tarantula",'01_Run_Config'!$B$46="Voodoo + Piranha + Tarantula"),AC74&gt;0),2,0)</x:f>
        <x:v>0</x:v>
      </x:c>
      <x:c r="AV74" t="n">
        <x:f>IF('01_Run_Config'!$B$47&lt;&gt;"ON / A-B",0,IF(OR(AND(A74&gt;='01_Run_Config'!$B$32,A74&lt;'01_Run_Config'!$B$33),AND(ISNUMBER(AL74),AL74&gt;=15,AL74&lt;=49)),2,0))</x:f>
        <x:v>0</x:v>
      </x:c>
      <x:c r="AW74" t="n">
        <x:f>IF('01_Run_Config'!$B$48="AN Bud Candy (replaces HESI Boost)",IF(AND(A74&gt;='01_Run_Config'!$B$32,OR(AL74="",AL74&lt;=49)),2,0),0)</x:f>
        <x:v>0</x:v>
      </x:c>
      <x:c r="AX74" t="n">
        <x:f>IF('01_Run_Config'!$B$49&lt;&gt;"ON / EXPERIMENTAL",0,IF(OR(AND(A74&gt;='01_Run_Config'!$B$32+7,A74&lt;'01_Run_Config'!$B$33),AND(ISNUMBER(AL74),AL74&gt;=1,AL74&lt;=49)),2,0))</x:f>
        <x:v>0</x:v>
      </x:c>
      <x:c r="AY74" t="n">
        <x:f>IF('01_Run_Config'!$B$50="AN Sensizym",IF(AND(A74&gt;='01_Run_Config'!$B$32,OR(AL74="",AL74&lt;=49)),2,0),0)</x:f>
        <x:v>0</x:v>
      </x:c>
      <x:c r="AZ74" t="n">
        <x:f>IF('01_Run_Config'!$B$51="AN Rhino Skin",IF(AND(A74&gt;='01_Run_Config'!$B$32,OR(AL74="",AL74&lt;=49)),2,0),0)</x:f>
        <x:v>0</x:v>
      </x:c>
      <x:c r="BA74" t="n">
        <x:f>IF(AND('01_Run_Config'!$B$52="AN Bud Ignitor &gt; Big Bud &gt; Overdrive",ISNUMBER(AL74),AL74&gt;=1,AL74&lt;=14),2,0)</x:f>
        <x:v>0</x:v>
      </x:c>
      <x:c r="BB74" t="n">
        <x:f>IF(AND('01_Run_Config'!$B$52="AN Bud Ignitor &gt; Big Bud &gt; Overdrive",ISNUMBER(AL74),AL74&gt;=8,AL74&lt;=35),2,0)</x:f>
        <x:v>0</x:v>
      </x:c>
      <x:c r="BC74" t="n">
        <x:f>IF(AND('01_Run_Config'!$B$52="AN Bud Ignitor &gt; Big Bud &gt; Overdrive",ISNUMBER(AL74),AL74&gt;=36,AL74&lt;=49),2,0)</x:f>
        <x:v>0</x:v>
      </x:c>
      <x:c r="BD74" t="n">
        <x:f>IF('01_Run_Config'!$B$53="ON / EXPERIMENTAL",IF(OR(AND(A74&gt;='01_Run_Config'!$B$32,A74&lt;'01_Run_Config'!$B$33),AND(ISNUMBER(AL74),AL74&gt;=15,AL74&lt;=49)),2,0),0)</x:f>
        <x:v>0</x:v>
      </x:c>
      <x:c r="BE74" t="n">
        <x:f>IF('01_Run_Config'!$B$54="AN Sensi CalMag Xtra conditional",'01_Run_Config'!$B$17,0)</x:f>
        <x:v>0</x:v>
      </x:c>
      <x:c r="BF74" t="n">
        <x:f>0</x:f>
        <x:v>0</x:v>
      </x:c>
      <x:c r="BG74" t="str">
        <x:f>'01_Run_Config'!$E$57</x:f>
        <x:v>OK</x:v>
      </x:c>
      <x:c r="BH74" t="str">
        <x:f>IF(SUM(AC74,AT74:BF74)=0,"keine AN-Dosis heute",IF(AC74&gt;0,"Voodoo "&amp;AC74&amp;" ml/L; ","")&amp;IF(AT74&gt;0,"Piranha "&amp;AT74&amp;" ml/L; ","")&amp;IF(AU74&gt;0,"Tarantula "&amp;AU74&amp;" ml/L; ","")&amp;IF(AV74&gt;0,"B-52 "&amp;AV74&amp;" ml/L; ","")&amp;IF(AW74&gt;0,"Bud Candy "&amp;AW74&amp;" ml/L; ","")&amp;IF(AX74&gt;0,"Bud Factor X "&amp;AX74&amp;" ml/L; ","")&amp;IF(AY74&gt;0,"Sensizym "&amp;AY74&amp;" ml/L; ","")&amp;IF(AZ74&gt;0,"Rhino Skin "&amp;AZ74&amp;" ml/L; ","")&amp;IF(BA74&gt;0,"Bud Ignitor "&amp;BA74&amp;" ml/L; ","")&amp;IF(BB74&gt;0,"Big Bud "&amp;BB74&amp;" ml/L; ","")&amp;IF(BC74&gt;0,"Overdrive "&amp;BC74&amp;" ml/L; ","")&amp;IF(BD74&gt;0,"Tasty Terpenes "&amp;BD74&amp;" ml/L; ","")&amp;IF(BE74&gt;0,"Sensi CalMag "&amp;BE74&amp;" ml/L",""))</x:f>
        <x:v>keine AN-Dosis heute</x:v>
      </x:c>
      <x:c r="BI74" s="60" t="n">
        <x:f>IF(ISNUMBER('01_Run_Config'!$B$91),IF(B74&lt;'01_Run_Config'!$B$91,"PRE",B74-'01_Run_Config'!$B$91),"PRE")</x:f>
        <x:v>70</x:v>
      </x:c>
      <x:c r="BJ74" s="60" t="str">
        <x:f>IF(ISNUMBER('01_Run_Config'!$B$92),IF(B74&lt;'01_Run_Config'!$B$92,"PRE",B74-'01_Run_Config'!$B$92),"PRE")</x:f>
        <x:v>PRE</x:v>
      </x:c>
      <x:c r="BK74" s="60" t="str">
        <x:f>IF(ISNUMBER('01_Run_Config'!$B$93),IF(B74&lt;'01_Run_Config'!$B$93,"PRE",B74-'01_Run_Config'!$B$93),"PRE")</x:f>
        <x:v>PRE</x:v>
      </x:c>
      <x:c r="BL74" s="2482" t="n">
        <x:f>IF(BM74=5.8,5.8,5.8)</x:f>
        <x:v>5.8</x:v>
      </x:c>
      <x:c r="BM74" s="2482" t="n">
        <x:f>IF(A74&lt;IF(ISNUMBER('01_Run_Config'!$B$81),'01_Run_Config'!$B$81,15),5.8,6)</x:f>
        <x:v>6</x:v>
      </x:c>
      <x:c r="BN74" s="2482" t="n">
        <x:f>IF(BM74=5.8,5.8,6.2)</x:f>
        <x:v>6.2</x:v>
      </x:c>
      <x:c r="BO74" s="60" t="str">
        <x:f>IF(BM74=5.8,"Eazy Plug/Block: Herstellerziel 5.80","Final Coco: UKD 6.00 = Mitte HESI 5.8–6.2")</x:f>
        <x:v>Final Coco: UKD 6.00 = Mitte HESI 5.8–6.2</x:v>
      </x:c>
      <x:c r="BP74" s="60" t="str">
        <x:f>IF(A74&lt;2,"PRE-EMERGENCE: Balance normalerweise nicht nötig",IF(BM74=5.8,"ab Durchbruch AVAILABLE IF endmix &lt; 5.80","AVAILABLE IF endmix &lt; 6.00"))</x:f>
        <x:v>AVAILABLE IF endmix &lt; 6.00</x:v>
      </x:c>
      <x:c r="BQ74" s="60" t="str">
        <x:f>IF(A74=0,"Run Day 0 = Aussaat 21.08.2026; Plant Day beginnt erst beim Durchbruch.",IF(A74=2,"P73 Double Grape: 23.08.2026 = Plant Day 0.","Daily pH is a projection; actual root-stage/event overrides calendar."))</x:f>
        <x:v>Daily pH is a projection; actual root-stage/event overrides calendar.</x:v>
      </x:c>
    </x:row>
    <x:row r="75">
      <x:c r="A75" s="34" t="n">
        <x:v>73</x:v>
      </x:c>
      <x:c r="B75" s="129" t="n">
        <x:f>'01_Run_Config'!$B$4+A75</x:f>
        <x:v>46328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f>BM75</x:f>
        <x:v>6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IF(A75&lt;=14,2.5,0)</x:f>
        <x:v>0</x:v>
      </x:c>
      <x:c r="X75" s="63" t="n">
        <x:f>IF('01_Run_Config'!$B$50="AN Sensizym",0,IF(AND(A75&gt;='01_Run_Config'!$B$32,OR(AL75="",AL75&lt;=49)),2,0))</x:f>
        <x:v>2</x:v>
      </x:c>
      <x:c r="Y75" s="63" t="n">
        <x:f>0.015</x:f>
        <x:v>0.015</x:v>
      </x:c>
      <x:c r="Z75" s="63" t="n">
        <x:f>IF('01_Run_Config'!$B$51="HESI Hesilicio",2,0)</x:f>
        <x:v>0</x:v>
      </x:c>
      <x:c r="AA75" s="63" t="n">
        <x:f>IF('01_Run_Config'!$B$48="AN Bud Candy (replaces HESI Boost)",0,IF(AND(A75&gt;='01_Run_Config'!$B$33,MOD(A75-'01_Run_Config'!$B$33,7)=0),2,0))</x:f>
        <x:v>0</x:v>
      </x:c>
      <x:c r="AB75" s="63" t="n">
        <x:f>IF('01_Run_Config'!$B$52="AN Bud Ignitor &gt; Big Bud &gt; Overdrive",0,IF(AND(ISNUMBER(AL75),AL75&gt;=29,AL75&lt;=42),0.25+((AL75-29)/13)*0.25,0))</x:f>
        <x:v>0</x:v>
      </x:c>
      <x:c r="AC75" s="63" t="n">
        <x:f>IF('01_Run_Config'!$B$46="OFF",0,IF(OR(AND(A75&gt;='01_Run_Config'!$B$32,A75&lt;='01_Run_Config'!$B$32+13),AND(A75&gt;='01_Run_Config'!$B$33,A75&lt;='01_Run_Config'!$B$33+13)),2,0))</x:f>
        <x:v>0</x:v>
      </x:c>
      <x:c r="AD75" s="63" t="str">
        <x:f>IF(BG75="BLOCK","HYBRID BLOCKED - Konfiguration prüfen",IF(SUM(AC75,AT75:BF75)&gt;0,"AN aktiv: "&amp;BH75,"AN: keine Dosis heute / Module aus"))</x:f>
        <x:v>AN: keine Dosis heute / Module aus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5" s="34" t="str">
        <x:f>IF(A75&lt;2,"PRE-EMERGENCE · kein Kalenderwert","AVAILABLE IF NEEDED · nur wenn vollständiger Endmix unter pH-Ziel liegt")</x:f>
        <x:v>AVAILABLE IF NEEDED · nur wenn vollständiger Endmix unter pH-Ziel liegt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  <x:c r="AT75" t="n">
        <x:f>IF(AND('01_Run_Config'!$B$46="Voodoo + Piranha + Tarantula",AC75&gt;0),2,0)</x:f>
        <x:v>0</x:v>
      </x:c>
      <x:c r="AU75" t="n">
        <x:f>IF(AND(OR('01_Run_Config'!$B$46="Voodoo + Tarantula",'01_Run_Config'!$B$46="Voodoo + Piranha + Tarantula"),AC75&gt;0),2,0)</x:f>
        <x:v>0</x:v>
      </x:c>
      <x:c r="AV75" t="n">
        <x:f>IF('01_Run_Config'!$B$47&lt;&gt;"ON / A-B",0,IF(OR(AND(A75&gt;='01_Run_Config'!$B$32,A75&lt;'01_Run_Config'!$B$33),AND(ISNUMBER(AL75),AL75&gt;=15,AL75&lt;=49)),2,0))</x:f>
        <x:v>0</x:v>
      </x:c>
      <x:c r="AW75" t="n">
        <x:f>IF('01_Run_Config'!$B$48="AN Bud Candy (replaces HESI Boost)",IF(AND(A75&gt;='01_Run_Config'!$B$32,OR(AL75="",AL75&lt;=49)),2,0),0)</x:f>
        <x:v>0</x:v>
      </x:c>
      <x:c r="AX75" t="n">
        <x:f>IF('01_Run_Config'!$B$49&lt;&gt;"ON / EXPERIMENTAL",0,IF(OR(AND(A75&gt;='01_Run_Config'!$B$32+7,A75&lt;'01_Run_Config'!$B$33),AND(ISNUMBER(AL75),AL75&gt;=1,AL75&lt;=49)),2,0))</x:f>
        <x:v>0</x:v>
      </x:c>
      <x:c r="AY75" t="n">
        <x:f>IF('01_Run_Config'!$B$50="AN Sensizym",IF(AND(A75&gt;='01_Run_Config'!$B$32,OR(AL75="",AL75&lt;=49)),2,0),0)</x:f>
        <x:v>0</x:v>
      </x:c>
      <x:c r="AZ75" t="n">
        <x:f>IF('01_Run_Config'!$B$51="AN Rhino Skin",IF(AND(A75&gt;='01_Run_Config'!$B$32,OR(AL75="",AL75&lt;=49)),2,0),0)</x:f>
        <x:v>0</x:v>
      </x:c>
      <x:c r="BA75" t="n">
        <x:f>IF(AND('01_Run_Config'!$B$52="AN Bud Ignitor &gt; Big Bud &gt; Overdrive",ISNUMBER(AL75),AL75&gt;=1,AL75&lt;=14),2,0)</x:f>
        <x:v>0</x:v>
      </x:c>
      <x:c r="BB75" t="n">
        <x:f>IF(AND('01_Run_Config'!$B$52="AN Bud Ignitor &gt; Big Bud &gt; Overdrive",ISNUMBER(AL75),AL75&gt;=8,AL75&lt;=35),2,0)</x:f>
        <x:v>0</x:v>
      </x:c>
      <x:c r="BC75" t="n">
        <x:f>IF(AND('01_Run_Config'!$B$52="AN Bud Ignitor &gt; Big Bud &gt; Overdrive",ISNUMBER(AL75),AL75&gt;=36,AL75&lt;=49),2,0)</x:f>
        <x:v>0</x:v>
      </x:c>
      <x:c r="BD75" t="n">
        <x:f>IF('01_Run_Config'!$B$53="ON / EXPERIMENTAL",IF(OR(AND(A75&gt;='01_Run_Config'!$B$32,A75&lt;'01_Run_Config'!$B$33),AND(ISNUMBER(AL75),AL75&gt;=15,AL75&lt;=49)),2,0),0)</x:f>
        <x:v>0</x:v>
      </x:c>
      <x:c r="BE75" t="n">
        <x:f>IF('01_Run_Config'!$B$54="AN Sensi CalMag Xtra conditional",'01_Run_Config'!$B$17,0)</x:f>
        <x:v>0</x:v>
      </x:c>
      <x:c r="BF75" t="n">
        <x:f>0</x:f>
        <x:v>0</x:v>
      </x:c>
      <x:c r="BG75" t="str">
        <x:f>'01_Run_Config'!$E$57</x:f>
        <x:v>OK</x:v>
      </x:c>
      <x:c r="BH75" t="str">
        <x:f>IF(SUM(AC75,AT75:BF75)=0,"keine AN-Dosis heute",IF(AC75&gt;0,"Voodoo "&amp;AC75&amp;" ml/L; ","")&amp;IF(AT75&gt;0,"Piranha "&amp;AT75&amp;" ml/L; ","")&amp;IF(AU75&gt;0,"Tarantula "&amp;AU75&amp;" ml/L; ","")&amp;IF(AV75&gt;0,"B-52 "&amp;AV75&amp;" ml/L; ","")&amp;IF(AW75&gt;0,"Bud Candy "&amp;AW75&amp;" ml/L; ","")&amp;IF(AX75&gt;0,"Bud Factor X "&amp;AX75&amp;" ml/L; ","")&amp;IF(AY75&gt;0,"Sensizym "&amp;AY75&amp;" ml/L; ","")&amp;IF(AZ75&gt;0,"Rhino Skin "&amp;AZ75&amp;" ml/L; ","")&amp;IF(BA75&gt;0,"Bud Ignitor "&amp;BA75&amp;" ml/L; ","")&amp;IF(BB75&gt;0,"Big Bud "&amp;BB75&amp;" ml/L; ","")&amp;IF(BC75&gt;0,"Overdrive "&amp;BC75&amp;" ml/L; ","")&amp;IF(BD75&gt;0,"Tasty Terpenes "&amp;BD75&amp;" ml/L; ","")&amp;IF(BE75&gt;0,"Sensi CalMag "&amp;BE75&amp;" ml/L",""))</x:f>
        <x:v>keine AN-Dosis heute</x:v>
      </x:c>
      <x:c r="BI75" s="60" t="n">
        <x:f>IF(ISNUMBER('01_Run_Config'!$B$91),IF(B75&lt;'01_Run_Config'!$B$91,"PRE",B75-'01_Run_Config'!$B$91),"PRE")</x:f>
        <x:v>71</x:v>
      </x:c>
      <x:c r="BJ75" s="60" t="str">
        <x:f>IF(ISNUMBER('01_Run_Config'!$B$92),IF(B75&lt;'01_Run_Config'!$B$92,"PRE",B75-'01_Run_Config'!$B$92),"PRE")</x:f>
        <x:v>PRE</x:v>
      </x:c>
      <x:c r="BK75" s="60" t="str">
        <x:f>IF(ISNUMBER('01_Run_Config'!$B$93),IF(B75&lt;'01_Run_Config'!$B$93,"PRE",B75-'01_Run_Config'!$B$93),"PRE")</x:f>
        <x:v>PRE</x:v>
      </x:c>
      <x:c r="BL75" s="2482" t="n">
        <x:f>IF(BM75=5.8,5.8,5.8)</x:f>
        <x:v>5.8</x:v>
      </x:c>
      <x:c r="BM75" s="2482" t="n">
        <x:f>IF(A75&lt;IF(ISNUMBER('01_Run_Config'!$B$81),'01_Run_Config'!$B$81,15),5.8,6)</x:f>
        <x:v>6</x:v>
      </x:c>
      <x:c r="BN75" s="2482" t="n">
        <x:f>IF(BM75=5.8,5.8,6.2)</x:f>
        <x:v>6.2</x:v>
      </x:c>
      <x:c r="BO75" s="60" t="str">
        <x:f>IF(BM75=5.8,"Eazy Plug/Block: Herstellerziel 5.80","Final Coco: UKD 6.00 = Mitte HESI 5.8–6.2")</x:f>
        <x:v>Final Coco: UKD 6.00 = Mitte HESI 5.8–6.2</x:v>
      </x:c>
      <x:c r="BP75" s="60" t="str">
        <x:f>IF(A75&lt;2,"PRE-EMERGENCE: Balance normalerweise nicht nötig",IF(BM75=5.8,"ab Durchbruch AVAILABLE IF endmix &lt; 5.80","AVAILABLE IF endmix &lt; 6.00"))</x:f>
        <x:v>AVAILABLE IF endmix &lt; 6.00</x:v>
      </x:c>
      <x:c r="BQ75" s="60" t="str">
        <x:f>IF(A75=0,"Run Day 0 = Aussaat 21.08.2026; Plant Day beginnt erst beim Durchbruch.",IF(A75=2,"P74 Double Grape: 23.08.2026 = Plant Day 0.","Daily pH is a projection; actual root-stage/event overrides calendar."))</x:f>
        <x:v>Daily pH is a projection; actual root-stage/event overrides calendar.</x:v>
      </x:c>
    </x:row>
    <x:row r="76">
      <x:c r="A76" s="34" t="n">
        <x:v>74</x:v>
      </x:c>
      <x:c r="B76" s="129" t="n">
        <x:f>'01_Run_Config'!$B$4+A76</x:f>
        <x:v>46329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f>BM76</x:f>
        <x:v>6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IF(A76&lt;=14,2.5,0)</x:f>
        <x:v>0</x:v>
      </x:c>
      <x:c r="X76" s="63" t="n">
        <x:f>IF('01_Run_Config'!$B$50="AN Sensizym",0,IF(AND(A76&gt;='01_Run_Config'!$B$32,OR(AL76="",AL76&lt;=49)),2,0))</x:f>
        <x:v>2</x:v>
      </x:c>
      <x:c r="Y76" s="63" t="n">
        <x:f>0.015</x:f>
        <x:v>0.015</x:v>
      </x:c>
      <x:c r="Z76" s="63" t="n">
        <x:f>IF('01_Run_Config'!$B$51="HESI Hesilicio",2,0)</x:f>
        <x:v>0</x:v>
      </x:c>
      <x:c r="AA76" s="63" t="n">
        <x:f>IF('01_Run_Config'!$B$48="AN Bud Candy (replaces HESI Boost)",0,IF(AND(A76&gt;='01_Run_Config'!$B$33,MOD(A76-'01_Run_Config'!$B$33,7)=0),2,0))</x:f>
        <x:v>0</x:v>
      </x:c>
      <x:c r="AB76" s="63" t="n">
        <x:f>IF('01_Run_Config'!$B$52="AN Bud Ignitor &gt; Big Bud &gt; Overdrive",0,IF(AND(ISNUMBER(AL76),AL76&gt;=29,AL76&lt;=42),0.25+((AL76-29)/13)*0.25,0))</x:f>
        <x:v>0</x:v>
      </x:c>
      <x:c r="AC76" s="63" t="n">
        <x:f>IF('01_Run_Config'!$B$46="OFF",0,IF(OR(AND(A76&gt;='01_Run_Config'!$B$32,A76&lt;='01_Run_Config'!$B$32+13),AND(A76&gt;='01_Run_Config'!$B$33,A76&lt;='01_Run_Config'!$B$33+13)),2,0))</x:f>
        <x:v>0</x:v>
      </x:c>
      <x:c r="AD76" s="63" t="str">
        <x:f>IF(BG76="BLOCK","HYBRID BLOCKED - Konfiguration prüfen",IF(SUM(AC76,AT76:BF76)&gt;0,"AN aktiv: "&amp;BH76,"AN: keine Dosis heute / Module aus"))</x:f>
        <x:v>AN: keine Dosis heute / Module aus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6" s="34" t="str">
        <x:f>IF(A76&lt;2,"PRE-EMERGENCE · kein Kalenderwert","AVAILABLE IF NEEDED · nur wenn vollständiger Endmix unter pH-Ziel liegt")</x:f>
        <x:v>AVAILABLE IF NEEDED · nur wenn vollständiger Endmix unter pH-Ziel liegt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  <x:c r="AT76" t="n">
        <x:f>IF(AND('01_Run_Config'!$B$46="Voodoo + Piranha + Tarantula",AC76&gt;0),2,0)</x:f>
        <x:v>0</x:v>
      </x:c>
      <x:c r="AU76" t="n">
        <x:f>IF(AND(OR('01_Run_Config'!$B$46="Voodoo + Tarantula",'01_Run_Config'!$B$46="Voodoo + Piranha + Tarantula"),AC76&gt;0),2,0)</x:f>
        <x:v>0</x:v>
      </x:c>
      <x:c r="AV76" t="n">
        <x:f>IF('01_Run_Config'!$B$47&lt;&gt;"ON / A-B",0,IF(OR(AND(A76&gt;='01_Run_Config'!$B$32,A76&lt;'01_Run_Config'!$B$33),AND(ISNUMBER(AL76),AL76&gt;=15,AL76&lt;=49)),2,0))</x:f>
        <x:v>0</x:v>
      </x:c>
      <x:c r="AW76" t="n">
        <x:f>IF('01_Run_Config'!$B$48="AN Bud Candy (replaces HESI Boost)",IF(AND(A76&gt;='01_Run_Config'!$B$32,OR(AL76="",AL76&lt;=49)),2,0),0)</x:f>
        <x:v>0</x:v>
      </x:c>
      <x:c r="AX76" t="n">
        <x:f>IF('01_Run_Config'!$B$49&lt;&gt;"ON / EXPERIMENTAL",0,IF(OR(AND(A76&gt;='01_Run_Config'!$B$32+7,A76&lt;'01_Run_Config'!$B$33),AND(ISNUMBER(AL76),AL76&gt;=1,AL76&lt;=49)),2,0))</x:f>
        <x:v>0</x:v>
      </x:c>
      <x:c r="AY76" t="n">
        <x:f>IF('01_Run_Config'!$B$50="AN Sensizym",IF(AND(A76&gt;='01_Run_Config'!$B$32,OR(AL76="",AL76&lt;=49)),2,0),0)</x:f>
        <x:v>0</x:v>
      </x:c>
      <x:c r="AZ76" t="n">
        <x:f>IF('01_Run_Config'!$B$51="AN Rhino Skin",IF(AND(A76&gt;='01_Run_Config'!$B$32,OR(AL76="",AL76&lt;=49)),2,0),0)</x:f>
        <x:v>0</x:v>
      </x:c>
      <x:c r="BA76" t="n">
        <x:f>IF(AND('01_Run_Config'!$B$52="AN Bud Ignitor &gt; Big Bud &gt; Overdrive",ISNUMBER(AL76),AL76&gt;=1,AL76&lt;=14),2,0)</x:f>
        <x:v>0</x:v>
      </x:c>
      <x:c r="BB76" t="n">
        <x:f>IF(AND('01_Run_Config'!$B$52="AN Bud Ignitor &gt; Big Bud &gt; Overdrive",ISNUMBER(AL76),AL76&gt;=8,AL76&lt;=35),2,0)</x:f>
        <x:v>0</x:v>
      </x:c>
      <x:c r="BC76" t="n">
        <x:f>IF(AND('01_Run_Config'!$B$52="AN Bud Ignitor &gt; Big Bud &gt; Overdrive",ISNUMBER(AL76),AL76&gt;=36,AL76&lt;=49),2,0)</x:f>
        <x:v>0</x:v>
      </x:c>
      <x:c r="BD76" t="n">
        <x:f>IF('01_Run_Config'!$B$53="ON / EXPERIMENTAL",IF(OR(AND(A76&gt;='01_Run_Config'!$B$32,A76&lt;'01_Run_Config'!$B$33),AND(ISNUMBER(AL76),AL76&gt;=15,AL76&lt;=49)),2,0),0)</x:f>
        <x:v>0</x:v>
      </x:c>
      <x:c r="BE76" t="n">
        <x:f>IF('01_Run_Config'!$B$54="AN Sensi CalMag Xtra conditional",'01_Run_Config'!$B$17,0)</x:f>
        <x:v>0</x:v>
      </x:c>
      <x:c r="BF76" t="n">
        <x:f>0</x:f>
        <x:v>0</x:v>
      </x:c>
      <x:c r="BG76" t="str">
        <x:f>'01_Run_Config'!$E$57</x:f>
        <x:v>OK</x:v>
      </x:c>
      <x:c r="BH76" t="str">
        <x:f>IF(SUM(AC76,AT76:BF76)=0,"keine AN-Dosis heute",IF(AC76&gt;0,"Voodoo "&amp;AC76&amp;" ml/L; ","")&amp;IF(AT76&gt;0,"Piranha "&amp;AT76&amp;" ml/L; ","")&amp;IF(AU76&gt;0,"Tarantula "&amp;AU76&amp;" ml/L; ","")&amp;IF(AV76&gt;0,"B-52 "&amp;AV76&amp;" ml/L; ","")&amp;IF(AW76&gt;0,"Bud Candy "&amp;AW76&amp;" ml/L; ","")&amp;IF(AX76&gt;0,"Bud Factor X "&amp;AX76&amp;" ml/L; ","")&amp;IF(AY76&gt;0,"Sensizym "&amp;AY76&amp;" ml/L; ","")&amp;IF(AZ76&gt;0,"Rhino Skin "&amp;AZ76&amp;" ml/L; ","")&amp;IF(BA76&gt;0,"Bud Ignitor "&amp;BA76&amp;" ml/L; ","")&amp;IF(BB76&gt;0,"Big Bud "&amp;BB76&amp;" ml/L; ","")&amp;IF(BC76&gt;0,"Overdrive "&amp;BC76&amp;" ml/L; ","")&amp;IF(BD76&gt;0,"Tasty Terpenes "&amp;BD76&amp;" ml/L; ","")&amp;IF(BE76&gt;0,"Sensi CalMag "&amp;BE76&amp;" ml/L",""))</x:f>
        <x:v>keine AN-Dosis heute</x:v>
      </x:c>
      <x:c r="BI76" s="60" t="n">
        <x:f>IF(ISNUMBER('01_Run_Config'!$B$91),IF(B76&lt;'01_Run_Config'!$B$91,"PRE",B76-'01_Run_Config'!$B$91),"PRE")</x:f>
        <x:v>72</x:v>
      </x:c>
      <x:c r="BJ76" s="60" t="str">
        <x:f>IF(ISNUMBER('01_Run_Config'!$B$92),IF(B76&lt;'01_Run_Config'!$B$92,"PRE",B76-'01_Run_Config'!$B$92),"PRE")</x:f>
        <x:v>PRE</x:v>
      </x:c>
      <x:c r="BK76" s="60" t="str">
        <x:f>IF(ISNUMBER('01_Run_Config'!$B$93),IF(B76&lt;'01_Run_Config'!$B$93,"PRE",B76-'01_Run_Config'!$B$93),"PRE")</x:f>
        <x:v>PRE</x:v>
      </x:c>
      <x:c r="BL76" s="2482" t="n">
        <x:f>IF(BM76=5.8,5.8,5.8)</x:f>
        <x:v>5.8</x:v>
      </x:c>
      <x:c r="BM76" s="2482" t="n">
        <x:f>IF(A76&lt;IF(ISNUMBER('01_Run_Config'!$B$81),'01_Run_Config'!$B$81,15),5.8,6)</x:f>
        <x:v>6</x:v>
      </x:c>
      <x:c r="BN76" s="2482" t="n">
        <x:f>IF(BM76=5.8,5.8,6.2)</x:f>
        <x:v>6.2</x:v>
      </x:c>
      <x:c r="BO76" s="60" t="str">
        <x:f>IF(BM76=5.8,"Eazy Plug/Block: Herstellerziel 5.80","Final Coco: UKD 6.00 = Mitte HESI 5.8–6.2")</x:f>
        <x:v>Final Coco: UKD 6.00 = Mitte HESI 5.8–6.2</x:v>
      </x:c>
      <x:c r="BP76" s="60" t="str">
        <x:f>IF(A76&lt;2,"PRE-EMERGENCE: Balance normalerweise nicht nötig",IF(BM76=5.8,"ab Durchbruch AVAILABLE IF endmix &lt; 5.80","AVAILABLE IF endmix &lt; 6.00"))</x:f>
        <x:v>AVAILABLE IF endmix &lt; 6.00</x:v>
      </x:c>
      <x:c r="BQ76" s="60" t="str">
        <x:f>IF(A76=0,"Run Day 0 = Aussaat 21.08.2026; Plant Day beginnt erst beim Durchbruch.",IF(A76=2,"P75 Double Grape: 23.08.2026 = Plant Day 0.","Daily pH is a projection; actual root-stage/event overrides calendar."))</x:f>
        <x:v>Daily pH is a projection; actual root-stage/event overrides calendar.</x:v>
      </x:c>
    </x:row>
    <x:row r="77">
      <x:c r="A77" s="34" t="n">
        <x:v>75</x:v>
      </x:c>
      <x:c r="B77" s="129" t="n">
        <x:f>'01_Run_Config'!$B$4+A77</x:f>
        <x:v>46330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f>BM77</x:f>
        <x:v>6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IF(A77&lt;=14,2.5,0)</x:f>
        <x:v>0</x:v>
      </x:c>
      <x:c r="X77" s="63" t="n">
        <x:f>IF('01_Run_Config'!$B$50="AN Sensizym",0,IF(AND(A77&gt;='01_Run_Config'!$B$32,OR(AL77="",AL77&lt;=49)),2,0))</x:f>
        <x:v>2</x:v>
      </x:c>
      <x:c r="Y77" s="63" t="n">
        <x:f>0.015</x:f>
        <x:v>0.015</x:v>
      </x:c>
      <x:c r="Z77" s="63" t="n">
        <x:f>IF('01_Run_Config'!$B$51="HESI Hesilicio",2,0)</x:f>
        <x:v>0</x:v>
      </x:c>
      <x:c r="AA77" s="63" t="n">
        <x:f>IF('01_Run_Config'!$B$48="AN Bud Candy (replaces HESI Boost)",0,IF(AND(A77&gt;='01_Run_Config'!$B$33,MOD(A77-'01_Run_Config'!$B$33,7)=0),2,0))</x:f>
        <x:v>0</x:v>
      </x:c>
      <x:c r="AB77" s="63" t="n">
        <x:f>IF('01_Run_Config'!$B$52="AN Bud Ignitor &gt; Big Bud &gt; Overdrive",0,IF(AND(ISNUMBER(AL77),AL77&gt;=29,AL77&lt;=42),0.25+((AL77-29)/13)*0.25,0))</x:f>
        <x:v>0</x:v>
      </x:c>
      <x:c r="AC77" s="63" t="n">
        <x:f>IF('01_Run_Config'!$B$46="OFF",0,IF(OR(AND(A77&gt;='01_Run_Config'!$B$32,A77&lt;='01_Run_Config'!$B$32+13),AND(A77&gt;='01_Run_Config'!$B$33,A77&lt;='01_Run_Config'!$B$33+13)),2,0))</x:f>
        <x:v>0</x:v>
      </x:c>
      <x:c r="AD77" s="63" t="str">
        <x:f>IF(BG77="BLOCK","HYBRID BLOCKED - Konfiguration prüfen",IF(SUM(AC77,AT77:BF77)&gt;0,"AN aktiv: "&amp;BH77,"AN: keine Dosis heute / Module aus"))</x:f>
        <x:v>AN: keine Dosis heute / Module aus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7" s="34" t="str">
        <x:f>IF(A77&lt;2,"PRE-EMERGENCE · kein Kalenderwert","AVAILABLE IF NEEDED · nur wenn vollständiger Endmix unter pH-Ziel liegt")</x:f>
        <x:v>AVAILABLE IF NEEDED · nur wenn vollständiger Endmix unter pH-Ziel liegt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  <x:c r="AT77" t="n">
        <x:f>IF(AND('01_Run_Config'!$B$46="Voodoo + Piranha + Tarantula",AC77&gt;0),2,0)</x:f>
        <x:v>0</x:v>
      </x:c>
      <x:c r="AU77" t="n">
        <x:f>IF(AND(OR('01_Run_Config'!$B$46="Voodoo + Tarantula",'01_Run_Config'!$B$46="Voodoo + Piranha + Tarantula"),AC77&gt;0),2,0)</x:f>
        <x:v>0</x:v>
      </x:c>
      <x:c r="AV77" t="n">
        <x:f>IF('01_Run_Config'!$B$47&lt;&gt;"ON / A-B",0,IF(OR(AND(A77&gt;='01_Run_Config'!$B$32,A77&lt;'01_Run_Config'!$B$33),AND(ISNUMBER(AL77),AL77&gt;=15,AL77&lt;=49)),2,0))</x:f>
        <x:v>0</x:v>
      </x:c>
      <x:c r="AW77" t="n">
        <x:f>IF('01_Run_Config'!$B$48="AN Bud Candy (replaces HESI Boost)",IF(AND(A77&gt;='01_Run_Config'!$B$32,OR(AL77="",AL77&lt;=49)),2,0),0)</x:f>
        <x:v>0</x:v>
      </x:c>
      <x:c r="AX77" t="n">
        <x:f>IF('01_Run_Config'!$B$49&lt;&gt;"ON / EXPERIMENTAL",0,IF(OR(AND(A77&gt;='01_Run_Config'!$B$32+7,A77&lt;'01_Run_Config'!$B$33),AND(ISNUMBER(AL77),AL77&gt;=1,AL77&lt;=49)),2,0))</x:f>
        <x:v>0</x:v>
      </x:c>
      <x:c r="AY77" t="n">
        <x:f>IF('01_Run_Config'!$B$50="AN Sensizym",IF(AND(A77&gt;='01_Run_Config'!$B$32,OR(AL77="",AL77&lt;=49)),2,0),0)</x:f>
        <x:v>0</x:v>
      </x:c>
      <x:c r="AZ77" t="n">
        <x:f>IF('01_Run_Config'!$B$51="AN Rhino Skin",IF(AND(A77&gt;='01_Run_Config'!$B$32,OR(AL77="",AL77&lt;=49)),2,0),0)</x:f>
        <x:v>0</x:v>
      </x:c>
      <x:c r="BA77" t="n">
        <x:f>IF(AND('01_Run_Config'!$B$52="AN Bud Ignitor &gt; Big Bud &gt; Overdrive",ISNUMBER(AL77),AL77&gt;=1,AL77&lt;=14),2,0)</x:f>
        <x:v>0</x:v>
      </x:c>
      <x:c r="BB77" t="n">
        <x:f>IF(AND('01_Run_Config'!$B$52="AN Bud Ignitor &gt; Big Bud &gt; Overdrive",ISNUMBER(AL77),AL77&gt;=8,AL77&lt;=35),2,0)</x:f>
        <x:v>0</x:v>
      </x:c>
      <x:c r="BC77" t="n">
        <x:f>IF(AND('01_Run_Config'!$B$52="AN Bud Ignitor &gt; Big Bud &gt; Overdrive",ISNUMBER(AL77),AL77&gt;=36,AL77&lt;=49),2,0)</x:f>
        <x:v>0</x:v>
      </x:c>
      <x:c r="BD77" t="n">
        <x:f>IF('01_Run_Config'!$B$53="ON / EXPERIMENTAL",IF(OR(AND(A77&gt;='01_Run_Config'!$B$32,A77&lt;'01_Run_Config'!$B$33),AND(ISNUMBER(AL77),AL77&gt;=15,AL77&lt;=49)),2,0),0)</x:f>
        <x:v>0</x:v>
      </x:c>
      <x:c r="BE77" t="n">
        <x:f>IF('01_Run_Config'!$B$54="AN Sensi CalMag Xtra conditional",'01_Run_Config'!$B$17,0)</x:f>
        <x:v>0</x:v>
      </x:c>
      <x:c r="BF77" t="n">
        <x:f>0</x:f>
        <x:v>0</x:v>
      </x:c>
      <x:c r="BG77" t="str">
        <x:f>'01_Run_Config'!$E$57</x:f>
        <x:v>OK</x:v>
      </x:c>
      <x:c r="BH77" t="str">
        <x:f>IF(SUM(AC77,AT77:BF77)=0,"keine AN-Dosis heute",IF(AC77&gt;0,"Voodoo "&amp;AC77&amp;" ml/L; ","")&amp;IF(AT77&gt;0,"Piranha "&amp;AT77&amp;" ml/L; ","")&amp;IF(AU77&gt;0,"Tarantula "&amp;AU77&amp;" ml/L; ","")&amp;IF(AV77&gt;0,"B-52 "&amp;AV77&amp;" ml/L; ","")&amp;IF(AW77&gt;0,"Bud Candy "&amp;AW77&amp;" ml/L; ","")&amp;IF(AX77&gt;0,"Bud Factor X "&amp;AX77&amp;" ml/L; ","")&amp;IF(AY77&gt;0,"Sensizym "&amp;AY77&amp;" ml/L; ","")&amp;IF(AZ77&gt;0,"Rhino Skin "&amp;AZ77&amp;" ml/L; ","")&amp;IF(BA77&gt;0,"Bud Ignitor "&amp;BA77&amp;" ml/L; ","")&amp;IF(BB77&gt;0,"Big Bud "&amp;BB77&amp;" ml/L; ","")&amp;IF(BC77&gt;0,"Overdrive "&amp;BC77&amp;" ml/L; ","")&amp;IF(BD77&gt;0,"Tasty Terpenes "&amp;BD77&amp;" ml/L; ","")&amp;IF(BE77&gt;0,"Sensi CalMag "&amp;BE77&amp;" ml/L",""))</x:f>
        <x:v>keine AN-Dosis heute</x:v>
      </x:c>
      <x:c r="BI77" s="60" t="n">
        <x:f>IF(ISNUMBER('01_Run_Config'!$B$91),IF(B77&lt;'01_Run_Config'!$B$91,"PRE",B77-'01_Run_Config'!$B$91),"PRE")</x:f>
        <x:v>73</x:v>
      </x:c>
      <x:c r="BJ77" s="60" t="str">
        <x:f>IF(ISNUMBER('01_Run_Config'!$B$92),IF(B77&lt;'01_Run_Config'!$B$92,"PRE",B77-'01_Run_Config'!$B$92),"PRE")</x:f>
        <x:v>PRE</x:v>
      </x:c>
      <x:c r="BK77" s="60" t="str">
        <x:f>IF(ISNUMBER('01_Run_Config'!$B$93),IF(B77&lt;'01_Run_Config'!$B$93,"PRE",B77-'01_Run_Config'!$B$93),"PRE")</x:f>
        <x:v>PRE</x:v>
      </x:c>
      <x:c r="BL77" s="2482" t="n">
        <x:f>IF(BM77=5.8,5.8,5.8)</x:f>
        <x:v>5.8</x:v>
      </x:c>
      <x:c r="BM77" s="2482" t="n">
        <x:f>IF(A77&lt;IF(ISNUMBER('01_Run_Config'!$B$81),'01_Run_Config'!$B$81,15),5.8,6)</x:f>
        <x:v>6</x:v>
      </x:c>
      <x:c r="BN77" s="2482" t="n">
        <x:f>IF(BM77=5.8,5.8,6.2)</x:f>
        <x:v>6.2</x:v>
      </x:c>
      <x:c r="BO77" s="60" t="str">
        <x:f>IF(BM77=5.8,"Eazy Plug/Block: Herstellerziel 5.80","Final Coco: UKD 6.00 = Mitte HESI 5.8–6.2")</x:f>
        <x:v>Final Coco: UKD 6.00 = Mitte HESI 5.8–6.2</x:v>
      </x:c>
      <x:c r="BP77" s="60" t="str">
        <x:f>IF(A77&lt;2,"PRE-EMERGENCE: Balance normalerweise nicht nötig",IF(BM77=5.8,"ab Durchbruch AVAILABLE IF endmix &lt; 5.80","AVAILABLE IF endmix &lt; 6.00"))</x:f>
        <x:v>AVAILABLE IF endmix &lt; 6.00</x:v>
      </x:c>
      <x:c r="BQ77" s="60" t="str">
        <x:f>IF(A77=0,"Run Day 0 = Aussaat 21.08.2026; Plant Day beginnt erst beim Durchbruch.",IF(A77=2,"P76 Double Grape: 23.08.2026 = Plant Day 0.","Daily pH is a projection; actual root-stage/event overrides calendar."))</x:f>
        <x:v>Daily pH is a projection; actual root-stage/event overrides calendar.</x:v>
      </x:c>
    </x:row>
    <x:row r="78">
      <x:c r="A78" s="34" t="n">
        <x:v>76</x:v>
      </x:c>
      <x:c r="B78" s="129" t="n">
        <x:f>'01_Run_Config'!$B$4+A78</x:f>
        <x:v>46331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f>BM78</x:f>
        <x:v>6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IF(A78&lt;=14,2.5,0)</x:f>
        <x:v>0</x:v>
      </x:c>
      <x:c r="X78" s="63" t="n">
        <x:f>IF('01_Run_Config'!$B$50="AN Sensizym",0,IF(AND(A78&gt;='01_Run_Config'!$B$32,OR(AL78="",AL78&lt;=49)),2,0))</x:f>
        <x:v>2</x:v>
      </x:c>
      <x:c r="Y78" s="63" t="n">
        <x:f>0.015</x:f>
        <x:v>0.015</x:v>
      </x:c>
      <x:c r="Z78" s="63" t="n">
        <x:f>IF('01_Run_Config'!$B$51="HESI Hesilicio",2,0)</x:f>
        <x:v>0</x:v>
      </x:c>
      <x:c r="AA78" s="63" t="n">
        <x:f>IF('01_Run_Config'!$B$48="AN Bud Candy (replaces HESI Boost)",0,IF(AND(A78&gt;='01_Run_Config'!$B$33,MOD(A78-'01_Run_Config'!$B$33,7)=0),2,0))</x:f>
        <x:v>0</x:v>
      </x:c>
      <x:c r="AB78" s="63" t="n">
        <x:f>IF('01_Run_Config'!$B$52="AN Bud Ignitor &gt; Big Bud &gt; Overdrive",0,IF(AND(ISNUMBER(AL78),AL78&gt;=29,AL78&lt;=42),0.25+((AL78-29)/13)*0.25,0))</x:f>
        <x:v>0</x:v>
      </x:c>
      <x:c r="AC78" s="63" t="n">
        <x:f>IF('01_Run_Config'!$B$46="OFF",0,IF(OR(AND(A78&gt;='01_Run_Config'!$B$32,A78&lt;='01_Run_Config'!$B$32+13),AND(A78&gt;='01_Run_Config'!$B$33,A78&lt;='01_Run_Config'!$B$33+13)),2,0))</x:f>
        <x:v>0</x:v>
      </x:c>
      <x:c r="AD78" s="63" t="str">
        <x:f>IF(BG78="BLOCK","HYBRID BLOCKED - Konfiguration prüfen",IF(SUM(AC78,AT78:BF78)&gt;0,"AN aktiv: "&amp;BH78,"AN: keine Dosis heute / Module aus"))</x:f>
        <x:v>AN: keine Dosis heute / Module aus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8" s="34" t="str">
        <x:f>IF(A78&lt;2,"PRE-EMERGENCE · kein Kalenderwert","AVAILABLE IF NEEDED · nur wenn vollständiger Endmix unter pH-Ziel liegt")</x:f>
        <x:v>AVAILABLE IF NEEDED · nur wenn vollständiger Endmix unter pH-Ziel liegt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  <x:c r="AT78" t="n">
        <x:f>IF(AND('01_Run_Config'!$B$46="Voodoo + Piranha + Tarantula",AC78&gt;0),2,0)</x:f>
        <x:v>0</x:v>
      </x:c>
      <x:c r="AU78" t="n">
        <x:f>IF(AND(OR('01_Run_Config'!$B$46="Voodoo + Tarantula",'01_Run_Config'!$B$46="Voodoo + Piranha + Tarantula"),AC78&gt;0),2,0)</x:f>
        <x:v>0</x:v>
      </x:c>
      <x:c r="AV78" t="n">
        <x:f>IF('01_Run_Config'!$B$47&lt;&gt;"ON / A-B",0,IF(OR(AND(A78&gt;='01_Run_Config'!$B$32,A78&lt;'01_Run_Config'!$B$33),AND(ISNUMBER(AL78),AL78&gt;=15,AL78&lt;=49)),2,0))</x:f>
        <x:v>0</x:v>
      </x:c>
      <x:c r="AW78" t="n">
        <x:f>IF('01_Run_Config'!$B$48="AN Bud Candy (replaces HESI Boost)",IF(AND(A78&gt;='01_Run_Config'!$B$32,OR(AL78="",AL78&lt;=49)),2,0),0)</x:f>
        <x:v>0</x:v>
      </x:c>
      <x:c r="AX78" t="n">
        <x:f>IF('01_Run_Config'!$B$49&lt;&gt;"ON / EXPERIMENTAL",0,IF(OR(AND(A78&gt;='01_Run_Config'!$B$32+7,A78&lt;'01_Run_Config'!$B$33),AND(ISNUMBER(AL78),AL78&gt;=1,AL78&lt;=49)),2,0))</x:f>
        <x:v>0</x:v>
      </x:c>
      <x:c r="AY78" t="n">
        <x:f>IF('01_Run_Config'!$B$50="AN Sensizym",IF(AND(A78&gt;='01_Run_Config'!$B$32,OR(AL78="",AL78&lt;=49)),2,0),0)</x:f>
        <x:v>0</x:v>
      </x:c>
      <x:c r="AZ78" t="n">
        <x:f>IF('01_Run_Config'!$B$51="AN Rhino Skin",IF(AND(A78&gt;='01_Run_Config'!$B$32,OR(AL78="",AL78&lt;=49)),2,0),0)</x:f>
        <x:v>0</x:v>
      </x:c>
      <x:c r="BA78" t="n">
        <x:f>IF(AND('01_Run_Config'!$B$52="AN Bud Ignitor &gt; Big Bud &gt; Overdrive",ISNUMBER(AL78),AL78&gt;=1,AL78&lt;=14),2,0)</x:f>
        <x:v>0</x:v>
      </x:c>
      <x:c r="BB78" t="n">
        <x:f>IF(AND('01_Run_Config'!$B$52="AN Bud Ignitor &gt; Big Bud &gt; Overdrive",ISNUMBER(AL78),AL78&gt;=8,AL78&lt;=35),2,0)</x:f>
        <x:v>0</x:v>
      </x:c>
      <x:c r="BC78" t="n">
        <x:f>IF(AND('01_Run_Config'!$B$52="AN Bud Ignitor &gt; Big Bud &gt; Overdrive",ISNUMBER(AL78),AL78&gt;=36,AL78&lt;=49),2,0)</x:f>
        <x:v>0</x:v>
      </x:c>
      <x:c r="BD78" t="n">
        <x:f>IF('01_Run_Config'!$B$53="ON / EXPERIMENTAL",IF(OR(AND(A78&gt;='01_Run_Config'!$B$32,A78&lt;'01_Run_Config'!$B$33),AND(ISNUMBER(AL78),AL78&gt;=15,AL78&lt;=49)),2,0),0)</x:f>
        <x:v>0</x:v>
      </x:c>
      <x:c r="BE78" t="n">
        <x:f>IF('01_Run_Config'!$B$54="AN Sensi CalMag Xtra conditional",'01_Run_Config'!$B$17,0)</x:f>
        <x:v>0</x:v>
      </x:c>
      <x:c r="BF78" t="n">
        <x:f>0</x:f>
        <x:v>0</x:v>
      </x:c>
      <x:c r="BG78" t="str">
        <x:f>'01_Run_Config'!$E$57</x:f>
        <x:v>OK</x:v>
      </x:c>
      <x:c r="BH78" t="str">
        <x:f>IF(SUM(AC78,AT78:BF78)=0,"keine AN-Dosis heute",IF(AC78&gt;0,"Voodoo "&amp;AC78&amp;" ml/L; ","")&amp;IF(AT78&gt;0,"Piranha "&amp;AT78&amp;" ml/L; ","")&amp;IF(AU78&gt;0,"Tarantula "&amp;AU78&amp;" ml/L; ","")&amp;IF(AV78&gt;0,"B-52 "&amp;AV78&amp;" ml/L; ","")&amp;IF(AW78&gt;0,"Bud Candy "&amp;AW78&amp;" ml/L; ","")&amp;IF(AX78&gt;0,"Bud Factor X "&amp;AX78&amp;" ml/L; ","")&amp;IF(AY78&gt;0,"Sensizym "&amp;AY78&amp;" ml/L; ","")&amp;IF(AZ78&gt;0,"Rhino Skin "&amp;AZ78&amp;" ml/L; ","")&amp;IF(BA78&gt;0,"Bud Ignitor "&amp;BA78&amp;" ml/L; ","")&amp;IF(BB78&gt;0,"Big Bud "&amp;BB78&amp;" ml/L; ","")&amp;IF(BC78&gt;0,"Overdrive "&amp;BC78&amp;" ml/L; ","")&amp;IF(BD78&gt;0,"Tasty Terpenes "&amp;BD78&amp;" ml/L; ","")&amp;IF(BE78&gt;0,"Sensi CalMag "&amp;BE78&amp;" ml/L",""))</x:f>
        <x:v>keine AN-Dosis heute</x:v>
      </x:c>
      <x:c r="BI78" s="60" t="n">
        <x:f>IF(ISNUMBER('01_Run_Config'!$B$91),IF(B78&lt;'01_Run_Config'!$B$91,"PRE",B78-'01_Run_Config'!$B$91),"PRE")</x:f>
        <x:v>74</x:v>
      </x:c>
      <x:c r="BJ78" s="60" t="str">
        <x:f>IF(ISNUMBER('01_Run_Config'!$B$92),IF(B78&lt;'01_Run_Config'!$B$92,"PRE",B78-'01_Run_Config'!$B$92),"PRE")</x:f>
        <x:v>PRE</x:v>
      </x:c>
      <x:c r="BK78" s="60" t="str">
        <x:f>IF(ISNUMBER('01_Run_Config'!$B$93),IF(B78&lt;'01_Run_Config'!$B$93,"PRE",B78-'01_Run_Config'!$B$93),"PRE")</x:f>
        <x:v>PRE</x:v>
      </x:c>
      <x:c r="BL78" s="2482" t="n">
        <x:f>IF(BM78=5.8,5.8,5.8)</x:f>
        <x:v>5.8</x:v>
      </x:c>
      <x:c r="BM78" s="2482" t="n">
        <x:f>IF(A78&lt;IF(ISNUMBER('01_Run_Config'!$B$81),'01_Run_Config'!$B$81,15),5.8,6)</x:f>
        <x:v>6</x:v>
      </x:c>
      <x:c r="BN78" s="2482" t="n">
        <x:f>IF(BM78=5.8,5.8,6.2)</x:f>
        <x:v>6.2</x:v>
      </x:c>
      <x:c r="BO78" s="60" t="str">
        <x:f>IF(BM78=5.8,"Eazy Plug/Block: Herstellerziel 5.80","Final Coco: UKD 6.00 = Mitte HESI 5.8–6.2")</x:f>
        <x:v>Final Coco: UKD 6.00 = Mitte HESI 5.8–6.2</x:v>
      </x:c>
      <x:c r="BP78" s="60" t="str">
        <x:f>IF(A78&lt;2,"PRE-EMERGENCE: Balance normalerweise nicht nötig",IF(BM78=5.8,"ab Durchbruch AVAILABLE IF endmix &lt; 5.80","AVAILABLE IF endmix &lt; 6.00"))</x:f>
        <x:v>AVAILABLE IF endmix &lt; 6.00</x:v>
      </x:c>
      <x:c r="BQ78" s="60" t="str">
        <x:f>IF(A78=0,"Run Day 0 = Aussaat 21.08.2026; Plant Day beginnt erst beim Durchbruch.",IF(A78=2,"P77 Double Grape: 23.08.2026 = Plant Day 0.","Daily pH is a projection; actual root-stage/event overrides calendar."))</x:f>
        <x:v>Daily pH is a projection; actual root-stage/event overrides calendar.</x:v>
      </x:c>
    </x:row>
    <x:row r="79">
      <x:c r="A79" s="34" t="n">
        <x:v>77</x:v>
      </x:c>
      <x:c r="B79" s="129" t="n">
        <x:f>'01_Run_Config'!$B$4+A79</x:f>
        <x:v>46332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f>BM79</x:f>
        <x:v>6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IF(A79&lt;=14,2.5,0)</x:f>
        <x:v>0</x:v>
      </x:c>
      <x:c r="X79" s="63" t="n">
        <x:f>IF('01_Run_Config'!$B$50="AN Sensizym",0,IF(AND(A79&gt;='01_Run_Config'!$B$32,OR(AL79="",AL79&lt;=49)),2,0))</x:f>
        <x:v>0</x:v>
      </x:c>
      <x:c r="Y79" s="63" t="n">
        <x:f>0.015</x:f>
        <x:v>0.015</x:v>
      </x:c>
      <x:c r="Z79" s="63" t="n">
        <x:f>IF('01_Run_Config'!$B$51="HESI Hesilicio",2,0)</x:f>
        <x:v>0</x:v>
      </x:c>
      <x:c r="AA79" s="63" t="n">
        <x:f>IF('01_Run_Config'!$B$48="AN Bud Candy (replaces HESI Boost)",0,IF(AND(A79&gt;='01_Run_Config'!$B$33,MOD(A79-'01_Run_Config'!$B$33,7)=0),2,0))</x:f>
        <x:v>2</x:v>
      </x:c>
      <x:c r="AB79" s="63" t="n">
        <x:f>IF('01_Run_Config'!$B$52="AN Bud Ignitor &gt; Big Bud &gt; Overdrive",0,IF(AND(ISNUMBER(AL79),AL79&gt;=29,AL79&lt;=42),0.25+((AL79-29)/13)*0.25,0))</x:f>
        <x:v>0</x:v>
      </x:c>
      <x:c r="AC79" s="63" t="n">
        <x:f>IF('01_Run_Config'!$B$46="OFF",0,IF(OR(AND(A79&gt;='01_Run_Config'!$B$32,A79&lt;='01_Run_Config'!$B$32+13),AND(A79&gt;='01_Run_Config'!$B$33,A79&lt;='01_Run_Config'!$B$33+13)),2,0))</x:f>
        <x:v>0</x:v>
      </x:c>
      <x:c r="AD79" s="63" t="str">
        <x:f>IF(BG79="BLOCK","HYBRID BLOCKED - Konfiguration prüfen",IF(SUM(AC79,AT79:BF79)&gt;0,"AN aktiv: "&amp;BH79,"AN: keine Dosis heute / Module aus"))</x:f>
        <x:v>AN: keine Dosis heute / Module aus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9" s="34" t="str">
        <x:f>IF(A79&lt;2,"PRE-EMERGENCE · kein Kalenderwert","AVAILABLE IF NEEDED · nur wenn vollständiger Endmix unter pH-Ziel liegt")</x:f>
        <x:v>AVAILABLE IF NEEDED · nur wenn vollständiger Endmix unter pH-Ziel liegt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  <x:c r="AT79" t="n">
        <x:f>IF(AND('01_Run_Config'!$B$46="Voodoo + Piranha + Tarantula",AC79&gt;0),2,0)</x:f>
        <x:v>0</x:v>
      </x:c>
      <x:c r="AU79" t="n">
        <x:f>IF(AND(OR('01_Run_Config'!$B$46="Voodoo + Tarantula",'01_Run_Config'!$B$46="Voodoo + Piranha + Tarantula"),AC79&gt;0),2,0)</x:f>
        <x:v>0</x:v>
      </x:c>
      <x:c r="AV79" t="n">
        <x:f>IF('01_Run_Config'!$B$47&lt;&gt;"ON / A-B",0,IF(OR(AND(A79&gt;='01_Run_Config'!$B$32,A79&lt;'01_Run_Config'!$B$33),AND(ISNUMBER(AL79),AL79&gt;=15,AL79&lt;=49)),2,0))</x:f>
        <x:v>0</x:v>
      </x:c>
      <x:c r="AW79" t="n">
        <x:f>IF('01_Run_Config'!$B$48="AN Bud Candy (replaces HESI Boost)",IF(AND(A79&gt;='01_Run_Config'!$B$32,OR(AL79="",AL79&lt;=49)),2,0),0)</x:f>
        <x:v>0</x:v>
      </x:c>
      <x:c r="AX79" t="n">
        <x:f>IF('01_Run_Config'!$B$49&lt;&gt;"ON / EXPERIMENTAL",0,IF(OR(AND(A79&gt;='01_Run_Config'!$B$32+7,A79&lt;'01_Run_Config'!$B$33),AND(ISNUMBER(AL79),AL79&gt;=1,AL79&lt;=49)),2,0))</x:f>
        <x:v>0</x:v>
      </x:c>
      <x:c r="AY79" t="n">
        <x:f>IF('01_Run_Config'!$B$50="AN Sensizym",IF(AND(A79&gt;='01_Run_Config'!$B$32,OR(AL79="",AL79&lt;=49)),2,0),0)</x:f>
        <x:v>0</x:v>
      </x:c>
      <x:c r="AZ79" t="n">
        <x:f>IF('01_Run_Config'!$B$51="AN Rhino Skin",IF(AND(A79&gt;='01_Run_Config'!$B$32,OR(AL79="",AL79&lt;=49)),2,0),0)</x:f>
        <x:v>0</x:v>
      </x:c>
      <x:c r="BA79" t="n">
        <x:f>IF(AND('01_Run_Config'!$B$52="AN Bud Ignitor &gt; Big Bud &gt; Overdrive",ISNUMBER(AL79),AL79&gt;=1,AL79&lt;=14),2,0)</x:f>
        <x:v>0</x:v>
      </x:c>
      <x:c r="BB79" t="n">
        <x:f>IF(AND('01_Run_Config'!$B$52="AN Bud Ignitor &gt; Big Bud &gt; Overdrive",ISNUMBER(AL79),AL79&gt;=8,AL79&lt;=35),2,0)</x:f>
        <x:v>0</x:v>
      </x:c>
      <x:c r="BC79" t="n">
        <x:f>IF(AND('01_Run_Config'!$B$52="AN Bud Ignitor &gt; Big Bud &gt; Overdrive",ISNUMBER(AL79),AL79&gt;=36,AL79&lt;=49),2,0)</x:f>
        <x:v>0</x:v>
      </x:c>
      <x:c r="BD79" t="n">
        <x:f>IF('01_Run_Config'!$B$53="ON / EXPERIMENTAL",IF(OR(AND(A79&gt;='01_Run_Config'!$B$32,A79&lt;'01_Run_Config'!$B$33),AND(ISNUMBER(AL79),AL79&gt;=15,AL79&lt;=49)),2,0),0)</x:f>
        <x:v>0</x:v>
      </x:c>
      <x:c r="BE79" t="n">
        <x:f>IF('01_Run_Config'!$B$54="AN Sensi CalMag Xtra conditional",'01_Run_Config'!$B$17,0)</x:f>
        <x:v>0</x:v>
      </x:c>
      <x:c r="BF79" t="n">
        <x:f>0</x:f>
        <x:v>0</x:v>
      </x:c>
      <x:c r="BG79" t="str">
        <x:f>'01_Run_Config'!$E$57</x:f>
        <x:v>OK</x:v>
      </x:c>
      <x:c r="BH79" t="str">
        <x:f>IF(SUM(AC79,AT79:BF79)=0,"keine AN-Dosis heute",IF(AC79&gt;0,"Voodoo "&amp;AC79&amp;" ml/L; ","")&amp;IF(AT79&gt;0,"Piranha "&amp;AT79&amp;" ml/L; ","")&amp;IF(AU79&gt;0,"Tarantula "&amp;AU79&amp;" ml/L; ","")&amp;IF(AV79&gt;0,"B-52 "&amp;AV79&amp;" ml/L; ","")&amp;IF(AW79&gt;0,"Bud Candy "&amp;AW79&amp;" ml/L; ","")&amp;IF(AX79&gt;0,"Bud Factor X "&amp;AX79&amp;" ml/L; ","")&amp;IF(AY79&gt;0,"Sensizym "&amp;AY79&amp;" ml/L; ","")&amp;IF(AZ79&gt;0,"Rhino Skin "&amp;AZ79&amp;" ml/L; ","")&amp;IF(BA79&gt;0,"Bud Ignitor "&amp;BA79&amp;" ml/L; ","")&amp;IF(BB79&gt;0,"Big Bud "&amp;BB79&amp;" ml/L; ","")&amp;IF(BC79&gt;0,"Overdrive "&amp;BC79&amp;" ml/L; ","")&amp;IF(BD79&gt;0,"Tasty Terpenes "&amp;BD79&amp;" ml/L; ","")&amp;IF(BE79&gt;0,"Sensi CalMag "&amp;BE79&amp;" ml/L",""))</x:f>
        <x:v>keine AN-Dosis heute</x:v>
      </x:c>
      <x:c r="BI79" s="60" t="n">
        <x:f>IF(ISNUMBER('01_Run_Config'!$B$91),IF(B79&lt;'01_Run_Config'!$B$91,"PRE",B79-'01_Run_Config'!$B$91),"PRE")</x:f>
        <x:v>75</x:v>
      </x:c>
      <x:c r="BJ79" s="60" t="str">
        <x:f>IF(ISNUMBER('01_Run_Config'!$B$92),IF(B79&lt;'01_Run_Config'!$B$92,"PRE",B79-'01_Run_Config'!$B$92),"PRE")</x:f>
        <x:v>PRE</x:v>
      </x:c>
      <x:c r="BK79" s="60" t="str">
        <x:f>IF(ISNUMBER('01_Run_Config'!$B$93),IF(B79&lt;'01_Run_Config'!$B$93,"PRE",B79-'01_Run_Config'!$B$93),"PRE")</x:f>
        <x:v>PRE</x:v>
      </x:c>
      <x:c r="BL79" s="2482" t="n">
        <x:f>IF(BM79=5.8,5.8,5.8)</x:f>
        <x:v>5.8</x:v>
      </x:c>
      <x:c r="BM79" s="2482" t="n">
        <x:f>IF(A79&lt;IF(ISNUMBER('01_Run_Config'!$B$81),'01_Run_Config'!$B$81,15),5.8,6)</x:f>
        <x:v>6</x:v>
      </x:c>
      <x:c r="BN79" s="2482" t="n">
        <x:f>IF(BM79=5.8,5.8,6.2)</x:f>
        <x:v>6.2</x:v>
      </x:c>
      <x:c r="BO79" s="60" t="str">
        <x:f>IF(BM79=5.8,"Eazy Plug/Block: Herstellerziel 5.80","Final Coco: UKD 6.00 = Mitte HESI 5.8–6.2")</x:f>
        <x:v>Final Coco: UKD 6.00 = Mitte HESI 5.8–6.2</x:v>
      </x:c>
      <x:c r="BP79" s="60" t="str">
        <x:f>IF(A79&lt;2,"PRE-EMERGENCE: Balance normalerweise nicht nötig",IF(BM79=5.8,"ab Durchbruch AVAILABLE IF endmix &lt; 5.80","AVAILABLE IF endmix &lt; 6.00"))</x:f>
        <x:v>AVAILABLE IF endmix &lt; 6.00</x:v>
      </x:c>
      <x:c r="BQ79" s="60" t="str">
        <x:f>IF(A79=0,"Run Day 0 = Aussaat 21.08.2026; Plant Day beginnt erst beim Durchbruch.",IF(A79=2,"P78 Double Grape: 23.08.2026 = Plant Day 0.","Daily pH is a projection; actual root-stage/event overrides calendar."))</x:f>
        <x:v>Daily pH is a projection; actual root-stage/event overrides calendar.</x:v>
      </x:c>
    </x:row>
    <x:row r="80">
      <x:c r="A80" s="34" t="n">
        <x:v>78</x:v>
      </x:c>
      <x:c r="B80" s="129" t="n">
        <x:f>'01_Run_Config'!$B$4+A80</x:f>
        <x:v>46333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f>BM80</x:f>
        <x:v>6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IF(A80&lt;=14,2.5,0)</x:f>
        <x:v>0</x:v>
      </x:c>
      <x:c r="X80" s="63" t="n">
        <x:f>IF('01_Run_Config'!$B$50="AN Sensizym",0,IF(AND(A80&gt;='01_Run_Config'!$B$32,OR(AL80="",AL80&lt;=49)),2,0))</x:f>
        <x:v>0</x:v>
      </x:c>
      <x:c r="Y80" s="63" t="n">
        <x:f>0.015</x:f>
        <x:v>0.015</x:v>
      </x:c>
      <x:c r="Z80" s="63" t="n">
        <x:f>IF('01_Run_Config'!$B$51="HESI Hesilicio",2,0)</x:f>
        <x:v>0</x:v>
      </x:c>
      <x:c r="AA80" s="63" t="n">
        <x:f>IF('01_Run_Config'!$B$48="AN Bud Candy (replaces HESI Boost)",0,IF(AND(A80&gt;='01_Run_Config'!$B$33,MOD(A80-'01_Run_Config'!$B$33,7)=0),2,0))</x:f>
        <x:v>0</x:v>
      </x:c>
      <x:c r="AB80" s="63" t="n">
        <x:f>IF('01_Run_Config'!$B$52="AN Bud Ignitor &gt; Big Bud &gt; Overdrive",0,IF(AND(ISNUMBER(AL80),AL80&gt;=29,AL80&lt;=42),0.25+((AL80-29)/13)*0.25,0))</x:f>
        <x:v>0</x:v>
      </x:c>
      <x:c r="AC80" s="63" t="n">
        <x:f>IF('01_Run_Config'!$B$46="OFF",0,IF(OR(AND(A80&gt;='01_Run_Config'!$B$32,A80&lt;='01_Run_Config'!$B$32+13),AND(A80&gt;='01_Run_Config'!$B$33,A80&lt;='01_Run_Config'!$B$33+13)),2,0))</x:f>
        <x:v>0</x:v>
      </x:c>
      <x:c r="AD80" s="63" t="str">
        <x:f>IF(BG80="BLOCK","HYBRID BLOCKED - Konfiguration prüfen",IF(SUM(AC80,AT80:BF80)&gt;0,"AN aktiv: "&amp;BH80,"AN: keine Dosis heute / Module aus"))</x:f>
        <x:v>AN: keine Dosis heute / Module aus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0" s="34" t="str">
        <x:f>IF(A80&lt;2,"PRE-EMERGENCE · kein Kalenderwert","AVAILABLE IF NEEDED · nur wenn vollständiger Endmix unter pH-Ziel liegt")</x:f>
        <x:v>AVAILABLE IF NEEDED · nur wenn vollständiger Endmix unter pH-Ziel liegt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  <x:c r="AT80" t="n">
        <x:f>IF(AND('01_Run_Config'!$B$46="Voodoo + Piranha + Tarantula",AC80&gt;0),2,0)</x:f>
        <x:v>0</x:v>
      </x:c>
      <x:c r="AU80" t="n">
        <x:f>IF(AND(OR('01_Run_Config'!$B$46="Voodoo + Tarantula",'01_Run_Config'!$B$46="Voodoo + Piranha + Tarantula"),AC80&gt;0),2,0)</x:f>
        <x:v>0</x:v>
      </x:c>
      <x:c r="AV80" t="n">
        <x:f>IF('01_Run_Config'!$B$47&lt;&gt;"ON / A-B",0,IF(OR(AND(A80&gt;='01_Run_Config'!$B$32,A80&lt;'01_Run_Config'!$B$33),AND(ISNUMBER(AL80),AL80&gt;=15,AL80&lt;=49)),2,0))</x:f>
        <x:v>0</x:v>
      </x:c>
      <x:c r="AW80" t="n">
        <x:f>IF('01_Run_Config'!$B$48="AN Bud Candy (replaces HESI Boost)",IF(AND(A80&gt;='01_Run_Config'!$B$32,OR(AL80="",AL80&lt;=49)),2,0),0)</x:f>
        <x:v>0</x:v>
      </x:c>
      <x:c r="AX80" t="n">
        <x:f>IF('01_Run_Config'!$B$49&lt;&gt;"ON / EXPERIMENTAL",0,IF(OR(AND(A80&gt;='01_Run_Config'!$B$32+7,A80&lt;'01_Run_Config'!$B$33),AND(ISNUMBER(AL80),AL80&gt;=1,AL80&lt;=49)),2,0))</x:f>
        <x:v>0</x:v>
      </x:c>
      <x:c r="AY80" t="n">
        <x:f>IF('01_Run_Config'!$B$50="AN Sensizym",IF(AND(A80&gt;='01_Run_Config'!$B$32,OR(AL80="",AL80&lt;=49)),2,0),0)</x:f>
        <x:v>0</x:v>
      </x:c>
      <x:c r="AZ80" t="n">
        <x:f>IF('01_Run_Config'!$B$51="AN Rhino Skin",IF(AND(A80&gt;='01_Run_Config'!$B$32,OR(AL80="",AL80&lt;=49)),2,0),0)</x:f>
        <x:v>0</x:v>
      </x:c>
      <x:c r="BA80" t="n">
        <x:f>IF(AND('01_Run_Config'!$B$52="AN Bud Ignitor &gt; Big Bud &gt; Overdrive",ISNUMBER(AL80),AL80&gt;=1,AL80&lt;=14),2,0)</x:f>
        <x:v>0</x:v>
      </x:c>
      <x:c r="BB80" t="n">
        <x:f>IF(AND('01_Run_Config'!$B$52="AN Bud Ignitor &gt; Big Bud &gt; Overdrive",ISNUMBER(AL80),AL80&gt;=8,AL80&lt;=35),2,0)</x:f>
        <x:v>0</x:v>
      </x:c>
      <x:c r="BC80" t="n">
        <x:f>IF(AND('01_Run_Config'!$B$52="AN Bud Ignitor &gt; Big Bud &gt; Overdrive",ISNUMBER(AL80),AL80&gt;=36,AL80&lt;=49),2,0)</x:f>
        <x:v>0</x:v>
      </x:c>
      <x:c r="BD80" t="n">
        <x:f>IF('01_Run_Config'!$B$53="ON / EXPERIMENTAL",IF(OR(AND(A80&gt;='01_Run_Config'!$B$32,A80&lt;'01_Run_Config'!$B$33),AND(ISNUMBER(AL80),AL80&gt;=15,AL80&lt;=49)),2,0),0)</x:f>
        <x:v>0</x:v>
      </x:c>
      <x:c r="BE80" t="n">
        <x:f>IF('01_Run_Config'!$B$54="AN Sensi CalMag Xtra conditional",'01_Run_Config'!$B$17,0)</x:f>
        <x:v>0</x:v>
      </x:c>
      <x:c r="BF80" t="n">
        <x:f>0</x:f>
        <x:v>0</x:v>
      </x:c>
      <x:c r="BG80" t="str">
        <x:f>'01_Run_Config'!$E$57</x:f>
        <x:v>OK</x:v>
      </x:c>
      <x:c r="BH80" t="str">
        <x:f>IF(SUM(AC80,AT80:BF80)=0,"keine AN-Dosis heute",IF(AC80&gt;0,"Voodoo "&amp;AC80&amp;" ml/L; ","")&amp;IF(AT80&gt;0,"Piranha "&amp;AT80&amp;" ml/L; ","")&amp;IF(AU80&gt;0,"Tarantula "&amp;AU80&amp;" ml/L; ","")&amp;IF(AV80&gt;0,"B-52 "&amp;AV80&amp;" ml/L; ","")&amp;IF(AW80&gt;0,"Bud Candy "&amp;AW80&amp;" ml/L; ","")&amp;IF(AX80&gt;0,"Bud Factor X "&amp;AX80&amp;" ml/L; ","")&amp;IF(AY80&gt;0,"Sensizym "&amp;AY80&amp;" ml/L; ","")&amp;IF(AZ80&gt;0,"Rhino Skin "&amp;AZ80&amp;" ml/L; ","")&amp;IF(BA80&gt;0,"Bud Ignitor "&amp;BA80&amp;" ml/L; ","")&amp;IF(BB80&gt;0,"Big Bud "&amp;BB80&amp;" ml/L; ","")&amp;IF(BC80&gt;0,"Overdrive "&amp;BC80&amp;" ml/L; ","")&amp;IF(BD80&gt;0,"Tasty Terpenes "&amp;BD80&amp;" ml/L; ","")&amp;IF(BE80&gt;0,"Sensi CalMag "&amp;BE80&amp;" ml/L",""))</x:f>
        <x:v>keine AN-Dosis heute</x:v>
      </x:c>
      <x:c r="BI80" s="60" t="n">
        <x:f>IF(ISNUMBER('01_Run_Config'!$B$91),IF(B80&lt;'01_Run_Config'!$B$91,"PRE",B80-'01_Run_Config'!$B$91),"PRE")</x:f>
        <x:v>76</x:v>
      </x:c>
      <x:c r="BJ80" s="60" t="str">
        <x:f>IF(ISNUMBER('01_Run_Config'!$B$92),IF(B80&lt;'01_Run_Config'!$B$92,"PRE",B80-'01_Run_Config'!$B$92),"PRE")</x:f>
        <x:v>PRE</x:v>
      </x:c>
      <x:c r="BK80" s="60" t="str">
        <x:f>IF(ISNUMBER('01_Run_Config'!$B$93),IF(B80&lt;'01_Run_Config'!$B$93,"PRE",B80-'01_Run_Config'!$B$93),"PRE")</x:f>
        <x:v>PRE</x:v>
      </x:c>
      <x:c r="BL80" s="2482" t="n">
        <x:f>IF(BM80=5.8,5.8,5.8)</x:f>
        <x:v>5.8</x:v>
      </x:c>
      <x:c r="BM80" s="2482" t="n">
        <x:f>IF(A80&lt;IF(ISNUMBER('01_Run_Config'!$B$81),'01_Run_Config'!$B$81,15),5.8,6)</x:f>
        <x:v>6</x:v>
      </x:c>
      <x:c r="BN80" s="2482" t="n">
        <x:f>IF(BM80=5.8,5.8,6.2)</x:f>
        <x:v>6.2</x:v>
      </x:c>
      <x:c r="BO80" s="60" t="str">
        <x:f>IF(BM80=5.8,"Eazy Plug/Block: Herstellerziel 5.80","Final Coco: UKD 6.00 = Mitte HESI 5.8–6.2")</x:f>
        <x:v>Final Coco: UKD 6.00 = Mitte HESI 5.8–6.2</x:v>
      </x:c>
      <x:c r="BP80" s="60" t="str">
        <x:f>IF(A80&lt;2,"PRE-EMERGENCE: Balance normalerweise nicht nötig",IF(BM80=5.8,"ab Durchbruch AVAILABLE IF endmix &lt; 5.80","AVAILABLE IF endmix &lt; 6.00"))</x:f>
        <x:v>AVAILABLE IF endmix &lt; 6.00</x:v>
      </x:c>
      <x:c r="BQ80" s="60" t="str">
        <x:f>IF(A80=0,"Run Day 0 = Aussaat 21.08.2026; Plant Day beginnt erst beim Durchbruch.",IF(A80=2,"P79 Double Grape: 23.08.2026 = Plant Day 0.","Daily pH is a projection; actual root-stage/event overrides calendar."))</x:f>
        <x:v>Daily pH is a projection; actual root-stage/event overrides calendar.</x:v>
      </x:c>
    </x:row>
    <x:row r="81">
      <x:c r="A81" s="34" t="n">
        <x:v>79</x:v>
      </x:c>
      <x:c r="B81" s="129" t="n">
        <x:f>'01_Run_Config'!$B$4+A81</x:f>
        <x:v>46334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f>BM81</x:f>
        <x:v>6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IF(A81&lt;=14,2.5,0)</x:f>
        <x:v>0</x:v>
      </x:c>
      <x:c r="X81" s="63" t="n">
        <x:f>IF('01_Run_Config'!$B$50="AN Sensizym",0,IF(AND(A81&gt;='01_Run_Config'!$B$32,OR(AL81="",AL81&lt;=49)),2,0))</x:f>
        <x:v>0</x:v>
      </x:c>
      <x:c r="Y81" s="63" t="n">
        <x:f>0.015</x:f>
        <x:v>0.015</x:v>
      </x:c>
      <x:c r="Z81" s="63" t="n">
        <x:f>IF('01_Run_Config'!$B$51="HESI Hesilicio",2,0)</x:f>
        <x:v>0</x:v>
      </x:c>
      <x:c r="AA81" s="63" t="n">
        <x:f>IF('01_Run_Config'!$B$48="AN Bud Candy (replaces HESI Boost)",0,IF(AND(A81&gt;='01_Run_Config'!$B$33,MOD(A81-'01_Run_Config'!$B$33,7)=0),2,0))</x:f>
        <x:v>0</x:v>
      </x:c>
      <x:c r="AB81" s="63" t="n">
        <x:f>IF('01_Run_Config'!$B$52="AN Bud Ignitor &gt; Big Bud &gt; Overdrive",0,IF(AND(ISNUMBER(AL81),AL81&gt;=29,AL81&lt;=42),0.25+((AL81-29)/13)*0.25,0))</x:f>
        <x:v>0</x:v>
      </x:c>
      <x:c r="AC81" s="63" t="n">
        <x:f>IF('01_Run_Config'!$B$46="OFF",0,IF(OR(AND(A81&gt;='01_Run_Config'!$B$32,A81&lt;='01_Run_Config'!$B$32+13),AND(A81&gt;='01_Run_Config'!$B$33,A81&lt;='01_Run_Config'!$B$33+13)),2,0))</x:f>
        <x:v>0</x:v>
      </x:c>
      <x:c r="AD81" s="63" t="str">
        <x:f>IF(BG81="BLOCK","HYBRID BLOCKED - Konfiguration prüfen",IF(SUM(AC81,AT81:BF81)&gt;0,"AN aktiv: "&amp;BH81,"AN: keine Dosis heute / Module aus"))</x:f>
        <x:v>AN: keine Dosis heute / Module aus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1" s="34" t="str">
        <x:f>IF(A81&lt;2,"PRE-EMERGENCE · kein Kalenderwert","AVAILABLE IF NEEDED · nur wenn vollständiger Endmix unter pH-Ziel liegt")</x:f>
        <x:v>AVAILABLE IF NEEDED · nur wenn vollständiger Endmix unter pH-Ziel liegt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  <x:c r="AT81" t="n">
        <x:f>IF(AND('01_Run_Config'!$B$46="Voodoo + Piranha + Tarantula",AC81&gt;0),2,0)</x:f>
        <x:v>0</x:v>
      </x:c>
      <x:c r="AU81" t="n">
        <x:f>IF(AND(OR('01_Run_Config'!$B$46="Voodoo + Tarantula",'01_Run_Config'!$B$46="Voodoo + Piranha + Tarantula"),AC81&gt;0),2,0)</x:f>
        <x:v>0</x:v>
      </x:c>
      <x:c r="AV81" t="n">
        <x:f>IF('01_Run_Config'!$B$47&lt;&gt;"ON / A-B",0,IF(OR(AND(A81&gt;='01_Run_Config'!$B$32,A81&lt;'01_Run_Config'!$B$33),AND(ISNUMBER(AL81),AL81&gt;=15,AL81&lt;=49)),2,0))</x:f>
        <x:v>0</x:v>
      </x:c>
      <x:c r="AW81" t="n">
        <x:f>IF('01_Run_Config'!$B$48="AN Bud Candy (replaces HESI Boost)",IF(AND(A81&gt;='01_Run_Config'!$B$32,OR(AL81="",AL81&lt;=49)),2,0),0)</x:f>
        <x:v>0</x:v>
      </x:c>
      <x:c r="AX81" t="n">
        <x:f>IF('01_Run_Config'!$B$49&lt;&gt;"ON / EXPERIMENTAL",0,IF(OR(AND(A81&gt;='01_Run_Config'!$B$32+7,A81&lt;'01_Run_Config'!$B$33),AND(ISNUMBER(AL81),AL81&gt;=1,AL81&lt;=49)),2,0))</x:f>
        <x:v>0</x:v>
      </x:c>
      <x:c r="AY81" t="n">
        <x:f>IF('01_Run_Config'!$B$50="AN Sensizym",IF(AND(A81&gt;='01_Run_Config'!$B$32,OR(AL81="",AL81&lt;=49)),2,0),0)</x:f>
        <x:v>0</x:v>
      </x:c>
      <x:c r="AZ81" t="n">
        <x:f>IF('01_Run_Config'!$B$51="AN Rhino Skin",IF(AND(A81&gt;='01_Run_Config'!$B$32,OR(AL81="",AL81&lt;=49)),2,0),0)</x:f>
        <x:v>0</x:v>
      </x:c>
      <x:c r="BA81" t="n">
        <x:f>IF(AND('01_Run_Config'!$B$52="AN Bud Ignitor &gt; Big Bud &gt; Overdrive",ISNUMBER(AL81),AL81&gt;=1,AL81&lt;=14),2,0)</x:f>
        <x:v>0</x:v>
      </x:c>
      <x:c r="BB81" t="n">
        <x:f>IF(AND('01_Run_Config'!$B$52="AN Bud Ignitor &gt; Big Bud &gt; Overdrive",ISNUMBER(AL81),AL81&gt;=8,AL81&lt;=35),2,0)</x:f>
        <x:v>0</x:v>
      </x:c>
      <x:c r="BC81" t="n">
        <x:f>IF(AND('01_Run_Config'!$B$52="AN Bud Ignitor &gt; Big Bud &gt; Overdrive",ISNUMBER(AL81),AL81&gt;=36,AL81&lt;=49),2,0)</x:f>
        <x:v>0</x:v>
      </x:c>
      <x:c r="BD81" t="n">
        <x:f>IF('01_Run_Config'!$B$53="ON / EXPERIMENTAL",IF(OR(AND(A81&gt;='01_Run_Config'!$B$32,A81&lt;'01_Run_Config'!$B$33),AND(ISNUMBER(AL81),AL81&gt;=15,AL81&lt;=49)),2,0),0)</x:f>
        <x:v>0</x:v>
      </x:c>
      <x:c r="BE81" t="n">
        <x:f>IF('01_Run_Config'!$B$54="AN Sensi CalMag Xtra conditional",'01_Run_Config'!$B$17,0)</x:f>
        <x:v>0</x:v>
      </x:c>
      <x:c r="BF81" t="n">
        <x:f>0</x:f>
        <x:v>0</x:v>
      </x:c>
      <x:c r="BG81" t="str">
        <x:f>'01_Run_Config'!$E$57</x:f>
        <x:v>OK</x:v>
      </x:c>
      <x:c r="BH81" t="str">
        <x:f>IF(SUM(AC81,AT81:BF81)=0,"keine AN-Dosis heute",IF(AC81&gt;0,"Voodoo "&amp;AC81&amp;" ml/L; ","")&amp;IF(AT81&gt;0,"Piranha "&amp;AT81&amp;" ml/L; ","")&amp;IF(AU81&gt;0,"Tarantula "&amp;AU81&amp;" ml/L; ","")&amp;IF(AV81&gt;0,"B-52 "&amp;AV81&amp;" ml/L; ","")&amp;IF(AW81&gt;0,"Bud Candy "&amp;AW81&amp;" ml/L; ","")&amp;IF(AX81&gt;0,"Bud Factor X "&amp;AX81&amp;" ml/L; ","")&amp;IF(AY81&gt;0,"Sensizym "&amp;AY81&amp;" ml/L; ","")&amp;IF(AZ81&gt;0,"Rhino Skin "&amp;AZ81&amp;" ml/L; ","")&amp;IF(BA81&gt;0,"Bud Ignitor "&amp;BA81&amp;" ml/L; ","")&amp;IF(BB81&gt;0,"Big Bud "&amp;BB81&amp;" ml/L; ","")&amp;IF(BC81&gt;0,"Overdrive "&amp;BC81&amp;" ml/L; ","")&amp;IF(BD81&gt;0,"Tasty Terpenes "&amp;BD81&amp;" ml/L; ","")&amp;IF(BE81&gt;0,"Sensi CalMag "&amp;BE81&amp;" ml/L",""))</x:f>
        <x:v>keine AN-Dosis heute</x:v>
      </x:c>
      <x:c r="BI81" s="60" t="n">
        <x:f>IF(ISNUMBER('01_Run_Config'!$B$91),IF(B81&lt;'01_Run_Config'!$B$91,"PRE",B81-'01_Run_Config'!$B$91),"PRE")</x:f>
        <x:v>77</x:v>
      </x:c>
      <x:c r="BJ81" s="60" t="str">
        <x:f>IF(ISNUMBER('01_Run_Config'!$B$92),IF(B81&lt;'01_Run_Config'!$B$92,"PRE",B81-'01_Run_Config'!$B$92),"PRE")</x:f>
        <x:v>PRE</x:v>
      </x:c>
      <x:c r="BK81" s="60" t="str">
        <x:f>IF(ISNUMBER('01_Run_Config'!$B$93),IF(B81&lt;'01_Run_Config'!$B$93,"PRE",B81-'01_Run_Config'!$B$93),"PRE")</x:f>
        <x:v>PRE</x:v>
      </x:c>
      <x:c r="BL81" s="2482" t="n">
        <x:f>IF(BM81=5.8,5.8,5.8)</x:f>
        <x:v>5.8</x:v>
      </x:c>
      <x:c r="BM81" s="2482" t="n">
        <x:f>IF(A81&lt;IF(ISNUMBER('01_Run_Config'!$B$81),'01_Run_Config'!$B$81,15),5.8,6)</x:f>
        <x:v>6</x:v>
      </x:c>
      <x:c r="BN81" s="2482" t="n">
        <x:f>IF(BM81=5.8,5.8,6.2)</x:f>
        <x:v>6.2</x:v>
      </x:c>
      <x:c r="BO81" s="60" t="str">
        <x:f>IF(BM81=5.8,"Eazy Plug/Block: Herstellerziel 5.80","Final Coco: UKD 6.00 = Mitte HESI 5.8–6.2")</x:f>
        <x:v>Final Coco: UKD 6.00 = Mitte HESI 5.8–6.2</x:v>
      </x:c>
      <x:c r="BP81" s="60" t="str">
        <x:f>IF(A81&lt;2,"PRE-EMERGENCE: Balance normalerweise nicht nötig",IF(BM81=5.8,"ab Durchbruch AVAILABLE IF endmix &lt; 5.80","AVAILABLE IF endmix &lt; 6.00"))</x:f>
        <x:v>AVAILABLE IF endmix &lt; 6.00</x:v>
      </x:c>
      <x:c r="BQ81" s="60" t="str">
        <x:f>IF(A81=0,"Run Day 0 = Aussaat 21.08.2026; Plant Day beginnt erst beim Durchbruch.",IF(A81=2,"P80 Double Grape: 23.08.2026 = Plant Day 0.","Daily pH is a projection; actual root-stage/event overrides calendar."))</x:f>
        <x:v>Daily pH is a projection; actual root-stage/event overrides calendar.</x:v>
      </x:c>
    </x:row>
    <x:row r="82">
      <x:c r="A82" s="36" t="n">
        <x:v>80</x:v>
      </x:c>
      <x:c r="B82" s="130" t="n">
        <x:f>'01_Run_Config'!$B$4+A82</x:f>
        <x:v>46335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f>BM82</x:f>
        <x:v>6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IF(A82&lt;=14,2.5,0)</x:f>
        <x:v>0</x:v>
      </x:c>
      <x:c r="X82" s="64" t="n">
        <x:f>IF('01_Run_Config'!$B$50="AN Sensizym",0,IF(AND(A82&gt;='01_Run_Config'!$B$32,OR(AL82="",AL82&lt;=49)),2,0))</x:f>
        <x:v>0</x:v>
      </x:c>
      <x:c r="Y82" s="64" t="n">
        <x:f>0.015</x:f>
        <x:v>0.015</x:v>
      </x:c>
      <x:c r="Z82" s="64" t="n">
        <x:f>IF('01_Run_Config'!$B$51="HESI Hesilicio",2,0)</x:f>
        <x:v>0</x:v>
      </x:c>
      <x:c r="AA82" s="64" t="n">
        <x:f>IF('01_Run_Config'!$B$48="AN Bud Candy (replaces HESI Boost)",0,IF(AND(A82&gt;='01_Run_Config'!$B$33,MOD(A82-'01_Run_Config'!$B$33,7)=0),2,0))</x:f>
        <x:v>0</x:v>
      </x:c>
      <x:c r="AB82" s="64" t="n">
        <x:f>IF('01_Run_Config'!$B$52="AN Bud Ignitor &gt; Big Bud &gt; Overdrive",0,IF(AND(ISNUMBER(AL82),AL82&gt;=29,AL82&lt;=42),0.25+((AL82-29)/13)*0.25,0))</x:f>
        <x:v>0</x:v>
      </x:c>
      <x:c r="AC82" s="64" t="n">
        <x:f>IF('01_Run_Config'!$B$46="OFF",0,IF(OR(AND(A82&gt;='01_Run_Config'!$B$32,A82&lt;='01_Run_Config'!$B$32+13),AND(A82&gt;='01_Run_Config'!$B$33,A82&lt;='01_Run_Config'!$B$33+13)),2,0))</x:f>
        <x:v>0</x:v>
      </x:c>
      <x:c r="AD82" s="64" t="str">
        <x:f>IF(BG82="BLOCK","HYBRID BLOCKED - Konfiguration prüfen",IF(SUM(AC82,AT82:BF82)&gt;0,"AN aktiv: "&amp;BH82,"AN: keine Dosis heute / Module aus"))</x:f>
        <x:v>AN: keine Dosis heute / Module aus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2" s="36" t="str">
        <x:f>IF(A82&lt;2,"PRE-EMERGENCE · kein Kalenderwert","AVAILABLE IF NEEDED · nur wenn vollständiger Endmix unter pH-Ziel liegt")</x:f>
        <x:v>AVAILABLE IF NEEDED · nur wenn vollständiger Endmix unter pH-Ziel liegt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  <x:c r="AT82" t="n">
        <x:f>IF(AND('01_Run_Config'!$B$46="Voodoo + Piranha + Tarantula",AC82&gt;0),2,0)</x:f>
        <x:v>0</x:v>
      </x:c>
      <x:c r="AU82" t="n">
        <x:f>IF(AND(OR('01_Run_Config'!$B$46="Voodoo + Tarantula",'01_Run_Config'!$B$46="Voodoo + Piranha + Tarantula"),AC82&gt;0),2,0)</x:f>
        <x:v>0</x:v>
      </x:c>
      <x:c r="AV82" t="n">
        <x:f>IF('01_Run_Config'!$B$47&lt;&gt;"ON / A-B",0,IF(OR(AND(A82&gt;='01_Run_Config'!$B$32,A82&lt;'01_Run_Config'!$B$33),AND(ISNUMBER(AL82),AL82&gt;=15,AL82&lt;=49)),2,0))</x:f>
        <x:v>0</x:v>
      </x:c>
      <x:c r="AW82" t="n">
        <x:f>IF('01_Run_Config'!$B$48="AN Bud Candy (replaces HESI Boost)",IF(AND(A82&gt;='01_Run_Config'!$B$32,OR(AL82="",AL82&lt;=49)),2,0),0)</x:f>
        <x:v>0</x:v>
      </x:c>
      <x:c r="AX82" t="n">
        <x:f>IF('01_Run_Config'!$B$49&lt;&gt;"ON / EXPERIMENTAL",0,IF(OR(AND(A82&gt;='01_Run_Config'!$B$32+7,A82&lt;'01_Run_Config'!$B$33),AND(ISNUMBER(AL82),AL82&gt;=1,AL82&lt;=49)),2,0))</x:f>
        <x:v>0</x:v>
      </x:c>
      <x:c r="AY82" t="n">
        <x:f>IF('01_Run_Config'!$B$50="AN Sensizym",IF(AND(A82&gt;='01_Run_Config'!$B$32,OR(AL82="",AL82&lt;=49)),2,0),0)</x:f>
        <x:v>0</x:v>
      </x:c>
      <x:c r="AZ82" t="n">
        <x:f>IF('01_Run_Config'!$B$51="AN Rhino Skin",IF(AND(A82&gt;='01_Run_Config'!$B$32,OR(AL82="",AL82&lt;=49)),2,0),0)</x:f>
        <x:v>0</x:v>
      </x:c>
      <x:c r="BA82" t="n">
        <x:f>IF(AND('01_Run_Config'!$B$52="AN Bud Ignitor &gt; Big Bud &gt; Overdrive",ISNUMBER(AL82),AL82&gt;=1,AL82&lt;=14),2,0)</x:f>
        <x:v>0</x:v>
      </x:c>
      <x:c r="BB82" t="n">
        <x:f>IF(AND('01_Run_Config'!$B$52="AN Bud Ignitor &gt; Big Bud &gt; Overdrive",ISNUMBER(AL82),AL82&gt;=8,AL82&lt;=35),2,0)</x:f>
        <x:v>0</x:v>
      </x:c>
      <x:c r="BC82" t="n">
        <x:f>IF(AND('01_Run_Config'!$B$52="AN Bud Ignitor &gt; Big Bud &gt; Overdrive",ISNUMBER(AL82),AL82&gt;=36,AL82&lt;=49),2,0)</x:f>
        <x:v>0</x:v>
      </x:c>
      <x:c r="BD82" t="n">
        <x:f>IF('01_Run_Config'!$B$53="ON / EXPERIMENTAL",IF(OR(AND(A82&gt;='01_Run_Config'!$B$32,A82&lt;'01_Run_Config'!$B$33),AND(ISNUMBER(AL82),AL82&gt;=15,AL82&lt;=49)),2,0),0)</x:f>
        <x:v>0</x:v>
      </x:c>
      <x:c r="BE82" t="n">
        <x:f>IF('01_Run_Config'!$B$54="AN Sensi CalMag Xtra conditional",'01_Run_Config'!$B$17,0)</x:f>
        <x:v>0</x:v>
      </x:c>
      <x:c r="BF82" t="n">
        <x:f>0</x:f>
        <x:v>0</x:v>
      </x:c>
      <x:c r="BG82" t="str">
        <x:f>'01_Run_Config'!$E$57</x:f>
        <x:v>OK</x:v>
      </x:c>
      <x:c r="BH82" t="str">
        <x:f>IF(SUM(AC82,AT82:BF82)=0,"keine AN-Dosis heute",IF(AC82&gt;0,"Voodoo "&amp;AC82&amp;" ml/L; ","")&amp;IF(AT82&gt;0,"Piranha "&amp;AT82&amp;" ml/L; ","")&amp;IF(AU82&gt;0,"Tarantula "&amp;AU82&amp;" ml/L; ","")&amp;IF(AV82&gt;0,"B-52 "&amp;AV82&amp;" ml/L; ","")&amp;IF(AW82&gt;0,"Bud Candy "&amp;AW82&amp;" ml/L; ","")&amp;IF(AX82&gt;0,"Bud Factor X "&amp;AX82&amp;" ml/L; ","")&amp;IF(AY82&gt;0,"Sensizym "&amp;AY82&amp;" ml/L; ","")&amp;IF(AZ82&gt;0,"Rhino Skin "&amp;AZ82&amp;" ml/L; ","")&amp;IF(BA82&gt;0,"Bud Ignitor "&amp;BA82&amp;" ml/L; ","")&amp;IF(BB82&gt;0,"Big Bud "&amp;BB82&amp;" ml/L; ","")&amp;IF(BC82&gt;0,"Overdrive "&amp;BC82&amp;" ml/L; ","")&amp;IF(BD82&gt;0,"Tasty Terpenes "&amp;BD82&amp;" ml/L; ","")&amp;IF(BE82&gt;0,"Sensi CalMag "&amp;BE82&amp;" ml/L",""))</x:f>
        <x:v>keine AN-Dosis heute</x:v>
      </x:c>
      <x:c r="BI82" s="60" t="n">
        <x:f>IF(ISNUMBER('01_Run_Config'!$B$91),IF(B82&lt;'01_Run_Config'!$B$91,"PRE",B82-'01_Run_Config'!$B$91),"PRE")</x:f>
        <x:v>78</x:v>
      </x:c>
      <x:c r="BJ82" s="60" t="str">
        <x:f>IF(ISNUMBER('01_Run_Config'!$B$92),IF(B82&lt;'01_Run_Config'!$B$92,"PRE",B82-'01_Run_Config'!$B$92),"PRE")</x:f>
        <x:v>PRE</x:v>
      </x:c>
      <x:c r="BK82" s="60" t="str">
        <x:f>IF(ISNUMBER('01_Run_Config'!$B$93),IF(B82&lt;'01_Run_Config'!$B$93,"PRE",B82-'01_Run_Config'!$B$93),"PRE")</x:f>
        <x:v>PRE</x:v>
      </x:c>
      <x:c r="BL82" s="2482" t="n">
        <x:f>IF(BM82=5.8,5.8,5.8)</x:f>
        <x:v>5.8</x:v>
      </x:c>
      <x:c r="BM82" s="2482" t="n">
        <x:f>IF(A82&lt;IF(ISNUMBER('01_Run_Config'!$B$81),'01_Run_Config'!$B$81,15),5.8,6)</x:f>
        <x:v>6</x:v>
      </x:c>
      <x:c r="BN82" s="2482" t="n">
        <x:f>IF(BM82=5.8,5.8,6.2)</x:f>
        <x:v>6.2</x:v>
      </x:c>
      <x:c r="BO82" s="60" t="str">
        <x:f>IF(BM82=5.8,"Eazy Plug/Block: Herstellerziel 5.80","Final Coco: UKD 6.00 = Mitte HESI 5.8–6.2")</x:f>
        <x:v>Final Coco: UKD 6.00 = Mitte HESI 5.8–6.2</x:v>
      </x:c>
      <x:c r="BP82" s="60" t="str">
        <x:f>IF(A82&lt;2,"PRE-EMERGENCE: Balance normalerweise nicht nötig",IF(BM82=5.8,"ab Durchbruch AVAILABLE IF endmix &lt; 5.80","AVAILABLE IF endmix &lt; 6.00"))</x:f>
        <x:v>AVAILABLE IF endmix &lt; 6.00</x:v>
      </x:c>
      <x:c r="BQ82" s="60" t="str">
        <x:f>IF(A82=0,"Run Day 0 = Aussaat 21.08.2026; Plant Day beginnt erst beim Durchbruch.",IF(A82=2,"P81 Double Grape: 23.08.2026 = Plant Day 0.","Daily pH is a projection; actual root-stage/event overrides calendar."))</x:f>
        <x:v>Daily pH is a projection; actual root-stage/event overrides calendar.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2647a66b5342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/ OWNED-STOCK HYBRID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+ Tarantula selected in defined fresh windows; Root Complex + SuperVit remain HESI core.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Second Voodoo + Tarantula fresh window if plant/root-zone state is normal.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No extra AN bloom biostims. Tasty Terpenes owned but OFF; CarboLoad not scheduled.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Prepare transition with HESI Boost path; Athena Balance remains conditional only.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B1: Voodoo + Tarantula fresh window; HESI Boost preferred. No Bud Ignitor.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B2: second bloom Voodoo + Tarantula fresh window; HESI Boost preferred.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B3: HESI Boost; Tasty Terpenes remains A/B-only and OFF.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B4: HESI Boost; HESI PK path stays canonical.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B5: HESI Boost + HESI PK by UKD curve; no Big Bud/Tasty default.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B6: HESI PK path; no Overdrive. CalMag only if gated.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Readiness Watch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B7: HESI PK/Boost stop logic per plan; no additional AN booster.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Readiness / Extension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Finish: no CarboLoad/Tasty/Flawless Finish default.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AUTOFLOWER v11.2: Wochen 4+ sind nur Projektion. Operationaler Transition-/Bloom-Start folgt beobachtetem Preflower/FlowerInitiation-Event; Double Grape 70–80 d breeder window = readiness watch, kein Zwangs-Endtag.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1b68eac2faf045e9"/>
  <x:tableParts count="1">
    <x:tablePart xmlns:r="http://schemas.openxmlformats.org/officeDocument/2006/relationships" r:id="R3a2601674c394e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  <x:col min="10" max="10" width="22" hidden="0" customWidth="1"/>
    <x:col min="11" max="11" width="11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>
      <x:c r="A1" s="2364" t="str">
        <x:v>MIX CALCULATOR v11.4 — HESI + Voodoo/Tarantula · schema reconciled · actual irrigation gates</x:v>
      </x:c>
      <x:c r="B1" s="2364"/>
      <x:c r="C1" s="2364"/>
      <x:c r="D1" s="2364"/>
      <x:c r="E1" s="2364"/>
      <x:c r="F1" s="2364"/>
      <x:c r="G1" s="2364"/>
      <x:c r="H1" s="2364"/>
    </x:row>
    <x:row r="2">
      <x:c r="J2" s="1789" t="str">
        <x:v>AN HYBRID MODULES · Voodoo/Tarantula 2 ml/L in G1–G2 + B1–B2</x:v>
      </x:c>
      <x:c r="K2" s="1789" t="str">
        <x:v>ml/L</x:v>
      </x:c>
      <x:c r="L2" s="1789" t="str">
        <x:v>Batch ml</x:v>
      </x:c>
      <x:c r="M2" s="1789" t="str">
        <x:v>Status</x:v>
      </x:c>
      <x:c r="N2" s="1789" t="str">
        <x:v>Regel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  <x:c r="J3" s="60" t="str">
        <x:v>Voodoo Juice</x:v>
      </x:c>
      <x:c r="K3" s="60" t="n">
        <x:f>INDEX('02_Daily_Master'!$AC$2:$AC$82,$B$4+1)</x:f>
        <x:v>0</x:v>
      </x:c>
      <x:c r="L3" s="60" t="n">
        <x:f>K3*$B$5</x:f>
        <x:v>0</x:v>
      </x:c>
      <x:c r="M3" s="60" t="str">
        <x:v>SELECTED</x:v>
      </x:c>
      <x:c r="N3" s="60" t="str">
        <x:v>Defined fresh windows; cross-brand compatible.</x:v>
      </x:c>
    </x:row>
    <x:row r="4" ht="24" customHeight="1">
      <x:c r="A4" s="1156" t="str">
        <x:v>Run-Tag</x:v>
      </x:c>
      <x:c r="B4" s="1426" t="n">
        <x:f>'01_Run_Config'!$B$5</x:f>
        <x:v>2</x:v>
      </x:c>
      <x:c r="D4" s="1240" t="str">
        <x:v>Athena Balance</x:v>
      </x:c>
      <x:c r="E4" s="1241" t="n">
        <x:f>IF(OR('01_Run_Config'!$B$51&lt;&gt;"Athena Balance conditional",'01_Run_Config'!$E$35="BLOCK"),0,$B$6)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  <x:c r="J4" s="60" t="str">
        <x:v>Tarantula</x:v>
      </x:c>
      <x:c r="K4" s="60" t="n">
        <x:f>INDEX('02_Daily_Master'!$AU$2:$AU$82,$B$4+1)</x:f>
        <x:v>0</x:v>
      </x:c>
      <x:c r="L4" s="60" t="n">
        <x:f>K4*$B$5</x:f>
        <x:v>0</x:v>
      </x:c>
      <x:c r="M4" s="60" t="str">
        <x:v>SELECTED</x:v>
      </x:c>
      <x:c r="N4" s="60" t="str">
        <x:v>Paired with Voodoo; manufacturer explicitly recommends combination.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  <x:c r="J5" s="60" t="str">
        <x:v>Piranha</x:v>
      </x:c>
      <x:c r="K5" s="60" t="n">
        <x:f>INDEX('02_Daily_Master'!$AT$2:$AT$82,$B$4+1)</x:f>
        <x:v>0</x:v>
      </x:c>
      <x:c r="L5" s="60" t="n">
        <x:f>K5*$B$5</x:f>
        <x:v>0</x:v>
      </x:c>
      <x:c r="M5" s="60" t="str">
        <x:v>NOT OWNED</x:v>
      </x:c>
      <x:c r="N5" s="60" t="str">
        <x:v>Not required for current Voodoo+Tarantula preset.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 (not selected)</x:v>
      </x:c>
      <x:c r="E6" s="1245" t="n">
        <x:f>IF('01_Run_Config'!$B$54="HESI CalMag conditional",'01_Run_Config'!$B$17,0)</x:f>
        <x:v>0</x:v>
      </x:c>
      <x:c r="F6" s="1245" t="n">
        <x:f>IF(ISNUMBER(E6),E6*$B$5,"")</x:f>
        <x:v>0</x:v>
      </x:c>
      <x:c r="G6" s="1246" t="str">
        <x:v>Tank</x:v>
      </x:c>
      <x:c r="H6" s="1247" t="str">
        <x:v>Current inventory uses Sensi Cal Mag Xtra as conditional source; this row remains 0.</x:v>
      </x:c>
      <x:c r="J6" s="60" t="str">
        <x:v>B-52</x:v>
      </x:c>
      <x:c r="K6" s="60" t="n">
        <x:f>INDEX('02_Daily_Master'!$AV$2:$AV$82,$B$4+1)</x:f>
        <x:v>0</x:v>
      </x:c>
      <x:c r="L6" s="60" t="n">
        <x:f>K6*$B$5</x:f>
        <x:v>0</x:v>
      </x:c>
      <x:c r="M6" s="60" t="str">
        <x:v>NOT OWNED</x:v>
      </x:c>
      <x:c r="N6" s="60" t="str">
        <x:v>No purchase; overlap with HESI support.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2.5</x:v>
      </x:c>
      <x:c r="F7" s="1245" t="n">
        <x:f>IF(ISNUMBER(E7),E7*$B$5,"")</x:f>
        <x:v>12.5</x:v>
      </x:c>
      <x:c r="G7" s="1246" t="str">
        <x:v>Manual</x:v>
      </x:c>
      <x:c r="H7" s="1247" t="str">
        <x:v>definierte Frühgaben.</x:v>
      </x:c>
      <x:c r="J7" s="60" t="str">
        <x:v>Bud Candy</x:v>
      </x:c>
      <x:c r="K7" s="60" t="n">
        <x:f>INDEX('02_Daily_Master'!$AW$2:$AW$82,$B$4+1)</x:f>
        <x:v>0</x:v>
      </x:c>
      <x:c r="L7" s="60" t="n">
        <x:f>K7*$B$5</x:f>
        <x:v>0</x:v>
      </x:c>
      <x:c r="M7" s="60" t="str">
        <x:v>NOT OWNED</x:v>
      </x:c>
      <x:c r="N7" s="60" t="str">
        <x:v>No purchase; HESI Boost preferred.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  <x:c r="J8" s="60" t="str">
        <x:v>Bud Factor X</x:v>
      </x:c>
      <x:c r="K8" s="60" t="n">
        <x:f>INDEX('02_Daily_Master'!$AX$2:$AX$82,$B$4+1)</x:f>
        <x:v>0</x:v>
      </x:c>
      <x:c r="L8" s="60" t="n">
        <x:f>K8*$B$5</x:f>
        <x:v>0</x:v>
      </x:c>
      <x:c r="M8" s="60" t="str">
        <x:v>NOT OWNED</x:v>
      </x:c>
      <x:c r="N8" s="60" t="str">
        <x:v>No purchase.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  <x:c r="J9" s="60" t="str">
        <x:v>Sensizym</x:v>
      </x:c>
      <x:c r="K9" s="60" t="n">
        <x:f>INDEX('02_Daily_Master'!$AY$2:$AY$82,$B$4+1)</x:f>
        <x:v>0</x:v>
      </x:c>
      <x:c r="L9" s="60" t="n">
        <x:f>K9*$B$5</x:f>
        <x:v>0</x:v>
      </x:c>
      <x:c r="M9" s="60" t="str">
        <x:v>NOT OWNED</x:v>
      </x:c>
      <x:c r="N9" s="60" t="str">
        <x:v>No purchase; PowerZyme preferred.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  <x:c r="J10" s="60" t="str">
        <x:v>Rhino Skin</x:v>
      </x:c>
      <x:c r="K10" s="60" t="n">
        <x:f>INDEX('02_Daily_Master'!$AZ$2:$AZ$82,$B$4+1)</x:f>
        <x:v>0</x:v>
      </x:c>
      <x:c r="L10" s="60" t="n">
        <x:f>K10*$B$5</x:f>
        <x:v>0</x:v>
      </x:c>
      <x:c r="M10" s="60" t="str">
        <x:v>NOT OWNED</x:v>
      </x:c>
      <x:c r="N10" s="60" t="str">
        <x:v>No purchase; Athena Balance preferred Si path.</x:v>
      </x:c>
    </x:row>
    <x:row r="11">
      <x:c r="A11" s="1217" t="str">
        <x:v>Mischreihenfolge v3</x:v>
      </x:c>
      <x:c r="B11" s="1218" t="str">
        <x:v>Owned-stock HESI + Athena + Voodoo/Tarantula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  <x:c r="J11" s="60" t="str">
        <x:v>Bud Ignitor</x:v>
      </x:c>
      <x:c r="K11" s="60" t="n">
        <x:f>INDEX('02_Daily_Master'!$BA$2:$BA$82,$B$4+1)</x:f>
        <x:v>0</x:v>
      </x:c>
      <x:c r="L11" s="60" t="n">
        <x:f>K11*$B$5</x:f>
        <x:v>0</x:v>
      </x:c>
      <x:c r="M11" s="60" t="str">
        <x:v>NOT OWNED</x:v>
      </x:c>
      <x:c r="N11" s="60" t="str">
        <x:v>No purchase; HESI PK path preferred.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AN 2 ml/L in G1–G2/B1–B2. Bei jedem tatsächlich anstehenden Feed-Event im Fenster; NICHT als 1×/Woche-Ereignis interpretieren.</x:v>
      </x:c>
      <x:c r="J12" s="60" t="str">
        <x:v>Big Bud</x:v>
      </x:c>
      <x:c r="K12" s="60" t="n">
        <x:f>INDEX('02_Daily_Master'!$BB$2:$BB$82,$B$4+1)</x:f>
        <x:v>0</x:v>
      </x:c>
      <x:c r="L12" s="60" t="n">
        <x:f>K12*$B$5</x:f>
        <x:v>0</x:v>
      </x:c>
      <x:c r="M12" s="60" t="str">
        <x:v>NOT OWNED</x:v>
      </x:c>
      <x:c r="N12" s="60" t="str">
        <x:v>No purchase; HESI PK path preferred.</x:v>
      </x:c>
    </x:row>
    <x:row r="13">
      <x:c r="A13" s="1162" t="str">
        <x:v>2</x:v>
      </x:c>
      <x:c r="B13" s="1200" t="str">
        <x:v>Athena Balance nur wenn Safety-Gate freigibt: zuerst vollständig in Wasser einmischen; keine feste 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  <x:c r="J13" s="60" t="str">
        <x:v>Overdrive</x:v>
      </x:c>
      <x:c r="K13" s="60" t="n">
        <x:f>INDEX('02_Daily_Master'!$BC$2:$BC$82,$B$4+1)</x:f>
        <x:v>0</x:v>
      </x:c>
      <x:c r="L13" s="60" t="n">
        <x:f>K13*$B$5</x:f>
        <x:v>0</x:v>
      </x:c>
      <x:c r="M13" s="60" t="str">
        <x:v>NOT OWNED</x:v>
      </x:c>
      <x:c r="N13" s="60" t="str">
        <x:v>No purchase; HESI PK path preferred.</x:v>
      </x:c>
    </x:row>
    <x:row r="14">
      <x:c r="A14" s="1162" t="str">
        <x:v>3</x:v>
      </x:c>
      <x:c r="B14" s="1200" t="str">
        <x:v>Falls CalMag-Bedarf bestätigt: Sensi Cal Mag Xtra in der freigegebenen Plan-Dosis einmischen.</x:v>
      </x:c>
      <x:c r="D14" s="1256" t="str">
        <x:v>Hybrid status</x:v>
      </x:c>
      <x:c r="E14" s="1257" t="str">
        <x:f>'01_Run_Config'!$E$57</x:f>
        <x:v>OK</x:v>
      </x:c>
      <x:c r="F14" s="1257"/>
      <x:c r="G14" s="1257" t="str">
        <x:v>Frisch/Manual</x:v>
      </x:c>
      <x:c r="H14" s="1258" t="str">
        <x:v>BLOCK/REVIEW stoppt blindes Mischen; siehe Module rechts.</x:v>
      </x:c>
      <x:c r="J14" s="60" t="str">
        <x:v>Tasty Terpenes</x:v>
      </x:c>
      <x:c r="K14" s="60" t="n">
        <x:f>INDEX('02_Daily_Master'!$BD$2:$BD$82,$B$4+1)</x:f>
        <x:v>0</x:v>
      </x:c>
      <x:c r="L14" s="60" t="n">
        <x:f>K14*$B$5</x:f>
        <x:v>0</x:v>
      </x:c>
      <x:c r="M14" s="60" t="str">
        <x:v>OWNED / OFF</x:v>
      </x:c>
      <x:c r="N14" s="60" t="str">
        <x:v>Reserve for documented A/B only.</x:v>
      </x:c>
    </x:row>
    <x:row r="15">
      <x:c r="A15" s="1162" t="str">
        <x:v>4</x:v>
      </x:c>
      <x:c r="B15" s="1200" t="str">
        <x:v>HESI Basis (TNT oder Coco) vollständig einmischen.</x:v>
      </x:c>
      <x:c r="D15" s="1259" t="str">
        <x:v>Silizium-Modul</x:v>
      </x:c>
      <x:c r="E15" s="1260" t="n">
        <x:f>IF('01_Run_Config'!$B$51="HESI Hesilicio",INDEX('02_Daily_Master'!$Z$2:$Z$82,$B$4+1),IF('01_Run_Config'!$B$51="AN Rhino Skin",INDEX('02_Daily_Master'!$AZ$2:$AZ$82,$B$4+1),0))</x:f>
        <x:v>0</x:v>
      </x:c>
      <x:c r="F15" s="1260" t="n">
        <x:v>0</x:v>
      </x:c>
      <x:c r="G15" s="1260" t="str">
        <x:v>AUS</x:v>
      </x:c>
      <x:c r="H15" s="1261" t="str">
        <x:v>Athena/Hesilicio/Rhino sind alternative Si-Pfade.</x:v>
      </x:c>
      <x:c r="J15" s="60" t="str">
        <x:v>Sensi CalMag Xtra</x:v>
      </x:c>
      <x:c r="K15" s="60" t="n">
        <x:f>INDEX('02_Daily_Master'!$BE$2:$BE$82,$B$4+1)</x:f>
        <x:v>0</x:v>
      </x:c>
      <x:c r="L15" s="60" t="n">
        <x:f>K15*$B$5</x:f>
        <x:v>0</x:v>
      </x:c>
      <x:c r="M15" s="60" t="str">
        <x:v>OWNED / CONDITIONAL</x:v>
      </x:c>
      <x:c r="N15" s="60" t="str">
        <x:v>Dose = CalMag Plan ml/L; default 0 until need is established.</x:v>
      </x:c>
    </x:row>
    <x:row r="16">
      <x:c r="A16" s="1162" t="str">
        <x:v>5</x:v>
      </x:c>
      <x:c r="B16" s="1200" t="str">
        <x:v>HESI Wurzel Complex / PowerZyme / SuperVit und - in Blüte - HESI Boost bzw. HESI PK nach Tagesplan einzeln zugeben.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  <x:c r="J16" s="60" t="str">
        <x:v>Revive</x:v>
      </x:c>
      <x:c r="K16" s="60" t="n">
        <x:f>INDEX('02_Daily_Master'!$BF$2:$BF$82,$B$4+1)</x:f>
        <x:v>0</x:v>
      </x:c>
      <x:c r="L16" s="60" t="n">
        <x:f>K16*$B$5</x:f>
        <x:v>0</x:v>
      </x:c>
      <x:c r="M16" s="60" t="str">
        <x:v>NOT OWNED</x:v>
      </x:c>
      <x:c r="N16" s="60" t="str">
        <x:v>Diagnostic-only; no purchase needed.</x:v>
      </x:c>
    </x:row>
    <x:row r="17">
      <x:c r="A17" s="1236" t="str">
        <x:v>6</x:v>
      </x:c>
      <x:c r="B17" s="1239" t="str">
        <x:v>EC messen; Basisstärke nicht blind erhöhen, wenn Drain-/Stress-Gates dagegen sprechen.</x:v>
      </x:c>
      <x:c r="D17" s="2064" t="str">
        <x:v>Propagation gate</x:v>
      </x:c>
      <x:c r="E17" s="2064"/>
      <x:c r="F17" s="2064"/>
      <x:c r="G17" s="2064"/>
      <x:c r="H17" s="2064" t="str">
        <x:v>Day-based plan is not authorization while Eazy Plug/Block propagation gate is unresolved.</x:v>
      </x:c>
      <x:c r="J17" s="60"/>
      <x:c r="K17" s="60"/>
      <x:c r="L17" s="60"/>
      <x:c r="M17" s="60"/>
      <x:c r="N17" s="60"/>
    </x:row>
    <x:row r="18">
      <x:c r="A18" s="1162" t="str">
        <x:v>7</x:v>
      </x:c>
      <x:c r="B18" s="1200" t="str">
        <x:v>5–10 min homogenisieren; finalen pH messen. 5.9 ist Arbeitssetpoint innerhalb 5.8–6.2.</x:v>
      </x:c>
      <x:c r="J18" s="1801" t="str">
        <x:v>Owned extra</x:v>
      </x:c>
      <x:c r="K18" s="1801" t="str">
        <x:v>Stock</x:v>
      </x:c>
      <x:c r="L18" s="1801" t="str">
        <x:v>Default</x:v>
      </x:c>
      <x:c r="M18" s="1801" t="str">
        <x:v>Repurchase</x:v>
      </x:c>
      <x:c r="N18" s="1801" t="str">
        <x:v>Rule</x:v>
      </x:c>
    </x:row>
    <x:row r="19" ht="26" customHeight="1">
      <x:c r="A19" s="1267" t="str">
        <x:v>8</x:v>
      </x:c>
      <x:c r="B19" s="1268" t="str">
        <x:v>Nur wenn final zu hoch: pH Down vorsichtig nach komplettem Mix. Kein pH-Ping-Pong mit Athena Balance.</x:v>
      </x:c>
      <x:c r="C19" s="14"/>
      <x:c r="D19" s="14"/>
      <x:c r="J19" s="60" t="str">
        <x:v>CarboLoad</x:v>
      </x:c>
      <x:c r="K19" s="60" t="str">
        <x:v>tiny remainder</x:v>
      </x:c>
      <x:c r="L19" s="60" t="str">
        <x:v>OFF</x:v>
      </x:c>
      <x:c r="M19" s="60" t="str">
        <x:v>NO</x:v>
      </x:c>
      <x:c r="N19" s="60" t="str">
        <x:v>Redundant carbohydrate path while HESI Boost is selected; reserve for future A/B.</x:v>
      </x:c>
    </x:row>
    <x:row r="20" ht="44" customHeight="1">
      <x:c r="A20" s="1196" t="str">
        <x:v>9</x:v>
      </x:c>
      <x:c r="B20" s="1198" t="str">
        <x:v>Voodoo Juice + Tarantula erst nach fertiger pH-Korrektur und starker Verdünnung als letzte biologische Zusätze zugeben.</x:v>
      </x:c>
      <x:c r="C20" s="62"/>
      <x:c r="D20" s="33"/>
      <x:c r="J20" s="60" t="str">
        <x:v>Athena Balance</x:v>
      </x:c>
      <x:c r="K20" s="60" t="str">
        <x:v>available</x:v>
      </x:c>
      <x:c r="L20" s="60" t="str">
        <x:v>CONDITIONAL</x:v>
      </x:c>
      <x:c r="M20" s="60" t="str">
        <x:v>NO</x:v>
      </x:c>
      <x:c r="N20" s="60" t="str">
        <x:v>Preferred silicon/pH buffer, but no universal ml/L schedule; titrate only after gate.</x:v>
      </x:c>
    </x:row>
    <x:row r="21" ht="44" customHeight="1">
      <x:c r="A21" s="1162" t="str">
        <x:v>10</x:v>
      </x:c>
      <x:c r="B21" s="1200" t="str">
        <x:v>CarboLoad und Tasty Terpenes sind im Reference-Preset AUS; nicht zum 'Aufbrauchen' zusätzlich in den Mix geben.</x:v>
      </x:c>
      <x:c r="C21" s="63"/>
      <x:c r="D21" s="35"/>
      <x:c r="J21" s="60" t="str">
        <x:v>HESI Boost</x:v>
      </x:c>
      <x:c r="K21" s="60" t="str">
        <x:v>available</x:v>
      </x:c>
      <x:c r="L21" s="60" t="str">
        <x:v>ACTIVE</x:v>
      </x:c>
      <x:c r="M21" s="60" t="str">
        <x:v>NO</x:v>
      </x:c>
      <x:c r="N21" s="60" t="str">
        <x:v>Preferred bloom biostim/carbo path in current inventory preset.</x:v>
      </x:c>
    </x:row>
    <x:row r="22" ht="44" customHeight="1">
      <x:c r="A22" s="1164" t="str">
        <x:v>11</x:v>
      </x:c>
      <x:c r="B22" s="1203" t="str">
        <x:v>Nie Konzentrate direkt miteinander mischen; jede Komponente einzeln ins Wasser.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24:H24"/>
    <x:mergeCell ref="A1:H1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current-label projection on actual feed events; uploaded 2017 Coco chart says 1–2×/week. UKD follows current HESI page, not the older cadence.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Quelle konfliktbehaftet: HESI Coco Schema 2017 = 1–2×/Woche; aktuelle Produktseite = durchgängige Anwendung.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ca. 1×/Woche als bewusste UKD-Konservativ-Adaption; Hersteller aktuell: regelmäßig/kontinuierlich in der Blüte.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UKD-Kadenz ist absichtlich seltener als aktuelles Hersteller-'regelmäßig/kontinuierlich'.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0.25–0.50 ml/L BT29–42 als konservativer UKD-Korridor; Daily Master zeigt Konzentration an jedem eligible feed day, NICHT 'Wochenfeed'.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Hersteller: ab zweiter Hälfte schrittweise erhöhen; UKD bleibt deutlich unter Maximaldosis.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  <x:row r="15">
      <x:c r="A15" s="1789" t="str">
        <x:v>v7 HYBRID COVERAGE</x:v>
      </x:c>
      <x:c r="B15" s="1789"/>
      <x:c r="C15" s="1789"/>
      <x:c r="D15" s="1789"/>
      <x:c r="E15" s="1789"/>
      <x:c r="F15" s="1789"/>
      <x:c r="G15" s="1789"/>
      <x:c r="H15" s="1789"/>
    </x:row>
    <x:row r="16">
      <x:c r="A16" s="60" t="str">
        <x:v>HESI Core completeness</x:v>
      </x:c>
      <x:c r="B16" s="60" t="str">
        <x:v>Wurzel Complex</x:v>
      </x:c>
      <x:c r="C16" s="60" t="str">
        <x:v>2.5 ml/L frequent-use UKD path early</x:v>
      </x:c>
      <x:c r="D16" s="60" t="str">
        <x:v>Manufacturer 5 ml/L; half for long/frequent use</x:v>
      </x:c>
      <x:c r="E16" s="60" t="str">
        <x:v>Visible in Daily/Mix</x:v>
      </x:c>
      <x:c r="F16" s="60" t="str">
        <x:v>ACTIVE EARLY</x:v>
      </x:c>
      <x:c r="G16" s="60" t="str">
        <x:v>https://hesi.nl/de/Wurzel-Complex</x:v>
      </x:c>
      <x:c r="H16" s="60" t="str">
        <x:v>Actual irrigation still gates application</x:v>
      </x:c>
    </x:row>
    <x:row r="17">
      <x:c r="A17" s="60" t="str">
        <x:v>HESI Core completeness</x:v>
      </x:c>
      <x:c r="B17" s="60" t="str">
        <x:v>SuperVit</x:v>
      </x:c>
      <x:c r="C17" s="60" t="str">
        <x:v>0.015 ml/L visible at watering</x:v>
      </x:c>
      <x:c r="D17" s="60" t="str">
        <x:v>Manufacturer: every watering/spraying; 1 ml/65 L</x:v>
      </x:c>
      <x:c r="E17" s="60" t="str">
        <x:v>Visible from day 0</x:v>
      </x:c>
      <x:c r="F17" s="60" t="str">
        <x:v>ACTIVE</x:v>
      </x:c>
      <x:c r="G17" s="60" t="str">
        <x:v>https://hesi.nl/de/SUPERVIT</x:v>
      </x:c>
      <x:c r="H17" s="60" t="str">
        <x:v>Not a command to water</x:v>
      </x:c>
    </x:row>
    <x:row r="18">
      <x:c r="A18" s="60" t="str">
        <x:v>HESI Core completeness</x:v>
      </x:c>
      <x:c r="B18" s="60" t="str">
        <x:v>PowerZyme</x:v>
      </x:c>
      <x:c r="C18" s="60" t="str">
        <x:v>2 ml/L from nutrient start unless Sensizym alternative</x:v>
      </x:c>
      <x:c r="D18" s="60" t="str">
        <x:v>Manufacturer continuous life-cycle use</x:v>
      </x:c>
      <x:c r="E18" s="60" t="str">
        <x:v>Visible in Daily/Mix</x:v>
      </x:c>
      <x:c r="F18" s="60" t="str">
        <x:v>ACTIVE</x:v>
      </x:c>
      <x:c r="G18" s="60" t="str">
        <x:v>https://hesi.nl/de/PowerZyme</x:v>
      </x:c>
      <x:c r="H18" s="60" t="str">
        <x:v>Never stack with Sensizym</x:v>
      </x:c>
    </x:row>
    <x:row r="19">
      <x:c r="A19" s="60" t="str">
        <x:v>AN complement</x:v>
      </x:c>
      <x:c r="B19" s="60" t="str">
        <x:v>Voodoo Juice</x:v>
      </x:c>
      <x:c r="C19" s="60" t="str">
        <x:v>2 ml/L defined fresh windows</x:v>
      </x:c>
      <x:c r="D19" s="60" t="str">
        <x:v>Cross-brand compatibility explicitly stated by manufacturer</x:v>
      </x:c>
      <x:c r="E19" s="60" t="str">
        <x:v>Default AN module</x:v>
      </x:c>
      <x:c r="F19" s="60" t="str">
        <x:v>CORE</x:v>
      </x:c>
      <x:c r="G19" s="60" t="str">
        <x:v>https://www.advancednutrients.com/de/products/voodoo-juice/</x:v>
      </x:c>
      <x:c r="H19" s="60" t="str">
        <x:v>Compatibility != independent efficacy</x:v>
      </x:c>
    </x:row>
    <x:row r="20">
      <x:c r="A20" s="60" t="str">
        <x:v>Alternative paths</x:v>
      </x:c>
      <x:c r="B20" s="60" t="str">
        <x:v>Carbo / enzyme / Si / PK</x:v>
      </x:c>
      <x:c r="C20" s="60" t="str">
        <x:v>Bud Candy / Sensizym / Rhino Skin / AN PK sequence</x:v>
      </x:c>
      <x:c r="D20" s="60" t="str">
        <x:v>One function path at a time</x:v>
      </x:c>
      <x:c r="E20" s="60" t="str">
        <x:v>Selectable in Run Config</x:v>
      </x:c>
      <x:c r="F20" s="60" t="str">
        <x:v>ALT</x:v>
      </x:c>
      <x:c r="G20" s="60" t="str">
        <x:v>27_HESI_AN_Hybrid</x:v>
      </x:c>
      <x:c r="H20" s="60" t="str">
        <x:v>No silent stacking</x:v>
      </x:c>
    </x:row>
    <x:row r="21">
      <x:c r="A21" s="60" t="str">
        <x:v>Experimental</x:v>
      </x:c>
      <x:c r="B21" s="60" t="str">
        <x:v>B-52 / Bud Factor X / Tasty Terpenes</x:v>
      </x:c>
      <x:c r="C21" s="60" t="str">
        <x:v>Manufacturer-compatible but overlapping/uncertain incremental value</x:v>
      </x:c>
      <x:c r="D21" s="60" t="str">
        <x:v>Default OFF</x:v>
      </x:c>
      <x:c r="E21" s="60" t="str">
        <x:v>A/B only</x:v>
      </x:c>
      <x:c r="F21" s="60" t="str">
        <x:v>EXPERIMENTAL</x:v>
      </x:c>
      <x:c r="G21" s="60" t="str">
        <x:v>27_HESI_AN_Hybrid</x:v>
      </x:c>
      <x:c r="H21" s="60" t="str">
        <x:v>Log reason + outcome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2c71d454764ac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  <x:c r="R5" t="str">
        <x:v>v7 HYBRID MODULES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  <x:c r="R6" t="str">
        <x:v>Bud Candy vs HESI Boost: alternative carbohydrate/biostim path; do not stack by default.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  <x:c r="R7" t="str">
        <x:v>B-52: cross-brand-compatible, but overlaps HESI Root Complex/SuperVit; A/B only.</x:v>
      </x:c>
    </x:row>
    <x:row r="8">
      <x:c r="R8" t="str">
        <x:v>Bud Factor X: cross-brand-compatible; independent hybrid efficacy not established; experimental.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  <x:c r="R9" t="str">
        <x:v>AN PK sequence: Bud Ignitor -&gt; Big Bud -&gt; Overdrive replaces HESI PK13/14 path.</x:v>
      </x:c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  <x:c r="R10" t="str">
        <x:v>Sensizym replaces PowerZyme; Rhino Skin replaces Athena/Hesilicio Si path.</x:v>
      </x:c>
    </x:row>
    <x:row r="11">
      <x:c r="R11" t="str">
        <x:v>Tasty Terpenes: current successor name for Nirvana per AN; K/kelp overlap, experimental only.</x:v>
      </x:c>
    </x:row>
    <x:row r="12">
      <x:c r="R12" t="str">
        <x:v>Sensi CalMag Xtra/Revive: conditional plant-aid modules, never automatic calendar boosters.</x:v>
      </x:c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Sämling bis &lt;4 kräftige Nodes</x:v>
      </x:c>
      <x:c r="B2" s="62" t="str">
        <x:v>Plug/Block bzw. noch keine stabile Finaltopf-Etablierung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Nach Finaltopf-Recovery</x:v>
      </x:c>
      <x:c r="B3" s="63" t="str">
        <x:v>4–5 kräftige Nodes + Wachstum nach Umtopfen wieder klar aktiv</x:v>
      </x:c>
      <x:c r="C3" s="63" t="str">
        <x:v>Stamm ankern, graduell zum Rand biegen / leaf-tuck</x:v>
      </x:c>
      <x:c r="D3" s="63" t="str">
        <x:v>Apikaldominanz sanft brechen</x:v>
      </x:c>
      <x:c r="E3" s="63" t="str">
        <x:v>kein harter Knick; kein Default-Topping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Vor / frühe Preflower</x:v>
      </x:c>
      <x:c r="B4" s="63" t="str">
        <x:v>kräftige Seitenäste, noch keine deutliche Blütenbildung</x:v>
      </x:c>
      <x:c r="C4" s="63" t="str">
        <x:v>radial verteilen, feinjustieren</x:v>
      </x:c>
      <x:c r="D4" s="63" t="str">
        <x:v>gleichmäßig exponierte Tops</x:v>
      </x:c>
      <x:c r="E4" s="63" t="str">
        <x:v>keine wiederholten starken Eingriffe</x:v>
      </x:c>
      <x:c r="F4" s="63" t="str">
        <x:v>Höhenstreuung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Stretch / Blütenansatz</x:v>
      </x:c>
      <x:c r="B5" s="63" t="str">
        <x:v>FlowerInitiation bestätigt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Blütenaufbau</x:v>
      </x:c>
      <x:c r="B6" s="64" t="str">
        <x:v>Stretch weitgehend beendet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rF innen/außen</x:v>
      </x:c>
      <x:c r="G6" s="64" t="str">
        <x:v>Schimmel-/Stressrisiko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46255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46256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46257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46258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46259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46260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46261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46262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46263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46264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46265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46266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46267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46268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46269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46270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46271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46272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46273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46274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46275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46276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46277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46278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46279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46280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46281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46282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46283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46284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46285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46286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46287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46288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46289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46290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46291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46292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46293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46294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46295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46296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46297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46298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46299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46300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46301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46302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46303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46304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46305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46306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46307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46308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46309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46310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46311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46312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46313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46314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46315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46316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46317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46318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46319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46320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46321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46322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46323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46324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46325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46326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46327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46328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46329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46330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46331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46332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46333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46334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46335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1e3ecde7636415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Double Grape 70–80 d breeder watch-window + 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Readiness-Watch, kein Trigger; bei Unreife Run verlängern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0eda82e41640c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  <x:row r="31">
      <x:c r="A31" t="str">
        <x:v>v7 hybrid</x:v>
      </x:c>
      <x:c r="B31" t="str">
        <x:v>HESI Boost</x:v>
      </x:c>
      <x:c r="C31" t="str">
        <x:v>AN Bud Candy</x:v>
      </x:c>
      <x:c r="D31" t="str">
        <x:v>NO Reference</x:v>
      </x:c>
      <x:c r="E31" t="str">
        <x:v>Same functional carbohydrate/biostim path; choose one.</x:v>
      </x:c>
      <x:c r="F31" t="str">
        <x:v>27_HESI_AN_Hybrid</x:v>
      </x:c>
    </x:row>
    <x:row r="32">
      <x:c r="A32" t="str">
        <x:v>v7 hybrid</x:v>
      </x:c>
      <x:c r="B32" t="str">
        <x:v>HESI PowerZyme</x:v>
      </x:c>
      <x:c r="C32" t="str">
        <x:v>AN Sensizym</x:v>
      </x:c>
      <x:c r="D32" t="str">
        <x:v>NO Reference</x:v>
      </x:c>
      <x:c r="E32" t="str">
        <x:v>Enzyme/root-zone conditioner duplication.</x:v>
      </x:c>
      <x:c r="F32" t="str">
        <x:v>27_HESI_AN_Hybrid</x:v>
      </x:c>
    </x:row>
    <x:row r="33">
      <x:c r="A33" t="str">
        <x:v>v7 hybrid</x:v>
      </x:c>
      <x:c r="B33" t="str">
        <x:v>Athena Balance/Hesilicio</x:v>
      </x:c>
      <x:c r="C33" t="str">
        <x:v>AN Rhino Skin</x:v>
      </x:c>
      <x:c r="D33" t="str">
        <x:v>NO Reference</x:v>
      </x:c>
      <x:c r="E33" t="str">
        <x:v>Multiple silica/pH-conditioning paths.</x:v>
      </x:c>
      <x:c r="F33" t="str">
        <x:v>27_HESI_AN_Hybrid</x:v>
      </x:c>
    </x:row>
    <x:row r="34">
      <x:c r="A34" t="str">
        <x:v>v7 hybrid</x:v>
      </x:c>
      <x:c r="B34" t="str">
        <x:v>HESI PK13/14</x:v>
      </x:c>
      <x:c r="C34" t="str">
        <x:v>Bud Ignitor/Big Bud/Overdrive</x:v>
      </x:c>
      <x:c r="D34" t="str">
        <x:v>NO Reference</x:v>
      </x:c>
      <x:c r="E34" t="str">
        <x:v>PK stacking increases confounding and K/P load.</x:v>
      </x:c>
      <x:c r="F34" t="str">
        <x:v>27_HESI_AN_Hybrid</x:v>
      </x:c>
    </x:row>
    <x:row r="35">
      <x:c r="A35" t="str">
        <x:v>v7 hybrid</x:v>
      </x:c>
      <x:c r="B35" t="str">
        <x:v>Voodoo</x:v>
      </x:c>
      <x:c r="C35" t="str">
        <x:v>Piranha+Tarantula</x:v>
      </x:c>
      <x:c r="D35" t="str">
        <x:v>REVIEW</x:v>
      </x:c>
      <x:c r="E35" t="str">
        <x:v>Manufacturer supports trio; UKD default uses Voodoo only to reduce variables.</x:v>
      </x:c>
      <x:c r="F35" t="str">
        <x:v>27_HESI_AN_Hybrid</x:v>
      </x:c>
    </x:row>
    <x:row r="36">
      <x:c r="A36" t="str">
        <x:v>v7 hybrid</x:v>
      </x:c>
      <x:c r="B36" t="str">
        <x:v>Wurzel Complex/SuperVit</x:v>
      </x:c>
      <x:c r="C36" t="str">
        <x:v>B-52</x:v>
      </x:c>
      <x:c r="D36" t="str">
        <x:v>REVIEW</x:v>
      </x:c>
      <x:c r="E36" t="str">
        <x:v>Biostimulant/vitamin/kelp overlap; incremental value unclear.</x:v>
      </x:c>
      <x:c r="F36" t="str">
        <x:v>27_HESI_AN_Hybrid</x:v>
      </x:c>
    </x:row>
    <x:row r="37">
      <x:c r="A37" t="str">
        <x:v>v7 hybrid</x:v>
      </x:c>
      <x:c r="B37" t="str">
        <x:v>HESI stack</x:v>
      </x:c>
      <x:c r="C37" t="str">
        <x:v>Full Grand Master</x:v>
      </x:c>
      <x:c r="D37" t="str">
        <x:v>NO Reference</x:v>
      </x:c>
      <x:c r="E37" t="str">
        <x:v>Too many simultaneous overlapping modules; not diagnosable.</x:v>
      </x:c>
      <x:c r="F37" t="str">
        <x:v>27_HESI_AN_Hybrid</x:v>
      </x:c>
    </x:row>
    <x:row r="38">
      <x:c r="A38" t="str">
        <x:v>v7 hybrid</x:v>
      </x:c>
      <x:c r="B38" t="str">
        <x:v>HESI Boost/B-52</x:v>
      </x:c>
      <x:c r="C38" t="str">
        <x:v>Tasty Terpenes</x:v>
      </x:c>
      <x:c r="D38" t="str">
        <x:v>REVIEW</x:v>
      </x:c>
      <x:c r="E38" t="str">
        <x:v>Kelp/K/biostim overlap; experimental only.</x:v>
      </x:c>
      <x:c r="F38" t="str">
        <x:v>27_HESI_AN_Hybrid</x:v>
      </x:c>
    </x:row>
    <x:row r="39">
      <x:c r="A39" t="str">
        <x:v>v7 hybrid</x:v>
      </x:c>
      <x:c r="B39" t="str">
        <x:v>HESI/AN CalMag source</x:v>
      </x:c>
      <x:c r="C39" t="str">
        <x:v>Revive</x:v>
      </x:c>
      <x:c r="D39" t="str">
        <x:v>DIAGNOSTIC ONLY</x:v>
      </x:c>
      <x:c r="E39" t="str">
        <x:v>Revive adds Ca/Mg/Fe/N and can confound normal feeding.</x:v>
      </x:c>
      <x:c r="F39" t="str">
        <x:v>27_HESI_AN_Hybrid</x:v>
      </x:c>
    </x:row>
    <x:row r="40">
      <x:c r="A40" t="str">
        <x:v>v7 hybrid</x:v>
      </x:c>
      <x:c r="B40" t="str">
        <x:v>Any preset</x:v>
      </x:c>
      <x:c r="C40" t="str">
        <x:v>Unlisted product</x:v>
      </x:c>
      <x:c r="D40" t="str">
        <x:v>BLOCK</x:v>
      </x:c>
      <x:c r="E40" t="str">
        <x:v>No silent product. Must have module class + source + coverage.</x:v>
      </x:c>
      <x:c r="F40" t="str">
        <x:v>UKD v7</x:v>
      </x:c>
    </x:row>
    <x:row r="41">
      <x:c r="A41" t="str">
        <x:v>v7 hybrid</x:v>
      </x:c>
      <x:c r="B41" t="str">
        <x:v>Two new boosters same event</x:v>
      </x:c>
      <x:c r="C41" t="str">
        <x:v>Any</x:v>
      </x:c>
      <x:c r="D41" t="str">
        <x:v>NO Reference</x:v>
      </x:c>
      <x:c r="E41" t="str">
        <x:v>Preserve attribution and failure diagnosis.</x:v>
      </x:c>
      <x:c r="F41" t="str">
        <x:v>UKD safety</x:v>
      </x:c>
    </x:row>
    <x:row r="42">
      <x:c r="A42" t="str">
        <x:v>v8 inventory</x:v>
      </x:c>
      <x:c r="B42" t="str">
        <x:v>HESI Boost</x:v>
      </x:c>
      <x:c r="C42" t="str">
        <x:v>CarboLoad</x:v>
      </x:c>
      <x:c r="D42" t="str">
        <x:v>NO Reference</x:v>
      </x:c>
      <x:c r="E42" t="str">
        <x:v>Both are carbohydrate/biostim paths; current preset prefers owned HESI Boost. Tiny CarboLoad remainder is not a reason to stack.</x:v>
      </x:c>
      <x:c r="F42" t="str">
        <x:v>2026-08-10 inventory</x:v>
      </x:c>
    </x:row>
    <x:row r="43">
      <x:c r="A43" t="str">
        <x:v>v8 inventory</x:v>
      </x:c>
      <x:c r="B43" t="str">
        <x:v>HESI Boost + HESI PK</x:v>
      </x:c>
      <x:c r="C43" t="str">
        <x:v>Tasty Terpenes</x:v>
      </x:c>
      <x:c r="D43" t="str">
        <x:v>A/B ONLY</x:v>
      </x:c>
      <x:c r="E43" t="str">
        <x:v>No hard incompatibility established, but Tasty adds K/kelp/alfalfa and another variable; keep OFF in reference run.</x:v>
      </x:c>
      <x:c r="F43" t="str">
        <x:v>AN/HESI manufacturer</x:v>
      </x:c>
    </x:row>
    <x:row r="44">
      <x:c r="A44" t="str">
        <x:v>v8 inventory</x:v>
      </x:c>
      <x:c r="B44" t="str">
        <x:v>Voodoo Juice</x:v>
      </x:c>
      <x:c r="C44" t="str">
        <x:v>Tarantula</x:v>
      </x:c>
      <x:c r="D44" t="str">
        <x:v>YES / SELECTED</x:v>
      </x:c>
      <x:c r="E44" t="str">
        <x:v>AN explicitly recommends combining Tarantula with Voodoo; both competitor-base compatible.</x:v>
      </x:c>
      <x:c r="F44" t="str">
        <x:v>AN manufacturer</x:v>
      </x:c>
    </x:row>
    <x:row r="45">
      <x:c r="A45" t="str">
        <x:v>v8 inventory</x:v>
      </x:c>
      <x:c r="B45" t="str">
        <x:v>Athena Balance</x:v>
      </x:c>
      <x:c r="C45" t="str">
        <x:v>Rhino Skin/Hesilicio</x:v>
      </x:c>
      <x:c r="D45" t="str">
        <x:v>ONE SI PATH</x:v>
      </x:c>
      <x:c r="E45" t="str">
        <x:v>Athena is owned/preferred; alternatives not purchased.</x:v>
      </x:c>
      <x:c r="F45" t="str">
        <x:v>Athena/HESI/AN manufacturer</x:v>
      </x:c>
    </x:row>
    <x:row r="46">
      <x:c r="A46" t="str">
        <x:v>v8 inventory</x:v>
      </x:c>
      <x:c r="B46" t="str">
        <x:v>Sensi CalMag Xtra</x:v>
      </x:c>
      <x:c r="C46" t="str">
        <x:v>automatic calendar dose</x:v>
      </x:c>
      <x:c r="D46" t="str">
        <x:v>NO</x:v>
      </x:c>
      <x:c r="E46" t="str">
        <x:v>Inventory availability does not establish Ca/Mg need.</x:v>
      </x:c>
      <x:c r="F46" t="str">
        <x:v>AN + water gate</x:v>
      </x:c>
    </x:row>
    <x:row r="47">
      <x:c r="A47" t="str">
        <x:v>v8 inventory</x:v>
      </x:c>
      <x:c r="B47" t="str">
        <x:v>HESI core</x:v>
      </x:c>
      <x:c r="C47" t="str">
        <x:v>AN full Grand Master purchases</x:v>
      </x:c>
      <x:c r="D47" t="str">
        <x:v>NO</x:v>
      </x:c>
      <x:c r="E47" t="str">
        <x:v>Do not buy products merely to fill the GM chart; current selected complement set is sufficient for the experiment.</x:v>
      </x:c>
      <x:c r="F47" t="str">
        <x:v>UKD v8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  <x:row r="22">
      <x:c r="A22" t="str">
        <x:v>v7</x:v>
      </x:c>
      <x:c r="B22" t="str">
        <x:v>Cross-brand compatibility</x:v>
      </x:c>
      <x:c r="C22" t="str">
        <x:v>Advanced Nutrients product pages explicitly state compatibility with competitors' base nutrients/supplements for many selected additives.</x:v>
      </x:c>
      <x:c r="D22" t="str">
        <x:v>Manufacturer compatibility supports technical mix eligibility, not efficacy or optimum dose in HESI.</x:v>
      </x:c>
      <x:c r="E22" t="str">
        <x:v>A-MFR</x:v>
      </x:c>
      <x:c r="F22" t="str">
        <x:v>Use label dose only as manufacturer reference; UKD module gates remain.</x:v>
      </x:c>
      <x:c r="G22" t="str">
        <x:v>https://www.advancednutrients.com/de/products/</x:v>
      </x:c>
      <x:c r="H22" t="str">
        <x:v>2026-08-09</x:v>
      </x:c>
    </x:row>
    <x:row r="23">
      <x:c r="A23" t="str">
        <x:v>v7</x:v>
      </x:c>
      <x:c r="B23" t="str">
        <x:v>HESI support products</x:v>
      </x:c>
      <x:c r="C23" t="str">
        <x:v>HESI states Root Complex can be combined with fertilizers/boosters; PowerZyme is continuous-use; SuperVit at every watering/spraying.</x:v>
      </x:c>
      <x:c r="D23" t="str">
        <x:v>Supports making these HESI support products visible in the core plan.</x:v>
      </x:c>
      <x:c r="E23" t="str">
        <x:v>A-MFR</x:v>
      </x:c>
      <x:c r="F23" t="str">
        <x:v>Daily visibility corrected.</x:v>
      </x:c>
      <x:c r="G23" t="str">
        <x:v>https://hesi.nl/de/StarterBox</x:v>
      </x:c>
      <x:c r="H23" t="str">
        <x:v>2026-08-09</x:v>
      </x:c>
    </x:row>
    <x:row r="24">
      <x:c r="A24" t="str">
        <x:v>v7</x:v>
      </x:c>
      <x:c r="B24" t="str">
        <x:v>Functional overlap</x:v>
      </x:c>
      <x:c r="C24" t="str">
        <x:v>Bud Candy↔Boost, Sensizym↔PowerZyme, Rhino↔Si path, AN PK↔HESI PK create redundant functional pathways.</x:v>
      </x:c>
      <x:c r="D24" t="str">
        <x:v>Avoid stack inflation and attribution problems.</x:v>
      </x:c>
      <x:c r="E24" t="str">
        <x:v>UKD inference from A-MFR</x:v>
      </x:c>
      <x:c r="F24" t="str">
        <x:v>Treat as mutually exclusive paths.</x:v>
      </x:c>
      <x:c r="G24" t="str">
        <x:v>https://www.advancednutrients.com/de/products/</x:v>
      </x:c>
      <x:c r="H24" t="str">
        <x:v>2026-08-09</x:v>
      </x:c>
    </x:row>
    <x:row r="25">
      <x:c r="A25" t="str">
        <x:v>v7</x:v>
      </x:c>
      <x:c r="B25" t="str">
        <x:v>B-52 incremental value</x:v>
      </x:c>
      <x:c r="C25" t="str">
        <x:v>B-52 includes B vitamins, kelp and humic acid; HESI Root/SuperVit already supply vitamins/biostimulant components.</x:v>
      </x:c>
      <x:c r="D25" t="str">
        <x:v>Incremental value in this exact hybrid is not established.</x:v>
      </x:c>
      <x:c r="E25" t="str">
        <x:v>UKD inference from A-MFR</x:v>
      </x:c>
      <x:c r="F25" t="str">
        <x:v>A/B only, default OFF.</x:v>
      </x:c>
      <x:c r="G25" t="str">
        <x:v>https://www.advancednutrients.com/de/products/b-52/</x:v>
      </x:c>
      <x:c r="H25" t="str">
        <x:v>2026-08-09</x:v>
      </x:c>
    </x:row>
    <x:row r="26">
      <x:c r="A26" t="str">
        <x:v>v7</x:v>
      </x:c>
      <x:c r="B26" t="str">
        <x:v>Finish conflict</x:v>
      </x:c>
      <x:c r="C26" t="str">
        <x:v>AN Flawless Finish has a flush label; HESI PK label says pure water final week. Independent flushing benefits remain uncertain/cultivar-dependent.</x:v>
      </x:c>
      <x:c r="D26" t="str">
        <x:v>No single universal finish claim.</x:v>
      </x:c>
      <x:c r="E26" t="str">
        <x:v>A-MFR + primary literature</x:v>
      </x:c>
      <x:c r="F26" t="str">
        <x:v>Keep Flawless Finish non-reference.</x:v>
      </x:c>
      <x:c r="G26" t="str">
        <x:v>https://www.advancednutrients.com/de/products/flawless-finish/</x:v>
      </x:c>
      <x:c r="H26" t="str">
        <x:v>2026-08-09</x:v>
      </x:c>
    </x:row>
    <x:row r="27">
      <x:c r="A27" t="str">
        <x:v>v7</x:v>
      </x:c>
      <x:c r="B27" t="str">
        <x:v>Community reports</x:v>
      </x:c>
      <x:c r="C27" t="str">
        <x:v>Hybrid HESI+AN use is reported by growers, but typical reports change multiple variables at once.</x:v>
      </x:c>
      <x:c r="D27" t="str">
        <x:v>Useful feasibility/failure-mode signal only; not causal evidence.</x:v>
      </x:c>
      <x:c r="E27" t="str">
        <x:v>C</x:v>
      </x:c>
      <x:c r="F27" t="str">
        <x:v>Do not derive dose/benefit claims from anecdotes.</x:v>
      </x:c>
      <x:c r="G27" t="str">
        <x:v>community evidence ledger</x:v>
      </x:c>
      <x:c r="H27" t="str">
        <x:v>2026-08-09</x:v>
      </x:c>
    </x:row>
    <x:row r="28">
      <x:c r="A28" t="str">
        <x:v>v8</x:v>
      </x:c>
      <x:c r="B28" t="str">
        <x:v>Inventory-driven selection</x:v>
      </x:c>
      <x:c r="C28" t="str">
        <x:v>User-owned HESI core, Athena Balance, Voodoo, Tarantula, Sensi CalMag Xtra, Tasty Terpenes and small CarboLoad remainder are treated as setup facts.</x:v>
      </x:c>
      <x:c r="D28" t="str">
        <x:v>Stock availability may select among equivalent/optional paths but never creates scientific efficacy.</x:v>
      </x:c>
      <x:c r="E28" t="str">
        <x:v>Setup fact</x:v>
      </x:c>
      <x:c r="F28" t="str">
        <x:v>Prefer owned compatible path when evidence/safety state is equal.</x:v>
      </x:c>
      <x:c r="G28" t="str">
        <x:v>user inventory + primary manufacturer</x:v>
      </x:c>
      <x:c r="H28" t="str">
        <x:v>2026-08-10</x:v>
      </x:c>
    </x:row>
    <x:row r="29">
      <x:c r="A29" t="str">
        <x:v>v8</x:v>
      </x:c>
      <x:c r="B29" t="str">
        <x:v>Voodoo + Tarantula</x:v>
      </x:c>
      <x:c r="C29" t="str">
        <x:v>AN explicitly states Tarantula is compatible with competitors and recommends combining it with Voodoo Juice.</x:v>
      </x:c>
      <x:c r="D29" t="str">
        <x:v>Supports selected two-product microbial module.</x:v>
      </x:c>
      <x:c r="E29" t="str">
        <x:v>A-MFR</x:v>
      </x:c>
      <x:c r="F29" t="str">
        <x:v>Use conservative defined fresh windows; incremental benefit vs Voodoo alone remains manufacturer claim.</x:v>
      </x:c>
      <x:c r="G29" t="str">
        <x:v>https://www.advancednutrients.com/de/products/tarantula/</x:v>
      </x:c>
      <x:c r="H29" t="str">
        <x:v>2026-08-10</x:v>
      </x:c>
    </x:row>
    <x:row r="30">
      <x:c r="A30" t="str">
        <x:v>v8</x:v>
      </x:c>
      <x:c r="B30" t="str">
        <x:v>HESI Boost over CarboLoad</x:v>
      </x:c>
      <x:c r="C30" t="str">
        <x:v>HESI Boost contains natural sugars/extracts and is designed for regular bloom use; CarboLoad is a carbohydrate/microbe-feed product.</x:v>
      </x:c>
      <x:c r="D30" t="str">
        <x:v>Functional redundancy makes CarboLoad purchase unnecessary for reference preset.</x:v>
      </x:c>
      <x:c r="E30" t="str">
        <x:v>A-MFR + inference</x:v>
      </x:c>
      <x:c r="F30" t="str">
        <x:v>Do not repurchase now; future A/B only.</x:v>
      </x:c>
      <x:c r="G30" t="str">
        <x:v>https://hesi.nl/de/Boost | https://www.advancednutrients.com/de/secret-menu/carboload/</x:v>
      </x:c>
      <x:c r="H30" t="str">
        <x:v>2026-08-10</x:v>
      </x:c>
    </x:row>
    <x:row r="31">
      <x:c r="A31" t="str">
        <x:v>v8</x:v>
      </x:c>
      <x:c r="B31" t="str">
        <x:v>Athena Balance preference</x:v>
      </x:c>
      <x:c r="C31" t="str">
        <x:v>Athena Balance is owned and selected as water conditioner/Si path; manufacturer gives no universal rate and emphasizes RO/buffering use.</x:v>
      </x:c>
      <x:c r="D31" t="str">
        <x:v>Availability selects the Si product, not the dose.</x:v>
      </x:c>
      <x:c r="E31" t="str">
        <x:v>A-MFR</x:v>
      </x:c>
      <x:c r="F31" t="str">
        <x:v>Keep dose 0 until baseline/water/pH gate supports titration.</x:v>
      </x:c>
      <x:c r="G31" t="str">
        <x:v>https://store.athenaag.com/balance/</x:v>
      </x:c>
      <x:c r="H31" t="str">
        <x:v>2026-08-10</x:v>
      </x:c>
    </x:row>
    <x:row r="32">
      <x:c r="A32" t="str">
        <x:v>v8</x:v>
      </x:c>
      <x:c r="B32" t="str">
        <x:v>Sensi CalMag Xtra</x:v>
      </x:c>
      <x:c r="C32" t="str">
        <x:v>Owned product is cross-brand compatible; manufacturer uses 2 ml/L to address deficiency or regular program.</x:v>
      </x:c>
      <x:c r="D32" t="str">
        <x:v>UKD does not auto-apply label rate merely because bottle exists.</x:v>
      </x:c>
      <x:c r="E32" t="str">
        <x:v>A-MFR</x:v>
      </x:c>
      <x:c r="F32" t="str">
        <x:v>Dose = explicit CalMag Plan; default 0 until need established.</x:v>
      </x:c>
      <x:c r="G32" t="str">
        <x:v>https://www.advancednutrients.com/de/products/sensi-cal-mag-xtra/</x:v>
      </x:c>
      <x:c r="H32" t="str">
        <x:v>2026-08-10</x:v>
      </x:c>
    </x:row>
    <x:row r="33">
      <x:c r="A33" t="str">
        <x:v>v8</x:v>
      </x:c>
      <x:c r="B33" t="str">
        <x:v>Tasty Terpenes</x:v>
      </x:c>
      <x:c r="C33" t="str">
        <x:v>Owned; current manufacturer states it was formerly Nirvana and is cross-brand compatible.</x:v>
      </x:c>
      <x:c r="D33" t="str">
        <x:v>Technical compatibility does not resolve incremental value/overlap with HESI Boost+PK.</x:v>
      </x:c>
      <x:c r="E33" t="str">
        <x:v>A-MFR</x:v>
      </x:c>
      <x:c r="F33" t="str">
        <x:v>OFF by default; future A/B only.</x:v>
      </x:c>
      <x:c r="G33" t="str">
        <x:v>https://www.advancednutrients.com/de/products/tasty-terpenes/</x:v>
      </x:c>
      <x:c r="H33" t="str">
        <x:v>2026-08-10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  <x:row r="100">
      <x:c r="A100" s="60" t="str">
        <x:v>A-MFR</x:v>
      </x:c>
      <x:c r="B100" s="60" t="str">
        <x:v>HESI</x:v>
      </x:c>
      <x:c r="C100" s="60" t="str">
        <x:v>StarterBox Coco</x:v>
      </x:c>
      <x:c r="D100" s="60" t="str">
        <x:v>2026-08-09</x:v>
      </x:c>
      <x:c r="E100" s="60" t="str">
        <x:v>https://hesi.nl/de/StarterBox</x:v>
      </x:c>
      <x:c r="F100" s="60" t="str">
        <x:v>Coco box includes Root Complex, SuperVit, PowerZyme, TNT, HESI Coco, PK, Boost.</x:v>
      </x:c>
    </x:row>
    <x:row r="101">
      <x:c r="A101" s="60" t="str">
        <x:v>A-MFR</x:v>
      </x:c>
      <x:c r="B101" s="60" t="str">
        <x:v>HESI</x:v>
      </x:c>
      <x:c r="C101" s="60" t="str">
        <x:v>Wurzel Complex</x:v>
      </x:c>
      <x:c r="D101" s="60" t="str">
        <x:v>2026-08-09</x:v>
      </x:c>
      <x:c r="E101" s="60" t="str">
        <x:v>https://hesi.nl/de/Wurzel-Complex</x:v>
      </x:c>
      <x:c r="F101" s="60" t="str">
        <x:v>50 ml/10 L; half for frequent/long-term use; compatible with fertilizers/boosters.</x:v>
      </x:c>
    </x:row>
    <x:row r="102">
      <x:c r="A102" s="60" t="str">
        <x:v>A-MFR</x:v>
      </x:c>
      <x:c r="B102" s="60" t="str">
        <x:v>HESI</x:v>
      </x:c>
      <x:c r="C102" s="60" t="str">
        <x:v>PowerZyme</x:v>
      </x:c>
      <x:c r="D102" s="60" t="str">
        <x:v>2026-08-09</x:v>
      </x:c>
      <x:c r="E102" s="60" t="str">
        <x:v>https://hesi.nl/de/PowerZyme</x:v>
      </x:c>
      <x:c r="F102" s="60" t="str">
        <x:v>20 ml/10 L; continuous use through plant life-cycle.</x:v>
      </x:c>
    </x:row>
    <x:row r="103">
      <x:c r="A103" s="60" t="str">
        <x:v>A-MFR</x:v>
      </x:c>
      <x:c r="B103" s="60" t="str">
        <x:v>HESI</x:v>
      </x:c>
      <x:c r="C103" s="60" t="str">
        <x:v>SuperVit</x:v>
      </x:c>
      <x:c r="D103" s="60" t="str">
        <x:v>2026-08-09</x:v>
      </x:c>
      <x:c r="E103" s="60" t="str">
        <x:v>https://hesi.nl/de/SUPERVIT</x:v>
      </x:c>
      <x:c r="F103" s="60" t="str">
        <x:v>Every watering/spraying; 1 ml/65 L.</x:v>
      </x:c>
    </x:row>
    <x:row r="104">
      <x:c r="A104" s="60" t="str">
        <x:v>A-MFR</x:v>
      </x:c>
      <x:c r="B104" s="60" t="str">
        <x:v>HESI</x:v>
      </x:c>
      <x:c r="C104" s="60" t="str">
        <x:v>Boost</x:v>
      </x:c>
      <x:c r="D104" s="60" t="str">
        <x:v>2026-08-09</x:v>
      </x:c>
      <x:c r="E104" s="60" t="str">
        <x:v>https://hesi.nl/de/Boost</x:v>
      </x:c>
      <x:c r="F104" s="60" t="str">
        <x:v>20 ml/10 L regularly; sugars/extracts + PK 1-1.</x:v>
      </x:c>
    </x:row>
    <x:row r="105">
      <x:c r="A105" s="60" t="str">
        <x:v>A-MFR</x:v>
      </x:c>
      <x:c r="B105" s="60" t="str">
        <x:v>HESI</x:v>
      </x:c>
      <x:c r="C105" s="60" t="str">
        <x:v>PK 13/14</x:v>
      </x:c>
      <x:c r="D105" s="60" t="str">
        <x:v>2026-08-09</x:v>
      </x:c>
      <x:c r="E105" s="60" t="str">
        <x:v>https://hesi.nl/de/PK-13-14</x:v>
      </x:c>
      <x:c r="F105" s="60" t="str">
        <x:v>2.5-15 ml/10 L, gradual second half bloom; pure water final week.</x:v>
      </x:c>
    </x:row>
    <x:row r="106">
      <x:c r="A106" s="60" t="str">
        <x:v>A-MFR</x:v>
      </x:c>
      <x:c r="B106" s="60" t="str">
        <x:v>AN</x:v>
      </x:c>
      <x:c r="C106" s="60" t="str">
        <x:v>Voodoo Juice</x:v>
      </x:c>
      <x:c r="D106" s="60" t="str">
        <x:v>2026-08-09</x:v>
      </x:c>
      <x:c r="E106" s="60" t="str">
        <x:v>https://www.advancednutrients.com/de/products/voodoo-juice/</x:v>
      </x:c>
      <x:c r="F106" s="60" t="str">
        <x:v>2 ml/L schedule; explicit competitor-base compatibility.</x:v>
      </x:c>
    </x:row>
    <x:row r="107">
      <x:c r="A107" s="60" t="str">
        <x:v>A-MFR</x:v>
      </x:c>
      <x:c r="B107" s="60" t="str">
        <x:v>AN</x:v>
      </x:c>
      <x:c r="C107" s="60" t="str">
        <x:v>Piranha</x:v>
      </x:c>
      <x:c r="D107" s="60" t="str">
        <x:v>2026-08-09</x:v>
      </x:c>
      <x:c r="E107" s="60" t="str">
        <x:v>https://www.advancednutrients.com/de/products/piranha/</x:v>
      </x:c>
      <x:c r="F107" s="60" t="str">
        <x:v>2 ml/L G1-G2/B1-B2; competitor-compatible.</x:v>
      </x:c>
    </x:row>
    <x:row r="108">
      <x:c r="A108" s="60" t="str">
        <x:v>A-MFR</x:v>
      </x:c>
      <x:c r="B108" s="60" t="str">
        <x:v>AN</x:v>
      </x:c>
      <x:c r="C108" s="60" t="str">
        <x:v>Tarantula</x:v>
      </x:c>
      <x:c r="D108" s="60" t="str">
        <x:v>2026-08-09</x:v>
      </x:c>
      <x:c r="E108" s="60" t="str">
        <x:v>https://www.advancednutrients.com/de/products/tarantula/</x:v>
      </x:c>
      <x:c r="F108" s="60" t="str">
        <x:v>2 ml/L G1-G2/B1-B2; competitor-compatible.</x:v>
      </x:c>
    </x:row>
    <x:row r="109">
      <x:c r="A109" s="60" t="str">
        <x:v>A-MFR</x:v>
      </x:c>
      <x:c r="B109" s="60" t="str">
        <x:v>AN</x:v>
      </x:c>
      <x:c r="C109" s="60" t="str">
        <x:v>B-52</x:v>
      </x:c>
      <x:c r="D109" s="60" t="str">
        <x:v>2026-08-09</x:v>
      </x:c>
      <x:c r="E109" s="60" t="str">
        <x:v>https://www.advancednutrients.com/de/products/b-52/</x:v>
      </x:c>
      <x:c r="F109" s="60" t="str">
        <x:v>B-vitamin/kelp/humic; competitor-compatible.</x:v>
      </x:c>
    </x:row>
    <x:row r="110">
      <x:c r="A110" s="60" t="str">
        <x:v>A-MFR</x:v>
      </x:c>
      <x:c r="B110" s="60" t="str">
        <x:v>AN</x:v>
      </x:c>
      <x:c r="C110" s="60" t="str">
        <x:v>Bud Candy</x:v>
      </x:c>
      <x:c r="D110" s="60" t="str">
        <x:v>2026-08-09</x:v>
      </x:c>
      <x:c r="E110" s="60" t="str">
        <x:v>https://www.advancednutrients.com/de/products/bud-candy/</x:v>
      </x:c>
      <x:c r="F110" s="60" t="str">
        <x:v>Carbohydrate + Mg; competitor-compatible.</x:v>
      </x:c>
    </x:row>
    <x:row r="111">
      <x:c r="A111" s="60" t="str">
        <x:v>A-MFR</x:v>
      </x:c>
      <x:c r="B111" s="60" t="str">
        <x:v>AN</x:v>
      </x:c>
      <x:c r="C111" s="60" t="str">
        <x:v>Sensizym</x:v>
      </x:c>
      <x:c r="D111" s="60" t="str">
        <x:v>2026-08-09</x:v>
      </x:c>
      <x:c r="E111" s="60" t="str">
        <x:v>https://www.advancednutrients.com/de/products/sensizym/</x:v>
      </x:c>
      <x:c r="F111" s="60" t="str">
        <x:v>Enzyme conditioner; competitor-compatible.</x:v>
      </x:c>
    </x:row>
    <x:row r="112">
      <x:c r="A112" s="60" t="str">
        <x:v>A-MFR</x:v>
      </x:c>
      <x:c r="B112" s="60" t="str">
        <x:v>AN</x:v>
      </x:c>
      <x:c r="C112" s="60" t="str">
        <x:v>Rhino Skin</x:v>
      </x:c>
      <x:c r="D112" s="60" t="str">
        <x:v>2026-08-09</x:v>
      </x:c>
      <x:c r="E112" s="60" t="str">
        <x:v>https://www.advancednutrients.com/de/products/rhino-skin/</x:v>
      </x:c>
      <x:c r="F112" s="60" t="str">
        <x:v>2 ml/L grow/B1-B7; potassium silicate; competitor-compatible.</x:v>
      </x:c>
    </x:row>
    <x:row r="113">
      <x:c r="A113" s="60" t="str">
        <x:v>A-MFR</x:v>
      </x:c>
      <x:c r="B113" s="60" t="str">
        <x:v>AN</x:v>
      </x:c>
      <x:c r="C113" s="60" t="str">
        <x:v>Bud Ignitor</x:v>
      </x:c>
      <x:c r="D113" s="60" t="str">
        <x:v>2026-08-09</x:v>
      </x:c>
      <x:c r="E113" s="60" t="str">
        <x:v>https://www.advancednutrients.com/de/products/bud-ignitor/</x:v>
      </x:c>
      <x:c r="F113" s="60" t="str">
        <x:v>2 ml/L B1-B2; PK/kelp; competitor-compatible.</x:v>
      </x:c>
    </x:row>
    <x:row r="114">
      <x:c r="A114" s="60" t="str">
        <x:v>A-MFR</x:v>
      </x:c>
      <x:c r="B114" s="60" t="str">
        <x:v>AN</x:v>
      </x:c>
      <x:c r="C114" s="60" t="str">
        <x:v>Big Bud</x:v>
      </x:c>
      <x:c r="D114" s="60" t="str">
        <x:v>2026-08-09</x:v>
      </x:c>
      <x:c r="E114" s="60" t="str">
        <x:v>https://www.advancednutrients.com/de/products/big-bud/</x:v>
      </x:c>
      <x:c r="F114" s="60" t="str">
        <x:v>2 ml/L B2-B5; PK; competitor-compatible.</x:v>
      </x:c>
    </x:row>
    <x:row r="115">
      <x:c r="A115" s="60" t="str">
        <x:v>A-MFR</x:v>
      </x:c>
      <x:c r="B115" s="60" t="str">
        <x:v>AN</x:v>
      </x:c>
      <x:c r="C115" s="60" t="str">
        <x:v>Overdrive</x:v>
      </x:c>
      <x:c r="D115" s="60" t="str">
        <x:v>2026-08-09</x:v>
      </x:c>
      <x:c r="E115" s="60" t="str">
        <x:v>https://www.advancednutrients.com/de/products/overdrive/</x:v>
      </x:c>
      <x:c r="F115" s="60" t="str">
        <x:v>2 ml/L B6-B7; NPK 1-5-4; competitor-compatible.</x:v>
      </x:c>
    </x:row>
    <x:row r="116">
      <x:c r="A116" s="60" t="str">
        <x:v>A-MFR</x:v>
      </x:c>
      <x:c r="B116" s="60" t="str">
        <x:v>AN</x:v>
      </x:c>
      <x:c r="C116" s="60" t="str">
        <x:v>Bud Factor X</x:v>
      </x:c>
      <x:c r="D116" s="60" t="str">
        <x:v>2026-08-09</x:v>
      </x:c>
      <x:c r="E116" s="60" t="str">
        <x:v>https://www.advancednutrients.com/products/bud-factor-x/</x:v>
      </x:c>
      <x:c r="F116" s="60" t="str">
        <x:v>2 ml/L label; competitor-compatible; efficacy claims remain manufacturer claims.</x:v>
      </x:c>
    </x:row>
    <x:row r="117">
      <x:c r="A117" s="60" t="str">
        <x:v>A-MFR</x:v>
      </x:c>
      <x:c r="B117" s="60" t="str">
        <x:v>AN</x:v>
      </x:c>
      <x:c r="C117" s="60" t="str">
        <x:v>Tasty Terpenes</x:v>
      </x:c>
      <x:c r="D117" s="60" t="str">
        <x:v>2026-08-09</x:v>
      </x:c>
      <x:c r="E117" s="60" t="str">
        <x:v>https://www.advancednutrients.com/de/products/tasty-terpenes/</x:v>
      </x:c>
      <x:c r="F117" s="60" t="str">
        <x:v>Current product; formerly Nirvana; 2 ml/L windows; competitor-compatible.</x:v>
      </x:c>
    </x:row>
    <x:row r="118">
      <x:c r="A118" s="60" t="str">
        <x:v>A-MFR</x:v>
      </x:c>
      <x:c r="B118" s="60" t="str">
        <x:v>AN</x:v>
      </x:c>
      <x:c r="C118" s="60" t="str">
        <x:v>Sensi Cal Mag Xtra</x:v>
      </x:c>
      <x:c r="D118" s="60" t="str">
        <x:v>2026-08-09</x:v>
      </x:c>
      <x:c r="E118" s="60" t="str">
        <x:v>https://www.advancednutrients.com/de/products/sensi-cal-mag-xtra/</x:v>
      </x:c>
      <x:c r="F118" s="60" t="str">
        <x:v>2 ml/L conditional; competitor-compatible.</x:v>
      </x:c>
    </x:row>
    <x:row r="119">
      <x:c r="A119" s="60" t="str">
        <x:v>A-MFR</x:v>
      </x:c>
      <x:c r="B119" s="60" t="str">
        <x:v>AN</x:v>
      </x:c>
      <x:c r="C119" s="60" t="str">
        <x:v>Revive</x:v>
      </x:c>
      <x:c r="D119" s="60" t="str">
        <x:v>2026-08-09</x:v>
      </x:c>
      <x:c r="E119" s="60" t="str">
        <x:v>https://www.advancednutrients.com/de/products/revive/</x:v>
      </x:c>
      <x:c r="F119" s="60" t="str">
        <x:v>Plant-aid/rescue; 5 ml/L deficiency treatment, 1 ml/L regular program per label; UKD uses diagnostic-only.</x:v>
      </x:c>
    </x:row>
    <x:row r="120">
      <x:c r="A120" s="60" t="str">
        <x:v>A-MFR</x:v>
      </x:c>
      <x:c r="B120" s="60" t="str">
        <x:v>AN</x:v>
      </x:c>
      <x:c r="C120" s="60" t="str">
        <x:v>Flawless Finish</x:v>
      </x:c>
      <x:c r="D120" s="60" t="str">
        <x:v>2026-08-09</x:v>
      </x:c>
      <x:c r="E120" s="60" t="str">
        <x:v>https://www.advancednutrients.com/de/products/flawless-finish/</x:v>
      </x:c>
      <x:c r="F120" s="60" t="str">
        <x:v>2 ml/L flush label; not UKD reference.</x:v>
      </x:c>
    </x:row>
    <x:row r="121">
      <x:c r="A121" t="str">
        <x:v>A-MFR</x:v>
      </x:c>
      <x:c r="B121" t="str">
        <x:v>AN</x:v>
      </x:c>
      <x:c r="C121" t="str">
        <x:v>Tarantula - Voodoo combination</x:v>
      </x:c>
      <x:c r="D121" t="str">
        <x:v>2026-08-10</x:v>
      </x:c>
      <x:c r="E121" t="str">
        <x:v>https://www.advancednutrients.com/de/products/tarantula/</x:v>
      </x:c>
      <x:c r="F121" t="str">
        <x:v>2 ml/L grow weeks 1-2 / bloom weeks 1-2; competitor-compatible; page explicitly recommends combining with Voodoo Juice.</x:v>
      </x:c>
    </x:row>
    <x:row r="122">
      <x:c r="A122" t="str">
        <x:v>A-MFR</x:v>
      </x:c>
      <x:c r="B122" t="str">
        <x:v>AN</x:v>
      </x:c>
      <x:c r="C122" t="str">
        <x:v>Voodoo Juice</x:v>
      </x:c>
      <x:c r="D122" t="str">
        <x:v>2026-08-10</x:v>
      </x:c>
      <x:c r="E122" t="str">
        <x:v>https://www.advancednutrients.com/products/voodoo-juice/</x:v>
      </x:c>
      <x:c r="F122" t="str">
        <x:v>Four Bacillus strains; competitor-base/supplement compatible.</x:v>
      </x:c>
    </x:row>
    <x:row r="123">
      <x:c r="A123" t="str">
        <x:v>A-MFR</x:v>
      </x:c>
      <x:c r="B123" t="str">
        <x:v>HESI</x:v>
      </x:c>
      <x:c r="C123" t="str">
        <x:v>Boost</x:v>
      </x:c>
      <x:c r="D123" t="str">
        <x:v>2026-08-10</x:v>
      </x:c>
      <x:c r="E123" t="str">
        <x:v>https://hesi.nl/de/Boost</x:v>
      </x:c>
      <x:c r="F123" t="str">
        <x:v>20 ml/10 L; regular bloom use; natural sugars/minerals/enzymes/fruit acids; can be combined with HESI fertilizers/boosters.</x:v>
      </x:c>
    </x:row>
    <x:row r="124">
      <x:c r="A124" t="str">
        <x:v>A-MFR</x:v>
      </x:c>
      <x:c r="B124" t="str">
        <x:v>Athena</x:v>
      </x:c>
      <x:c r="C124" t="str">
        <x:v>Balance</x:v>
      </x:c>
      <x:c r="D124" t="str">
        <x:v>2026-08-10</x:v>
      </x:c>
      <x:c r="E124" t="str">
        <x:v>https://store.athenaag.com/balance/</x:v>
      </x:c>
      <x:c r="F124" t="str">
        <x:v>Water conditioner/pH buffer, especially RO; no universal application instruction/rate shown.</x:v>
      </x:c>
    </x:row>
    <x:row r="125">
      <x:c r="A125" t="str">
        <x:v>A-MFR</x:v>
      </x:c>
      <x:c r="B125" t="str">
        <x:v>AN</x:v>
      </x:c>
      <x:c r="C125" t="str">
        <x:v>Sensi Cal Mag Xtra</x:v>
      </x:c>
      <x:c r="D125" t="str">
        <x:v>2026-08-10</x:v>
      </x:c>
      <x:c r="E125" t="str">
        <x:v>https://www.advancednutrients.com/de/products/sensi-cal-mag-xtra/</x:v>
      </x:c>
      <x:c r="F125" t="str">
        <x:v>2 ml/L label for deficiency/regular program; competitor-compatible.</x:v>
      </x:c>
    </x:row>
    <x:row r="126">
      <x:c r="A126" t="str">
        <x:v>A-MFR</x:v>
      </x:c>
      <x:c r="B126" t="str">
        <x:v>AN</x:v>
      </x:c>
      <x:c r="C126" t="str">
        <x:v>Tasty Terpenes</x:v>
      </x:c>
      <x:c r="D126" t="str">
        <x:v>2026-08-10</x:v>
      </x:c>
      <x:c r="E126" t="str">
        <x:v>https://www.advancednutrients.com/de/products/tasty-terpenes/</x:v>
      </x:c>
      <x:c r="F126" t="str">
        <x:v>Formerly Nirvana; K/kelp/alfalfa; competitor-compatible; 2 ml/L manufacturer windows.</x:v>
      </x:c>
    </x:row>
    <x:row r="127">
      <x:c r="A127" t="str">
        <x:v>A-MFR</x:v>
      </x:c>
      <x:c r="B127" t="str">
        <x:v>AN</x:v>
      </x:c>
      <x:c r="C127" t="str">
        <x:v>CarboLoad</x:v>
      </x:c>
      <x:c r="D127" t="str">
        <x:v>2026-08-10</x:v>
      </x:c>
      <x:c r="E127" t="str">
        <x:v>https://www.advancednutrients.com/de/secret-menu/carboload/</x:v>
      </x:c>
      <x:c r="F127" t="str">
        <x:v>Carbohydrate/microbe-feed path; 2 ml/L manufacturer chart; legacy/secret-menu product.</x:v>
      </x:c>
    </x:row>
    <x:row r="128">
      <x:c r="A128" t="str">
        <x:v>SETUP</x:v>
      </x:c>
      <x:c r="B128" t="str">
        <x:v>User inventory</x:v>
      </x:c>
      <x:c r="C128" t="str">
        <x:v>Photo + explicit inventory</x:v>
      </x:c>
      <x:c r="D128" t="str">
        <x:v>2026-08-10</x:v>
      </x:c>
      <x:c r="E128" t="str">
        <x:v>user-supplied images</x:v>
      </x:c>
      <x:c r="F128" t="str">
        <x:v>Owned products used only as setup facts; availability is not evidence of efficacy or need.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  <x:row r="42">
      <x:c r="A42" s="1789" t="str">
        <x:v>v7 HESI + AN HYBRID INTEGRATION</x:v>
      </x:c>
      <x:c r="B42" s="1789"/>
      <x:c r="C42" s="1789"/>
      <x:c r="D42" s="1789"/>
      <x:c r="E42" s="1789"/>
      <x:c r="F42" s="1789"/>
    </x:row>
    <x:row r="43">
      <x:c r="A43" s="60" t="str">
        <x:v>Core</x:v>
      </x:c>
      <x:c r="B43" s="60" t="str">
        <x:v>HESI base/support remains canonical. Voodoo Juice is the only AN module enabled by default.</x:v>
      </x:c>
      <x:c r="C43" s="60"/>
      <x:c r="D43" s="60"/>
      <x:c r="E43" s="60"/>
      <x:c r="F43" s="60"/>
    </x:row>
    <x:row r="44">
      <x:c r="A44" s="60" t="str">
        <x:v>Compatibility</x:v>
      </x:c>
      <x:c r="B44" s="60" t="str">
        <x:v>AN's competitor-base compatibility is a technical compatibility statement, not proof of benefit in this exact HESI/UGro run.</x:v>
      </x:c>
      <x:c r="C44" s="60"/>
      <x:c r="D44" s="60"/>
      <x:c r="E44" s="60"/>
      <x:c r="F44" s="60"/>
    </x:row>
    <x:row r="45">
      <x:c r="A45" s="60" t="str">
        <x:v>Overlap rule</x:v>
      </x:c>
      <x:c r="B45" s="60" t="str">
        <x:v>Bud Candy replaces HESI Boost; Sensizym replaces PowerZyme; Rhino Skin replaces the selected Si path; AN bloom PK replaces HESI PK.</x:v>
      </x:c>
      <x:c r="C45" s="60"/>
      <x:c r="D45" s="60"/>
      <x:c r="E45" s="60"/>
      <x:c r="F45" s="60"/>
    </x:row>
    <x:row r="46">
      <x:c r="A46" s="60" t="str">
        <x:v>Optional microbiome</x:v>
      </x:c>
      <x:c r="B46" s="60" t="str">
        <x:v>Piranha/Tarantula only as explicit trio A/B module; more biological inputs = more confounding/redundancy.</x:v>
      </x:c>
      <x:c r="C46" s="60"/>
      <x:c r="D46" s="60"/>
      <x:c r="E46" s="60"/>
      <x:c r="F46" s="60"/>
    </x:row>
    <x:row r="47">
      <x:c r="A47" s="60" t="str">
        <x:v>Experimental</x:v>
      </x:c>
      <x:c r="B47" s="60" t="str">
        <x:v>B-52, Bud Factor X and Tasty Terpenes default OFF/A-B because incremental value over the HESI stack is not established.</x:v>
      </x:c>
      <x:c r="C47" s="60"/>
      <x:c r="D47" s="60"/>
      <x:c r="E47" s="60"/>
      <x:c r="F47" s="60"/>
    </x:row>
    <x:row r="48">
      <x:c r="A48" s="60" t="str">
        <x:v>Conditional</x:v>
      </x:c>
      <x:c r="B48" s="60" t="str">
        <x:v>CalMag depends on water chemistry; Sensi CalMag Xtra is an alternative source, not a universal add-on.</x:v>
      </x:c>
      <x:c r="C48" s="60"/>
      <x:c r="D48" s="60"/>
      <x:c r="E48" s="60"/>
      <x:c r="F48" s="60"/>
    </x:row>
    <x:row r="49">
      <x:c r="A49" s="60" t="str">
        <x:v>Rescue</x:v>
      </x:c>
      <x:c r="B49" s="60" t="str">
        <x:v>Revive is diagnostic-only and never calendar-driven.</x:v>
      </x:c>
      <x:c r="C49" s="60"/>
      <x:c r="D49" s="60"/>
      <x:c r="E49" s="60"/>
      <x:c r="F49" s="60"/>
    </x:row>
    <x:row r="50">
      <x:c r="A50" s="60" t="str">
        <x:v>Finish</x:v>
      </x:c>
      <x:c r="B50" s="60" t="str">
        <x:v>Flawless Finish is not UKD reference. HESI label/pure-water finish and independent flushing evidence are kept separate.</x:v>
      </x:c>
      <x:c r="C50" s="60"/>
      <x:c r="D50" s="60"/>
      <x:c r="E50" s="60"/>
      <x:c r="F50" s="60"/>
    </x:row>
    <x:row r="51">
      <x:c r="A51" s="60" t="str">
        <x:v>Coverage gate</x:v>
      </x:c>
      <x:c r="B51" s="60" t="str">
        <x:v>Every preset item must appear in Run Config, Daily Master and Mix Calculator with ACTIVE/ZERO/ALT/BLOCKED/EXPERIMENTAL state.</x:v>
      </x:c>
      <x:c r="C51" s="60"/>
      <x:c r="D51" s="60"/>
      <x:c r="E51" s="60"/>
      <x:c r="F51" s="60"/>
    </x:row>
    <x:row r="52">
      <x:c r="A52" s="60" t="str">
        <x:v>App import</x:v>
      </x:c>
      <x:c r="B52" s="60" t="str">
        <x:v>27_HESI_AN_Hybrid is the normalized handoff table for future UKD app ingestion.</x:v>
      </x:c>
      <x:c r="C52" s="60"/>
      <x:c r="D52" s="60"/>
      <x:c r="E52" s="60"/>
      <x:c r="F52" s="60"/>
    </x:row>
    <x:row r="53">
      <x:c r="A53" s="60" t="str">
        <x:v>Version</x:v>
      </x:c>
      <x:c r="B53" s="60" t="str">
        <x:v>Research reviewed 2026-08-09; re-check manufacturer labels before later releases.</x:v>
      </x:c>
      <x:c r="C53" s="60"/>
      <x:c r="D53" s="60"/>
      <x:c r="E53" s="60"/>
      <x:c r="F53" s="60"/>
    </x:row>
    <x:row r="55">
      <x:c r="A55" s="1801" t="str">
        <x:v>v8 OWNED-STOCK PRESET · 2026-08-10</x:v>
      </x:c>
      <x:c r="B55" s="1801"/>
      <x:c r="C55" s="1801"/>
      <x:c r="D55" s="1801"/>
      <x:c r="E55" s="1801"/>
      <x:c r="F55" s="1801"/>
    </x:row>
    <x:row r="56">
      <x:c r="A56" s="60" t="str">
        <x:v>Owned HESI core</x:v>
      </x:c>
      <x:c r="B56" s="60" t="str">
        <x:v>TNT, Coco, Wurzel Complex, PowerZyme, SuperVit, Boost, PK13/14 are the operational core.</x:v>
      </x:c>
      <x:c r="C56" s="60"/>
      <x:c r="D56" s="60"/>
      <x:c r="E56" s="60"/>
      <x:c r="F56" s="60"/>
    </x:row>
    <x:row r="57">
      <x:c r="A57" s="60" t="str">
        <x:v>Owned AN complement</x:v>
      </x:c>
      <x:c r="B57" s="60" t="str">
        <x:v>Voodoo Juice + Tarantula selected together in defined fresh UKD windows.</x:v>
      </x:c>
      <x:c r="C57" s="60"/>
      <x:c r="D57" s="60"/>
      <x:c r="E57" s="60"/>
      <x:c r="F57" s="60"/>
    </x:row>
    <x:row r="58">
      <x:c r="A58" s="60" t="str">
        <x:v>Preferred Si</x:v>
      </x:c>
      <x:c r="B58" s="60" t="str">
        <x:v>Athena Balance is selected because it is owned; remains conditional and fail-closed until pH/water baseline supports it.</x:v>
      </x:c>
      <x:c r="C58" s="60"/>
      <x:c r="D58" s="60"/>
      <x:c r="E58" s="60"/>
      <x:c r="F58" s="60"/>
    </x:row>
    <x:row r="59">
      <x:c r="A59" s="60" t="str">
        <x:v>CalMag</x:v>
      </x:c>
      <x:c r="B59" s="60" t="str">
        <x:v>Sensi Cal Mag Xtra is the owned source; dose remains 0 unless the explicit CalMag Plan is raised after water/diagnostic review.</x:v>
      </x:c>
      <x:c r="C59" s="60"/>
      <x:c r="D59" s="60"/>
      <x:c r="E59" s="60"/>
      <x:c r="F59" s="60"/>
    </x:row>
    <x:row r="60">
      <x:c r="A60" s="60" t="str">
        <x:v>Tasty Terpenes</x:v>
      </x:c>
      <x:c r="B60" s="60" t="str">
        <x:v>Owned but OFF in the reference run; use only as a future documented A/B module.</x:v>
      </x:c>
      <x:c r="C60" s="60"/>
      <x:c r="D60" s="60"/>
      <x:c r="E60" s="60"/>
      <x:c r="F60" s="60"/>
    </x:row>
    <x:row r="61">
      <x:c r="A61" s="60" t="str">
        <x:v>CarboLoad</x:v>
      </x:c>
      <x:c r="B61" s="60" t="str">
        <x:v>Tiny remainder; OFF. No repurchase recommended while HESI Boost is the preferred carbohydrate/biostim path.</x:v>
      </x:c>
      <x:c r="C61" s="60"/>
      <x:c r="D61" s="60"/>
      <x:c r="E61" s="60"/>
      <x:c r="F61" s="60"/>
    </x:row>
    <x:row r="62">
      <x:c r="A62" s="60" t="str">
        <x:v>Not owned / not needed</x:v>
      </x:c>
      <x:c r="B62" s="60" t="str">
        <x:v>Piranha, B-52, Bud Candy, Bud Factor X, Sensizym, Rhino Skin, Bud Ignitor, Big Bud, Overdrive are not purchase requirements for this run.</x:v>
      </x:c>
      <x:c r="C62" s="60"/>
      <x:c r="D62" s="60"/>
      <x:c r="E62" s="60"/>
      <x:c r="F62" s="60"/>
    </x:row>
    <x:row r="63">
      <x:c r="A63" s="60" t="str">
        <x:v>Principle</x:v>
      </x:c>
      <x:c r="B63" s="60" t="str">
        <x:v>Stock can choose between already-safe alternatives; it cannot create a dose, need, efficacy claim or bypass a safety gate.</x:v>
      </x:c>
      <x:c r="C63" s="60"/>
      <x:c r="D63" s="60"/>
      <x:c r="E63" s="60"/>
      <x:c r="F63" s="60"/>
    </x:row>
    <x:row r="64">
      <x:c r="A64" s="60" t="str">
        <x:v>Mix</x:v>
      </x:c>
      <x:c r="B64" s="60" t="str">
        <x:v>Athena first if gated; pH correction after complete mineral mix; Voodoo/Tarantula last after final pH adjustment.</x:v>
      </x:c>
      <x:c r="C64" s="60"/>
      <x:c r="D64" s="60"/>
      <x:c r="E64" s="60"/>
      <x:c r="F64" s="60"/>
    </x:row>
    <x:row r="65">
      <x:c r="A65" s="60" t="str">
        <x:v>App handoff</x:v>
      </x:c>
      <x:c r="B65" s="60" t="str">
        <x:v>Use sheet 28_Current_Inventory plus 27_HESI_AN_Hybrid as canonical preset/inventory import sources.</x:v>
      </x:c>
      <x:c r="C65" s="60"/>
      <x:c r="D65" s="60"/>
      <x:c r="E65" s="60"/>
      <x:c r="F65" s="60"/>
    </x:row>
    <x:row r="68">
      <x:c r="A68" s="2348" t="str">
        <x:v>v9 GOAL / PROBLEM / UX TRANSFORMATION · 2026-08-11</x:v>
      </x:c>
      <x:c r="B68" s="2348"/>
      <x:c r="C68" s="2348"/>
      <x:c r="D68" s="2348"/>
      <x:c r="E68" s="2348"/>
      <x:c r="F68" s="2348"/>
    </x:row>
    <x:row r="69">
      <x:c r="A69" s="60" t="str">
        <x:v>North Star</x:v>
      </x:c>
      <x:c r="B69" s="60" t="str">
        <x:v>In &lt;30 s: current state, missing measurement, allowed action, blocker, reason and logging step must be obvious.</x:v>
      </x:c>
      <x:c r="C69" s="60"/>
      <x:c r="D69" s="60"/>
      <x:c r="E69" s="60"/>
      <x:c r="F69" s="60"/>
    </x:row>
    <x:row r="70">
      <x:c r="A70" s="60" t="str">
        <x:v>Start Here</x:v>
      </x:c>
      <x:c r="B70" s="60" t="str">
        <x:v>00_Dashboard is now the operator entry point with Goal, Problem, 3-step flow, Today/Now, setup readiness and evidence legend.</x:v>
      </x:c>
      <x:c r="C70" s="60"/>
      <x:c r="D70" s="60"/>
      <x:c r="E70" s="60"/>
      <x:c r="F70" s="60"/>
    </x:row>
    <x:row r="71">
      <x:c r="A71" s="60" t="str">
        <x:v>Formula correction</x:v>
      </x:c>
      <x:c r="B71" s="60" t="str">
        <x:v>Daily formulas added in v7/v8 referenced AJ (GM Phase text) instead of AL (numeric Bloom-Tag). v9 corrects PowerZyme, HESI PK and all AN alternative-window formulas.</x:v>
      </x:c>
      <x:c r="C71" s="60"/>
      <x:c r="D71" s="60"/>
      <x:c r="E71" s="60"/>
      <x:c r="F71" s="60"/>
    </x:row>
    <x:row r="72">
      <x:c r="A72" s="60" t="str">
        <x:v>Propagation</x:v>
      </x:c>
      <x:c r="B72" s="60" t="str">
        <x:v>Eazy Plug Mini -&gt; Eazy Block Standard -&gt; UGro Rhiza Coco is now a first-class setup path. Day 4 is only the earliest feed reference, never a standalone authorization.</x:v>
      </x:c>
      <x:c r="C72" s="60"/>
      <x:c r="D72" s="60"/>
      <x:c r="E72" s="60"/>
      <x:c r="F72" s="60"/>
    </x:row>
    <x:row r="73">
      <x:c r="A73" s="60" t="str">
        <x:v>Eazy Plug</x:v>
      </x:c>
      <x:c r="B73" s="60" t="str">
        <x:v>Manufacturer reference: predetermined/buffered pH/EC; technical spec lists pH 5.9 and EC 1.0 mS/cm (1:1.5). No pre-correction of plug/block is required.</x:v>
      </x:c>
      <x:c r="C73" s="60"/>
      <x:c r="D73" s="60"/>
      <x:c r="E73" s="60"/>
      <x:c r="F73" s="60"/>
    </x:row>
    <x:row r="74">
      <x:c r="A74" s="60" t="str">
        <x:v>UGro Rhiza</x:v>
      </x:c>
      <x:c r="B74" s="60" t="str">
        <x:v>Product reference: true-buffered coco with Rhiza/endomycorrrhizae; pH/EC values are substrate specs, not irrigation targets.</x:v>
      </x:c>
      <x:c r="C74" s="60"/>
      <x:c r="D74" s="60"/>
      <x:c r="E74" s="60"/>
      <x:c r="F74" s="60"/>
    </x:row>
    <x:row r="75">
      <x:c r="A75" s="60" t="str">
        <x:v>App source correction</x:v>
      </x:c>
      <x:c r="B75" s="60" t="str">
        <x:v>Current archived App.tsx contains 12 routes, not 21. Setup and Log are not current routes and must be implemented before becoming Guided core navigation.</x:v>
      </x:c>
      <x:c r="C75" s="60"/>
      <x:c r="D75" s="60"/>
      <x:c r="E75" s="60"/>
      <x:c r="F75" s="60"/>
    </x:row>
    <x:row r="76">
      <x:c r="A76" s="60" t="str">
        <x:v>Version skew</x:v>
      </x:c>
      <x:c r="B76" s="60" t="str">
        <x:v>Current app package/runtime remains v6 while XLSX/PDF are newer. v9 marks a single release manifest + parity CI as P0.</x:v>
      </x:c>
      <x:c r="C76" s="60"/>
      <x:c r="D76" s="60"/>
      <x:c r="E76" s="60"/>
      <x:c r="F76" s="60"/>
    </x:row>
    <x:row r="77">
      <x:c r="A77" s="60" t="str">
        <x:v>Guided 2.0</x:v>
      </x:c>
      <x:c r="B77" s="60" t="str">
        <x:v>Target: 6 core routes, one prioritized action, inline definitions, persistent blockers; calculations and recommendations stay identical across lenses.</x:v>
      </x:c>
      <x:c r="C77" s="60"/>
      <x:c r="D77" s="60"/>
      <x:c r="E77" s="60"/>
      <x:c r="F77" s="60"/>
    </x:row>
    <x:row r="78">
      <x:c r="A78" s="60" t="str">
        <x:v>New sheets</x:v>
      </x:c>
      <x:c r="B78" s="60" t="str">
        <x:v>29_GOAL_PROBLEM, 30_APP_UX_PLAN, 31_FEED_SCHEMA, 32_GLOSSARY_STATES, 33_RELEASE_GATES.</x:v>
      </x:c>
      <x:c r="C78" s="60"/>
      <x:c r="D78" s="60"/>
      <x:c r="E78" s="60"/>
      <x:c r="F78" s="60"/>
    </x:row>
    <x:row r="79">
      <x:c r="A79" s="60" t="str">
        <x:v>Feed chart</x:v>
      </x:c>
      <x:c r="B79" s="60" t="str">
        <x:v>31_FEED_SCHEMA is derived from Daily Master after formula correction. 'Nd' means positive plan days, not forced irrigations.</x:v>
      </x:c>
      <x:c r="C79" s="60"/>
      <x:c r="D79" s="60"/>
      <x:c r="E79" s="60"/>
      <x:c r="F79" s="60"/>
    </x:row>
    <x:row r="80">
      <x:c r="A80" s="60" t="str">
        <x:v>Visual inspiration</x:v>
      </x:c>
      <x:c r="B80" s="60" t="str">
        <x:v>User-provided Advanced-Nutrients-style feed-chart examples are used only as layout inspiration; numeric content comes from UKD sources.</x:v>
      </x:c>
      <x:c r="C80" s="60"/>
      <x:c r="D80" s="60"/>
      <x:c r="E80" s="60"/>
      <x:c r="F80" s="60"/>
    </x:row>
    <x:row r="81">
      <x:c r="A81" s="60" t="str">
        <x:v>Release rule</x:v>
      </x:c>
      <x:c r="B81" s="60" t="str">
        <x:v>If Dashboard/Daily/Mix/PDF/App disagree, release is blocked. Fix the canonical source and regenerate; never reconcile manually.</x:v>
      </x:c>
      <x:c r="C81" s="60"/>
      <x:c r="D81" s="60"/>
      <x:c r="E81" s="60"/>
      <x:c r="F81" s="60"/>
    </x:row>
    <x:row r="82">
      <x:c r="A82" s="60" t="str">
        <x:v>App handoff</x:v>
      </x:c>
      <x:c r="B82" s="60" t="str">
        <x:v>Future app importer should consume v9 manifest + Run Config + Daily + Hybrid + Inventory + UX/state definitions, not legacy v6 snapshot.</x:v>
      </x:c>
      <x:c r="C82" s="60"/>
      <x:c r="D82" s="60"/>
      <x:c r="E82" s="60"/>
      <x:c r="F82" s="60"/>
    </x:row>
    <x:row r="84">
      <x:c r="A84" s="2367" t="str">
        <x:v>v10 CONTEXT HELP + VISUAL GUIDANCE · 2026-08-11</x:v>
      </x:c>
      <x:c r="B84" s="2367"/>
      <x:c r="C84" s="2367"/>
      <x:c r="D84" s="2367"/>
      <x:c r="E84" s="2367"/>
      <x:c r="F84" s="2367"/>
    </x:row>
    <x:row r="85">
      <x:c r="A85" s="60" t="str">
        <x:v>Plain-language terminology</x:v>
      </x:c>
      <x:c r="B85" s="60" t="str">
        <x:v>Operator views show understandable German first and technical abbreviation second, e.g. Nährsalzstärke (EC), Lichtstärke (PPFD), Tageslichtmenge (DLI), Luftfeuchtigkeit (rF), Trocknungsdruck (VPD).</x:v>
      </x:c>
      <x:c r="C85" s="60"/>
      <x:c r="D85" s="60"/>
      <x:c r="E85" s="60"/>
      <x:c r="F85" s="60"/>
    </x:row>
    <x:row r="86">
      <x:c r="A86" s="60" t="str">
        <x:v>Canonical keys</x:v>
      </x:c>
      <x:c r="B86" s="60" t="str">
        <x:v>Master-sheet headers are not globally renamed because they are part of formula/import contracts. Display labels are mapped in 34_CONTEXT_HELP_MAP.</x:v>
      </x:c>
      <x:c r="C86" s="60"/>
      <x:c r="D86" s="60"/>
      <x:c r="E86" s="60"/>
      <x:c r="F86" s="60"/>
    </x:row>
    <x:row r="87">
      <x:c r="A87" s="60" t="str">
        <x:v>Local help</x:v>
      </x:c>
      <x:c r="B87" s="60" t="str">
        <x:v>36_TODAY_OPERATOR, 37_SETUP_OPERATOR, 38_MIX_OPERATOR and 39_LOG_GUIDE include relevant definitions and direct pointers at the point of use.</x:v>
      </x:c>
      <x:c r="C87" s="60"/>
      <x:c r="D87" s="60"/>
      <x:c r="E87" s="60"/>
      <x:c r="F87" s="60"/>
    </x:row>
    <x:row r="88">
      <x:c r="A88" s="60" t="str">
        <x:v>Section guide</x:v>
      </x:c>
      <x:c r="B88" s="60" t="str">
        <x:v>35_SECTION_GUIDE explains purpose, allowed work, non-purpose, where to look and app target route for each major section.</x:v>
      </x:c>
      <x:c r="C88" s="60"/>
      <x:c r="D88" s="60"/>
      <x:c r="E88" s="60"/>
      <x:c r="F88" s="60"/>
    </x:row>
    <x:row r="89">
      <x:c r="A89" s="60" t="str">
        <x:v>Semantic color</x:v>
      </x:c>
      <x:c r="B89" s="60" t="str">
        <x:v>Green=known/action; blue=target/info; amber=check/conditional; red=blocked/stop; purple=evidence/experiment; gray=system/raw. Text always carries meaning too.</x:v>
      </x:c>
      <x:c r="C89" s="60"/>
      <x:c r="D89" s="60"/>
      <x:c r="E89" s="60"/>
      <x:c r="F89" s="60"/>
    </x:row>
    <x:row r="90">
      <x:c r="A90" s="60" t="str">
        <x:v>Figures</x:v>
      </x:c>
      <x:c r="B90" s="60" t="str">
        <x:v>Every exact figure is generated from canonical workbook data. Generated concept art is never a numeric source.</x:v>
      </x:c>
      <x:c r="C90" s="60"/>
      <x:c r="D90" s="60"/>
      <x:c r="E90" s="60"/>
      <x:c r="F90" s="60"/>
    </x:row>
    <x:row r="91">
      <x:c r="A91" s="60" t="str">
        <x:v>PDF technique</x:v>
      </x:c>
      <x:c r="B91" s="60" t="str">
        <x:v>v10 PDF uses breadcrumbs, purpose banners, task-to-section maps, local term boxes, figure-provenance badges, icon keys and repeated 'where to look' pointers.</x:v>
      </x:c>
      <x:c r="C91" s="60"/>
      <x:c r="D91" s="60"/>
      <x:c r="E91" s="60"/>
      <x:c r="F91" s="60"/>
    </x:row>
    <x:row r="92">
      <x:c r="A92" s="60" t="str">
        <x:v>App handoff</x:v>
      </x:c>
      <x:c r="B92" s="60" t="str">
        <x:v>ContextHelpEntry and SectionGuide become content entities reused by Guided/Advanced/Expert, PDF and XLSX projections.</x:v>
      </x:c>
      <x:c r="C92" s="60"/>
      <x:c r="D92" s="60"/>
      <x:c r="E92" s="60"/>
      <x:c r="F92" s="60"/>
    </x:row>
    <x:row r="93">
      <x:c r="A93" s="60" t="str">
        <x:v>New sheets</x:v>
      </x:c>
      <x:c r="B93" s="60" t="str">
        <x:v>34_CONTEXT_HELP_MAP, 35_SECTION_GUIDE, 36_TODAY_OPERATOR, 37_SETUP_OPERATOR, 38_MIX_OPERATOR, 39_LOG_GUIDE.</x:v>
      </x:c>
      <x:c r="C93" s="60"/>
      <x:c r="D93" s="60"/>
      <x:c r="E93" s="60"/>
      <x:c r="F93" s="60"/>
    </x:row>
    <x:row r="94">
      <x:c r="A94" s="60" t="str">
        <x:v>Rule</x:v>
      </x:c>
      <x:c r="B94" s="60" t="str">
        <x:v>If a simplified operator label changes the scientific meaning, the simplification is rejected. Clarity must not alter the domain variable.</x:v>
      </x:c>
      <x:c r="C94" s="60"/>
      <x:c r="D94" s="60"/>
      <x:c r="E94" s="60"/>
      <x:c r="F94" s="60"/>
    </x:row>
    <x:row r="95">
      <x:c r="A95" s="60" t="str">
        <x:v>Accessibility</x:v>
      </x:c>
      <x:c r="B95" s="60" t="str">
        <x:v>Icons/colors are redundant aids; critical meaning stays in text and must work with keyboard/touch/screen reader.</x:v>
      </x:c>
      <x:c r="C95" s="60"/>
      <x:c r="D95" s="60"/>
      <x:c r="E95" s="60"/>
      <x:c r="F95" s="60"/>
    </x:row>
    <x:row r="96">
      <x:c r="A96" s="60" t="str">
        <x:v>Where to start</x:v>
      </x:c>
      <x:c r="B96" s="60" t="str">
        <x:v>00_Dashboard -&gt; 36_TODAY_OPERATOR / 37_SETUP_OPERATOR / 38_MIX_OPERATOR / 39_LOG_GUIDE; deeper explanation -&gt; 34_CONTEXT_HELP_MAP.</x:v>
      </x:c>
      <x:c r="C96" s="60"/>
      <x:c r="D96" s="60"/>
      <x:c r="E96" s="60"/>
      <x:c r="F96" s="60"/>
    </x:row>
    <x:row r="98">
      <x:c r="A98" s="2442" t="str">
        <x:v>v11.2 AUTOFLOWER CORRECTION</x:v>
      </x:c>
      <x:c r="B98" s="2442"/>
      <x:c r="C98" s="2442"/>
      <x:c r="D98" s="2442"/>
      <x:c r="E98" s="2442"/>
      <x:c r="F98" s="2442"/>
    </x:row>
    <x:row r="99">
      <x:c r="A99" s="60" t="str">
        <x:v>Main fix</x:v>
      </x:c>
      <x:c r="B99" s="60" t="str">
        <x:v>The old W1–W4 Eazy/Block path is superseded. Eazy Block is a short event-gated bridge; final coco follows root readiness.</x:v>
      </x:c>
      <x:c r="C99" s="60"/>
      <x:c r="D99" s="60"/>
      <x:c r="E99" s="60"/>
      <x:c r="F99" s="60"/>
    </x:row>
    <x:row r="100">
      <x:c r="A100" s="60" t="str">
        <x:v>Default profile</x:v>
      </x:c>
      <x:c r="B100" s="60" t="str">
        <x:v>B · 3×9 L empfohlen</x:v>
      </x:c>
      <x:c r="C100" s="60"/>
      <x:c r="D100" s="60"/>
      <x:c r="E100" s="60"/>
      <x:c r="F100" s="60"/>
    </x:row>
    <x:row r="101">
      <x:c r="A101" s="60" t="str">
        <x:v>Autoflower flowering</x:v>
      </x:c>
      <x:c r="B101" s="60" t="str">
        <x:v>Day 28 remains projection only. Operational BT1 must come from observed FlowerInitiation.</x:v>
      </x:c>
      <x:c r="C101" s="60"/>
      <x:c r="D101" s="60"/>
      <x:c r="E101" s="60"/>
      <x:c r="F101" s="60"/>
    </x:row>
    <x:row r="102">
      <x:c r="A102" s="60" t="str">
        <x:v>Double Grape</x:v>
      </x:c>
      <x:c r="B102" s="60" t="str">
        <x:v>Breeder reference 70–80 days from sprout, 55–80 cm, naturally bushy/LST-friendly.</x:v>
      </x:c>
      <x:c r="C102" s="60"/>
      <x:c r="D102" s="60"/>
      <x:c r="E102" s="60"/>
      <x:c r="F102" s="60"/>
    </x:row>
    <x:row r="103">
      <x:c r="A103" s="60" t="str">
        <x:v>Photoperiod</x:v>
      </x:c>
      <x:c r="B103" s="60" t="str">
        <x:v>18/6 remains default; no forced 12/12. 20/4 optional; 24/0 experimental.</x:v>
      </x:c>
      <x:c r="C103" s="60"/>
      <x:c r="D103" s="60"/>
      <x:c r="E103" s="60"/>
      <x:c r="F103" s="60"/>
    </x:row>
    <x:row r="104">
      <x:c r="A104" s="60" t="str">
        <x:v>Training</x:v>
      </x:c>
      <x:c r="B104" s="60" t="str">
        <x:v>Gentle LST/leaf-tuck by vigor and root-zone recovery; no default topping/HST.</x:v>
      </x:c>
      <x:c r="C104" s="60"/>
      <x:c r="D104" s="60"/>
      <x:c r="E104" s="60"/>
      <x:c r="F104" s="60"/>
    </x:row>
    <x:row r="105">
      <x:c r="A105" s="60" t="str">
        <x:v>Watering</x:v>
      </x:c>
      <x:c r="B105" s="60" t="str">
        <x:v>Initial 9-L substrate hydration is not a daily irrigation dose. Watering remains event/plant/root-zone driven.</x:v>
      </x:c>
      <x:c r="C105" s="60"/>
      <x:c r="D105" s="60"/>
      <x:c r="E105" s="60"/>
      <x:c r="F105" s="60"/>
    </x:row>
    <x:row r="106">
      <x:c r="A106" s="60" t="str">
        <x:v>Pot choice</x:v>
      </x:c>
      <x:c r="B106" s="60" t="str">
        <x:v>3×9 L recommended; 3×8 L solid alternative.</x:v>
      </x:c>
      <x:c r="C106" s="60"/>
      <x:c r="D106" s="60"/>
      <x:c r="E106" s="60"/>
      <x:c r="F106" s="60"/>
    </x:row>
    <x:row r="107">
      <x:c r="A107" s="60" t="str">
        <x:v>New sheets</x:v>
      </x:c>
      <x:c r="B107" s="60" t="str">
        <x:v>41_AUTO_STAGE_AUDIT · 42_AUTO_VARIANTS · 43_AUTO_EVENT_PLAN · 44_DOUBLE_GRAPE_AUTO · 45_AUTO_LIGHT_PROFILES · 46_AUTO_ROOT_ZONE · 47_AUTO_SOURCES</x:v>
      </x:c>
      <x:c r="C107" s="60"/>
      <x:c r="D107" s="60"/>
      <x:c r="E107" s="60"/>
      <x:c r="F107" s="60"/>
    </x:row>
    <x:row r="108">
      <x:c r="A108" s="60" t="str">
        <x:v>Evidence</x:v>
      </x:c>
      <x:c r="B108" s="60" t="str">
        <x:v>Breeder/manufacturer guidance is explicitly separated from peer-reviewed/general cannabis evidence and UKD inference.</x:v>
      </x:c>
      <x:c r="C108" s="60"/>
      <x:c r="D108" s="60"/>
      <x:c r="E108" s="60"/>
      <x:c r="F108" s="60"/>
    </x:row>
    <x:row r="109">
      <x:c r="A109" s="60" t="str">
        <x:v>Operational rule</x:v>
      </x:c>
      <x:c r="B109" s="60" t="str">
        <x:v>PLANT/ROOT STATE &gt; CALENDAR. Unknown remains unknown.</x:v>
      </x:c>
      <x:c r="C109" s="60"/>
      <x:c r="D109" s="60"/>
      <x:c r="E109" s="60"/>
      <x:c r="F109" s="60"/>
    </x:row>
    <x:row r="110">
      <x:c r="A110" s="60" t="str">
        <x:v>Status</x:v>
      </x:c>
      <x:c r="B110" s="60" t="str">
        <x:v>v11.2 plan correction; app/domain resolver still needs state-machine implementation.</x:v>
      </x:c>
      <x:c r="C110" s="60"/>
      <x:c r="D110" s="60"/>
      <x:c r="E110" s="60"/>
      <x:c r="F110" s="60"/>
    </x:row>
    <x:row r="112">
      <x:c r="A112" s="2458" t="str">
        <x:v>v11.3 MIXED-AUTOFLOWER CORRECTION</x:v>
      </x:c>
      <x:c r="B112" s="2458"/>
      <x:c r="C112" s="2458"/>
      <x:c r="D112" s="2458"/>
      <x:c r="E112" s="2458"/>
      <x:c r="F112" s="2458"/>
    </x:row>
    <x:row r="113">
      <x:c r="A113" s="60" t="str">
        <x:v>Genetics</x:v>
      </x:c>
      <x:c r="B113" s="60" t="str">
        <x:v>P1 Double Grape Auto · P2 Banana Purple Punch Auto · P3 GG. #4 Auto</x:v>
      </x:c>
      <x:c r="C113" s="60"/>
      <x:c r="D113" s="60"/>
      <x:c r="E113" s="60"/>
      <x:c r="F113" s="60"/>
    </x:row>
    <x:row r="114">
      <x:c r="A114" s="60" t="str">
        <x:v>P0 change</x:v>
      </x:c>
      <x:c r="B114" s="60" t="str">
        <x:v>No global Bloom-Tag for mixed run. Plant-specific FlowerInitiation drives plant-level bloom state.</x:v>
      </x:c>
      <x:c r="C114" s="60"/>
      <x:c r="D114" s="60"/>
      <x:c r="E114" s="60"/>
      <x:c r="F114" s="60"/>
    </x:row>
    <x:row r="115">
      <x:c r="A115" s="60" t="str">
        <x:v>Canopy</x:v>
      </x:c>
      <x:c r="B115" s="60" t="str">
        <x:v>BPP tallest/densest priority for LST/airflow; GG4 medium-tall/dense; DG shortest/open and likely riser candidate.</x:v>
      </x:c>
      <x:c r="C115" s="60"/>
      <x:c r="D115" s="60"/>
      <x:c r="E115" s="60"/>
      <x:c r="F115" s="60"/>
    </x:row>
    <x:row r="116">
      <x:c r="A116" s="60" t="str">
        <x:v>Shared batch</x:v>
      </x:c>
      <x:c r="B116" s="60" t="str">
        <x:v>Allowed only when plant-specific resolved feed signatures are compatible.</x:v>
      </x:c>
      <x:c r="C116" s="60"/>
      <x:c r="D116" s="60"/>
      <x:c r="E116" s="60"/>
      <x:c r="F116" s="60"/>
    </x:row>
    <x:row r="117">
      <x:c r="A117" s="60" t="str">
        <x:v>Water</x:v>
      </x:c>
      <x:c r="B117" s="60" t="str">
        <x:v>Liters remain plant-specific even when concentration is shared.</x:v>
      </x:c>
      <x:c r="C117" s="60"/>
      <x:c r="D117" s="60"/>
      <x:c r="E117" s="60"/>
      <x:c r="F117" s="60"/>
    </x:row>
    <x:row r="118">
      <x:c r="A118" s="60" t="str">
        <x:v>Harvest</x:v>
      </x:c>
      <x:c r="B118" s="60" t="str">
        <x:v>Separate HarvestEvents; one plant can finish while others extend.</x:v>
      </x:c>
      <x:c r="C118" s="60"/>
      <x:c r="D118" s="60"/>
      <x:c r="E118" s="60"/>
      <x:c r="F118" s="60"/>
    </x:row>
    <x:row r="119">
      <x:c r="A119" s="60" t="str">
        <x:v>GG4 identity</x:v>
      </x:c>
      <x:c r="B119" s="60" t="str">
        <x:v>Sensible Seeds page identifies BSB Genetics. Verify physical seed pack before locking cultivar profile.</x:v>
      </x:c>
      <x:c r="C119" s="60"/>
      <x:c r="D119" s="60"/>
      <x:c r="E119" s="60"/>
      <x:c r="F119" s="60"/>
    </x:row>
    <x:row r="120">
      <x:c r="A120" s="60" t="str">
        <x:v>New sheets</x:v>
      </x:c>
      <x:c r="B120" s="60" t="str">
        <x:v>49_MIXED_CULTIVAR_PROFILE · 50_PLANT_STATE_MODEL · 51_CANOPY_BALANCE · 52_MIXED_BATCH_RESOLVER · 53_MIXED_CULTIVAR_SOURCES</x:v>
      </x:c>
      <x:c r="C120" s="60"/>
      <x:c r="D120" s="60"/>
      <x:c r="E120" s="60"/>
      <x:c r="F120" s="60"/>
    </x:row>
    <x:row r="121">
      <x:c r="A121" s="60" t="str">
        <x:v>Status</x:v>
      </x:c>
      <x:c r="B121" s="60" t="str">
        <x:v>Workbook expresses target model; app resolver still needs per-plant state implementation.</x:v>
      </x:c>
      <x:c r="C121" s="60"/>
      <x:c r="D121" s="60"/>
      <x:c r="E121" s="60"/>
      <x:c r="F121" s="60"/>
    </x:row>
    <x:row r="122">
      <x:c r="A122" s="60"/>
      <x:c r="B122" s="60"/>
      <x:c r="C122" s="60"/>
      <x:c r="D122" s="60"/>
      <x:c r="E122" s="60"/>
      <x:c r="F122" s="60"/>
    </x:row>
    <x:row r="123">
      <x:c r="A123" s="60"/>
      <x:c r="B123" s="60"/>
      <x:c r="C123" s="60"/>
      <x:c r="D123" s="60"/>
      <x:c r="E123" s="60"/>
      <x:c r="F123" s="60"/>
    </x:row>
    <x:row r="124">
      <x:c r="A124" s="2469" t="str">
        <x:v>v11.4 MANUFACTURER-SCHEMA RECONCILIATION</x:v>
      </x:c>
      <x:c r="B124" s="2469"/>
      <x:c r="C124" s="2469"/>
      <x:c r="D124" s="2469"/>
      <x:c r="E124" s="2469"/>
      <x:c r="F124" s="2469"/>
    </x:row>
    <x:row r="125">
      <x:c r="A125" s="60" t="str">
        <x:v>AN Voodoo Juice</x:v>
      </x:c>
      <x:c r="B125" s="60" t="str">
        <x:v>BUG FIX: nicht mehr 1×/Woche. 2 ml/L in G1–G2 + B1–B2; actual irrigation/feed event gates application.</x:v>
      </x:c>
      <x:c r="C125" s="60"/>
      <x:c r="D125" s="60"/>
      <x:c r="E125" s="60"/>
      <x:c r="F125" s="60"/>
    </x:row>
    <x:row r="126">
      <x:c r="A126" s="60" t="str">
        <x:v>AN Tarantula</x:v>
      </x:c>
      <x:c r="B126" s="60" t="str">
        <x:v>BUG FIX/UI FIX: gleiche Fenster wie Voodoo; eigenständig in Today/Mix sichtbar.</x:v>
      </x:c>
      <x:c r="C126" s="60"/>
      <x:c r="D126" s="60"/>
      <x:c r="E126" s="60"/>
      <x:c r="F126" s="60"/>
    </x:row>
    <x:row r="127">
      <x:c r="A127" s="60" t="str">
        <x:v>AN source status</x:v>
      </x:c>
      <x:c r="B127" s="60" t="str">
        <x:v>Uploaded Sensi Master Recipe + current AN product/feed pages agree on 2 ml/L in weeks 1–2 grow and bloom.</x:v>
      </x:c>
      <x:c r="C127" s="60"/>
      <x:c r="D127" s="60"/>
      <x:c r="E127" s="60"/>
      <x:c r="F127" s="60"/>
    </x:row>
    <x:row r="128">
      <x:c r="A128" s="60" t="str">
        <x:v>HESI PowerZyme</x:v>
      </x:c>
      <x:c r="B128" s="60" t="str">
        <x:v>Source conflict retained: uploaded HESI Coco chart 2017 says 1–2×/week; current HESI product page says continuous life-cycle use. Current formula follows current web source.</x:v>
      </x:c>
      <x:c r="C128" s="60"/>
      <x:c r="D128" s="60"/>
      <x:c r="E128" s="60"/>
      <x:c r="F128" s="60"/>
    </x:row>
    <x:row r="129">
      <x:c r="A129" s="60" t="str">
        <x:v>HESI Boost</x:v>
      </x:c>
      <x:c r="B129" s="60" t="str">
        <x:v>UKD stays conservative ~weekly; explicitly not manufacturer cadence. Current HESI says regular/continuous bloom use.</x:v>
      </x:c>
      <x:c r="C129" s="60"/>
      <x:c r="D129" s="60"/>
      <x:c r="E129" s="60"/>
      <x:c r="F129" s="60"/>
    </x:row>
    <x:row r="130">
      <x:c r="A130" s="60" t="str">
        <x:v>HESI PK13/14</x:v>
      </x:c>
      <x:c r="B130" s="60" t="str">
        <x:v>UKD conservative 0.25–0.50 ml/L BT29–42; not called weekly anymore. Manufacturer allows 0.25–1.5 ml/L progressive second half.</x:v>
      </x:c>
      <x:c r="C130" s="60"/>
      <x:c r="D130" s="60"/>
      <x:c r="E130" s="60"/>
      <x:c r="F130" s="60"/>
    </x:row>
    <x:row r="131">
      <x:c r="A131" s="60" t="str">
        <x:v>Important semantics</x:v>
      </x:c>
      <x:c r="B131" s="60" t="str">
        <x:v>A positive daily plan concentration is only eligibility. If no actual irrigation/feed event occurs, nothing is mixed/applied.</x:v>
      </x:c>
      <x:c r="C131" s="60"/>
      <x:c r="D131" s="60"/>
      <x:c r="E131" s="60"/>
      <x:c r="F131" s="60"/>
    </x:row>
    <x:row r="132">
      <x:c r="A132" s="60" t="str">
        <x:v>Mixed-run caveat</x:v>
      </x:c>
      <x:c r="B132" s="60" t="str">
        <x:v>Bloom G/B windows still use run-level projection until plant-specific FlowerInitiation resolver is implemented (known P0 from forensic audit).</x:v>
      </x:c>
      <x:c r="C132" s="60"/>
      <x:c r="D132" s="60"/>
      <x:c r="E132" s="60"/>
      <x:c r="F132" s="60"/>
    </x:row>
    <x:row r="133">
      <x:c r="A133" s="60" t="str">
        <x:v>Sources</x:v>
      </x:c>
      <x:c r="B133" s="60" t="str">
        <x:v>AN: https://www.advancednutrients.com/de/feeding/ ; https://www.advancednutrients.com/de/products/voodoo-juice/ ; https://www.advancednutrients.com/de/products/tarantula/ ; HESI: https://hesi.nl/de/PowerZyme ; https://hesi.nl/de/Boost ; https://hesi.nl/de/PK-13-14</x:v>
      </x:c>
      <x:c r="C133" s="60"/>
      <x:c r="D133" s="60"/>
      <x:c r="E133" s="60"/>
      <x:c r="F133" s="60"/>
    </x:row>
    <x:row r="134">
      <x:c r="A134" s="60" t="str">
        <x:v>Uploaded charts</x:v>
      </x:c>
      <x:c r="B134" s="60" t="str">
        <x:v>Advanced Nutrients 2021.jpg; HESI Coco Zuchtschema (image marked Hesi Plantenvoeding BV 2017).</x:v>
      </x:c>
      <x:c r="C134" s="60"/>
      <x:c r="D134" s="60"/>
      <x:c r="E134" s="60"/>
      <x:c r="F134" s="60"/>
    </x:row>
    <x:row r="136">
      <x:c r="A136" s="2473" t="str">
        <x:v>v11.5 CLOCK + pH STATE CORRECTION</x:v>
      </x:c>
      <x:c r="B136" s="2473"/>
      <x:c r="C136" s="2473"/>
      <x:c r="D136" s="2473"/>
      <x:c r="E136" s="2473"/>
      <x:c r="F136" s="2473"/>
    </x:row>
    <x:row r="137">
      <x:c r="A137" s="60" t="str">
        <x:v>Run Day 0</x:v>
      </x:c>
      <x:c r="B137" s="60" t="str">
        <x:v>21.08.2026 = Aussaat. Run Day ist Logistik-/Historienuhr.</x:v>
      </x:c>
      <x:c r="C137" s="60"/>
      <x:c r="D137" s="60"/>
      <x:c r="E137" s="60"/>
      <x:c r="F137" s="60"/>
    </x:row>
    <x:row r="138">
      <x:c r="A138" s="60" t="str">
        <x:v>P1 Double Grape Plant Day 0</x:v>
      </x:c>
      <x:c r="B138" s="60" t="str">
        <x:v>23.08.2026 = sichtbarer Durchbruch. 24.08.2026 = Plant Day 1.</x:v>
      </x:c>
      <x:c r="C138" s="60"/>
      <x:c r="D138" s="60"/>
      <x:c r="E138" s="60"/>
      <x:c r="F138" s="60"/>
    </x:row>
    <x:row r="139">
      <x:c r="A139" s="60" t="str">
        <x:v>P2/P3</x:v>
      </x:c>
      <x:c r="B139" s="60" t="str">
        <x:v>Plant Day bleibt PRE-EMERGENCE bis das jeweilige Durchbruchdatum eingetragen wird.</x:v>
      </x:c>
      <x:c r="C139" s="60"/>
      <x:c r="D139" s="60"/>
      <x:c r="E139" s="60"/>
      <x:c r="F139" s="60"/>
    </x:row>
    <x:row r="140">
      <x:c r="A140" s="60" t="str">
        <x:v>Bloom Day</x:v>
      </x:c>
      <x:c r="B140" s="60" t="str">
        <x:v>beginnt separat erst bei bestätigter plant-spezifischer FlowerInitiation.</x:v>
      </x:c>
      <x:c r="C140" s="60"/>
      <x:c r="D140" s="60"/>
      <x:c r="E140" s="60"/>
      <x:c r="F140" s="60"/>
    </x:row>
    <x:row r="141">
      <x:c r="A141" s="60" t="str">
        <x:v>pH Eazy Plug/Block</x:v>
      </x:c>
      <x:c r="B141" s="60" t="str">
        <x:v>5.80 manufacturer reference.</x:v>
      </x:c>
      <x:c r="C141" s="60"/>
      <x:c r="D141" s="60"/>
      <x:c r="E141" s="60"/>
      <x:c r="F141" s="60"/>
    </x:row>
    <x:row r="142">
      <x:c r="A142" s="60" t="str">
        <x:v>pH final coco</x:v>
      </x:c>
      <x:c r="B142" s="60" t="str">
        <x:v>6.00 UKD working setpoint = midpoint of HESI 5.8–6.2 band. Do not chase hundredths.</x:v>
      </x:c>
      <x:c r="C142" s="60"/>
      <x:c r="D142" s="60"/>
      <x:c r="E142" s="60"/>
      <x:c r="F142" s="60"/>
    </x:row>
    <x:row r="143">
      <x:c r="A143" s="60" t="str">
        <x:v>Athena Balance</x:v>
      </x:c>
      <x:c r="B143" s="60" t="str">
        <x:v>ab Plant Day 0 AVAILABLE IF NEEDED; no calendar dose. Use only as pH-up/buffer if complete endmix is below target.</x:v>
      </x:c>
      <x:c r="C143" s="60"/>
      <x:c r="D143" s="60"/>
      <x:c r="E143" s="60"/>
      <x:c r="F143" s="60"/>
    </x:row>
    <x:row r="144">
      <x:c r="A144" s="60" t="str">
        <x:v>Water measured</x:v>
      </x:c>
      <x:c r="B144" s="60" t="str">
        <x:v>pH 8.3 · EC 0.539 mS/cm. Ca/Mg/HCO3 remain unconfirmed; generic city-water preset removed from operational truth.</x:v>
      </x:c>
      <x:c r="C144" s="60"/>
      <x:c r="D144" s="60"/>
      <x:c r="E144" s="60"/>
      <x:c r="F144" s="60"/>
    </x:row>
    <x:row r="145">
      <x:c r="A145" s="60" t="str">
        <x:v>New sheet</x:v>
      </x:c>
      <x:c r="B145" s="60" t="str">
        <x:v>55_PH_DAILY_POLICY gives every Run Day an exact working setpoint plus source/boundary.</x:v>
      </x:c>
      <x:c r="C145" s="60"/>
      <x:c r="D145" s="60"/>
      <x:c r="E145" s="60"/>
      <x:c r="F145" s="60"/>
    </x:row>
    <x:row r="146">
      <x:c r="A146" s="60" t="str">
        <x:v>Core warning</x:v>
      </x:c>
      <x:c r="B146" s="60" t="str">
        <x:v>Daily pH row is a projection; actual root-state/plant-level resolver overrides the calendar.</x:v>
      </x:c>
      <x:c r="C146" s="60"/>
      <x:c r="D146" s="60"/>
      <x:c r="E146" s="60"/>
      <x:c r="F146" s="60"/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full reference + HESI hybrid module classification (v7)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CORE COMPLEMENT — Voodoo only default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ALT PK — replaces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A/B — overlap Root Complex/SuperVit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ALT PK — late replacement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OPTIONAL MICROBE — redundancy review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ALT CARBO — replaces HESI Boost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NOT UKD REFERENCE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OPTIONAL MICROBE — redundancy review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EXPERIMENTAL — K/kelp overlap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 ENZYME — replaces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ALT PK — early replacement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ALT SILICA — replaces Athena/Hesilicio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EXPERIMENTAL — manufacturer-compatible, efficacy unverified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v9 · FORENSISCHER CONTENT-/WORKBOOK-/UX-AUDIT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A56</x:v>
      </x:c>
      <x:c r="B56" s="60" t="str">
        <x:v>HIGH</x:v>
      </x:c>
      <x:c r="C56" s="60" t="str">
        <x:v>Product coverage gap</x:v>
      </x:c>
      <x:c r="D56" s="60" t="str">
        <x:v>Reference sheets contained products that were not guaranteed to reach Daily/Dashboard/Mix.</x:v>
      </x:c>
      <x:c r="E56" s="60" t="str">
        <x:v>FIXED v7</x:v>
      </x:c>
      <x:c r="F56" s="60" t="str">
        <x:v>Coverage gate + explicit Daily columns + Mix block.</x:v>
      </x:c>
      <x:c r="G56" s="60" t="str">
        <x:v>UKD audit</x:v>
      </x:c>
      <x:c r="H56" s="60" t="str">
        <x:v>Residual: app importer must preserve states.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A57</x:v>
      </x:c>
      <x:c r="B57" s="60" t="str">
        <x:v>HIGH</x:v>
      </x:c>
      <x:c r="C57" s="60" t="str">
        <x:v>HESI support visibility</x:v>
      </x:c>
      <x:c r="D57" s="60" t="str">
        <x:v>Root/SuperVit/PowerZyme were too sparse in the operational view relative to manufacturer guidance.</x:v>
      </x:c>
      <x:c r="E57" s="60" t="str">
        <x:v>FIXED v7</x:v>
      </x:c>
      <x:c r="F57" s="60" t="str">
        <x:v>Root frequent-use early path; SuperVit visible every watering; PowerZyme continuous-use path.</x:v>
      </x:c>
      <x:c r="G57" s="60" t="str">
        <x:v>HESI manufacturer</x:v>
      </x:c>
      <x:c r="H57" s="60" t="str">
        <x:v>Actual application still requires a watering event.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A58</x:v>
      </x:c>
      <x:c r="B58" s="60" t="str">
        <x:v>HIGH</x:v>
      </x:c>
      <x:c r="C58" s="60" t="str">
        <x:v>Grand Master products not operationally structured</x:v>
      </x:c>
      <x:c r="D58" s="60" t="str">
        <x:v>Most AN products existed only as text/reference.</x:v>
      </x:c>
      <x:c r="E58" s="60" t="str">
        <x:v>FIXED v7</x:v>
      </x:c>
      <x:c r="F58" s="60" t="str">
        <x:v>Explicit module columns and batch calculator.</x:v>
      </x:c>
      <x:c r="G58" s="60" t="str">
        <x:v>AN manufacturer</x:v>
      </x:c>
      <x:c r="H58" s="60" t="str">
        <x:v>Full GM still blocked as HESI add-on.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  <x:row r="59">
      <x:c r="A59" t="str">
        <x:v>A59</x:v>
      </x:c>
      <x:c r="B59" t="str">
        <x:v>HIGH</x:v>
      </x:c>
      <x:c r="C59" t="str">
        <x:v>Compatibility != efficacy</x:v>
      </x:c>
      <x:c r="D59" t="str">
        <x:v>Cross-brand compatibility could be misread as proven benefit.</x:v>
      </x:c>
      <x:c r="E59" t="str">
        <x:v>FIXED v7</x:v>
      </x:c>
      <x:c r="F59" t="str">
        <x:v>Evidence text and experimental classes.</x:v>
      </x:c>
      <x:c r="G59" t="str">
        <x:v>AN manufacturer</x:v>
      </x:c>
      <x:c r="H59" t="str">
        <x:v>Independent hybrid trials largely absent.</x:v>
      </x:c>
    </x:row>
    <x:row r="60">
      <x:c r="A60" t="str">
        <x:v>A60</x:v>
      </x:c>
      <x:c r="B60" t="str">
        <x:v>HIGH</x:v>
      </x:c>
      <x:c r="C60" t="str">
        <x:v>Functional stacking</x:v>
      </x:c>
      <x:c r="D60" t="str">
        <x:v>Carbo/enzyme/silica/PK pathways could be duplicated.</x:v>
      </x:c>
      <x:c r="E60" t="str">
        <x:v>FIXED v7</x:v>
      </x:c>
      <x:c r="F60" t="str">
        <x:v>Mutually exclusive alternative modules.</x:v>
      </x:c>
      <x:c r="G60" t="str">
        <x:v>Manufacturer role mapping</x:v>
      </x:c>
      <x:c r="H60" t="str">
        <x:v>Overlap boundaries remain product-formulation dependent.</x:v>
      </x:c>
    </x:row>
    <x:row r="61">
      <x:c r="A61" t="str">
        <x:v>A61</x:v>
      </x:c>
      <x:c r="B61" t="str">
        <x:v>MEDIUM</x:v>
      </x:c>
      <x:c r="C61" t="str">
        <x:v>Microbiome redundancy</x:v>
      </x:c>
      <x:c r="D61" t="str">
        <x:v>Voodoo/Piranha/Tarantula can add variables in a biologically active medium.</x:v>
      </x:c>
      <x:c r="E61" t="str">
        <x:v>MITIGATED</x:v>
      </x:c>
      <x:c r="F61" t="str">
        <x:v>Voodoo only default; trio review/A-B.</x:v>
      </x:c>
      <x:c r="G61" t="str">
        <x:v>UKD evidence guard</x:v>
      </x:c>
      <x:c r="H61" t="str">
        <x:v>Medium inoculant composition should be reverified per product lot/version.</x:v>
      </x:c>
    </x:row>
    <x:row r="62">
      <x:c r="A62" t="str">
        <x:v>A62</x:v>
      </x:c>
      <x:c r="B62" t="str">
        <x:v>MEDIUM</x:v>
      </x:c>
      <x:c r="C62" t="str">
        <x:v>Plant-aid misuse</x:v>
      </x:c>
      <x:c r="D62" t="str">
        <x:v>CalMag/Revive could become calendar additives.</x:v>
      </x:c>
      <x:c r="E62" t="str">
        <x:v>FIXED v7</x:v>
      </x:c>
      <x:c r="F62" t="str">
        <x:v>Water-chemistry gate + diagnostic-only Revive.</x:v>
      </x:c>
      <x:c r="G62" t="str">
        <x:v>AN manufacturer</x:v>
      </x:c>
      <x:c r="H62" t="str">
        <x:v>Diagnosis quality depends on measurement quality.</x:v>
      </x:c>
    </x:row>
    <x:row r="63">
      <x:c r="A63" t="str">
        <x:v>A63</x:v>
      </x:c>
      <x:c r="B63" t="str">
        <x:v>MEDIUM</x:v>
      </x:c>
      <x:c r="C63" t="str">
        <x:v>Source/version drift</x:v>
      </x:c>
      <x:c r="D63" t="str">
        <x:v>AN/HESI product names and feed charts can change.</x:v>
      </x:c>
      <x:c r="E63" t="str">
        <x:v>MITIGATED</x:v>
      </x:c>
      <x:c r="F63" t="str">
        <x:v>Source ledger dated 2026-08-09; app import keys versioned.</x:v>
      </x:c>
      <x:c r="G63" t="str">
        <x:v>Manufacturer primary sources</x:v>
      </x:c>
      <x:c r="H63" t="str">
        <x:v>Recheck each release.</x:v>
      </x:c>
    </x:row>
    <x:row r="64">
      <x:c r="A64" t="str">
        <x:v>A64</x:v>
      </x:c>
      <x:c r="B64" t="str">
        <x:v>HIGH</x:v>
      </x:c>
      <x:c r="C64" t="str">
        <x:v>Inventory mismatch</x:v>
      </x:c>
      <x:c r="D64" t="str">
        <x:v>v7 default still referenced products the user does not own while owned Tarantula/Sensi CalMag were not selected.</x:v>
      </x:c>
      <x:c r="E64" t="str">
        <x:v>FIXED v8</x:v>
      </x:c>
      <x:c r="F64" t="str">
        <x:v>Owned-stock preset selects Voodoo+Tarantula, HESI Boost, Athena Balance, HESI PK, Sensi CalMag conditional.</x:v>
      </x:c>
      <x:c r="G64" t="str">
        <x:v>User inventory + manufacturer</x:v>
      </x:c>
      <x:c r="H64" t="str">
        <x:v>Stock is not efficacy evidence.</x:v>
      </x:c>
    </x:row>
    <x:row r="65">
      <x:c r="A65" t="str">
        <x:v>A65</x:v>
      </x:c>
      <x:c r="B65" t="str">
        <x:v>HIGH</x:v>
      </x:c>
      <x:c r="C65" t="str">
        <x:v>CalMag auto-dose risk</x:v>
      </x:c>
      <x:c r="D65" t="str">
        <x:v>v7 Sensi CalMag formula could produce label dose after chemistry became numeric.</x:v>
      </x:c>
      <x:c r="E65" t="str">
        <x:v>FIXED v8</x:v>
      </x:c>
      <x:c r="F65" t="str">
        <x:v>Sensi CalMag dose now equals explicit CalMag Plan only; default remains 0.</x:v>
      </x:c>
      <x:c r="G65" t="str">
        <x:v>AN manufacturer + UKD safety</x:v>
      </x:c>
      <x:c r="H65" t="str">
        <x:v>Need still requires diagnosis/water context.</x:v>
      </x:c>
    </x:row>
    <x:row r="66">
      <x:c r="A66" t="str">
        <x:v>A66</x:v>
      </x:c>
      <x:c r="B66" t="str">
        <x:v>MEDIUM</x:v>
      </x:c>
      <x:c r="C66" t="str">
        <x:v>CarboLoad repurchase pressure</x:v>
      </x:c>
      <x:c r="D66" t="str">
        <x:v>Small remaining stock could encourage redundant carbohydrate stacking.</x:v>
      </x:c>
      <x:c r="E66" t="str">
        <x:v>FIXED v8</x:v>
      </x:c>
      <x:c r="F66" t="str">
        <x:v>OFF; no repurchase while HESI Boost selected.</x:v>
      </x:c>
      <x:c r="G66" t="str">
        <x:v>HESI/AN manufacturer</x:v>
      </x:c>
      <x:c r="H66" t="str">
        <x:v>Future A/B remains possible.</x:v>
      </x:c>
    </x:row>
    <x:row r="67">
      <x:c r="A67" t="str">
        <x:v>A67</x:v>
      </x:c>
      <x:c r="B67" t="str">
        <x:v>MEDIUM</x:v>
      </x:c>
      <x:c r="C67" t="str">
        <x:v>Tarantula omission</x:v>
      </x:c>
      <x:c r="D67" t="str">
        <x:v>Owned Tarantula was not represented in selected core.</x:v>
      </x:c>
      <x:c r="E67" t="str">
        <x:v>FIXED v8</x:v>
      </x:c>
      <x:c r="F67" t="str">
        <x:v>Voodoo+Tarantula pair supported by manufacturer and modeled explicitly.</x:v>
      </x:c>
      <x:c r="G67" t="str">
        <x:v>AN manufacturer</x:v>
      </x:c>
      <x:c r="H67" t="str">
        <x:v>Incremental benefit vs Voodoo alone unproven independently.</x:v>
      </x:c>
    </x:row>
    <x:row r="68">
      <x:c r="A68" t="str">
        <x:v>A68</x:v>
      </x:c>
      <x:c r="B68" t="str">
        <x:v>MEDIUM</x:v>
      </x:c>
      <x:c r="C68" t="str">
        <x:v>Si purchase mismatch</x:v>
      </x:c>
      <x:c r="D68" t="str">
        <x:v>Alternative silicon paths were shown despite owned Athena Balance preference.</x:v>
      </x:c>
      <x:c r="E68" t="str">
        <x:v>FIXED v8</x:v>
      </x:c>
      <x:c r="F68" t="str">
        <x:v>Athena Balance is preferred selected path; Rhino/Hesilicio not purchase targets.</x:v>
      </x:c>
      <x:c r="G68" t="str">
        <x:v>Athena + inventory</x:v>
      </x:c>
      <x:c r="H68" t="str">
        <x:v>Athena dose remains conditional.</x:v>
      </x:c>
    </x:row>
    <x:row r="69">
      <x:c r="A69" t="str">
        <x:v>A69</x:v>
      </x:c>
      <x:c r="B69" t="str">
        <x:v>MEDIUM</x:v>
      </x:c>
      <x:c r="C69" t="str">
        <x:v>Tasty Terpenes stock pressure</x:v>
      </x:c>
      <x:c r="D69" t="str">
        <x:v>Owned product might be interpreted as mandatory.</x:v>
      </x:c>
      <x:c r="E69" t="str">
        <x:v>FIXED v8</x:v>
      </x:c>
      <x:c r="F69" t="str">
        <x:v>Owned but OFF/A-B only due overlap and uncertainty.</x:v>
      </x:c>
      <x:c r="G69" t="str">
        <x:v>AN manufacturer + UKD inference</x:v>
      </x:c>
      <x:c r="H69" t="str">
        <x:v>May be evaluated in a later isolated run.</x:v>
      </x:c>
    </x:row>
    <x:row r="70">
      <x:c r="A70" t="str">
        <x:v>A70</x:v>
      </x:c>
      <x:c r="B70" t="str">
        <x:v>LOW</x:v>
      </x:c>
      <x:c r="C70" t="str">
        <x:v>App inventory handoff</x:v>
      </x:c>
      <x:c r="D70" t="str">
        <x:v>No normalized current-stock table existed.</x:v>
      </x:c>
      <x:c r="E70" t="str">
        <x:v>FIXED v8</x:v>
      </x:c>
      <x:c r="F70" t="str">
        <x:v>Added 28_Current_Inventory and stock columns to 27_HESI_AN_Hybrid.</x:v>
      </x:c>
      <x:c r="G70" t="str">
        <x:v>UKD architecture</x:v>
      </x:c>
      <x:c r="H70" t="str">
        <x:v>Quantity/lot/expiry still user-entered.</x:v>
      </x:c>
    </x:row>
    <x:row r="71">
      <x:c r="A71" s="60" t="str">
        <x:v>A71</x:v>
      </x:c>
      <x:c r="B71" s="60" t="str">
        <x:v>CRITICAL</x:v>
      </x:c>
      <x:c r="C71" s="60" t="str">
        <x:v>Bloom-Tag formula-column bug</x:v>
      </x:c>
      <x:c r="D71" s="60" t="str">
        <x:v>11 Daily formula families used AJ (GM Phase text) as if it were numeric Bloom-Tag; PowerZyme/PK and optional AN windows could resolve to 0 incorrectly.</x:v>
      </x:c>
      <x:c r="E71" s="60" t="str">
        <x:v>FIXED v9</x:v>
      </x:c>
      <x:c r="F71" s="60" t="str">
        <x:v>All affected formulas now use AL numeric Bloom-Tag; no remaining AJ references in Daily formulas.</x:v>
      </x:c>
      <x:c r="G71" s="60" t="str">
        <x:v>Workbook formula audit</x:v>
      </x:c>
      <x:c r="H71" s="60" t="str">
        <x:v>Add golden parity tests in app/CI.</x:v>
      </x:c>
    </x:row>
    <x:row r="72">
      <x:c r="A72" s="60" t="str">
        <x:v>A72</x:v>
      </x:c>
      <x:c r="B72" s="60" t="str">
        <x:v>HIGH</x:v>
      </x:c>
      <x:c r="C72" s="60" t="str">
        <x:v>App/content version skew</x:v>
      </x:c>
      <x:c r="D72" s="60" t="str">
        <x:v>Archived app is package 6.0.0 and architecture snapshot points to workbook-v6 while operational artifacts reached v8.</x:v>
      </x:c>
      <x:c r="E72" s="60" t="str">
        <x:v>OPEN APP P0</x:v>
      </x:c>
      <x:c r="F72" s="60" t="str">
        <x:v>Introduce release manifest and migrate app data snapshot to current schema.</x:v>
      </x:c>
      <x:c r="G72" s="60" t="str">
        <x:v>package.json + ARCHITECTURE.md</x:v>
      </x:c>
      <x:c r="H72" s="60" t="str">
        <x:v>Do not claim v9 app until code/import/tests updated.</x:v>
      </x:c>
    </x:row>
    <x:row r="73">
      <x:c r="A73" s="60" t="str">
        <x:v>A73</x:v>
      </x:c>
      <x:c r="B73" s="60" t="str">
        <x:v>HIGH</x:v>
      </x:c>
      <x:c r="C73" s="60" t="str">
        <x:v>Incorrect nav-count assumption</x:v>
      </x:c>
      <x:c r="D73" s="60" t="str">
        <x:v>Proposed redesign states 21 navigation entries; current App.tsx NAV has 12.</x:v>
      </x:c>
      <x:c r="E73" s="60" t="str">
        <x:v>CORRECTED PLAN</x:v>
      </x:c>
      <x:c r="F73" s="60" t="str">
        <x:v>UX plan uses actual 12 current routes; target 14 after real Setup + Log implementation.</x:v>
      </x:c>
      <x:c r="G73" s="60" t="str">
        <x:v>src/App.tsx</x:v>
      </x:c>
      <x:c r="H73" s="60" t="str">
        <x:v>Avoid designing around mock/invented routes.</x:v>
      </x:c>
    </x:row>
    <x:row r="74">
      <x:c r="A74" s="60" t="str">
        <x:v>A74</x:v>
      </x:c>
      <x:c r="B74" s="60" t="str">
        <x:v>HIGH</x:v>
      </x:c>
      <x:c r="C74" s="60" t="str">
        <x:v>Missing Setup/Log routes</x:v>
      </x:c>
      <x:c r="D74" s="60" t="str">
        <x:v>Guided target assumes Setup and Log, but current app has neither as route/persistent workflow.</x:v>
      </x:c>
      <x:c r="E74" s="60" t="str">
        <x:v>OPEN APP P1</x:v>
      </x:c>
      <x:c r="F74" s="60" t="str">
        <x:v>Add Setup wizard + Journal/Event Log backed by versioned repository.</x:v>
      </x:c>
      <x:c r="G74" s="60" t="str">
        <x:v>src/App.tsx + MIGRATION.md</x:v>
      </x:c>
      <x:c r="H74" s="60" t="str">
        <x:v>Workbook/PDF can define contract now; app implementation separate.</x:v>
      </x:c>
    </x:row>
    <x:row r="75">
      <x:c r="A75" s="60" t="str">
        <x:v>A75</x:v>
      </x:c>
      <x:c r="B75" s="60" t="str">
        <x:v>HIGH</x:v>
      </x:c>
      <x:c r="C75" s="60" t="str">
        <x:v>Propagation path absent</x:v>
      </x:c>
      <x:c r="D75" s="60" t="str">
        <x:v>Eazy Plug/Block and final UGro Rhiza medium were not separate setup states.</x:v>
      </x:c>
      <x:c r="E75" s="60" t="str">
        <x:v>FIXED PLAN v9</x:v>
      </x:c>
      <x:c r="F75" s="60" t="str">
        <x:v>Added propagation/medium path, substrate references, feed gate and transplant trigger.</x:v>
      </x:c>
      <x:c r="G75" s="60" t="str">
        <x:v>Eazy Plug + UGro + HESI</x:v>
      </x:c>
      <x:c r="H75" s="60" t="str">
        <x:v>Exact product sizes still user-confirmed input.</x:v>
      </x:c>
    </x:row>
    <x:row r="76">
      <x:c r="A76" s="60" t="str">
        <x:v>A76</x:v>
      </x:c>
      <x:c r="B76" s="60" t="str">
        <x:v>HIGH</x:v>
      </x:c>
      <x:c r="C76" s="60" t="str">
        <x:v>Day-based early feed mental model</x:v>
      </x:c>
      <x:c r="D76" s="60" t="str">
        <x:v>Nutrient start day could be interpreted as automatic authorization despite seed reserves and pre-fertilised propagation media.</x:v>
      </x:c>
      <x:c r="E76" s="60" t="str">
        <x:v>MITIGATED v9</x:v>
      </x:c>
      <x:c r="F76" s="60" t="str">
        <x:v>Renamed to earliest reference day and added plant/medium gate.</x:v>
      </x:c>
      <x:c r="G76" s="60" t="str">
        <x:v>HESI TNT + Eazy Plug</x:v>
      </x:c>
      <x:c r="H76" s="60" t="str">
        <x:v>Daily formula still carries a reference schedule; UI must surface gate.</x:v>
      </x:c>
    </x:row>
    <x:row r="77">
      <x:c r="A77" s="60" t="str">
        <x:v>A77</x:v>
      </x:c>
      <x:c r="B77" s="60" t="str">
        <x:v>MEDIUM</x:v>
      </x:c>
      <x:c r="C77" s="60" t="str">
        <x:v>PDF operator orientation</x:v>
      </x:c>
      <x:c r="D77" s="60" t="str">
        <x:v>v8 full PDF was 231 pages with thin front matter and weak task orientation.</x:v>
      </x:c>
      <x:c r="E77" s="60" t="str">
        <x:v>FIXED PDF v9</x:v>
      </x:c>
      <x:c r="F77" s="60" t="str">
        <x:v>New operator front matter, visual flow, feed map, state legend and app transformation plan; detailed pages retained as appendix.</x:v>
      </x:c>
      <x:c r="G77" s="60" t="str">
        <x:v>PDF review</x:v>
      </x:c>
      <x:c r="H77" s="60" t="str">
        <x:v>Keep appendix searchable/bookmarked.</x:v>
      </x:c>
    </x:row>
    <x:row r="78">
      <x:c r="A78" s="60" t="str">
        <x:v>A78</x:v>
      </x:c>
      <x:c r="B78" s="60" t="str">
        <x:v>MEDIUM</x:v>
      </x:c>
      <x:c r="C78" s="60" t="str">
        <x:v>Workbook start-point ambiguity</x:v>
      </x:c>
      <x:c r="D78" s="60" t="str">
        <x:v>Dashboard was dense and assumed knowledge of tab structure.</x:v>
      </x:c>
      <x:c r="E78" s="60" t="str">
        <x:v>FIXED XLSX v9</x:v>
      </x:c>
      <x:c r="F78" s="60" t="str">
        <x:v>00_Dashboard transformed into Start Here with 3-step journey, current setup and legend.</x:v>
      </x:c>
      <x:c r="G78" s="60" t="str">
        <x:v>Workbook review</x:v>
      </x:c>
      <x:c r="H78" s="60" t="str">
        <x:v>Future app mirrors same journey.</x:v>
      </x:c>
    </x:row>
    <x:row r="79">
      <x:c r="A79" s="60" t="str">
        <x:v>A79</x:v>
      </x:c>
      <x:c r="B79" s="60" t="str">
        <x:v>MEDIUM</x:v>
      </x:c>
      <x:c r="C79" s="60" t="str">
        <x:v>Glossary/context gap</x:v>
      </x:c>
      <x:c r="D79" s="60" t="str">
        <x:v>Technical concepts were not normalized as structured reusable definitions.</x:v>
      </x:c>
      <x:c r="E79" s="60" t="str">
        <x:v>FIXED PLAN v9</x:v>
      </x:c>
      <x:c r="F79" s="60" t="str">
        <x:v>Added 32_GLOSSARY_STATES; app target is context wiki with tap/focus/hover preview.</x:v>
      </x:c>
      <x:c r="G79" s="60" t="str">
        <x:v>UX plan</x:v>
      </x:c>
      <x:c r="H79" s="60" t="str">
        <x:v>Critical meaning remains inline in Guided.</x:v>
      </x:c>
    </x:row>
    <x:row r="80">
      <x:c r="A80" s="60" t="str">
        <x:v>A80</x:v>
      </x:c>
      <x:c r="B80" s="60" t="str">
        <x:v>MEDIUM</x:v>
      </x:c>
      <x:c r="C80" s="60" t="str">
        <x:v>Release acceptance scattered</x:v>
      </x:c>
      <x:c r="D80" s="60" t="str">
        <x:v>Safety/UX/accessibility/data gates existed across docs but not as a single release matrix.</x:v>
      </x:c>
      <x:c r="E80" s="60" t="str">
        <x:v>FIXED PLAN v9</x:v>
      </x:c>
      <x:c r="F80" s="60" t="str">
        <x:v>Added 33_RELEASE_GATES with P0-P4 acceptance criteria.</x:v>
      </x:c>
      <x:c r="G80" s="60" t="str">
        <x:v>Docs + gap analysis</x:v>
      </x:c>
      <x:c r="H80" s="60" t="str">
        <x:v>CI implementation still pending for app.</x:v>
      </x:c>
    </x:row>
    <x:row r="81">
      <x:c r="A81" s="60" t="str">
        <x:v>A81</x:v>
      </x:c>
      <x:c r="B81" s="60" t="str">
        <x:v>LOW</x:v>
      </x:c>
      <x:c r="C81" s="60" t="str">
        <x:v>Inventory lifecycle metadata</x:v>
      </x:c>
      <x:c r="D81" s="60" t="str">
        <x:v>Inventory tracks presence/state but not quantity, lot, opened or expiry.</x:v>
      </x:c>
      <x:c r="E81" s="60" t="str">
        <x:v>MITIGATED v9</x:v>
      </x:c>
      <x:c r="F81" s="60" t="str">
        <x:v>Added lifecycle columns as UNKNOWN placeholders.</x:v>
      </x:c>
      <x:c r="G81" s="60" t="str">
        <x:v>28_Current_Inventory</x:v>
      </x:c>
      <x:c r="H81" s="60" t="str">
        <x:v>User can populate later; unknown is not fabricated.</x:v>
      </x:c>
    </x:row>
    <x:row r="82">
      <x:c r="A82" s="60" t="str">
        <x:v>A82</x:v>
      </x:c>
      <x:c r="B82" s="60" t="str">
        <x:v>HIGH</x:v>
      </x:c>
      <x:c r="C82" s="60" t="str">
        <x:v>Unexplained acronyms in operator flow</x:v>
      </x:c>
      <x:c r="D82" s="60" t="str">
        <x:v>EC, PPFD, DLI, VPD, LF/rF, BT/BW and decision-state terms can interrupt comprehension.</x:v>
      </x:c>
      <x:c r="E82" s="60" t="str">
        <x:v>FIXED v10</x:v>
      </x:c>
      <x:c r="F82" s="60" t="str">
        <x:v>Plain-German display labels + context-help registry + local operator explanations.</x:v>
      </x:c>
      <x:c r="G82" s="60" t="str">
        <x:v>UX audit</x:v>
      </x:c>
      <x:c r="H82" s="60" t="str">
        <x:v>Canonical technical keys preserved.</x:v>
      </x:c>
    </x:row>
    <x:row r="83">
      <x:c r="A83" s="60" t="str">
        <x:v>A83</x:v>
      </x:c>
      <x:c r="B83" s="60" t="str">
        <x:v>HIGH</x:v>
      </x:c>
      <x:c r="C83" s="60" t="str">
        <x:v>Section purpose ambiguity</x:v>
      </x:c>
      <x:c r="D83" s="60" t="str">
        <x:v>Users could know data but not where setup/today/mix/log/diagnosis/evidence belong.</x:v>
      </x:c>
      <x:c r="E83" s="60" t="str">
        <x:v>FIXED v10</x:v>
      </x:c>
      <x:c r="F83" s="60" t="str">
        <x:v>35_SECTION_GUIDE + Dashboard task map + section-purpose banners.</x:v>
      </x:c>
      <x:c r="G83" s="60" t="str">
        <x:v>UX audit</x:v>
      </x:c>
      <x:c r="H83" s="60" t="str">
        <x:v>App route metadata still to implement.</x:v>
      </x:c>
    </x:row>
    <x:row r="84">
      <x:c r="A84" s="60" t="str">
        <x:v>A84</x:v>
      </x:c>
      <x:c r="B84" s="60" t="str">
        <x:v>HIGH</x:v>
      </x:c>
      <x:c r="C84" s="60" t="str">
        <x:v>Glossary context switching</x:v>
      </x:c>
      <x:c r="D84" s="60" t="str">
        <x:v>Separate glossary alone is insufficient for an active decision.</x:v>
      </x:c>
      <x:c r="E84" s="60" t="str">
        <x:v>FIXED v10</x:v>
      </x:c>
      <x:c r="F84" s="60" t="str">
        <x:v>Relevant definitions appear on Today/Setup/Mix/Log views and PDF pages.</x:v>
      </x:c>
      <x:c r="G84" s="60" t="str">
        <x:v>Human factors</x:v>
      </x:c>
      <x:c r="H84" s="60" t="str">
        <x:v>Avoid hover-only critical help.</x:v>
      </x:c>
    </x:row>
    <x:row r="85">
      <x:c r="A85" s="60" t="str">
        <x:v>A85</x:v>
      </x:c>
      <x:c r="B85" s="60" t="str">
        <x:v>MEDIUM</x:v>
      </x:c>
      <x:c r="C85" s="60" t="str">
        <x:v>Color-only meaning risk</x:v>
      </x:c>
      <x:c r="D85" s="60" t="str">
        <x:v>Semantic colors can reduce accessibility if status is encoded only visually.</x:v>
      </x:c>
      <x:c r="E85" s="60" t="str">
        <x:v>MITIGATED v10</x:v>
      </x:c>
      <x:c r="F85" s="60" t="str">
        <x:v>Every color state also has text label and icon/content meaning.</x:v>
      </x:c>
      <x:c r="G85" s="60" t="str">
        <x:v>Accessibility</x:v>
      </x:c>
      <x:c r="H85" s="60" t="str">
        <x:v>Real AT/color vision review remains.</x:v>
      </x:c>
    </x:row>
    <x:row r="86">
      <x:c r="A86" s="60" t="str">
        <x:v>A86</x:v>
      </x:c>
      <x:c r="B86" s="60" t="str">
        <x:v>HIGH</x:v>
      </x:c>
      <x:c r="C86" s="60" t="str">
        <x:v>Operator label vs canonical key risk</x:v>
      </x:c>
      <x:c r="D86" s="60" t="str">
        <x:v>Global header renaming could break import/formula contracts.</x:v>
      </x:c>
      <x:c r="E86" s="60" t="str">
        <x:v>FIXED v10</x:v>
      </x:c>
      <x:c r="F86" s="60" t="str">
        <x:v>Canonical masters unchanged; display-label mapping/operator projections added.</x:v>
      </x:c>
      <x:c r="G86" s="60" t="str">
        <x:v>Architecture</x:v>
      </x:c>
      <x:c r="H86" s="60" t="str">
        <x:v>App should render from mapping, not duplicate strings.</x:v>
      </x:c>
    </x:row>
    <x:row r="87">
      <x:c r="A87" s="60" t="str">
        <x:v>A87</x:v>
      </x:c>
      <x:c r="B87" s="60" t="str">
        <x:v>HIGH</x:v>
      </x:c>
      <x:c r="C87" s="60" t="str">
        <x:v>Generated figure source confusion</x:v>
      </x:c>
      <x:c r="D87" s="60" t="str">
        <x:v>Generative infographic may contain plausible but noncanonical numbers.</x:v>
      </x:c>
      <x:c r="E87" s="60" t="str">
        <x:v>FIXED v10</x:v>
      </x:c>
      <x:c r="F87" s="60" t="str">
        <x:v>Exact plan figures generated programmatically; generative concept marked illustrative/noncanonical.</x:v>
      </x:c>
      <x:c r="G87" s="60" t="str">
        <x:v>Evidence/visual policy</x:v>
      </x:c>
      <x:c r="H87" s="60" t="str">
        <x:v>Never import generated numeric content.</x:v>
      </x:c>
    </x:row>
    <x:row r="88">
      <x:c r="A88" s="60" t="str">
        <x:v>A88</x:v>
      </x:c>
      <x:c r="B88" s="60" t="str">
        <x:v>MEDIUM</x:v>
      </x:c>
      <x:c r="C88" s="60" t="str">
        <x:v>Missing local navigation</x:v>
      </x:c>
      <x:c r="D88" s="60" t="str">
        <x:v>Users needed repeated task-to-section pointers rather than one global TOC.</x:v>
      </x:c>
      <x:c r="E88" s="60" t="str">
        <x:v>FIXED v10</x:v>
      </x:c>
      <x:c r="F88" s="60" t="str">
        <x:v>Every major operator section carries 'where to look' links/pointers.</x:v>
      </x:c>
      <x:c r="G88" s="60" t="str">
        <x:v>UX</x:v>
      </x:c>
      <x:c r="H88" s="60" t="str">
        <x:v>Future app deep-links should implement same contract.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8" hidden="0" customWidth="1"/>
    <x:col min="5" max="5" width="28" hidden="0" customWidth="1"/>
    <x:col min="6" max="6" width="25" hidden="0" customWidth="1"/>
    <x:col min="7" max="7" width="18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38" hidden="0" customWidth="1"/>
  </x:cols>
  <x:sheetData>
    <x:row r="1">
      <x:c r="A1" s="1789" t="str">
        <x:v>Product</x:v>
      </x:c>
      <x:c r="B1" s="1789" t="str">
        <x:v>Vendor</x:v>
      </x:c>
      <x:c r="C1" s="1789" t="str">
        <x:v>Role</x:v>
      </x:c>
      <x:c r="D1" s="1789" t="str">
        <x:v>Manufacturer cross-brand</x:v>
      </x:c>
      <x:c r="E1" s="1789" t="str">
        <x:v>Label reference</x:v>
      </x:c>
      <x:c r="F1" s="1789" t="str">
        <x:v>Overlap in HESI</x:v>
      </x:c>
      <x:c r="G1" s="1789" t="str">
        <x:v>UKD class</x:v>
      </x:c>
      <x:c r="H1" s="1789" t="str">
        <x:v>Default state</x:v>
      </x:c>
      <x:c r="I1" s="1789" t="str">
        <x:v>Operational rule</x:v>
      </x:c>
      <x:c r="J1" s="1789" t="str">
        <x:v>Run_Config key</x:v>
      </x:c>
      <x:c r="K1" s="1789" t="str">
        <x:v>Daily column</x:v>
      </x:c>
      <x:c r="L1" s="1789" t="str">
        <x:v>Evidence class</x:v>
      </x:c>
      <x:c r="M1" s="1789" t="str">
        <x:v>Source</x:v>
      </x:c>
      <x:c r="N1" s="1789" t="str">
        <x:v>App import key</x:v>
      </x:c>
      <x:c r="O1" s="1801" t="str">
        <x:v>Current stock</x:v>
      </x:c>
      <x:c r="P1" s="1801" t="str">
        <x:v>v8 selected</x:v>
      </x:c>
      <x:c r="Q1" s="1801" t="str">
        <x:v>Repurchase</x:v>
      </x:c>
      <x:c r="R1" s="1801" t="str">
        <x:v>Inventory note</x:v>
      </x:c>
    </x:row>
    <x:row r="2">
      <x:c r="A2" s="60" t="str">
        <x:v>TNT Complex / HESI Coco</x:v>
      </x:c>
      <x:c r="B2" s="60" t="str">
        <x:v>HESI</x:v>
      </x:c>
      <x:c r="C2" s="60" t="str">
        <x:v>Base</x:v>
      </x:c>
      <x:c r="D2" s="60" t="str">
        <x:v>n/a</x:v>
      </x:c>
      <x:c r="E2" s="60" t="str">
        <x:v>HESI manufacturer</x:v>
      </x:c>
      <x:c r="F2" s="60" t="str">
        <x:v>none</x:v>
      </x:c>
      <x:c r="G2" s="60" t="str">
        <x:v>CORE</x:v>
      </x:c>
      <x:c r="H2" s="60" t="str">
        <x:v>ACTIVE</x:v>
      </x:c>
      <x:c r="I2" s="60" t="str">
        <x:v>Canonical HESI base by phase.</x:v>
      </x:c>
      <x:c r="J2" s="60" t="str">
        <x:v>base</x:v>
      </x:c>
      <x:c r="K2" s="60" t="str">
        <x:v>V</x:v>
      </x:c>
      <x:c r="L2" s="60" t="str">
        <x:v>A-MFR</x:v>
      </x:c>
      <x:c r="M2" s="60" t="str">
        <x:v>https://hesi.nl/de/StarterBox</x:v>
      </x:c>
      <x:c r="N2" s="60" t="str">
        <x:v>hesi.base</x:v>
      </x:c>
      <x:c r="O2" s="60" t="str">
        <x:v>available</x:v>
      </x:c>
      <x:c r="P2" s="60" t="str">
        <x:v>YES</x:v>
      </x:c>
      <x:c r="Q2" s="60" t="str">
        <x:v>NO</x:v>
      </x:c>
      <x:c r="R2" s="60" t="str">
        <x:v>HESI base owned</x:v>
      </x:c>
    </x:row>
    <x:row r="3">
      <x:c r="A3" s="60" t="str">
        <x:v>Wurzel Complex</x:v>
      </x:c>
      <x:c r="B3" s="60" t="str">
        <x:v>HESI</x:v>
      </x:c>
      <x:c r="C3" s="60" t="str">
        <x:v>Root/stress biostim</x:v>
      </x:c>
      <x:c r="D3" s="60" t="str">
        <x:v>HESI internal compatible</x:v>
      </x:c>
      <x:c r="E3" s="60" t="str">
        <x:v>5 ml/L; half for frequent use</x:v>
      </x:c>
      <x:c r="F3" s="60" t="str">
        <x:v>B-52 partial</x:v>
      </x:c>
      <x:c r="G3" s="60" t="str">
        <x:v>CORE</x:v>
      </x:c>
      <x:c r="H3" s="60" t="str">
        <x:v>ACTIVE EARLY</x:v>
      </x:c>
      <x:c r="I3" s="60" t="str">
        <x:v>UKD 2.5 ml/L frequent-use early path; actual watering required.</x:v>
      </x:c>
      <x:c r="J3" s="60" t="str">
        <x:v>root</x:v>
      </x:c>
      <x:c r="K3" s="60" t="str">
        <x:v>W</x:v>
      </x:c>
      <x:c r="L3" s="60" t="str">
        <x:v>A-MFR</x:v>
      </x:c>
      <x:c r="M3" s="60" t="str">
        <x:v>https://hesi.nl/de/Wurzel-Complex</x:v>
      </x:c>
      <x:c r="N3" s="60" t="str">
        <x:v>hesi.root_complex</x:v>
      </x:c>
      <x:c r="O3" s="60" t="str">
        <x:v>available</x:v>
      </x:c>
      <x:c r="P3" s="60" t="str">
        <x:v>YES</x:v>
      </x:c>
      <x:c r="Q3" s="60" t="str">
        <x:v>NO</x:v>
      </x:c>
      <x:c r="R3" s="60" t="str">
        <x:v>Root Complex owned</x:v>
      </x:c>
    </x:row>
    <x:row r="4">
      <x:c r="A4" s="60" t="str">
        <x:v>SuperVit</x:v>
      </x:c>
      <x:c r="B4" s="60" t="str">
        <x:v>HESI</x:v>
      </x:c>
      <x:c r="C4" s="60" t="str">
        <x:v>Microdose biostim</x:v>
      </x:c>
      <x:c r="D4" s="60" t="str">
        <x:v>HESI internal compatible</x:v>
      </x:c>
      <x:c r="E4" s="60" t="str">
        <x:v>1 ml/65 L; every watering/spraying</x:v>
      </x:c>
      <x:c r="F4" s="60" t="str">
        <x:v>B-52 partial</x:v>
      </x:c>
      <x:c r="G4" s="60" t="str">
        <x:v>CORE</x:v>
      </x:c>
      <x:c r="H4" s="60" t="str">
        <x:v>ACTIVE</x:v>
      </x:c>
      <x:c r="I4" s="60" t="str">
        <x:v>0.015 ml/L visible; no forced watering.</x:v>
      </x:c>
      <x:c r="J4" s="60" t="str">
        <x:v>supervit</x:v>
      </x:c>
      <x:c r="K4" s="60" t="str">
        <x:v>Y</x:v>
      </x:c>
      <x:c r="L4" s="60" t="str">
        <x:v>A-MFR</x:v>
      </x:c>
      <x:c r="M4" s="60" t="str">
        <x:v>https://hesi.nl/de/SUPERVIT</x:v>
      </x:c>
      <x:c r="N4" s="60" t="str">
        <x:v>hesi.supervit</x:v>
      </x:c>
      <x:c r="O4" s="60" t="str">
        <x:v>available</x:v>
      </x:c>
      <x:c r="P4" s="60" t="str">
        <x:v>YES</x:v>
      </x:c>
      <x:c r="Q4" s="60" t="str">
        <x:v>NO</x:v>
      </x:c>
      <x:c r="R4" s="60" t="str">
        <x:v>SuperVit owned</x:v>
      </x:c>
    </x:row>
    <x:row r="5">
      <x:c r="A5" s="60" t="str">
        <x:v>PowerZyme</x:v>
      </x:c>
      <x:c r="B5" s="60" t="str">
        <x:v>HESI</x:v>
      </x:c>
      <x:c r="C5" s="60" t="str">
        <x:v>Enzyme/root-zone conditioner</x:v>
      </x:c>
      <x:c r="D5" s="60" t="str">
        <x:v>HESI internal compatible</x:v>
      </x:c>
      <x:c r="E5" s="60" t="str">
        <x:v>2 ml/L continuous</x:v>
      </x:c>
      <x:c r="F5" s="60" t="str">
        <x:v>Sensizym</x:v>
      </x:c>
      <x:c r="G5" s="60" t="str">
        <x:v>CORE/ALT</x:v>
      </x:c>
      <x:c r="H5" s="60" t="str">
        <x:v>ACTIVE</x:v>
      </x:c>
      <x:c r="I5" s="60" t="str">
        <x:v>Disabled if Sensizym selected.</x:v>
      </x:c>
      <x:c r="J5" s="60" t="str">
        <x:v>enzyme</x:v>
      </x:c>
      <x:c r="K5" s="60" t="str">
        <x:v>X</x:v>
      </x:c>
      <x:c r="L5" s="60" t="str">
        <x:v>A-MFR</x:v>
      </x:c>
      <x:c r="M5" s="60" t="str">
        <x:v>https://hesi.nl/de/PowerZyme</x:v>
      </x:c>
      <x:c r="N5" s="60" t="str">
        <x:v>hesi.powerzyme</x:v>
      </x:c>
      <x:c r="O5" s="60" t="str">
        <x:v>available</x:v>
      </x:c>
      <x:c r="P5" s="60" t="str">
        <x:v>YES</x:v>
      </x:c>
      <x:c r="Q5" s="60" t="str">
        <x:v>NO</x:v>
      </x:c>
      <x:c r="R5" s="60" t="str">
        <x:v>PowerZyme owned</x:v>
      </x:c>
    </x:row>
    <x:row r="6">
      <x:c r="A6" s="60" t="str">
        <x:v>HESI Boost</x:v>
      </x:c>
      <x:c r="B6" s="60" t="str">
        <x:v>HESI</x:v>
      </x:c>
      <x:c r="C6" s="60" t="str">
        <x:v>Carbo/biostim + low PK</x:v>
      </x:c>
      <x:c r="D6" s="60" t="str">
        <x:v>HESI internal compatible</x:v>
      </x:c>
      <x:c r="E6" s="60" t="str">
        <x:v>2 ml/L regular</x:v>
      </x:c>
      <x:c r="F6" s="60" t="str">
        <x:v>Bud Candy/Tasty partial</x:v>
      </x:c>
      <x:c r="G6" s="60" t="str">
        <x:v>CORE/ALT</x:v>
      </x:c>
      <x:c r="H6" s="60" t="str">
        <x:v>ACTIVE</x:v>
      </x:c>
      <x:c r="I6" s="60" t="str">
        <x:v>Disabled if Bud Candy selected.</x:v>
      </x:c>
      <x:c r="J6" s="60" t="str">
        <x:v>carbo</x:v>
      </x:c>
      <x:c r="K6" s="60" t="str">
        <x:v>AA</x:v>
      </x:c>
      <x:c r="L6" s="60" t="str">
        <x:v>A-MFR</x:v>
      </x:c>
      <x:c r="M6" s="60" t="str">
        <x:v>https://hesi.nl/de/Boost</x:v>
      </x:c>
      <x:c r="N6" s="60" t="str">
        <x:v>hesi.boost</x:v>
      </x:c>
      <x:c r="O6" s="60" t="str">
        <x:v>available</x:v>
      </x:c>
      <x:c r="P6" s="60" t="str">
        <x:v>YES</x:v>
      </x:c>
      <x:c r="Q6" s="60" t="str">
        <x:v>NO</x:v>
      </x:c>
      <x:c r="R6" s="60" t="str">
        <x:v>Boost preferred</x:v>
      </x:c>
    </x:row>
    <x:row r="7">
      <x:c r="A7" s="60" t="str">
        <x:v>PK 13/14</x:v>
      </x:c>
      <x:c r="B7" s="60" t="str">
        <x:v>HESI</x:v>
      </x:c>
      <x:c r="C7" s="60" t="str">
        <x:v>Late bloom PK</x:v>
      </x:c>
      <x:c r="D7" s="60" t="str">
        <x:v>HESI internal compatible</x:v>
      </x:c>
      <x:c r="E7" s="60" t="str">
        <x:v>0.25-1.5 ml/L; progressive second half</x:v>
      </x:c>
      <x:c r="F7" s="60" t="str">
        <x:v>Bud Ignitor/Big Bud/Overdrive</x:v>
      </x:c>
      <x:c r="G7" s="60" t="str">
        <x:v>CORE/ALT</x:v>
      </x:c>
      <x:c r="H7" s="60" t="str">
        <x:v>ACTIVE</x:v>
      </x:c>
      <x:c r="I7" s="60" t="str">
        <x:v>Disabled if AN PK path selected.</x:v>
      </x:c>
      <x:c r="J7" s="60" t="str">
        <x:v>pk</x:v>
      </x:c>
      <x:c r="K7" s="60" t="str">
        <x:v>AB</x:v>
      </x:c>
      <x:c r="L7" s="60" t="str">
        <x:v>A-MFR</x:v>
      </x:c>
      <x:c r="M7" s="60" t="str">
        <x:v>https://hesi.nl/de/PK-13-14</x:v>
      </x:c>
      <x:c r="N7" s="60" t="str">
        <x:v>hesi.pk1314</x:v>
      </x:c>
      <x:c r="O7" s="60" t="str">
        <x:v>available</x:v>
      </x:c>
      <x:c r="P7" s="60" t="str">
        <x:v>YES</x:v>
      </x:c>
      <x:c r="Q7" s="60" t="str">
        <x:v>NO</x:v>
      </x:c>
      <x:c r="R7" s="60" t="str">
        <x:v>PK13/14 preferred</x:v>
      </x:c>
    </x:row>
    <x:row r="8">
      <x:c r="A8" s="60" t="str">
        <x:v>Voodoo Juice</x:v>
      </x:c>
      <x:c r="B8" s="60" t="str">
        <x:v>Advanced Nutrients</x:v>
      </x:c>
      <x:c r="C8" s="60" t="str">
        <x:v>Bacterial root inoculant</x:v>
      </x:c>
      <x:c r="D8" s="60" t="str">
        <x:v>YES</x:v>
      </x:c>
      <x:c r="E8" s="60" t="str">
        <x:v>2 ml/L in G1–G2 und B1–B2; Herstellerchart = Konzentration für das jeweilige Wochenfenster, NICHT 1×/Woche</x:v>
      </x:c>
      <x:c r="F8" s="60" t="str">
        <x:v>microbiome redundancy</x:v>
      </x:c>
      <x:c r="G8" s="60" t="str">
        <x:v>COMPLEMENT</x:v>
      </x:c>
      <x:c r="H8" s="60" t="str">
        <x:v>ON · every actual feed event inside eligible G1–G2/B1–B2 window</x:v>
      </x:c>
      <x:c r="I8" s="60" t="str">
        <x:v>Default AN complementary module; fresh defined windows.</x:v>
      </x:c>
      <x:c r="J8" s="60" t="str">
        <x:v>B46</x:v>
      </x:c>
      <x:c r="K8" s="60" t="str">
        <x:v>AC</x:v>
      </x:c>
      <x:c r="L8" s="60" t="str">
        <x:v>A-MFR</x:v>
      </x:c>
      <x:c r="M8" s="60" t="str">
        <x:v>https://www.advancednutrients.com/de/products/voodoo-juice/</x:v>
      </x:c>
      <x:c r="N8" s="60" t="str">
        <x:v>an.voodoo</x:v>
      </x:c>
      <x:c r="O8" s="60" t="str">
        <x:v>available</x:v>
      </x:c>
      <x:c r="P8" s="60" t="str">
        <x:v>YES</x:v>
      </x:c>
      <x:c r="Q8" s="60" t="str">
        <x:v>NO</x:v>
      </x:c>
      <x:c r="R8" s="60" t="str">
        <x:v>Voodoo selected</x:v>
      </x:c>
    </x:row>
    <x:row r="9">
      <x:c r="A9" s="60" t="str">
        <x:v>Piranha</x:v>
      </x:c>
      <x:c r="B9" s="60" t="str">
        <x:v>Advanced Nutrients</x:v>
      </x:c>
      <x:c r="C9" s="60" t="str">
        <x:v>Beneficial fungi</x:v>
      </x:c>
      <x:c r="D9" s="60" t="str">
        <x:v>YES</x:v>
      </x:c>
      <x:c r="E9" s="60" t="str">
        <x:v>2 ml/L G1-G2/B1-B2</x:v>
      </x:c>
      <x:c r="F9" s="60" t="str">
        <x:v>biological medium / microbe trio</x:v>
      </x:c>
      <x:c r="G9" s="60" t="str">
        <x:v>OPTIONAL A-B</x:v>
      </x:c>
      <x:c r="H9" s="60" t="str">
        <x:v>OFF</x:v>
      </x:c>
      <x:c r="I9" s="60" t="str">
        <x:v>Only with explicit trio module.</x:v>
      </x:c>
      <x:c r="J9" s="60" t="str">
        <x:v>B46</x:v>
      </x:c>
      <x:c r="K9" s="60" t="str">
        <x:v>AT</x:v>
      </x:c>
      <x:c r="L9" s="60" t="str">
        <x:v>A-MFR</x:v>
      </x:c>
      <x:c r="M9" s="60" t="str">
        <x:v>https://www.advancednutrients.com/de/products/piranha/</x:v>
      </x:c>
      <x:c r="N9" s="60" t="str">
        <x:v>an.piranha</x:v>
      </x:c>
      <x:c r="O9" s="60" t="str">
        <x:v>not available</x:v>
      </x:c>
      <x:c r="P9" s="60" t="str">
        <x:v>NO</x:v>
      </x:c>
      <x:c r="Q9" s="60" t="str">
        <x:v>NO</x:v>
      </x:c>
      <x:c r="R9" s="60" t="str">
        <x:v>Piranha not needed for current pair</x:v>
      </x:c>
    </x:row>
    <x:row r="10">
      <x:c r="A10" s="60" t="str">
        <x:v>Tarantula</x:v>
      </x:c>
      <x:c r="B10" s="60" t="str">
        <x:v>Advanced Nutrients</x:v>
      </x:c>
      <x:c r="C10" s="60" t="str">
        <x:v>Beneficial bacteria</x:v>
      </x:c>
      <x:c r="D10" s="60" t="str">
        <x:v>YES</x:v>
      </x:c>
      <x:c r="E10" s="60" t="str">
        <x:v>2 ml/L in G1–G2 und B1–B2; identisches Herstellerfenster wie Voodoo Juice</x:v>
      </x:c>
      <x:c r="F10" s="60" t="str">
        <x:v>Voodoo/microbiome redundancy</x:v>
      </x:c>
      <x:c r="G10" s="60" t="str">
        <x:v>COMPLEMENT</x:v>
      </x:c>
      <x:c r="H10" s="60" t="str">
        <x:v>ON · every actual feed event inside eligible G1–G2/B1–B2 window</x:v>
      </x:c>
      <x:c r="I10" s="60" t="str">
        <x:v>Selected with Voodoo; same conservative fresh UKD windows.</x:v>
      </x:c>
      <x:c r="J10" s="60" t="str">
        <x:v>B46</x:v>
      </x:c>
      <x:c r="K10" s="60" t="str">
        <x:v>AU</x:v>
      </x:c>
      <x:c r="L10" s="60" t="str">
        <x:v>A-MFR</x:v>
      </x:c>
      <x:c r="M10" s="60" t="str">
        <x:v>https://www.advancednutrients.com/de/products/tarantula/</x:v>
      </x:c>
      <x:c r="N10" s="60" t="str">
        <x:v>an.tarantula</x:v>
      </x:c>
      <x:c r="O10" s="60" t="str">
        <x:v>available</x:v>
      </x:c>
      <x:c r="P10" s="60" t="str">
        <x:v>YES</x:v>
      </x:c>
      <x:c r="Q10" s="60" t="str">
        <x:v>NO</x:v>
      </x:c>
      <x:c r="R10" s="60" t="str">
        <x:v>Tarantula selected with Voodoo</x:v>
      </x:c>
    </x:row>
    <x:row r="11">
      <x:c r="A11" s="60" t="str">
        <x:v>B-52</x:v>
      </x:c>
      <x:c r="B11" s="60" t="str">
        <x:v>Advanced Nutrients</x:v>
      </x:c>
      <x:c r="C11" s="60" t="str">
        <x:v>B vitamins/kelp/humic</x:v>
      </x:c>
      <x:c r="D11" s="60" t="str">
        <x:v>YES</x:v>
      </x:c>
      <x:c r="E11" s="60" t="str">
        <x:v>2 ml/L label windows</x:v>
      </x:c>
      <x:c r="F11" s="60" t="str">
        <x:v>Root Complex/SuperVit</x:v>
      </x:c>
      <x:c r="G11" s="60" t="str">
        <x:v>EXPERIMENTAL A-B</x:v>
      </x:c>
      <x:c r="H11" s="60" t="str">
        <x:v>OFF</x:v>
      </x:c>
      <x:c r="I11" s="60" t="str">
        <x:v>Do not make default stack; isolate test.</x:v>
      </x:c>
      <x:c r="J11" s="60" t="str">
        <x:v>B47</x:v>
      </x:c>
      <x:c r="K11" s="60" t="str">
        <x:v>AV</x:v>
      </x:c>
      <x:c r="L11" s="60" t="str">
        <x:v>A-MFR</x:v>
      </x:c>
      <x:c r="M11" s="60" t="str">
        <x:v>https://www.advancednutrients.com/de/products/b-52/</x:v>
      </x:c>
      <x:c r="N11" s="60" t="str">
        <x:v>an.b52</x:v>
      </x:c>
      <x:c r="O11" s="60" t="str">
        <x:v>not available</x:v>
      </x:c>
      <x:c r="P11" s="60" t="str">
        <x:v>NO</x:v>
      </x:c>
      <x:c r="Q11" s="60" t="str">
        <x:v>NO</x:v>
      </x:c>
      <x:c r="R11" s="60" t="str">
        <x:v>B-52 unnecessary purchase</x:v>
      </x:c>
    </x:row>
    <x:row r="12">
      <x:c r="A12" s="60" t="str">
        <x:v>Bud Candy</x:v>
      </x:c>
      <x:c r="B12" s="60" t="str">
        <x:v>Advanced Nutrients</x:v>
      </x:c>
      <x:c r="C12" s="60" t="str">
        <x:v>Carbohydrate + Mg</x:v>
      </x:c>
      <x:c r="D12" s="60" t="str">
        <x:v>YES</x:v>
      </x:c>
      <x:c r="E12" s="60" t="str">
        <x:v>2 ml/L</x:v>
      </x:c>
      <x:c r="F12" s="60" t="str">
        <x:v>HESI Boost</x:v>
      </x:c>
      <x:c r="G12" s="60" t="str">
        <x:v>ALTERNATIVE</x:v>
      </x:c>
      <x:c r="H12" s="60" t="str">
        <x:v>OFF</x:v>
      </x:c>
      <x:c r="I12" s="60" t="str">
        <x:v>Replaces HESI Boost when selected.</x:v>
      </x:c>
      <x:c r="J12" s="60" t="str">
        <x:v>B48</x:v>
      </x:c>
      <x:c r="K12" s="60" t="str">
        <x:v>AW</x:v>
      </x:c>
      <x:c r="L12" s="60" t="str">
        <x:v>A-MFR</x:v>
      </x:c>
      <x:c r="M12" s="60" t="str">
        <x:v>https://www.advancednutrients.com/de/products/bud-candy/</x:v>
      </x:c>
      <x:c r="N12" s="60" t="str">
        <x:v>an.bud_candy</x:v>
      </x:c>
      <x:c r="O12" s="60" t="str">
        <x:v>not available</x:v>
      </x:c>
      <x:c r="P12" s="60" t="str">
        <x:v>NO</x:v>
      </x:c>
      <x:c r="Q12" s="60" t="str">
        <x:v>NO</x:v>
      </x:c>
      <x:c r="R12" s="60" t="str">
        <x:v>Bud Candy unnecessary; Boost owned</x:v>
      </x:c>
    </x:row>
    <x:row r="13">
      <x:c r="A13" s="60" t="str">
        <x:v>Bud Factor X</x:v>
      </x:c>
      <x:c r="B13" s="60" t="str">
        <x:v>Advanced Nutrients</x:v>
      </x:c>
      <x:c r="C13" s="60" t="str">
        <x:v>Biostimulant/potency claim</x:v>
      </x:c>
      <x:c r="D13" s="60" t="str">
        <x:v>YES</x:v>
      </x:c>
      <x:c r="E13" s="60" t="str">
        <x:v>2 ml/L</x:v>
      </x:c>
      <x:c r="F13" s="60" t="str">
        <x:v>general biostim</x:v>
      </x:c>
      <x:c r="G13" s="60" t="str">
        <x:v>EXPERIMENTAL</x:v>
      </x:c>
      <x:c r="H13" s="60" t="str">
        <x:v>OFF</x:v>
      </x:c>
      <x:c r="I13" s="60" t="str">
        <x:v>Manufacturer-compatible; benefit in this hybrid not independently established.</x:v>
      </x:c>
      <x:c r="J13" s="60" t="str">
        <x:v>B49</x:v>
      </x:c>
      <x:c r="K13" s="60" t="str">
        <x:v>AX</x:v>
      </x:c>
      <x:c r="L13" s="60" t="str">
        <x:v>A-MFR</x:v>
      </x:c>
      <x:c r="M13" s="60" t="str">
        <x:v>https://www.advancednutrients.com/products/bud-factor-x/</x:v>
      </x:c>
      <x:c r="N13" s="60" t="str">
        <x:v>an.bud_factor_x</x:v>
      </x:c>
      <x:c r="O13" s="60" t="str">
        <x:v>not available</x:v>
      </x:c>
      <x:c r="P13" s="60" t="str">
        <x:v>NO</x:v>
      </x:c>
      <x:c r="Q13" s="60" t="str">
        <x:v>NO</x:v>
      </x:c>
      <x:c r="R13" s="60" t="str">
        <x:v>Bud Factor X not needed</x:v>
      </x:c>
    </x:row>
    <x:row r="14">
      <x:c r="A14" s="60" t="str">
        <x:v>Sensizym</x:v>
      </x:c>
      <x:c r="B14" s="60" t="str">
        <x:v>Advanced Nutrients</x:v>
      </x:c>
      <x:c r="C14" s="60" t="str">
        <x:v>Enzyme/root-zone conditioner</x:v>
      </x:c>
      <x:c r="D14" s="60" t="str">
        <x:v>YES</x:v>
      </x:c>
      <x:c r="E14" s="60" t="str">
        <x:v>2 ml/L</x:v>
      </x:c>
      <x:c r="F14" s="60" t="str">
        <x:v>PowerZyme</x:v>
      </x:c>
      <x:c r="G14" s="60" t="str">
        <x:v>ALTERNATIVE</x:v>
      </x:c>
      <x:c r="H14" s="60" t="str">
        <x:v>OFF</x:v>
      </x:c>
      <x:c r="I14" s="60" t="str">
        <x:v>Replaces PowerZyme.</x:v>
      </x:c>
      <x:c r="J14" s="60" t="str">
        <x:v>B50</x:v>
      </x:c>
      <x:c r="K14" s="60" t="str">
        <x:v>AY</x:v>
      </x:c>
      <x:c r="L14" s="60" t="str">
        <x:v>A-MFR</x:v>
      </x:c>
      <x:c r="M14" s="60" t="str">
        <x:v>https://www.advancednutrients.com/de/products/sensizym/</x:v>
      </x:c>
      <x:c r="N14" s="60" t="str">
        <x:v>an.sensizym</x:v>
      </x:c>
      <x:c r="O14" s="60" t="str">
        <x:v>not available</x:v>
      </x:c>
      <x:c r="P14" s="60" t="str">
        <x:v>NO</x:v>
      </x:c>
      <x:c r="Q14" s="60" t="str">
        <x:v>NO</x:v>
      </x:c>
      <x:c r="R14" s="60" t="str">
        <x:v>Sensizym unnecessary; PowerZyme owned</x:v>
      </x:c>
    </x:row>
    <x:row r="15">
      <x:c r="A15" s="60" t="str">
        <x:v>Rhino Skin</x:v>
      </x:c>
      <x:c r="B15" s="60" t="str">
        <x:v>Advanced Nutrients</x:v>
      </x:c>
      <x:c r="C15" s="60" t="str">
        <x:v>Potassium silicate</x:v>
      </x:c>
      <x:c r="D15" s="60" t="str">
        <x:v>YES</x:v>
      </x:c>
      <x:c r="E15" s="60" t="str">
        <x:v>2 ml/L</x:v>
      </x:c>
      <x:c r="F15" s="60" t="str">
        <x:v>Athena Balance/Hesilicio</x:v>
      </x:c>
      <x:c r="G15" s="60" t="str">
        <x:v>ALTERNATIVE</x:v>
      </x:c>
      <x:c r="H15" s="60" t="str">
        <x:v>OFF</x:v>
      </x:c>
      <x:c r="I15" s="60" t="str">
        <x:v>Single Si path only.</x:v>
      </x:c>
      <x:c r="J15" s="60" t="str">
        <x:v>B51</x:v>
      </x:c>
      <x:c r="K15" s="60" t="str">
        <x:v>AZ</x:v>
      </x:c>
      <x:c r="L15" s="60" t="str">
        <x:v>A-MFR</x:v>
      </x:c>
      <x:c r="M15" s="60" t="str">
        <x:v>https://www.advancednutrients.com/de/products/rhino-skin/</x:v>
      </x:c>
      <x:c r="N15" s="60" t="str">
        <x:v>an.rhino_skin</x:v>
      </x:c>
      <x:c r="O15" s="60" t="str">
        <x:v>not available</x:v>
      </x:c>
      <x:c r="P15" s="60" t="str">
        <x:v>NO</x:v>
      </x:c>
      <x:c r="Q15" s="60" t="str">
        <x:v>NO</x:v>
      </x:c>
      <x:c r="R15" s="60" t="str">
        <x:v>Rhino unnecessary; Athena owned</x:v>
      </x:c>
    </x:row>
    <x:row r="16">
      <x:c r="A16" s="60" t="str">
        <x:v>Bud Ignitor</x:v>
      </x:c>
      <x:c r="B16" s="60" t="str">
        <x:v>Advanced Nutrients</x:v>
      </x:c>
      <x:c r="C16" s="60" t="str">
        <x:v>Early bloom PK + kelp</x:v>
      </x:c>
      <x:c r="D16" s="60" t="str">
        <x:v>YES</x:v>
      </x:c>
      <x:c r="E16" s="60" t="str">
        <x:v>2 ml/L B1-B2</x:v>
      </x:c>
      <x:c r="F16" s="60" t="str">
        <x:v>HESI PK</x:v>
      </x:c>
      <x:c r="G16" s="60" t="str">
        <x:v>ALTERNATIVE PK</x:v>
      </x:c>
      <x:c r="H16" s="60" t="str">
        <x:v>OFF</x:v>
      </x:c>
      <x:c r="I16" s="60" t="str">
        <x:v>Part of AN PK replacement sequence.</x:v>
      </x:c>
      <x:c r="J16" s="60" t="str">
        <x:v>B52</x:v>
      </x:c>
      <x:c r="K16" s="60" t="str">
        <x:v>BA</x:v>
      </x:c>
      <x:c r="L16" s="60" t="str">
        <x:v>A-MFR</x:v>
      </x:c>
      <x:c r="M16" s="60" t="str">
        <x:v>https://www.advancednutrients.com/de/products/bud-ignitor/</x:v>
      </x:c>
      <x:c r="N16" s="60" t="str">
        <x:v>an.bud_ignitor</x:v>
      </x:c>
      <x:c r="O16" s="60" t="str">
        <x:v>not available</x:v>
      </x:c>
      <x:c r="P16" s="60" t="str">
        <x:v>NO</x:v>
      </x:c>
      <x:c r="Q16" s="60" t="str">
        <x:v>NO</x:v>
      </x:c>
      <x:c r="R16" s="60" t="str">
        <x:v>Bud Ignitor unnecessary; HESI PK path</x:v>
      </x:c>
    </x:row>
    <x:row r="17">
      <x:c r="A17" s="60" t="str">
        <x:v>Big Bud</x:v>
      </x:c>
      <x:c r="B17" s="60" t="str">
        <x:v>Advanced Nutrients</x:v>
      </x:c>
      <x:c r="C17" s="60" t="str">
        <x:v>Mid bloom PK</x:v>
      </x:c>
      <x:c r="D17" s="60" t="str">
        <x:v>YES</x:v>
      </x:c>
      <x:c r="E17" s="60" t="str">
        <x:v>2 ml/L B2-B5</x:v>
      </x:c>
      <x:c r="F17" s="60" t="str">
        <x:v>HESI PK</x:v>
      </x:c>
      <x:c r="G17" s="60" t="str">
        <x:v>ALTERNATIVE PK</x:v>
      </x:c>
      <x:c r="H17" s="60" t="str">
        <x:v>OFF</x:v>
      </x:c>
      <x:c r="I17" s="60" t="str">
        <x:v>Part of AN PK replacement sequence.</x:v>
      </x:c>
      <x:c r="J17" s="60" t="str">
        <x:v>B52</x:v>
      </x:c>
      <x:c r="K17" s="60" t="str">
        <x:v>BB</x:v>
      </x:c>
      <x:c r="L17" s="60" t="str">
        <x:v>A-MFR</x:v>
      </x:c>
      <x:c r="M17" s="60" t="str">
        <x:v>https://www.advancednutrients.com/de/products/big-bud/</x:v>
      </x:c>
      <x:c r="N17" s="60" t="str">
        <x:v>an.big_bud</x:v>
      </x:c>
      <x:c r="O17" s="60" t="str">
        <x:v>not available</x:v>
      </x:c>
      <x:c r="P17" s="60" t="str">
        <x:v>NO</x:v>
      </x:c>
      <x:c r="Q17" s="60" t="str">
        <x:v>NO</x:v>
      </x:c>
      <x:c r="R17" s="60" t="str">
        <x:v>Big Bud unnecessary; HESI PK path</x:v>
      </x:c>
    </x:row>
    <x:row r="18">
      <x:c r="A18" s="60" t="str">
        <x:v>Overdrive</x:v>
      </x:c>
      <x:c r="B18" s="60" t="str">
        <x:v>Advanced Nutrients</x:v>
      </x:c>
      <x:c r="C18" s="60" t="str">
        <x:v>Late bloom PK/Mg</x:v>
      </x:c>
      <x:c r="D18" s="60" t="str">
        <x:v>YES</x:v>
      </x:c>
      <x:c r="E18" s="60" t="str">
        <x:v>2 ml/L B6-B7</x:v>
      </x:c>
      <x:c r="F18" s="60" t="str">
        <x:v>HESI PK</x:v>
      </x:c>
      <x:c r="G18" s="60" t="str">
        <x:v>ALTERNATIVE PK</x:v>
      </x:c>
      <x:c r="H18" s="60" t="str">
        <x:v>OFF</x:v>
      </x:c>
      <x:c r="I18" s="60" t="str">
        <x:v>Part of AN PK replacement sequence.</x:v>
      </x:c>
      <x:c r="J18" s="60" t="str">
        <x:v>B52</x:v>
      </x:c>
      <x:c r="K18" s="60" t="str">
        <x:v>BC</x:v>
      </x:c>
      <x:c r="L18" s="60" t="str">
        <x:v>A-MFR</x:v>
      </x:c>
      <x:c r="M18" s="60" t="str">
        <x:v>https://www.advancednutrients.com/de/products/overdrive/</x:v>
      </x:c>
      <x:c r="N18" s="60" t="str">
        <x:v>an.overdrive</x:v>
      </x:c>
      <x:c r="O18" s="60" t="str">
        <x:v>not available</x:v>
      </x:c>
      <x:c r="P18" s="60" t="str">
        <x:v>NO</x:v>
      </x:c>
      <x:c r="Q18" s="60" t="str">
        <x:v>NO</x:v>
      </x:c>
      <x:c r="R18" s="60" t="str">
        <x:v>Overdrive unnecessary; HESI PK path</x:v>
      </x:c>
    </x:row>
    <x:row r="19">
      <x:c r="A19" s="60" t="str">
        <x:v>Tasty Terpenes</x:v>
      </x:c>
      <x:c r="B19" s="60" t="str">
        <x:v>Advanced Nutrients</x:v>
      </x:c>
      <x:c r="C19" s="60" t="str">
        <x:v>K/kelp/alfalfa biostim</x:v>
      </x:c>
      <x:c r="D19" s="60" t="str">
        <x:v>YES</x:v>
      </x:c>
      <x:c r="E19" s="60" t="str">
        <x:v>2 ml/L; current successor to Nirvana</x:v>
      </x:c>
      <x:c r="F19" s="60" t="str">
        <x:v>Boost/B-52/PK partial</x:v>
      </x:c>
      <x:c r="G19" s="60" t="str">
        <x:v>EXPERIMENTAL / OWNED</x:v>
      </x:c>
      <x:c r="H19" s="60" t="str">
        <x:v>OFF</x:v>
      </x:c>
      <x:c r="I19" s="60" t="str">
        <x:v>Owned but not scheduled; future A/B only.</x:v>
      </x:c>
      <x:c r="J19" s="60" t="str">
        <x:v>B53</x:v>
      </x:c>
      <x:c r="K19" s="60" t="str">
        <x:v>BD</x:v>
      </x:c>
      <x:c r="L19" s="60" t="str">
        <x:v>A-MFR</x:v>
      </x:c>
      <x:c r="M19" s="60" t="str">
        <x:v>https://www.advancednutrients.com/de/products/tasty-terpenes/</x:v>
      </x:c>
      <x:c r="N19" s="60" t="str">
        <x:v>an.tasty_terpenes</x:v>
      </x:c>
      <x:c r="O19" s="60" t="str">
        <x:v>available</x:v>
      </x:c>
      <x:c r="P19" s="60" t="str">
        <x:v>NO / A-B</x:v>
      </x:c>
      <x:c r="Q19" s="60" t="str">
        <x:v>NO</x:v>
      </x:c>
      <x:c r="R19" s="60" t="str">
        <x:v>Tasty Terpenes owned; reserve for future A/B</x:v>
      </x:c>
    </x:row>
    <x:row r="20">
      <x:c r="A20" s="60" t="str">
        <x:v>Sensi Cal Mag Xtra</x:v>
      </x:c>
      <x:c r="B20" s="60" t="str">
        <x:v>Advanced Nutrients</x:v>
      </x:c>
      <x:c r="C20" s="60" t="str">
        <x:v>Ca/Mg/Fe + kelp</x:v>
      </x:c>
      <x:c r="D20" s="60" t="str">
        <x:v>YES</x:v>
      </x:c>
      <x:c r="E20" s="60" t="str">
        <x:v>2 ml/L conditional</x:v>
      </x:c>
      <x:c r="F20" s="60" t="str">
        <x:v>HESI CalMag/water chemistry</x:v>
      </x:c>
      <x:c r="G20" s="60" t="str">
        <x:v>CONDITIONAL ALT</x:v>
      </x:c>
      <x:c r="H20" s="60" t="str">
        <x:v>OFF / DOSE 0</x:v>
      </x:c>
      <x:c r="I20" s="60" t="str">
        <x:v>Selected CalMag source, but only if explicit CalMag Plan &gt;0 after diagnostic/water gate.</x:v>
      </x:c>
      <x:c r="J20" s="60" t="str">
        <x:v>B54</x:v>
      </x:c>
      <x:c r="K20" s="60" t="str">
        <x:v>BE</x:v>
      </x:c>
      <x:c r="L20" s="60" t="str">
        <x:v>A-MFR</x:v>
      </x:c>
      <x:c r="M20" s="60" t="str">
        <x:v>https://www.advancednutrients.com/de/products/sensi-cal-mag-xtra/</x:v>
      </x:c>
      <x:c r="N20" s="60" t="str">
        <x:v>an.sensi_cal_mag_xtra</x:v>
      </x:c>
      <x:c r="O20" s="60" t="str">
        <x:v>available</x:v>
      </x:c>
      <x:c r="P20" s="60" t="str">
        <x:v>CONDITIONAL</x:v>
      </x:c>
      <x:c r="Q20" s="60" t="str">
        <x:v>NO</x:v>
      </x:c>
      <x:c r="R20" s="60" t="str">
        <x:v>Sensi CalMag Xtra owned; dose 0 by default</x:v>
      </x:c>
    </x:row>
    <x:row r="21">
      <x:c r="A21" s="60" t="str">
        <x:v>Revive</x:v>
      </x:c>
      <x:c r="B21" s="60" t="str">
        <x:v>Advanced Nutrients</x:v>
      </x:c>
      <x:c r="C21" s="60" t="str">
        <x:v>Plant aid/rescue</x:v>
      </x:c>
      <x:c r="D21" s="60" t="str">
        <x:v>YES</x:v>
      </x:c>
      <x:c r="E21" s="60" t="str">
        <x:v>5 ml/L deficiency; 1 ml/L regular label</x:v>
      </x:c>
      <x:c r="F21" s="60" t="str">
        <x:v>CalMag/Fe/N and diagnosis</x:v>
      </x:c>
      <x:c r="G21" s="60" t="str">
        <x:v>DIAGNOSTIC ONLY</x:v>
      </x:c>
      <x:c r="H21" s="60" t="str">
        <x:v>OFF</x:v>
      </x:c>
      <x:c r="I21" s="60" t="str">
        <x:v>No calendar dose. Must be tied to diagnosed incident.</x:v>
      </x:c>
      <x:c r="J21" s="60" t="str">
        <x:v>B55</x:v>
      </x:c>
      <x:c r="K21" s="60" t="str">
        <x:v>BF</x:v>
      </x:c>
      <x:c r="L21" s="60" t="str">
        <x:v>A-MFR</x:v>
      </x:c>
      <x:c r="M21" s="60" t="str">
        <x:v>https://www.advancednutrients.com/de/products/revive/</x:v>
      </x:c>
      <x:c r="N21" s="60" t="str">
        <x:v>an.revive</x:v>
      </x:c>
      <x:c r="O21" s="60" t="str">
        <x:v>not available</x:v>
      </x:c>
      <x:c r="P21" s="60" t="str">
        <x:v>NO</x:v>
      </x:c>
      <x:c r="Q21" s="60" t="str">
        <x:v>NO</x:v>
      </x:c>
      <x:c r="R21" s="60" t="str">
        <x:v>Revive not needed</x:v>
      </x:c>
    </x:row>
    <x:row r="22">
      <x:c r="A22" s="60" t="str">
        <x:v>Flawless Finish</x:v>
      </x:c>
      <x:c r="B22" s="60" t="str">
        <x:v>Advanced Nutrients</x:v>
      </x:c>
      <x:c r="C22" s="60" t="str">
        <x:v>Finish/flush</x:v>
      </x:c>
      <x:c r="D22" s="60" t="str">
        <x:v>YES</x:v>
      </x:c>
      <x:c r="E22" s="60" t="str">
        <x:v>2 ml/L flush</x:v>
      </x:c>
      <x:c r="F22" s="60" t="str">
        <x:v>HESI pure-water finish / evidence conflict</x:v>
      </x:c>
      <x:c r="G22" s="60" t="str">
        <x:v>NOT REFERENCE</x:v>
      </x:c>
      <x:c r="H22" s="60" t="str">
        <x:v>OFF</x:v>
      </x:c>
      <x:c r="I22" s="60" t="str">
        <x:v>Do not auto-enable.</x:v>
      </x:c>
      <x:c r="J22" s="60" t="str">
        <x:v>none</x:v>
      </x:c>
      <x:c r="K22" s="60" t="str">
        <x:v>none</x:v>
      </x:c>
      <x:c r="L22" s="60" t="str">
        <x:v>A-MFR + A-PRIM</x:v>
      </x:c>
      <x:c r="M22" s="60" t="str">
        <x:v>https://www.advancednutrients.com/de/products/flawless-finish/</x:v>
      </x:c>
      <x:c r="N22" s="60" t="str">
        <x:v>an.flawless_finish</x:v>
      </x:c>
      <x:c r="O22" s="60" t="str">
        <x:v>not available</x:v>
      </x:c>
      <x:c r="P22" s="60" t="str">
        <x:v>NO</x:v>
      </x:c>
      <x:c r="Q22" s="60" t="str">
        <x:v>NO</x:v>
      </x:c>
      <x:c r="R22" s="60" t="str">
        <x:v>Flawless Finish not needed</x:v>
      </x:c>
    </x:row>
    <x:row r="23">
      <x:c r="A23" s="60" t="str">
        <x:v>Voodoo Juice Plus</x:v>
      </x:c>
      <x:c r="B23" s="60" t="str">
        <x:v>Advanced Nutrients</x:v>
      </x:c>
      <x:c r="C23" s="60" t="str">
        <x:v>Combined microbe tablet</x:v>
      </x:c>
      <x:c r="D23" s="60" t="str">
        <x:v>YES</x:v>
      </x:c>
      <x:c r="E23" s="60" t="str">
        <x:v>tablet format; manufacturer combines Voodoo/Piranha/Tarantula strains</x:v>
      </x:c>
      <x:c r="F23" s="60" t="str">
        <x:v>liquid trio</x:v>
      </x:c>
      <x:c r="G23" s="60" t="str">
        <x:v>ALTERNATIVE FORMAT</x:v>
      </x:c>
      <x:c r="H23" s="60" t="str">
        <x:v>OFF</x:v>
      </x:c>
      <x:c r="I23" s="60" t="str">
        <x:v>Alternative to trio, never stack with trio; not numerically modeled.</x:v>
      </x:c>
      <x:c r="J23" s="60" t="str">
        <x:v>none</x:v>
      </x:c>
      <x:c r="K23" s="60" t="str">
        <x:v>none</x:v>
      </x:c>
      <x:c r="L23" s="60" t="str">
        <x:v>A-MFR</x:v>
      </x:c>
      <x:c r="M23" s="60" t="str">
        <x:v>https://www.advancednutrients.com/de/products/voodoo-juice-plus/</x:v>
      </x:c>
      <x:c r="N23" s="60" t="str">
        <x:v>an.voodoo_plus</x:v>
      </x:c>
      <x:c r="O23" s="60" t="str">
        <x:v>not available</x:v>
      </x:c>
      <x:c r="P23" s="60" t="str">
        <x:v>NO</x:v>
      </x:c>
      <x:c r="Q23" s="60" t="str">
        <x:v>NO</x:v>
      </x:c>
      <x:c r="R23" s="60" t="str">
        <x:v>Voodoo Plus not needed</x:v>
      </x:c>
    </x:row>
    <x:row r="24">
      <x:c r="A24" s="60" t="str">
        <x:v>CarboLoad</x:v>
      </x:c>
      <x:c r="B24" s="60" t="str">
        <x:v>Advanced Nutrients</x:v>
      </x:c>
      <x:c r="C24" s="60" t="str">
        <x:v>Carbohydrate/microbe feed</x:v>
      </x:c>
      <x:c r="D24" s="60" t="str">
        <x:v>YES</x:v>
      </x:c>
      <x:c r="E24" s="60" t="str">
        <x:v>2 ml/L</x:v>
      </x:c>
      <x:c r="F24" s="60" t="str">
        <x:v>HESI Boost/Bud Candy</x:v>
      </x:c>
      <x:c r="G24" s="60" t="str">
        <x:v>REJECT FOR CURRENT PRESET</x:v>
      </x:c>
      <x:c r="H24" s="60" t="str">
        <x:v>OFF</x:v>
      </x:c>
      <x:c r="I24" s="60" t="str">
        <x:v>Tiny remainder does not justify a third carbohydrate path; no repurchase now.</x:v>
      </x:c>
      <x:c r="J24" s="60" t="str">
        <x:v>none</x:v>
      </x:c>
      <x:c r="K24" s="60" t="str">
        <x:v>none</x:v>
      </x:c>
      <x:c r="L24" s="60" t="str">
        <x:v>A-MFR</x:v>
      </x:c>
      <x:c r="M24" s="60" t="str">
        <x:v>https://www.advancednutrients.com/de/secret-menu/carboload/</x:v>
      </x:c>
      <x:c r="N24" s="60" t="str">
        <x:v>an.carboload</x:v>
      </x:c>
      <x:c r="O24" s="60" t="str">
        <x:v>tiny remainder</x:v>
      </x:c>
      <x:c r="P24" s="60" t="str">
        <x:v>NO</x:v>
      </x:c>
      <x:c r="Q24" s="60" t="str">
        <x:v>NO</x:v>
      </x:c>
      <x:c r="R24" s="60" t="str">
        <x:v>CarboLoad: do not repurchase while HESI Boost selected</x:v>
      </x:c>
    </x:row>
    <x:row r="25">
      <x:c r="A25" s="60" t="str">
        <x:v>Ancient Earth</x:v>
      </x:c>
      <x:c r="B25" s="60" t="str">
        <x:v>Advanced Nutrients</x:v>
      </x:c>
      <x:c r="C25" s="60" t="str">
        <x:v>Humic acids / medium conditioner</x:v>
      </x:c>
      <x:c r="D25" s="60" t="str">
        <x:v>YES</x:v>
      </x:c>
      <x:c r="E25" s="60" t="str">
        <x:v>2 ml/L</x:v>
      </x:c>
      <x:c r="F25" s="60" t="str">
        <x:v>B-52/root-zone biostim</x:v>
      </x:c>
      <x:c r="G25" s="60" t="str">
        <x:v>STUDY ONLY</x:v>
      </x:c>
      <x:c r="H25" s="60" t="str">
        <x:v>OFF</x:v>
      </x:c>
      <x:c r="I25" s="60" t="str">
        <x:v>No need in default mineral coco hybrid; extra variable.</x:v>
      </x:c>
      <x:c r="J25" s="60" t="str">
        <x:v>none</x:v>
      </x:c>
      <x:c r="K25" s="60" t="str">
        <x:v>none</x:v>
      </x:c>
      <x:c r="L25" s="60" t="str">
        <x:v>A-MFR</x:v>
      </x:c>
      <x:c r="M25" s="60" t="str">
        <x:v>https://www.advancednutrients.com/de/products/og-organics-ancient-earth/</x:v>
      </x:c>
      <x:c r="N25" s="60" t="str">
        <x:v>an.ancient_earth</x:v>
      </x:c>
      <x:c r="O25" s="60" t="str">
        <x:v>not available</x:v>
      </x:c>
      <x:c r="P25" s="60" t="str">
        <x:v>NO</x:v>
      </x:c>
      <x:c r="Q25" s="60" t="str">
        <x:v>NO</x:v>
      </x:c>
      <x:c r="R25" s="60" t="str">
        <x:v>Ancient Earth not needed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40" hidden="0" customWidth="1"/>
    <x:col min="11" max="11" width="18" hidden="0" customWidth="1"/>
    <x:col min="12" max="12" width="28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</x:cols>
  <x:sheetData>
    <x:row r="1">
      <x:c r="A1" s="1801" t="str">
        <x:v>Product</x:v>
      </x:c>
      <x:c r="B1" s="1801" t="str">
        <x:v>Vendor</x:v>
      </x:c>
      <x:c r="C1" s="1801" t="str">
        <x:v>Observed / user-stated</x:v>
      </x:c>
      <x:c r="D1" s="1801" t="str">
        <x:v>Stock state</x:v>
      </x:c>
      <x:c r="E1" s="1801" t="str">
        <x:v>Role</x:v>
      </x:c>
      <x:c r="F1" s="1801" t="str">
        <x:v>v8 plan state</x:v>
      </x:c>
      <x:c r="G1" s="1801" t="str">
        <x:v>Dose source</x:v>
      </x:c>
      <x:c r="H1" s="1801" t="str">
        <x:v>Current dose behavior</x:v>
      </x:c>
      <x:c r="I1" s="1801" t="str">
        <x:v>Repurchase?</x:v>
      </x:c>
      <x:c r="J1" s="1801" t="str">
        <x:v>Reason</x:v>
      </x:c>
      <x:c r="K1" s="1801" t="str">
        <x:v>Evidence</x:v>
      </x:c>
      <x:c r="L1" s="1801" t="str">
        <x:v>App key</x:v>
      </x:c>
      <x:c r="M1" s="2348" t="str">
        <x:v>Quantity remaining</x:v>
      </x:c>
      <x:c r="N1" s="2348" t="str">
        <x:v>Lot / batch</x:v>
      </x:c>
      <x:c r="O1" s="2348" t="str">
        <x:v>Opened date</x:v>
      </x:c>
      <x:c r="P1" s="2348" t="str">
        <x:v>Expiry / best-before</x:v>
      </x:c>
    </x:row>
    <x:row r="2">
      <x:c r="A2" s="60" t="str">
        <x:v>Balance</x:v>
      </x:c>
      <x:c r="B2" s="60" t="str">
        <x:v>Athena</x:v>
      </x:c>
      <x:c r="C2" s="60" t="str">
        <x:v>photo</x:v>
      </x:c>
      <x:c r="D2" s="60" t="str">
        <x:v>available</x:v>
      </x:c>
      <x:c r="E2" s="60" t="str">
        <x:v>Si / pH buffer</x:v>
      </x:c>
      <x:c r="F2" s="60" t="str">
        <x:v>PREFERRED / CONDITIONAL</x:v>
      </x:c>
      <x:c r="G2" s="60" t="str">
        <x:v>Titration only</x:v>
      </x:c>
      <x:c r="H2" s="60" t="str">
        <x:v>0 until gate; no calendar dose</x:v>
      </x:c>
      <x:c r="I2" s="60" t="str">
        <x:v>NO</x:v>
      </x:c>
      <x:c r="J2" s="60" t="str">
        <x:v>Owned preferred Si path; no need to buy Rhino/Hesilicio.</x:v>
      </x:c>
      <x:c r="K2" s="60" t="str">
        <x:v>A-MFR</x:v>
      </x:c>
      <x:c r="L2" s="60" t="str">
        <x:v>athena.balance</x:v>
      </x:c>
      <x:c r="M2" s="2338" t="str">
        <x:v>UNKNOWN</x:v>
      </x:c>
      <x:c r="N2" s="2338" t="str">
        <x:v>UNKNOWN</x:v>
      </x:c>
      <x:c r="O2" s="2338" t="str">
        <x:v>UNKNOWN</x:v>
      </x:c>
      <x:c r="P2" s="2338" t="str">
        <x:v>UNKNOWN</x:v>
      </x:c>
    </x:row>
    <x:row r="3">
      <x:c r="A3" s="60" t="str">
        <x:v>Boost</x:v>
      </x:c>
      <x:c r="B3" s="60" t="str">
        <x:v>HESI</x:v>
      </x:c>
      <x:c r="C3" s="60" t="str">
        <x:v>photo</x:v>
      </x:c>
      <x:c r="D3" s="60" t="str">
        <x:v>available</x:v>
      </x:c>
      <x:c r="E3" s="60" t="str">
        <x:v>Bloom biostim/carbo</x:v>
      </x:c>
      <x:c r="F3" s="60" t="str">
        <x:v>ACTIVE</x:v>
      </x:c>
      <x:c r="G3" s="60" t="str">
        <x:v>HESI label + UKD schedule</x:v>
      </x:c>
      <x:c r="H3" s="60" t="str">
        <x:v>Preferred bloom path</x:v>
      </x:c>
      <x:c r="I3" s="60" t="str">
        <x:v>NO</x:v>
      </x:c>
      <x:c r="J3" s="60" t="str">
        <x:v>Owned; replaces need for Bud Candy/CarboLoad in reference preset.</x:v>
      </x:c>
      <x:c r="K3" s="60" t="str">
        <x:v>A-MFR</x:v>
      </x:c>
      <x:c r="L3" s="60" t="str">
        <x:v>hesi.boost</x:v>
      </x:c>
      <x:c r="M3" s="2338" t="str">
        <x:v>UNKNOWN</x:v>
      </x:c>
      <x:c r="N3" s="2338" t="str">
        <x:v>UNKNOWN</x:v>
      </x:c>
      <x:c r="O3" s="2338" t="str">
        <x:v>UNKNOWN</x:v>
      </x:c>
      <x:c r="P3" s="2338" t="str">
        <x:v>UNKNOWN</x:v>
      </x:c>
    </x:row>
    <x:row r="4">
      <x:c r="A4" s="60" t="str">
        <x:v>PK 13/14</x:v>
      </x:c>
      <x:c r="B4" s="60" t="str">
        <x:v>HESI</x:v>
      </x:c>
      <x:c r="C4" s="60" t="str">
        <x:v>photo</x:v>
      </x:c>
      <x:c r="D4" s="60" t="str">
        <x:v>available</x:v>
      </x:c>
      <x:c r="E4" s="60" t="str">
        <x:v>Late bloom PK</x:v>
      </x:c>
      <x:c r="F4" s="60" t="str">
        <x:v>ACTIVE</x:v>
      </x:c>
      <x:c r="G4" s="60" t="str">
        <x:v>HESI label + UKD curve</x:v>
      </x:c>
      <x:c r="H4" s="60" t="str">
        <x:v>Late bloom only</x:v>
      </x:c>
      <x:c r="I4" s="60" t="str">
        <x:v>NO</x:v>
      </x:c>
      <x:c r="J4" s="60" t="str">
        <x:v>Owned canonical PK path; no Bud Ignitor/Big Bud/Overdrive purchase.</x:v>
      </x:c>
      <x:c r="K4" s="60" t="str">
        <x:v>A-MFR</x:v>
      </x:c>
      <x:c r="L4" s="60" t="str">
        <x:v>hesi.pk1314</x:v>
      </x:c>
      <x:c r="M4" s="2338" t="str">
        <x:v>UNKNOWN</x:v>
      </x:c>
      <x:c r="N4" s="2338" t="str">
        <x:v>UNKNOWN</x:v>
      </x:c>
      <x:c r="O4" s="2338" t="str">
        <x:v>UNKNOWN</x:v>
      </x:c>
      <x:c r="P4" s="2338" t="str">
        <x:v>UNKNOWN</x:v>
      </x:c>
    </x:row>
    <x:row r="5">
      <x:c r="A5" s="60" t="str">
        <x:v>Wurzel Complex</x:v>
      </x:c>
      <x:c r="B5" s="60" t="str">
        <x:v>HESI</x:v>
      </x:c>
      <x:c r="C5" s="60" t="str">
        <x:v>photo</x:v>
      </x:c>
      <x:c r="D5" s="60" t="str">
        <x:v>available</x:v>
      </x:c>
      <x:c r="E5" s="60" t="str">
        <x:v>Root/stress support</x:v>
      </x:c>
      <x:c r="F5" s="60" t="str">
        <x:v>ACTIVE EARLY</x:v>
      </x:c>
      <x:c r="G5" s="60" t="str">
        <x:v>HESI half-dose frequent-use</x:v>
      </x:c>
      <x:c r="H5" s="60" t="str">
        <x:v>2.5 ml/L planned on actual watering events</x:v>
      </x:c>
      <x:c r="I5" s="60" t="str">
        <x:v>NO</x:v>
      </x:c>
      <x:c r="J5" s="60" t="str">
        <x:v>Owned HESI support.</x:v>
      </x:c>
      <x:c r="K5" s="60" t="str">
        <x:v>A-MFR</x:v>
      </x:c>
      <x:c r="L5" s="60" t="str">
        <x:v>hesi.root_complex</x:v>
      </x:c>
      <x:c r="M5" s="2338" t="str">
        <x:v>UNKNOWN</x:v>
      </x:c>
      <x:c r="N5" s="2338" t="str">
        <x:v>UNKNOWN</x:v>
      </x:c>
      <x:c r="O5" s="2338" t="str">
        <x:v>UNKNOWN</x:v>
      </x:c>
      <x:c r="P5" s="2338" t="str">
        <x:v>UNKNOWN</x:v>
      </x:c>
    </x:row>
    <x:row r="6">
      <x:c r="A6" s="60" t="str">
        <x:v>Coco</x:v>
      </x:c>
      <x:c r="B6" s="60" t="str">
        <x:v>HESI</x:v>
      </x:c>
      <x:c r="C6" s="60" t="str">
        <x:v>photo</x:v>
      </x:c>
      <x:c r="D6" s="60" t="str">
        <x:v>available</x:v>
      </x:c>
      <x:c r="E6" s="60" t="str">
        <x:v>Bloom base</x:v>
      </x:c>
      <x:c r="F6" s="60" t="str">
        <x:v>ACTIVE</x:v>
      </x:c>
      <x:c r="G6" s="60" t="str">
        <x:v>HESI manufacturer + EC gate</x:v>
      </x:c>
      <x:c r="H6" s="60" t="str">
        <x:v>Trigger-based base</x:v>
      </x:c>
      <x:c r="I6" s="60" t="str">
        <x:v>NO</x:v>
      </x:c>
      <x:c r="J6" s="60" t="str">
        <x:v>Owned canonical bloom base.</x:v>
      </x:c>
      <x:c r="K6" s="60" t="str">
        <x:v>A-MFR</x:v>
      </x:c>
      <x:c r="L6" s="60" t="str">
        <x:v>hesi.coco</x:v>
      </x:c>
      <x:c r="M6" s="2338" t="str">
        <x:v>UNKNOWN</x:v>
      </x:c>
      <x:c r="N6" s="2338" t="str">
        <x:v>UNKNOWN</x:v>
      </x:c>
      <x:c r="O6" s="2338" t="str">
        <x:v>UNKNOWN</x:v>
      </x:c>
      <x:c r="P6" s="2338" t="str">
        <x:v>UNKNOWN</x:v>
      </x:c>
    </x:row>
    <x:row r="7">
      <x:c r="A7" s="60" t="str">
        <x:v>TNT Complex</x:v>
      </x:c>
      <x:c r="B7" s="60" t="str">
        <x:v>HESI</x:v>
      </x:c>
      <x:c r="C7" s="60" t="str">
        <x:v>photo</x:v>
      </x:c>
      <x:c r="D7" s="60" t="str">
        <x:v>available</x:v>
      </x:c>
      <x:c r="E7" s="60" t="str">
        <x:v>Vegetative base</x:v>
      </x:c>
      <x:c r="F7" s="60" t="str">
        <x:v>ACTIVE</x:v>
      </x:c>
      <x:c r="G7" s="60" t="str">
        <x:v>HESI manufacturer + EC gate</x:v>
      </x:c>
      <x:c r="H7" s="60" t="str">
        <x:v>Early/veg base</x:v>
      </x:c>
      <x:c r="I7" s="60" t="str">
        <x:v>NO</x:v>
      </x:c>
      <x:c r="J7" s="60" t="str">
        <x:v>Owned canonical early base.</x:v>
      </x:c>
      <x:c r="K7" s="60" t="str">
        <x:v>A-MFR</x:v>
      </x:c>
      <x:c r="L7" s="60" t="str">
        <x:v>hesi.tnt</x:v>
      </x:c>
      <x:c r="M7" s="2338" t="str">
        <x:v>UNKNOWN</x:v>
      </x:c>
      <x:c r="N7" s="2338" t="str">
        <x:v>UNKNOWN</x:v>
      </x:c>
      <x:c r="O7" s="2338" t="str">
        <x:v>UNKNOWN</x:v>
      </x:c>
      <x:c r="P7" s="2338" t="str">
        <x:v>UNKNOWN</x:v>
      </x:c>
    </x:row>
    <x:row r="8">
      <x:c r="A8" s="60" t="str">
        <x:v>PowerZyme</x:v>
      </x:c>
      <x:c r="B8" s="60" t="str">
        <x:v>HESI</x:v>
      </x:c>
      <x:c r="C8" s="60" t="str">
        <x:v>photo</x:v>
      </x:c>
      <x:c r="D8" s="60" t="str">
        <x:v>available</x:v>
      </x:c>
      <x:c r="E8" s="60" t="str">
        <x:v>Enzyme/root-zone conditioner</x:v>
      </x:c>
      <x:c r="F8" s="60" t="str">
        <x:v>ACTIVE</x:v>
      </x:c>
      <x:c r="G8" s="60" t="str">
        <x:v>HESI manufacturer</x:v>
      </x:c>
      <x:c r="H8" s="60" t="str">
        <x:v>2 ml/L plan unless alternative selected</x:v>
      </x:c>
      <x:c r="I8" s="60" t="str">
        <x:v>NO</x:v>
      </x:c>
      <x:c r="J8" s="60" t="str">
        <x:v>Owned; Sensizym purchase unnecessary.</x:v>
      </x:c>
      <x:c r="K8" s="60" t="str">
        <x:v>A-MFR</x:v>
      </x:c>
      <x:c r="L8" s="60" t="str">
        <x:v>hesi.powerzyme</x:v>
      </x:c>
      <x:c r="M8" s="2338" t="str">
        <x:v>UNKNOWN</x:v>
      </x:c>
      <x:c r="N8" s="2338" t="str">
        <x:v>UNKNOWN</x:v>
      </x:c>
      <x:c r="O8" s="2338" t="str">
        <x:v>UNKNOWN</x:v>
      </x:c>
      <x:c r="P8" s="2338" t="str">
        <x:v>UNKNOWN</x:v>
      </x:c>
    </x:row>
    <x:row r="9">
      <x:c r="A9" s="60" t="str">
        <x:v>SuperVit</x:v>
      </x:c>
      <x:c r="B9" s="60" t="str">
        <x:v>HESI</x:v>
      </x:c>
      <x:c r="C9" s="60" t="str">
        <x:v>user stated</x:v>
      </x:c>
      <x:c r="D9" s="60" t="str">
        <x:v>available</x:v>
      </x:c>
      <x:c r="E9" s="60" t="str">
        <x:v>Microdose biostim</x:v>
      </x:c>
      <x:c r="F9" s="60" t="str">
        <x:v>ACTIVE</x:v>
      </x:c>
      <x:c r="G9" s="60" t="str">
        <x:v>HESI manufacturer</x:v>
      </x:c>
      <x:c r="H9" s="60" t="str">
        <x:v>0.015 ml/L when actual watering occurs</x:v>
      </x:c>
      <x:c r="I9" s="60" t="str">
        <x:v>NO</x:v>
      </x:c>
      <x:c r="J9" s="60" t="str">
        <x:v>Owned core support.</x:v>
      </x:c>
      <x:c r="K9" s="60" t="str">
        <x:v>A-MFR</x:v>
      </x:c>
      <x:c r="L9" s="60" t="str">
        <x:v>hesi.supervit</x:v>
      </x:c>
      <x:c r="M9" s="2338" t="str">
        <x:v>UNKNOWN</x:v>
      </x:c>
      <x:c r="N9" s="2338" t="str">
        <x:v>UNKNOWN</x:v>
      </x:c>
      <x:c r="O9" s="2338" t="str">
        <x:v>UNKNOWN</x:v>
      </x:c>
      <x:c r="P9" s="2338" t="str">
        <x:v>UNKNOWN</x:v>
      </x:c>
    </x:row>
    <x:row r="10">
      <x:c r="A10" s="60" t="str">
        <x:v>Voodoo Juice</x:v>
      </x:c>
      <x:c r="B10" s="60" t="str">
        <x:v>Advanced Nutrients</x:v>
      </x:c>
      <x:c r="C10" s="60" t="str">
        <x:v>user stated</x:v>
      </x:c>
      <x:c r="D10" s="60" t="str">
        <x:v>available</x:v>
      </x:c>
      <x:c r="E10" s="60" t="str">
        <x:v>Root bacteria</x:v>
      </x:c>
      <x:c r="F10" s="60" t="str">
        <x:v>ACTIVE WINDOWS</x:v>
      </x:c>
      <x:c r="G10" s="60" t="str">
        <x:v>AN label / UKD conservative windows</x:v>
      </x:c>
      <x:c r="H10" s="60" t="str">
        <x:v>2 ml/L on defined fresh events</x:v>
      </x:c>
      <x:c r="I10" s="60" t="str">
        <x:v>NO</x:v>
      </x:c>
      <x:c r="J10" s="60" t="str">
        <x:v>Selected complement.</x:v>
      </x:c>
      <x:c r="K10" s="60" t="str">
        <x:v>A-MFR</x:v>
      </x:c>
      <x:c r="L10" s="60" t="str">
        <x:v>an.voodoo</x:v>
      </x:c>
      <x:c r="M10" s="2338" t="str">
        <x:v>UNKNOWN</x:v>
      </x:c>
      <x:c r="N10" s="2338" t="str">
        <x:v>UNKNOWN</x:v>
      </x:c>
      <x:c r="O10" s="2338" t="str">
        <x:v>UNKNOWN</x:v>
      </x:c>
      <x:c r="P10" s="2338" t="str">
        <x:v>UNKNOWN</x:v>
      </x:c>
    </x:row>
    <x:row r="11">
      <x:c r="A11" s="60" t="str">
        <x:v>Tarantula</x:v>
      </x:c>
      <x:c r="B11" s="60" t="str">
        <x:v>Advanced Nutrients</x:v>
      </x:c>
      <x:c r="C11" s="60" t="str">
        <x:v>user stated</x:v>
      </x:c>
      <x:c r="D11" s="60" t="str">
        <x:v>available</x:v>
      </x:c>
      <x:c r="E11" s="60" t="str">
        <x:v>Beneficial bacteria</x:v>
      </x:c>
      <x:c r="F11" s="60" t="str">
        <x:v>ACTIVE WINDOWS</x:v>
      </x:c>
      <x:c r="G11" s="60" t="str">
        <x:v>AN label / UKD conservative windows</x:v>
      </x:c>
      <x:c r="H11" s="60" t="str">
        <x:v>2 ml/L alongside Voodoo on defined fresh events</x:v>
      </x:c>
      <x:c r="I11" s="60" t="str">
        <x:v>NO</x:v>
      </x:c>
      <x:c r="J11" s="60" t="str">
        <x:v>AN explicitly recommends combination with Voodoo.</x:v>
      </x:c>
      <x:c r="K11" s="60" t="str">
        <x:v>A-MFR</x:v>
      </x:c>
      <x:c r="L11" s="60" t="str">
        <x:v>an.tarantula</x:v>
      </x:c>
      <x:c r="M11" s="2338" t="str">
        <x:v>UNKNOWN</x:v>
      </x:c>
      <x:c r="N11" s="2338" t="str">
        <x:v>UNKNOWN</x:v>
      </x:c>
      <x:c r="O11" s="2338" t="str">
        <x:v>UNKNOWN</x:v>
      </x:c>
      <x:c r="P11" s="2338" t="str">
        <x:v>UNKNOWN</x:v>
      </x:c>
    </x:row>
    <x:row r="12">
      <x:c r="A12" s="60" t="str">
        <x:v>Sensi Cal Mag Xtra</x:v>
      </x:c>
      <x:c r="B12" s="60" t="str">
        <x:v>Advanced Nutrients</x:v>
      </x:c>
      <x:c r="C12" s="60" t="str">
        <x:v>photo</x:v>
      </x:c>
      <x:c r="D12" s="60" t="str">
        <x:v>available</x:v>
      </x:c>
      <x:c r="E12" s="60" t="str">
        <x:v>Conditional Ca/Mg/Fe</x:v>
      </x:c>
      <x:c r="F12" s="60" t="str">
        <x:v>CONDITIONAL / DOSE 0</x:v>
      </x:c>
      <x:c r="G12" s="60" t="str">
        <x:v>AN label + UKD water gate</x:v>
      </x:c>
      <x:c r="H12" s="60" t="str">
        <x:v>Equals CalMag Plan ml/L; currently 0</x:v>
      </x:c>
      <x:c r="I12" s="60" t="str">
        <x:v>NO</x:v>
      </x:c>
      <x:c r="J12" s="60" t="str">
        <x:v>Owned source; availability alone does not establish need.</x:v>
      </x:c>
      <x:c r="K12" s="60" t="str">
        <x:v>A-MFR</x:v>
      </x:c>
      <x:c r="L12" s="60" t="str">
        <x:v>an.sensi_cal_mag_xtra</x:v>
      </x:c>
      <x:c r="M12" s="2338" t="str">
        <x:v>UNKNOWN</x:v>
      </x:c>
      <x:c r="N12" s="2338" t="str">
        <x:v>UNKNOWN</x:v>
      </x:c>
      <x:c r="O12" s="2338" t="str">
        <x:v>UNKNOWN</x:v>
      </x:c>
      <x:c r="P12" s="2338" t="str">
        <x:v>UNKNOWN</x:v>
      </x:c>
    </x:row>
    <x:row r="13">
      <x:c r="A13" s="60" t="str">
        <x:v>Tasty Terpenes</x:v>
      </x:c>
      <x:c r="B13" s="60" t="str">
        <x:v>Advanced Nutrients</x:v>
      </x:c>
      <x:c r="C13" s="60" t="str">
        <x:v>photo</x:v>
      </x:c>
      <x:c r="D13" s="60" t="str">
        <x:v>available</x:v>
      </x:c>
      <x:c r="E13" s="60" t="str">
        <x:v>K/kelp/alfalfa biostim</x:v>
      </x:c>
      <x:c r="F13" s="60" t="str">
        <x:v>OWNED / OFF</x:v>
      </x:c>
      <x:c r="G13" s="60" t="str">
        <x:v>AN label</x:v>
      </x:c>
      <x:c r="H13" s="60" t="str">
        <x:v>No calendar dose in reference run</x:v>
      </x:c>
      <x:c r="I13" s="60" t="str">
        <x:v>NO</x:v>
      </x:c>
      <x:c r="J13" s="60" t="str">
        <x:v>Keep for future isolated A/B; not needed on top of HESI Boost/PK.</x:v>
      </x:c>
      <x:c r="K13" s="60" t="str">
        <x:v>A-MFR + UKD</x:v>
      </x:c>
      <x:c r="L13" s="60" t="str">
        <x:v>an.tasty_terpenes</x:v>
      </x:c>
      <x:c r="M13" s="2338" t="str">
        <x:v>UNKNOWN</x:v>
      </x:c>
      <x:c r="N13" s="2338" t="str">
        <x:v>UNKNOWN</x:v>
      </x:c>
      <x:c r="O13" s="2338" t="str">
        <x:v>UNKNOWN</x:v>
      </x:c>
      <x:c r="P13" s="2338" t="str">
        <x:v>UNKNOWN</x:v>
      </x:c>
    </x:row>
    <x:row r="14">
      <x:c r="A14" s="60" t="str">
        <x:v>CarboLoad</x:v>
      </x:c>
      <x:c r="B14" s="60" t="str">
        <x:v>Advanced Nutrients</x:v>
      </x:c>
      <x:c r="C14" s="60" t="str">
        <x:v>photo + user stated</x:v>
      </x:c>
      <x:c r="D14" s="60" t="str">
        <x:v>tiny remainder</x:v>
      </x:c>
      <x:c r="E14" s="60" t="str">
        <x:v>Carbohydrate/microbe feed</x:v>
      </x:c>
      <x:c r="F14" s="60" t="str">
        <x:v>OFF</x:v>
      </x:c>
      <x:c r="G14" s="60" t="str">
        <x:v>AN label</x:v>
      </x:c>
      <x:c r="H14" s="60" t="str">
        <x:v>Do not add merely to finish bottle</x:v>
      </x:c>
      <x:c r="I14" s="60" t="str">
        <x:v>NO</x:v>
      </x:c>
      <x:c r="J14" s="60" t="str">
        <x:v>HESI Boost already selected; third carbohydrate path adds little interpretability.</x:v>
      </x:c>
      <x:c r="K14" s="60" t="str">
        <x:v>A-MFR + UKD</x:v>
      </x:c>
      <x:c r="L14" s="60" t="str">
        <x:v>an.carboload</x:v>
      </x:c>
      <x:c r="M14" s="2338" t="str">
        <x:v>UNKNOWN</x:v>
      </x:c>
      <x:c r="N14" s="2338" t="str">
        <x:v>UNKNOWN</x:v>
      </x:c>
      <x:c r="O14" s="2338" t="str">
        <x:v>UNKNOWN</x:v>
      </x:c>
      <x:c r="P14" s="2338" t="str">
        <x:v>UNKNOWN</x:v>
      </x:c>
    </x:row>
    <x:row r="17">
      <x:c r="A17" s="1804" t="str">
        <x:v>Inventory rules</x:v>
      </x:c>
      <x:c r="B17" s="1804"/>
      <x:c r="C17" s="1804"/>
      <x:c r="D17" s="1804"/>
      <x:c r="E17" s="1804"/>
      <x:c r="F17" s="1804"/>
      <x:c r="G17" s="1804"/>
      <x:c r="H17" s="1804"/>
      <x:c r="I17" s="1804"/>
      <x:c r="J17" s="1804"/>
      <x:c r="K17" s="1804"/>
      <x:c r="L17" s="1804"/>
    </x:row>
    <x:row r="18">
      <x:c r="A18" s="60" t="str">
        <x:v>1</x:v>
      </x:c>
      <x:c r="B18" s="60" t="str">
        <x:v>Availability is a setup fact, not evidence of benefit or need.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60" t="str">
        <x:v>2</x:v>
      </x:c>
      <x:c r="B19" s="60" t="str">
        <x:v>Do not purchase alternatives when an owned, compatible canonical path is already selected unless an A/B experiment requires it.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60" t="str">
        <x:v>3</x:v>
      </x:c>
      <x:c r="B20" s="60" t="str">
        <x:v>Lot, opening date, expiry and exact remaining quantity are still unknown and should be recorded before long-term inventory automation.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4" hidden="0" customWidth="1"/>
    <x:col min="4" max="4" width="42" hidden="0" customWidth="1"/>
    <x:col min="5" max="5" width="44" hidden="0" customWidth="1"/>
    <x:col min="6" max="6" width="42" hidden="0" customWidth="1"/>
    <x:col min="7" max="7" width="34" hidden="0" customWidth="1"/>
    <x:col min="8" max="8" width="20" hidden="0" customWidth="1"/>
  </x:cols>
  <x:sheetData>
    <x:row r="1">
      <x:c r="A1" s="2348" t="str">
        <x:v>Priority</x:v>
      </x:c>
      <x:c r="B1" s="2348" t="str">
        <x:v>Layer</x:v>
      </x:c>
      <x:c r="C1" s="2348" t="str">
        <x:v>/GOAL</x:v>
      </x:c>
      <x:c r="D1" s="2348" t="str">
        <x:v>/PROBLEM</x:v>
      </x:c>
      <x:c r="E1" s="2348" t="str">
        <x:v>Transformation</x:v>
      </x:c>
      <x:c r="F1" s="2348" t="str">
        <x:v>Acceptance criterion</x:v>
      </x:c>
      <x:c r="G1" s="2348" t="str">
        <x:v>Source truth / evidence</x:v>
      </x:c>
      <x:c r="H1" s="2348" t="str">
        <x:v>v9 status</x:v>
      </x:c>
    </x:row>
    <x:row r="2" ht="54" customHeight="1">
      <x:c r="A2" s="1962" t="str">
        <x:v>P0</x:v>
      </x:c>
      <x:c r="B2" s="60" t="str">
        <x:v>Release truth</x:v>
      </x:c>
      <x:c r="C2" s="1880" t="str">
        <x:v>App, XLSX and PDF show the same release/version/data snapshot.</x:v>
      </x:c>
      <x:c r="D2" s="1962" t="str">
        <x:v>Current app source is version 6.0.0 and loads evidence-guarded-workbook-v6.json while the operational workbook/PDF had already moved to v8.</x:v>
      </x:c>
      <x:c r="E2" s="60" t="str">
        <x:v>Introduce one release manifest with version, schema, workbook hash, source review date, sheet/claim counts; app consumes it instead of hard-coded labels.</x:v>
      </x:c>
      <x:c r="F2" s="60" t="str">
        <x:v>No artifact may declare a different canonical content version; CI fails on mismatch.</x:v>
      </x:c>
      <x:c r="G2" s="60" t="str">
        <x:v>package.json; docs/ARCHITECTURE.md; src/App.tsx; current XLSX/PDF</x:v>
      </x:c>
      <x:c r="H2" s="60" t="str">
        <x:v>APP P0</x:v>
      </x:c>
    </x:row>
    <x:row r="3" ht="54" customHeight="1">
      <x:c r="A3" s="1962" t="str">
        <x:v>P0</x:v>
      </x:c>
      <x:c r="B3" s="60" t="str">
        <x:v>Formula correctness</x:v>
      </x:c>
      <x:c r="C3" s="1880" t="str">
        <x:v>Every dose window is derived from the intended biological/trigger variable.</x:v>
      </x:c>
      <x:c r="D3" s="1962" t="str">
        <x:v>v7/v8 formulas used AJ (GM Phase text) where AL (numeric Bloom-Tag) was intended, silently zeroing PowerZyme/PK and alternative AN windows.</x:v>
      </x:c>
      <x:c r="E3" s="60" t="str">
        <x:v>Correct all 11 affected Daily Master formula families; add parity/golden tests.</x:v>
      </x:c>
      <x:c r="F3" s="60" t="str">
        <x:v>0 formula errors; expected nonzero values appear in approved windows; regression fixture covers columns X, AB, AV:BD.</x:v>
      </x:c>
      <x:c r="G3" s="60" t="str">
        <x:v>02_Daily_Master formula audit</x:v>
      </x:c>
      <x:c r="H3" s="60" t="str">
        <x:v>FIXED XLSX v9 / APP TEST REQUIRED</x:v>
      </x:c>
    </x:row>
    <x:row r="4" ht="54" customHeight="1">
      <x:c r="A4" s="1962" t="str">
        <x:v>P0</x:v>
      </x:c>
      <x:c r="B4" s="60" t="str">
        <x:v>Propagation safety</x:v>
      </x:c>
      <x:c r="C4" s="1880" t="str">
        <x:v>Propagation medium is a first-class setup fact and blocks blind calendar feeding.</x:v>
      </x:c>
      <x:c r="D4" s="1962" t="str">
        <x:v>The plan treated UGro Rhiza as the only medium and a day-based nutrient start as if propagation media had no own pH/EC/nutrient state.</x:v>
      </x:c>
      <x:c r="E4" s="60" t="str">
        <x:v>Model Eazy Plug Mini -&gt; Eazy Block Standard -&gt; UGro Rhiza Coco; mark day 4 as earliest reference only; add plant/medium gate.</x:v>
      </x:c>
      <x:c r="F4" s="60" t="str">
        <x:v>Setup shows propagation stage, exact product/size, transplant event, and feed eligibility separately from day number.</x:v>
      </x:c>
      <x:c r="G4" s="60" t="str">
        <x:v>Eazy Plug manufacturer; HESI TNT; UGro COCO</x:v>
      </x:c>
      <x:c r="H4" s="60" t="str">
        <x:v>FIXED PLAN v9 / APP P1</x:v>
      </x:c>
    </x:row>
    <x:row r="5" ht="54" customHeight="1">
      <x:c r="A5" s="1962" t="str">
        <x:v>P0</x:v>
      </x:c>
      <x:c r="B5" s="60" t="str">
        <x:v>Evidence boundary</x:v>
      </x:c>
      <x:c r="C5" s="1880" t="str">
        <x:v>A user can always tell target vs measured vs user input vs manufacturer vs UKD inference.</x:v>
      </x:c>
      <x:c r="D5" s="1962" t="str">
        <x:v>The workbook contains these concepts, but they are not consistently visible at the point of action.</x:v>
      </x:c>
      <x:c r="E5" s="60" t="str">
        <x:v>Make status/provenance a mandatory field on cards, tasks, measurements, product states and overrides.</x:v>
      </x:c>
      <x:c r="F5" s="60" t="str">
        <x:v>Critical action cards visibly carry state + reason + evidence source; no silent fallback.</x:v>
      </x:c>
      <x:c r="G5" s="60" t="str">
        <x:v>docs/RULES_OF_EVIDENCE.md; docs/PRODUCT_SPEC.md</x:v>
      </x:c>
      <x:c r="H5" s="60" t="str">
        <x:v>APP P0/P1</x:v>
      </x:c>
    </x:row>
    <x:row r="6" ht="54" customHeight="1">
      <x:c r="A6" s="1962" t="str">
        <x:v>P0</x:v>
      </x:c>
      <x:c r="B6" s="60" t="str">
        <x:v>Product stack truth</x:v>
      </x:c>
      <x:c r="C6" s="1880" t="str">
        <x:v>One resolved stack drives Today, Mix, Dashboard, export and app.</x:v>
      </x:c>
      <x:c r="D6" s="1962" t="str">
        <x:v>Product state is still partly duplicated manually across Daily, Weekly, Mix, hybrid reference and app snapshot.</x:v>
      </x:c>
      <x:c r="E6" s="60" t="str">
        <x:v>Create a stack compiler: preset + run snapshot + phase + measurements + evidence rules -&gt; ResolvedDailyMixPlan.</x:v>
      </x:c>
      <x:c r="F6" s="60" t="str">
        <x:v>100% selected products resolve to ACTIVE/ZERO_BY_STAGE/CONDITIONAL/BLOCKED/REPLACED/EXPERIMENTAL and appear identically everywhere.</x:v>
      </x:c>
      <x:c r="G6" s="60" t="str">
        <x:v>27_HESI_AN_Hybrid; 28_Current_Inventory; prior audit</x:v>
      </x:c>
      <x:c r="H6" s="60" t="str">
        <x:v>APP P0</x:v>
      </x:c>
    </x:row>
    <x:row r="7" ht="54" customHeight="1">
      <x:c r="A7" s="1962" t="str">
        <x:v>P0</x:v>
      </x:c>
      <x:c r="B7" s="60" t="str">
        <x:v>Fail-closed chemistry</x:v>
      </x:c>
      <x:c r="C7" s="1880" t="str">
        <x:v>Unknown chemistry never creates a positive Athena/CalMag dose.</x:v>
      </x:c>
      <x:c r="D7" s="1962" t="str">
        <x:v>Water pH/EC alone do not resolve Ca/Mg/alkalinity; owned stock can create psychological pressure to dose.</x:v>
      </x:c>
      <x:c r="E7" s="60" t="str">
        <x:v>Readiness gate + explicit CalMag Plan + Athena titration workflow; inventory never overrides need.</x:v>
      </x:c>
      <x:c r="F7" s="60" t="str">
        <x:v>Dose stays 0 until required inputs/decision exist.</x:v>
      </x:c>
      <x:c r="G7" s="60" t="str">
        <x:v>01_Run_Config; 28_Current_Inventory</x:v>
      </x:c>
      <x:c r="H7" s="60" t="str">
        <x:v>FIXED XLSX/PDF v8-v9</x:v>
      </x:c>
    </x:row>
    <x:row r="8" ht="54" customHeight="1">
      <x:c r="A8" s="2064" t="str">
        <x:v>P1</x:v>
      </x:c>
      <x:c r="B8" s="60" t="str">
        <x:v>Orientation</x:v>
      </x:c>
      <x:c r="C8" s="1880" t="str">
        <x:v>A first-time user knows where to start and what the system is for.</x:v>
      </x:c>
      <x:c r="D8" s="1962" t="str">
        <x:v>Workbook/PDF are comprehensive but not self-explanatory; app has no first-run onboarding.</x:v>
      </x:c>
      <x:c r="E8" s="60" t="str">
        <x:v>Start Here / North Star, 3-step operator path, first-run welcome, setup readiness.</x:v>
      </x:c>
      <x:c r="F8" s="60" t="str">
        <x:v>New user can identify next action and blocker without opening raw tables.</x:v>
      </x:c>
      <x:c r="G8" s="60" t="str">
        <x:v>Current Dashboard/PDF; src/App.tsx</x:v>
      </x:c>
      <x:c r="H8" s="60" t="str">
        <x:v>FIXED XLSX/PDF v9 / APP P1</x:v>
      </x:c>
    </x:row>
    <x:row r="9" ht="54" customHeight="1">
      <x:c r="A9" s="2064" t="str">
        <x:v>P1</x:v>
      </x:c>
      <x:c r="B9" s="60" t="str">
        <x:v>Information architecture</x:v>
      </x:c>
      <x:c r="C9" s="1880" t="str">
        <x:v>Guided navigation exposes only core work; deep areas remain available.</x:v>
      </x:c>
      <x:c r="D9" s="1962" t="str">
        <x:v>User proposal assumed 21 nav entries, but current source has 12. Guided currently keeps the same sidebar and mainly adds a banner.</x:v>
      </x:c>
      <x:c r="E9" s="60" t="str">
        <x:v>Use 6 Guided core routes; collapsible groups in Advanced/Expert; 'All areas' for the rest.</x:v>
      </x:c>
      <x:c r="F9" s="60" t="str">
        <x:v>Guided default shows Cockpit, Heute, Setup, Mix, Log, Zeitachse; no critical route hidden behind hover.</x:v>
      </x:c>
      <x:c r="G9" s="60" t="str">
        <x:v>src/App.tsx NAV = 12 current routes</x:v>
      </x:c>
      <x:c r="H9" s="60" t="str">
        <x:v>APP P1</x:v>
      </x:c>
    </x:row>
    <x:row r="10" ht="54" customHeight="1">
      <x:c r="A10" s="2064" t="str">
        <x:v>P1</x:v>
      </x:c>
      <x:c r="B10" s="60" t="str">
        <x:v>Missing routes</x:v>
      </x:c>
      <x:c r="C10" s="1880" t="str">
        <x:v>Setup and Log are real workflows, not labels pointing to non-routes.</x:v>
      </x:c>
      <x:c r="D10" s="1962" t="str">
        <x:v>Current app has no Setup or Log route, although workbook has Run Config and Daily Log and the proposed Guided set assumes both.</x:v>
      </x:c>
      <x:c r="E10" s="60" t="str">
        <x:v>Add Setup wizard and Log/Journal routes backed by domain entities and repository.</x:v>
      </x:c>
      <x:c r="F10" s="60" t="str">
        <x:v>Route is keyboard/mobile accessible and persists run data; no fake navigation item.</x:v>
      </x:c>
      <x:c r="G10" s="60" t="str">
        <x:v>src/App.tsx; docs/MIGRATION.md</x:v>
      </x:c>
      <x:c r="H10" s="60" t="str">
        <x:v>APP P1</x:v>
      </x:c>
    </x:row>
    <x:row r="11" ht="54" customHeight="1">
      <x:c r="A11" s="2064" t="str">
        <x:v>P1</x:v>
      </x:c>
      <x:c r="B11" s="60" t="str">
        <x:v>Today/Now</x:v>
      </x:c>
      <x:c r="C11" s="1880" t="str">
        <x:v>The main screen answers 'what now?' before it shows analytics.</x:v>
      </x:c>
      <x:c r="D11" s="1962" t="str">
        <x:v>Current Cockpit is metric-heavy and exposes trajectory/charts before it has a single prioritized action model.</x:v>
      </x:c>
      <x:c r="E11" s="60" t="str">
        <x:v>Top section: 1 attention item, up to 3 required tasks, missing measurements, blocker, next trigger; metrics move below.</x:v>
      </x:c>
      <x:c r="F11" s="60" t="str">
        <x:v>Guided user sees no more than 3 required tasks at once and a persistent blocker if present.</x:v>
      </x:c>
      <x:c r="G11" s="60" t="str">
        <x:v>Current qa-desktop/mobile screenshots</x:v>
      </x:c>
      <x:c r="H11" s="60" t="str">
        <x:v>APP P1</x:v>
      </x:c>
    </x:row>
    <x:row r="12" ht="54" customHeight="1">
      <x:c r="A12" s="2064" t="str">
        <x:v>P1</x:v>
      </x:c>
      <x:c r="B12" s="60" t="str">
        <x:v>Typography/accessibility</x:v>
      </x:c>
      <x:c r="C12" s="1880" t="str">
        <x:v>All text and controls are comfortably readable on phone and desktop.</x:v>
      </x:c>
      <x:c r="D12" s="1962" t="str">
        <x:v>Current CSS contains many 7-9px labels despite the product's WCAG 2.2 AA goal.</x:v>
      </x:c>
      <x:c r="E12" s="60" t="str">
        <x:v>Visible text &gt;=11px, body 13-16px, touch targets &gt;=44px, zoom/reflow checks, real screen-reader review.</x:v>
      </x:c>
      <x:c r="F12" s="60" t="str">
        <x:v>No visible 7-9px text in production UI; manual 200% zoom and keyboard pass.</x:v>
      </x:c>
      <x:c r="G12" s="60" t="str">
        <x:v>src/styles.css; docs/ACCESSIBILITY_AND_TESTING.md</x:v>
      </x:c>
      <x:c r="H12" s="60" t="str">
        <x:v>APP P1</x:v>
      </x:c>
    </x:row>
    <x:row r="13" ht="54" customHeight="1">
      <x:c r="A13" s="2064" t="str">
        <x:v>P1</x:v>
      </x:c>
      <x:c r="B13" s="60" t="str">
        <x:v>Context help</x:v>
      </x:c>
      <x:c r="C13" s="1880" t="str">
        <x:v>Every technical term is understandable where it appears.</x:v>
      </x:c>
      <x:c r="D13" s="1962" t="str">
        <x:v>HELP exists per route, but definitions such as VPD/DLI/Drain-EC are not consistently inline and hover-only patterns would be unsafe.</x:v>
      </x:c>
      <x:c r="E13" s="60" t="str">
        <x:v>Context wiki entries with one-line, beginner, operational, technical, formula, mistakes, evidence; tap/focus/hover preview.</x:v>
      </x:c>
      <x:c r="F13" s="60" t="str">
        <x:v>Critical meaning remains inline in Guided; Expert can collapse but never deletes scope/provenance.</x:v>
      </x:c>
      <x:c r="G13" s="60" t="str">
        <x:v>HELP object; prior UX research</x:v>
      </x:c>
      <x:c r="H13" s="60" t="str">
        <x:v>XLSX GLOSSARY v9 / APP P1</x:v>
      </x:c>
    </x:row>
    <x:row r="14" ht="54" customHeight="1">
      <x:c r="A14" s="2064" t="str">
        <x:v>P1</x:v>
      </x:c>
      <x:c r="B14" s="60" t="str">
        <x:v>Actual vs plan</x:v>
      </x:c>
      <x:c r="C14" s="1880" t="str">
        <x:v>The system records what actually happened separately from what was planned.</x:v>
      </x:c>
      <x:c r="D14" s="1962" t="str">
        <x:v>Daily Master is strong on targets; app has no persistent run log and workbook logging is not a canonical event stream.</x:v>
      </x:c>
      <x:c r="E14" s="60" t="str">
        <x:v>Event log with Measurement, Watering, FeedBatch, Observation, Photo, Task, Override; corrections supersede rather than overwrite.</x:v>
      </x:c>
      <x:c r="F14" s="60" t="str">
        <x:v>Every action can be traced from plan -&gt; actual event -&gt; observation -&gt; retrospective.</x:v>
      </x:c>
      <x:c r="G14" s="60" t="str">
        <x:v>docs/MIGRATION.md; workbook Daily Log</x:v>
      </x:c>
      <x:c r="H14" s="60" t="str">
        <x:v>APP P1</x:v>
      </x:c>
    </x:row>
    <x:row r="15" ht="54" customHeight="1">
      <x:c r="A15" s="2064" t="str">
        <x:v>P1</x:v>
      </x:c>
      <x:c r="B15" s="60" t="str">
        <x:v>Setup readiness</x:v>
      </x:c>
      <x:c r="C15" s="1880" t="str">
        <x:v>Unknowns are explicit, allowed and actionable.</x:v>
      </x:c>
      <x:c r="D15" s="1962" t="str">
        <x:v>Setup facts are scattered across Run Config, inventory and notes; missing values are easy to miss.</x:v>
      </x:c>
      <x:c r="E15" s="60" t="str">
        <x:v>Pre-Setup wizard with Complete / Unknown / Warning / Blocker; immutable RunConfigurationSnapshot at activation.</x:v>
      </x:c>
      <x:c r="F15" s="60" t="str">
        <x:v>Run cannot activate with hard blocker; noncritical unknown remains visible.</x:v>
      </x:c>
      <x:c r="G15" s="60" t="str">
        <x:v>01_Run_Config; planned domain model</x:v>
      </x:c>
      <x:c r="H15" s="60" t="str">
        <x:v>APP P1</x:v>
      </x:c>
    </x:row>
    <x:row r="16" ht="54" customHeight="1">
      <x:c r="A16" s="2064" t="str">
        <x:v>P1</x:v>
      </x:c>
      <x:c r="B16" s="60" t="str">
        <x:v>PDF usability</x:v>
      </x:c>
      <x:c r="C16" s="1880" t="str">
        <x:v>PDF works as an operator guide, not only a printed database.</x:v>
      </x:c>
      <x:c r="D16" s="1962" t="str">
        <x:v>231-page v8 PDF front matter is thin; detailed daily pages start immediately and context is easily lost.</x:v>
      </x:c>
      <x:c r="E16" s="60" t="str">
        <x:v>Add operator front matter, visual flow, feed map, state legend, app/UX plan and a corrected TOC; detailed v8 pages become appendix.</x:v>
      </x:c>
      <x:c r="F16" s="60" t="str">
        <x:v>First 10 pages answer setup, today, mix, feed, evidence and navigation.</x:v>
      </x:c>
      <x:c r="G16" s="60" t="str">
        <x:v>v8 PDF review</x:v>
      </x:c>
      <x:c r="H16" s="60" t="str">
        <x:v>FIXED PDF v9</x:v>
      </x:c>
    </x:row>
    <x:row r="17" ht="54" customHeight="1">
      <x:c r="A17" s="2064" t="str">
        <x:v>P1</x:v>
      </x:c>
      <x:c r="B17" s="60" t="str">
        <x:v>Workbook usability</x:v>
      </x:c>
      <x:c r="C17" s="1880" t="str">
        <x:v>Workbook has one obvious starting surface.</x:v>
      </x:c>
      <x:c r="D17" s="1962" t="str">
        <x:v>Tab names alone require prior knowledge; README is deep in the workbook.</x:v>
      </x:c>
      <x:c r="E17" s="60" t="str">
        <x:v>Transform 00_Dashboard into Start Here, add GOAL/PROBLEM, App UX Plan, Feed Schema, Glossary and Release Gates sheets.</x:v>
      </x:c>
      <x:c r="F17" s="60" t="str">
        <x:v>User can operate from Dashboard -&gt; Setup -&gt; Daily -&gt; Mix -&gt; Log without reading every sheet.</x:v>
      </x:c>
      <x:c r="G17" s="60" t="str">
        <x:v>v8 workbook review</x:v>
      </x:c>
      <x:c r="H17" s="60" t="str">
        <x:v>FIXED XLSX v9</x:v>
      </x:c>
    </x:row>
    <x:row r="18" ht="54" customHeight="1">
      <x:c r="A18" s="2338" t="str">
        <x:v>P2</x:v>
      </x:c>
      <x:c r="B18" s="60" t="str">
        <x:v>Data lineage</x:v>
      </x:c>
      <x:c r="C18" s="1880" t="str">
        <x:v>Every measurement carries origin and transformation history.</x:v>
      </x:c>
      <x:c r="D18" s="1962" t="str">
        <x:v>Current product spec distinguishes data states but not full metrology lineage.</x:v>
      </x:c>
      <x:c r="E18" s="60" t="str">
        <x:v>Add source, method, timestamp, unit, precision, device, calibration, transform/formula version, supersession.</x:v>
      </x:c>
      <x:c r="F18" s="60" t="str">
        <x:v>Derived values are reproducible from stored inputs/version.</x:v>
      </x:c>
      <x:c r="G18" s="60" t="str">
        <x:v>system gap analysis</x:v>
      </x:c>
      <x:c r="H18" s="60" t="str">
        <x:v>APP P2</x:v>
      </x:c>
    </x:row>
    <x:row r="19" ht="54" customHeight="1">
      <x:c r="A19" s="2338" t="str">
        <x:v>P2</x:v>
      </x:c>
      <x:c r="B19" s="60" t="str">
        <x:v>Failure UX</x:v>
      </x:c>
      <x:c r="C19" s="1880" t="str">
        <x:v>The system explains why it cannot decide.</x:v>
      </x:c>
      <x:c r="D19" s="1962" t="str">
        <x:v>A blocked/unknown state can look like a missing feature rather than an intentional safety result.</x:v>
      </x:c>
      <x:c r="E19" s="60" t="str">
        <x:v>Dedicated failure states: what is missing, why it matters, how to resolve, safe fallback, retry.</x:v>
      </x:c>
      <x:c r="F19" s="60" t="str">
        <x:v>No empty state without reason/action.</x:v>
      </x:c>
      <x:c r="G19" s="60" t="str">
        <x:v>safety engineering backlog</x:v>
      </x:c>
      <x:c r="H19" s="60" t="str">
        <x:v>APP P2</x:v>
      </x:c>
    </x:row>
    <x:row r="20" ht="54" customHeight="1">
      <x:c r="A20" s="2338" t="str">
        <x:v>P2</x:v>
      </x:c>
      <x:c r="B20" s="60" t="str">
        <x:v>Persistence/recovery</x:v>
      </x:c>
      <x:c r="C20" s="1880" t="str">
        <x:v>Run history survives browser/device failure and schema upgrades.</x:v>
      </x:c>
      <x:c r="D20" s="1962" t="str">
        <x:v>Current app only persists lens/day/theme in localStorage; no run repository, backup or migrations.</x:v>
      </x:c>
      <x:c r="E20" s="60" t="str">
        <x:v>Versioned local repository, migrations, export/import archive, restore test, later optional encrypted sync.</x:v>
      </x:c>
      <x:c r="F20" s="60" t="str">
        <x:v>Recovery drill restores a run and event history on a clean profile.</x:v>
      </x:c>
      <x:c r="G20" s="60" t="str">
        <x:v>docs/ARCHITECTURE.md; docs/SECURITY.md</x:v>
      </x:c>
      <x:c r="H20" s="60" t="str">
        <x:v>APP P2</x:v>
      </x:c>
    </x:row>
    <x:row r="21" ht="54" customHeight="1">
      <x:c r="A21" s="2338" t="str">
        <x:v>P2</x:v>
      </x:c>
      <x:c r="B21" s="60" t="str">
        <x:v>Learning/comparison</x:v>
      </x:c>
      <x:c r="C21" s="1880" t="str">
        <x:v>History informs the user without claiming causation.</x:v>
      </x:c>
      <x:c r="D21" s="1962" t="str">
        <x:v>No structured retrospective, personal baseline or experiment ledger exists.</x:v>
      </x:c>
      <x:c r="E21" s="60" t="str">
        <x:v>Run retrospective, saved comparisons, personal medians/deviations, experiment hypothesis/control/variable/result.</x:v>
      </x:c>
      <x:c r="F21" s="60" t="str">
        <x:v>UI labels association != causation; low-n data never auto-optimizes targets.</x:v>
      </x:c>
      <x:c r="G21" s="60" t="str">
        <x:v>long-term roadmap</x:v>
      </x:c>
      <x:c r="H21" s="60" t="str">
        <x:v>APP P2</x:v>
      </x:c>
    </x:row>
    <x:row r="22" ht="54" customHeight="1">
      <x:c r="A22" s="2338" t="str">
        <x:v>P3</x:v>
      </x:c>
      <x:c r="B22" s="60" t="str">
        <x:v>Sensors</x:v>
      </x:c>
      <x:c r="C22" s="1880" t="str">
        <x:v>Sensor data enters through a normalized trust layer.</x:v>
      </x:c>
      <x:c r="D22" s="1962" t="str">
        <x:v>No live gateway exists; future sensors could be mistaken for authoritative live truth.</x:v>
      </x:c>
      <x:c r="E22" s="60" t="str">
        <x:v>Provider -&gt; adapter -&gt; normalization -&gt; measurement event -&gt; trust/calibration state.</x:v>
      </x:c>
      <x:c r="F22" s="60" t="str">
        <x:v>Every sensor value carries VALID/STALE/UNVERIFIED/CALIBRATION_DUE/OUTLIER/etc.</x:v>
      </x:c>
      <x:c r="G22" s="60" t="str">
        <x:v>capability roadmap</x:v>
      </x:c>
      <x:c r="H22" s="60" t="str">
        <x:v>APP P3</x:v>
      </x:c>
    </x:row>
    <x:row r="23" ht="54" customHeight="1">
      <x:c r="A23" s="2338" t="str">
        <x:v>P4</x:v>
      </x:c>
      <x:c r="B23" s="60" t="str">
        <x:v>Automation</x:v>
      </x:c>
      <x:c r="C23" s="1880" t="str">
        <x:v>Automation is reversible, acknowledged and verified.</x:v>
      </x:c>
      <x:c r="D23" s="1962" t="str">
        <x:v>Direct device control would create high-risk silent actions if added too early.</x:v>
      </x:c>
      <x:c r="E23" s="60" t="str">
        <x:v>REQUESTED -&gt; VALIDATED -&gt; USER CONFIRMED -&gt; SENT -&gt; ACKNOWLEDGED -&gt; VERIFIED; safe states for failure.</x:v>
      </x:c>
      <x:c r="F23" s="60" t="str">
        <x:v>No automatic dosing in initial automation release.</x:v>
      </x:c>
      <x:c r="G23" s="60" t="str">
        <x:v>automation safety plan</x:v>
      </x:c>
      <x:c r="H23" s="60" t="str">
        <x:v>APP P4</x:v>
      </x:c>
    </x:row>
    <x:row r="24" ht="56" customHeight="1">
      <x:c r="A24" s="60" t="str">
        <x:v>P1</x:v>
      </x:c>
      <x:c r="B24" s="60" t="str">
        <x:v>Terminology</x:v>
      </x:c>
      <x:c r="C24" s="60" t="str">
        <x:v>Fachbegriffe are understandable at the point of use without losing technical precision.</x:v>
      </x:c>
      <x:c r="D24" s="60" t="str">
        <x:v>Abbreviations and English/engineering labels such as PPFD, DLI, VPD, LF, Bloom-Tag, Conditional and Coverage can interrupt workflow comprehension.</x:v>
      </x:c>
      <x:c r="E24" s="60" t="str">
        <x:v>Display plain German first, canonical abbreviation second; local 1-2 sentence explanation; full technical definition via context help.</x:v>
      </x:c>
      <x:c r="F24" s="60" t="str">
        <x:v>Every operator-facing technical abbreviation has an inline plain-language label or nearby explanation; no unexplained acronym in Guided.</x:v>
      </x:c>
      <x:c r="G24" s="60" t="str">
        <x:v>34_CONTEXT_HELP_MAP + 36-39 operator sheets</x:v>
      </x:c>
      <x:c r="H24" s="60" t="str">
        <x:v>FIXED XLSX/PDF v10 / APP P1</x:v>
      </x:c>
    </x:row>
    <x:row r="25" ht="56" customHeight="1">
      <x:c r="A25" s="60" t="str">
        <x:v>P1</x:v>
      </x:c>
      <x:c r="B25" s="60" t="str">
        <x:v>Section discoverability</x:v>
      </x:c>
      <x:c r="C25" s="60" t="str">
        <x:v>Every section states purpose, action and where to look next.</x:v>
      </x:c>
      <x:c r="D25" s="60" t="str">
        <x:v>Users can understand individual data but still not know which section is for setup, today's action, mixing, logging, diagnosis or evidence.</x:v>
      </x:c>
      <x:c r="E25" s="60" t="str">
        <x:v>Add section-purpose banner, 'Here you do / here not', task-to-section map and consistent breadcrumbs.</x:v>
      </x:c>
      <x:c r="F25" s="60" t="str">
        <x:v>A first-time user can answer 'where do I enter/learn/check this?' without scanning all tabs/routes.</x:v>
      </x:c>
      <x:c r="G25" s="60" t="str">
        <x:v>35_SECTION_GUIDE + Dashboard</x:v>
      </x:c>
      <x:c r="H25" s="60" t="str">
        <x:v>FIXED XLSX/PDF v10 / APP P1</x:v>
      </x:c>
    </x:row>
    <x:row r="26" ht="56" customHeight="1">
      <x:c r="A26" s="60" t="str">
        <x:v>P1</x:v>
      </x:c>
      <x:c r="B26" s="60" t="str">
        <x:v>Visual language</x:v>
      </x:c>
      <x:c r="C26" s="60" t="str">
        <x:v>Color and iconography reinforce meaning instead of decorating it.</x:v>
      </x:c>
      <x:c r="D26" s="60" t="str">
        <x:v>Color can become ambiguous or inaccessible if it is the only carrier of state.</x:v>
      </x:c>
      <x:c r="E26" s="60" t="str">
        <x:v>Stable semantic colors + text labels + icon keys; green=action/known, blue=information/targets, amber=check/conditional, red=stop/blocker, purple=evidence/experiment.</x:v>
      </x:c>
      <x:c r="F26" s="60" t="str">
        <x:v>All status meaning remains understandable in grayscale and to screen-reader/keyboard users.</x:v>
      </x:c>
      <x:c r="G26" s="60" t="str">
        <x:v>v10 design system</x:v>
      </x:c>
      <x:c r="H26" s="60" t="str">
        <x:v>FIXED PDF/XLSX v10 / APP P1</x:v>
      </x:c>
    </x:row>
    <x:row r="27" ht="56" customHeight="1">
      <x:c r="A27" s="60" t="str">
        <x:v>P1</x:v>
      </x:c>
      <x:c r="B27" s="60" t="str">
        <x:v>Local help</x:v>
      </x:c>
      <x:c r="C27" s="60" t="str">
        <x:v>Help appears where a decision is made, not only in a separate glossary.</x:v>
      </x:c>
      <x:c r="D27" s="60" t="str">
        <x:v>A glossary alone forces context switching; current route-level HELP is too coarse.</x:v>
      </x:c>
      <x:c r="E27" s="60" t="str">
        <x:v>Add page/section-specific term chips, 'What does this mean?' callouts and direct pointers to full glossary/source.</x:v>
      </x:c>
      <x:c r="F27" s="60" t="str">
        <x:v>Today, Setup, Mix, Log and PDF daily pages expose relevant definitions locally.</x:v>
      </x:c>
      <x:c r="G27" s="60" t="str">
        <x:v>34_CONTEXT_HELP_MAP + operator sheets</x:v>
      </x:c>
      <x:c r="H27" s="60" t="str">
        <x:v>FIXED XLSX/PDF v10 / APP P1</x:v>
      </x:c>
    </x:row>
    <x:row r="28" ht="56" customHeight="1">
      <x:c r="A28" s="60" t="str">
        <x:v>P1</x:v>
      </x:c>
      <x:c r="B28" s="60" t="str">
        <x:v>Operator vs canonical view</x:v>
      </x:c>
      <x:c r="C28" s="60" t="str">
        <x:v>Simple display does not break machine-readable canonical keys.</x:v>
      </x:c>
      <x:c r="D28" s="60" t="str">
        <x:v>Renaming master columns for readability could break formulas/importers and provenance.</x:v>
      </x:c>
      <x:c r="E28" s="60" t="str">
        <x:v>Keep canonical master sheets/keys unchanged; add operator-facing views and display-label mapping.</x:v>
      </x:c>
      <x:c r="F28" s="60" t="str">
        <x:v>App import continues to consume canonical keys while UI renders human display labels.</x:v>
      </x:c>
      <x:c r="G28" s="60" t="str">
        <x:v>Master sheets + 34_CONTEXT_HELP_MAP</x:v>
      </x:c>
      <x:c r="H28" s="60" t="str">
        <x:v>FIXED XLSX v10 / APP contract</x:v>
      </x:c>
    </x:row>
    <x:row r="29" ht="56" customHeight="1">
      <x:c r="A29" s="60" t="str">
        <x:v>P2</x:v>
      </x:c>
      <x:c r="B29" s="60" t="str">
        <x:v>Visual reference integrity</x:v>
      </x:c>
      <x:c r="C29" s="60" t="str">
        <x:v>Generated/web graphics never silently become scientific source.</x:v>
      </x:c>
      <x:c r="D29" s="60" t="str">
        <x:v>Decorative or generated feeding graphics can contain plausible but incorrect numeric values.</x:v>
      </x:c>
      <x:c r="E29" s="60" t="str">
        <x:v>Separate visual-concept assets from canonical data graphics; exact diagrams are generated from workbook data; external images require source/scope labels.</x:v>
      </x:c>
      <x:c r="F29" s="60" t="str">
        <x:v>Every figure states whether it is canonical data, manufacturer reference or illustrative concept.</x:v>
      </x:c>
      <x:c r="G29" s="60" t="str">
        <x:v>v10 PDF figure policy</x:v>
      </x:c>
      <x:c r="H29" s="60" t="str">
        <x:v>FIXED PDF v10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38" hidden="0" customWidth="1"/>
  </x:cols>
  <x:sheetData>
    <x:row r="1">
      <x:c r="A1" s="2348" t="str">
        <x:v>Route / Feature</x:v>
      </x:c>
      <x:c r="B1" s="2348" t="str">
        <x:v>Current source truth</x:v>
      </x:c>
      <x:c r="C1" s="2348" t="str">
        <x:v>/GOAL</x:v>
      </x:c>
      <x:c r="D1" s="2348" t="str">
        <x:v>/PROBLEM</x:v>
      </x:c>
      <x:c r="E1" s="2348" t="str">
        <x:v>Guided</x:v>
      </x:c>
      <x:c r="F1" s="2348" t="str">
        <x:v>Advanced</x:v>
      </x:c>
      <x:c r="G1" s="2348" t="str">
        <x:v>Expert</x:v>
      </x:c>
      <x:c r="H1" s="2348" t="str">
        <x:v>Primary CTA</x:v>
      </x:c>
      <x:c r="I1" s="2348" t="str">
        <x:v>Implementation</x:v>
      </x:c>
      <x:c r="J1" s="2348" t="str">
        <x:v>Acceptance</x:v>
      </x:c>
    </x:row>
    <x:row r="2" ht="50" customHeight="1">
      <x:c r="A2" s="60" t="str">
        <x:v>Cockpit</x:v>
      </x:c>
      <x:c r="B2" s="60" t="str">
        <x:v>Implemented route</x:v>
      </x:c>
      <x:c r="C2" s="60" t="str">
        <x:v>One prioritized operating overview.</x:v>
      </x:c>
      <x:c r="D2" s="60" t="str">
        <x:v>Metrics and panels compete with the next action.</x:v>
      </x:c>
      <x:c r="E2" s="60" t="str">
        <x:v>VISIBLE</x:v>
      </x:c>
      <x:c r="F2" s="60" t="str">
        <x:v>VISIBLE</x:v>
      </x:c>
      <x:c r="G2" s="60" t="str">
        <x:v>VISIBLE</x:v>
      </x:c>
      <x:c r="H2" s="60" t="str">
        <x:v>Heute prüfen</x:v>
      </x:c>
      <x:c r="I2" s="60" t="str">
        <x:v>REDESIGN P1</x:v>
      </x:c>
      <x:c r="J2" s="60" t="str">
        <x:v>Top: attention + max 3 tasks + blocker; analytics below.</x:v>
      </x:c>
    </x:row>
    <x:row r="3" ht="50" customHeight="1">
      <x:c r="A3" s="60" t="str">
        <x:v>Heute</x:v>
      </x:c>
      <x:c r="B3" s="60" t="str">
        <x:v>Implemented route</x:v>
      </x:c>
      <x:c r="C3" s="60" t="str">
        <x:v>Complete but action-first daily card.</x:v>
      </x:c>
      <x:c r="D3" s="60" t="str">
        <x:v>Dense data can become a table reading exercise.</x:v>
      </x:c>
      <x:c r="E3" s="60" t="str">
        <x:v>VISIBLE</x:v>
      </x:c>
      <x:c r="F3" s="60" t="str">
        <x:v>VISIBLE</x:v>
      </x:c>
      <x:c r="G3" s="60" t="str">
        <x:v>VISIBLE</x:v>
      </x:c>
      <x:c r="H3" s="60" t="str">
        <x:v>Messen / Aufgabe abschließen</x:v>
      </x:c>
      <x:c r="I3" s="60" t="str">
        <x:v>REDESIGN P1</x:v>
      </x:c>
      <x:c r="J3" s="60" t="str">
        <x:v>Must / Measure / Observe / Optional sections; provenance on demand.</x:v>
      </x:c>
    </x:row>
    <x:row r="4" ht="50" customHeight="1">
      <x:c r="A4" s="60" t="str">
        <x:v>Setup</x:v>
      </x:c>
      <x:c r="B4" s="60" t="str">
        <x:v>NOT a current route</x:v>
      </x:c>
      <x:c r="C4" s="60" t="str">
        <x:v>Collect known/unknown setup facts before activation.</x:v>
      </x:c>
      <x:c r="D4" s="60" t="str">
        <x:v>Proposal assumes Setup exists; current app only has workbook Run Config/raw snapshot.</x:v>
      </x:c>
      <x:c r="E4" s="60" t="str">
        <x:v>VISIBLE</x:v>
      </x:c>
      <x:c r="F4" s="60" t="str">
        <x:v>VISIBLE</x:v>
      </x:c>
      <x:c r="G4" s="60" t="str">
        <x:v>VISIBLE</x:v>
      </x:c>
      <x:c r="H4" s="60" t="str">
        <x:v>Run aktivieren</x:v>
      </x:c>
      <x:c r="I4" s="60" t="str">
        <x:v>NEW P1</x:v>
      </x:c>
      <x:c r="J4" s="60" t="str">
        <x:v>Wizard + readiness + immutable RunConfigurationSnapshot.</x:v>
      </x:c>
    </x:row>
    <x:row r="5" ht="50" customHeight="1">
      <x:c r="A5" s="60" t="str">
        <x:v>Mischlabor</x:v>
      </x:c>
      <x:c r="B5" s="60" t="str">
        <x:v>Implemented route</x:v>
      </x:c>
      <x:c r="C5" s="60" t="str">
        <x:v>Resolve only today's safe active stack.</x:v>
      </x:c>
      <x:c r="D5" s="60" t="str">
        <x:v>Reference products and experimental modules can distract from operative mix.</x:v>
      </x:c>
      <x:c r="E5" s="60" t="str">
        <x:v>VISIBLE</x:v>
      </x:c>
      <x:c r="F5" s="60" t="str">
        <x:v>VISIBLE</x:v>
      </x:c>
      <x:c r="G5" s="60" t="str">
        <x:v>VISIBLE</x:v>
      </x:c>
      <x:c r="H5" s="60" t="str">
        <x:v>Batch berechnen</x:v>
      </x:c>
      <x:c r="I5" s="60" t="str">
        <x:v>REDESIGN P1</x:v>
      </x:c>
      <x:c r="J5" s="60" t="str">
        <x:v>Only resolved active/conditional/blocked items; source and sequence visible.</x:v>
      </x:c>
    </x:row>
    <x:row r="6" ht="50" customHeight="1">
      <x:c r="A6" s="60" t="str">
        <x:v>Log / Journal</x:v>
      </x:c>
      <x:c r="B6" s="60" t="str">
        <x:v>NOT a current route</x:v>
      </x:c>
      <x:c r="C6" s="60" t="str">
        <x:v>Capture what actually happened.</x:v>
      </x:c>
      <x:c r="D6" s="60" t="str">
        <x:v>Proposal assumes Log exists; current app has no persistent run event log.</x:v>
      </x:c>
      <x:c r="E6" s="60" t="str">
        <x:v>VISIBLE</x:v>
      </x:c>
      <x:c r="F6" s="60" t="str">
        <x:v>VISIBLE</x:v>
      </x:c>
      <x:c r="G6" s="60" t="str">
        <x:v>VISIBLE</x:v>
      </x:c>
      <x:c r="H6" s="60" t="str">
        <x:v>Ereignis erfassen</x:v>
      </x:c>
      <x:c r="I6" s="60" t="str">
        <x:v>NEW P1</x:v>
      </x:c>
      <x:c r="J6" s="60" t="str">
        <x:v>Fast actions: measurement/photo/watering/feed/observation/task; versioned storage.</x:v>
      </x:c>
    </x:row>
    <x:row r="7" ht="50" customHeight="1">
      <x:c r="A7" s="60" t="str">
        <x:v>Zeitachse</x:v>
      </x:c>
      <x:c r="B7" s="60" t="str">
        <x:v>Implemented route</x:v>
      </x:c>
      <x:c r="C7" s="60" t="str">
        <x:v>Show phase, triggers, next transition and deviations.</x:v>
      </x:c>
      <x:c r="D7" s="60" t="str">
        <x:v>81-day detail can be overwhelming in Guided.</x:v>
      </x:c>
      <x:c r="E7" s="60" t="str">
        <x:v>VISIBLE</x:v>
      </x:c>
      <x:c r="F7" s="60" t="str">
        <x:v>VISIBLE</x:v>
      </x:c>
      <x:c r="G7" s="60" t="str">
        <x:v>VISIBLE</x:v>
      </x:c>
      <x:c r="H7" s="60" t="str">
        <x:v>Nächsten Trigger prüfen</x:v>
      </x:c>
      <x:c r="I7" s="60" t="str">
        <x:v>REDESIGN P1</x:v>
      </x:c>
      <x:c r="J7" s="60" t="str">
        <x:v>Guided phase bands + +/-3 days; Advanced full 81 days; Expert raw trace.</x:v>
      </x:c>
    </x:row>
    <x:row r="8" ht="50" customHeight="1">
      <x:c r="A8" s="60" t="str">
        <x:v>Klima &amp; Licht</x:v>
      </x:c>
      <x:c r="B8" s="60" t="str">
        <x:v>Implemented route</x:v>
      </x:c>
      <x:c r="C8" s="60" t="str">
        <x:v>Explain targets vs measured trends.</x:v>
      </x:c>
      <x:c r="D8" s="60" t="str">
        <x:v>Currently plan-centric; no real measured stream.</x:v>
      </x:c>
      <x:c r="E8" s="60" t="str">
        <x:v>MORE</x:v>
      </x:c>
      <x:c r="F8" s="60" t="str">
        <x:v>VISIBLE</x:v>
      </x:c>
      <x:c r="G8" s="60" t="str">
        <x:v>VISIBLE</x:v>
      </x:c>
      <x:c r="H8" s="60" t="str">
        <x:v>Messung hinzufügen</x:v>
      </x:c>
      <x:c r="I8" s="60" t="str">
        <x:v>P2 DATA</x:v>
      </x:c>
      <x:c r="J8" s="60" t="str">
        <x:v>Never label simulated/target values as live.</x:v>
      </x:c>
    </x:row>
    <x:row r="9" ht="50" customHeight="1">
      <x:c r="A9" s="60" t="str">
        <x:v>Nährstoffsystem</x:v>
      </x:c>
      <x:c r="B9" s="60" t="str">
        <x:v>Implemented route</x:v>
      </x:c>
      <x:c r="C9" s="60" t="str">
        <x:v>Explain canonical stack and alternatives.</x:v>
      </x:c>
      <x:c r="D9" s="60" t="str">
        <x:v>Can look like a shopping/catalog view rather than a resolved system.</x:v>
      </x:c>
      <x:c r="E9" s="60" t="str">
        <x:v>MORE</x:v>
      </x:c>
      <x:c r="F9" s="60" t="str">
        <x:v>VISIBLE</x:v>
      </x:c>
      <x:c r="G9" s="60" t="str">
        <x:v>VISIBLE</x:v>
      </x:c>
      <x:c r="H9" s="60" t="str">
        <x:v>Stack erklären</x:v>
      </x:c>
      <x:c r="I9" s="60" t="str">
        <x:v>P1</x:v>
      </x:c>
      <x:c r="J9" s="60" t="str">
        <x:v>Show core / conditional / alternative / experimental / blocked.</x:v>
      </x:c>
    </x:row>
    <x:row r="10" ht="50" customHeight="1">
      <x:c r="A10" s="60" t="str">
        <x:v>Produkte</x:v>
      </x:c>
      <x:c r="B10" s="60" t="str">
        <x:v>Implemented route</x:v>
      </x:c>
      <x:c r="C10" s="60" t="str">
        <x:v>Reference catalog with provenance.</x:v>
      </x:c>
      <x:c r="D10" s="60" t="str">
        <x:v>Not needed for every Guided task.</x:v>
      </x:c>
      <x:c r="E10" s="60" t="str">
        <x:v>MORE</x:v>
      </x:c>
      <x:c r="F10" s="60" t="str">
        <x:v>VISIBLE</x:v>
      </x:c>
      <x:c r="G10" s="60" t="str">
        <x:v>VISIBLE</x:v>
      </x:c>
      <x:c r="H10" s="60" t="str">
        <x:v>Produkt nachschlagen</x:v>
      </x:c>
      <x:c r="I10" s="60" t="str">
        <x:v>KEEP</x:v>
      </x:c>
      <x:c r="J10" s="60" t="str">
        <x:v>Guided entry via context links, not primary nav.</x:v>
      </x:c>
    </x:row>
    <x:row r="11" ht="50" customHeight="1">
      <x:c r="A11" s="60" t="str">
        <x:v>Kompatibilität</x:v>
      </x:c>
      <x:c r="B11" s="60" t="str">
        <x:v>Implemented route</x:v>
      </x:c>
      <x:c r="C11" s="60" t="str">
        <x:v>Explain conflicts and replacements.</x:v>
      </x:c>
      <x:c r="D11" s="60" t="str">
        <x:v>Matrix is expert-heavy.</x:v>
      </x:c>
      <x:c r="E11" s="60" t="str">
        <x:v>MORE</x:v>
      </x:c>
      <x:c r="F11" s="60" t="str">
        <x:v>VISIBLE</x:v>
      </x:c>
      <x:c r="G11" s="60" t="str">
        <x:v>VISIBLE</x:v>
      </x:c>
      <x:c r="H11" s="60" t="str">
        <x:v>Konflikt prüfen</x:v>
      </x:c>
      <x:c r="I11" s="60" t="str">
        <x:v>KEEP</x:v>
      </x:c>
      <x:c r="J11" s="60" t="str">
        <x:v>Action links from Mix/Today.</x:v>
      </x:c>
    </x:row>
    <x:row r="12" ht="50" customHeight="1">
      <x:c r="A12" s="60" t="str">
        <x:v>Diagnose</x:v>
      </x:c>
      <x:c r="B12" s="60" t="str">
        <x:v>Implemented route</x:v>
      </x:c>
      <x:c r="C12" s="60" t="str">
        <x:v>Measurement-first triage.</x:v>
      </x:c>
      <x:c r="D12" s="60" t="str">
        <x:v>Risk of symptom guessing without measurements.</x:v>
      </x:c>
      <x:c r="E12" s="60" t="str">
        <x:v>MORE</x:v>
      </x:c>
      <x:c r="F12" s="60" t="str">
        <x:v>VISIBLE</x:v>
      </x:c>
      <x:c r="G12" s="60" t="str">
        <x:v>VISIBLE</x:v>
      </x:c>
      <x:c r="H12" s="60" t="str">
        <x:v>Messung erfassen</x:v>
      </x:c>
      <x:c r="I12" s="60" t="str">
        <x:v>P1/P2</x:v>
      </x:c>
      <x:c r="J12" s="60" t="str">
        <x:v>No diagnosis-as-fact; confidence, missing inputs and safe action.</x:v>
      </x:c>
    </x:row>
    <x:row r="13" ht="50" customHeight="1">
      <x:c r="A13" s="60" t="str">
        <x:v>Wissen &amp; Quellen</x:v>
      </x:c>
      <x:c r="B13" s="60" t="str">
        <x:v>Implemented route</x:v>
      </x:c>
      <x:c r="C13" s="60" t="str">
        <x:v>Context wiki and evidence drill-down.</x:v>
      </x:c>
      <x:c r="D13" s="60" t="str">
        <x:v>Current HELP is route-level, not concept-level.</x:v>
      </x:c>
      <x:c r="E13" s="60" t="str">
        <x:v>MORE</x:v>
      </x:c>
      <x:c r="F13" s="60" t="str">
        <x:v>VISIBLE</x:v>
      </x:c>
      <x:c r="G13" s="60" t="str">
        <x:v>VISIBLE</x:v>
      </x:c>
      <x:c r="H13" s="60" t="str">
        <x:v>Warum? öffnen</x:v>
      </x:c>
      <x:c r="I13" s="60" t="str">
        <x:v>P1</x:v>
      </x:c>
      <x:c r="J13" s="60" t="str">
        <x:v>Term pages + source scope + uncertainty + related concepts.</x:v>
      </x:c>
    </x:row>
    <x:row r="14" ht="50" customHeight="1">
      <x:c r="A14" s="60" t="str">
        <x:v>Audit Center</x:v>
      </x:c>
      <x:c r="B14" s="60" t="str">
        <x:v>Implemented route</x:v>
      </x:c>
      <x:c r="C14" s="60" t="str">
        <x:v>Expose corrections and unresolved risks.</x:v>
      </x:c>
      <x:c r="D14" s="60" t="str">
        <x:v>Too much for daily Guided operation.</x:v>
      </x:c>
      <x:c r="E14" s="60" t="str">
        <x:v>MORE</x:v>
      </x:c>
      <x:c r="F14" s="60" t="str">
        <x:v>VISIBLE</x:v>
      </x:c>
      <x:c r="G14" s="60" t="str">
        <x:v>VISIBLE</x:v>
      </x:c>
      <x:c r="H14" s="60" t="str">
        <x:v>Finding öffnen</x:v>
      </x:c>
      <x:c r="I14" s="60" t="str">
        <x:v>KEEP</x:v>
      </x:c>
      <x:c r="J14" s="60" t="str">
        <x:v>Persistent critical audit badge; deep details out of Guided primary nav.</x:v>
      </x:c>
    </x:row>
    <x:row r="15" ht="50" customHeight="1">
      <x:c r="A15" s="60" t="str">
        <x:v>Rohdaten</x:v>
      </x:c>
      <x:c r="B15" s="60" t="str">
        <x:v>Implemented route</x:v>
      </x:c>
      <x:c r="C15" s="60" t="str">
        <x:v>Full transparent source/formula view.</x:v>
      </x:c>
      <x:c r="D15" s="60" t="str">
        <x:v>Only useful for advanced auditing.</x:v>
      </x:c>
      <x:c r="E15" s="60" t="str">
        <x:v>MORE</x:v>
      </x:c>
      <x:c r="F15" s="60" t="str">
        <x:v>MORE</x:v>
      </x:c>
      <x:c r="G15" s="60" t="str">
        <x:v>VISIBLE</x:v>
      </x:c>
      <x:c r="H15" s="60" t="str">
        <x:v>Quelle / Formel öffnen</x:v>
      </x:c>
      <x:c r="I15" s="60" t="str">
        <x:v>KEEP</x:v>
      </x:c>
      <x:c r="J15" s="60" t="str">
        <x:v>Expert-only primary nav, still reachable through source links.</x:v>
      </x:c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48" t="str">
        <x:v>SOURCE CORRECTIONS TO THE PROPOSED REDESIGN</x:v>
      </x:c>
      <x:c r="B18" s="2348"/>
      <x:c r="C18" s="2348"/>
      <x:c r="D18" s="2348"/>
      <x:c r="E18" s="2348"/>
      <x:c r="F18" s="2348"/>
      <x:c r="G18" s="2348"/>
      <x:c r="H18" s="2348"/>
      <x:c r="I18" s="2348"/>
      <x:c r="J18" s="2348"/>
    </x:row>
    <x:row r="19">
      <x:c r="A19" s="1962" t="str">
        <x:v>Navigation count</x:v>
      </x:c>
      <x:c r="B19" s="60" t="str">
        <x:v>Current App.tsx NAV contains 12 routes, not 21.</x:v>
      </x:c>
      <x:c r="C19" s="60" t="str">
        <x:v>Do not design around an invented route count.</x:v>
      </x:c>
      <x:c r="D19" s="60" t="str">
        <x:v>Use actual 12; target becomes 14 after real Setup + Log are implemented.</x:v>
      </x:c>
      <x:c r="E19" s="60"/>
      <x:c r="F19" s="60"/>
      <x:c r="G19" s="60"/>
      <x:c r="H19" s="60"/>
      <x:c r="I19" s="60"/>
      <x:c r="J19" s="60"/>
    </x:row>
    <x:row r="20">
      <x:c r="A20" s="1962" t="str">
        <x:v>Guided core</x:v>
      </x:c>
      <x:c r="B20" s="60" t="str">
        <x:v>Proposed six core views include Setup and Log.</x:v>
      </x:c>
      <x:c r="C20" s="60" t="str">
        <x:v>Both are absent as current routes.</x:v>
      </x:c>
      <x:c r="D20" s="60" t="str">
        <x:v>Implement workflows first; only then expose them as Guided core.</x:v>
      </x:c>
      <x:c r="E20" s="60"/>
      <x:c r="F20" s="60"/>
      <x:c r="G20" s="60"/>
      <x:c r="H20" s="60"/>
      <x:c r="I20" s="60"/>
      <x:c r="J20" s="60"/>
    </x:row>
    <x:row r="21">
      <x:c r="A21" s="1962" t="str">
        <x:v>Sidebar version</x:v>
      </x:c>
      <x:c r="B21" s="60" t="str">
        <x:v>Current source hardcodes v6 / 08.08.2026 / 27 sheets.</x:v>
      </x:c>
      <x:c r="C21" s="60" t="str">
        <x:v>Workbook/PDF are already newer.</x:v>
      </x:c>
      <x:c r="D21" s="60" t="str">
        <x:v>Read version/date/count from a release manifest; never hardcode.</x:v>
      </x:c>
      <x:c r="E21" s="60"/>
      <x:c r="F21" s="60"/>
      <x:c r="G21" s="60"/>
      <x:c r="H21" s="60"/>
      <x:c r="I21" s="60"/>
      <x:c r="J21" s="60"/>
    </x:row>
    <x:row r="22">
      <x:c r="A22" s="1962" t="str">
        <x:v>Daily column description</x:v>
      </x:c>
      <x:c r="B22" s="60" t="str">
        <x:v>HELP text says 45 Daily columns.</x:v>
      </x:c>
      <x:c r="C22" s="60" t="str">
        <x:v>v8 Daily Master has 60 columns.</x:v>
      </x:c>
      <x:c r="D22" s="60" t="str">
        <x:v>App schema/help must be generated from current manifest/DAILY_COLUMNS contract.</x:v>
      </x:c>
      <x:c r="E22" s="60"/>
      <x:c r="F22" s="60"/>
      <x:c r="G22" s="60"/>
      <x:c r="H22" s="60"/>
      <x:c r="I22" s="60"/>
      <x:c r="J22" s="60"/>
    </x:row>
    <x:row r="23">
      <x:c r="A23" s="1962" t="str">
        <x:v>Test count</x:v>
      </x:c>
      <x:c r="B23" s="60" t="str">
        <x:v>Do not hardcode '29 tests green' in UX plan.</x:v>
      </x:c>
      <x:c r="C23" s="60" t="str">
        <x:v>Actual suite composition can change.</x:v>
      </x:c>
      <x:c r="D23" s="60" t="str">
        <x:v>Acceptance criterion is all required CI gates green, with counts generated by CI.</x:v>
      </x:c>
      <x:c r="E23" s="60"/>
      <x:c r="F23" s="60"/>
      <x:c r="G23" s="60"/>
      <x:c r="H23" s="60"/>
      <x:c r="I23" s="60"/>
      <x:c r="J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</x:row>
    <x:row r="25">
      <x:c r="A25" s="2348" t="str">
        <x:v>IMPLEMENTATION PLAN · USER PROPOSAL + v9 EXTENSIONS</x:v>
      </x:c>
      <x:c r="B25" s="2348"/>
      <x:c r="C25" s="2348"/>
      <x:c r="D25" s="2348"/>
      <x:c r="E25" s="2348"/>
      <x:c r="F25" s="2348"/>
      <x:c r="G25" s="2348"/>
      <x:c r="H25" s="2348"/>
      <x:c r="I25" s="2348"/>
      <x:c r="J25" s="2348"/>
    </x:row>
    <x:row r="26">
      <x:c r="A26" s="60" t="str">
        <x:v>1</x:v>
      </x:c>
      <x:c r="B26" s="60" t="str">
        <x:v>Collapsible navigation groups</x:v>
      </x:c>
      <x:c r="C26" s="60" t="str">
        <x:v>P1</x:v>
      </x:c>
      <x:c r="D26" s="60" t="str">
        <x:v>Keep current 5 semantic groups but collapse inactive groups; Guided only 6 core routes + 'Alle Bereiche'.</x:v>
      </x:c>
      <x:c r="E26" s="60" t="str">
        <x:v>No route becomes inaccessible; active group auto-open.</x:v>
      </x:c>
      <x:c r="F26" s="60"/>
      <x:c r="G26" s="60"/>
      <x:c r="H26" s="60"/>
      <x:c r="I26" s="60"/>
      <x:c r="J26" s="60"/>
    </x:row>
    <x:row r="27">
      <x:c r="A27" s="60" t="str">
        <x:v>2</x:v>
      </x:c>
      <x:c r="B27" s="60" t="str">
        <x:v>Version/branding from manifest</x:v>
      </x:c>
      <x:c r="C27" s="60" t="str">
        <x:v>P0</x:v>
      </x:c>
      <x:c r="D27" s="60" t="str">
        <x:v>Replace hardcoded v6/date/sheet count with manifest fields.</x:v>
      </x:c>
      <x:c r="E27" s="60" t="str">
        <x:v>App, PDF, XLSX release identity identical.</x:v>
      </x:c>
      <x:c r="F27" s="60"/>
      <x:c r="G27" s="60"/>
      <x:c r="H27" s="60"/>
      <x:c r="I27" s="60"/>
      <x:c r="J27" s="60"/>
    </x:row>
    <x:row r="28">
      <x:c r="A28" s="60" t="str">
        <x:v>3</x:v>
      </x:c>
      <x:c r="B28" s="60" t="str">
        <x:v>Cockpit action hierarchy</x:v>
      </x:c>
      <x:c r="C28" s="60" t="str">
        <x:v>P1</x:v>
      </x:c>
      <x:c r="D28" s="60" t="str">
        <x:v>Welcome/phase/progress -&gt; attention -&gt; required tasks -&gt; missing measurements -&gt; blocker -&gt; metrics/charts.</x:v>
      </x:c>
      <x:c r="E28" s="60" t="str">
        <x:v>User identifies next action before scrolling.</x:v>
      </x:c>
      <x:c r="F28" s="60"/>
      <x:c r="G28" s="60"/>
      <x:c r="H28" s="60"/>
      <x:c r="I28" s="60"/>
      <x:c r="J28" s="60"/>
    </x:row>
    <x:row r="29">
      <x:c r="A29" s="60" t="str">
        <x:v>4</x:v>
      </x:c>
      <x:c r="B29" s="60" t="str">
        <x:v>Typography/touch</x:v>
      </x:c>
      <x:c r="C29" s="60" t="str">
        <x:v>P1</x:v>
      </x:c>
      <x:c r="D29" s="60" t="str">
        <x:v>Visible text &gt;=11px; body 13-16px; all interactive targets &gt;=44px.</x:v>
      </x:c>
      <x:c r="E29" s="60" t="str">
        <x:v>200% zoom, keyboard and mobile QA pass.</x:v>
      </x:c>
      <x:c r="F29" s="60"/>
      <x:c r="G29" s="60"/>
      <x:c r="H29" s="60"/>
      <x:c r="I29" s="60"/>
      <x:c r="J29" s="60"/>
    </x:row>
    <x:row r="30">
      <x:c r="A30" s="60" t="str">
        <x:v>5</x:v>
      </x:c>
      <x:c r="B30" s="60" t="str">
        <x:v>Guided mode 2.0</x:v>
      </x:c>
      <x:c r="C30" s="60" t="str">
        <x:v>P1</x:v>
      </x:c>
      <x:c r="D30" s="60" t="str">
        <x:v>Same calculations; reduced density, inline term definitions, one-action-at-a-time option, explain/block reasons.</x:v>
      </x:c>
      <x:c r="E30" s="60" t="str">
        <x:v>No scientific result differs between lenses.</x:v>
      </x:c>
      <x:c r="F30" s="60"/>
      <x:c r="G30" s="60"/>
      <x:c r="H30" s="60"/>
      <x:c r="I30" s="60"/>
      <x:c r="J30" s="60"/>
    </x:row>
    <x:row r="31">
      <x:c r="A31" s="60" t="str">
        <x:v>6</x:v>
      </x:c>
      <x:c r="B31" s="60" t="str">
        <x:v>Context-rich headers</x:v>
      </x:c>
      <x:c r="C31" s="60" t="str">
        <x:v>P1</x:v>
      </x:c>
      <x:c r="D31" s="60" t="str">
        <x:v>Breadcrumb + 2-3 sentence purpose + 'Was kann ich hier tun?' + next-step CTA.</x:v>
      </x:c>
      <x:c r="E31" s="60" t="str">
        <x:v>Every route has what/why/how/interpret and next step.</x:v>
      </x:c>
      <x:c r="F31" s="60"/>
      <x:c r="G31" s="60"/>
      <x:c r="H31" s="60"/>
      <x:c r="I31" s="60"/>
      <x:c r="J31" s="60"/>
    </x:row>
    <x:row r="32">
      <x:c r="A32" s="60" t="str">
        <x:v>7</x:v>
      </x:c>
      <x:c r="B32" s="60" t="str">
        <x:v>First-run onboarding</x:v>
      </x:c>
      <x:c r="C32" s="60" t="str">
        <x:v>P1</x:v>
      </x:c>
      <x:c r="D32" s="60" t="str">
        <x:v>Welcome -&gt; system idea -&gt; setup readiness -&gt; lens -&gt; demo option -&gt; activate run.</x:v>
      </x:c>
      <x:c r="E32" s="60" t="str">
        <x:v>Dismissible but restartable; not stored with sensitive data.</x:v>
      </x:c>
      <x:c r="F32" s="60"/>
      <x:c r="G32" s="60"/>
      <x:c r="H32" s="60"/>
      <x:c r="I32" s="60"/>
      <x:c r="J32" s="60"/>
    </x:row>
    <x:row r="33">
      <x:c r="A33" s="60" t="str">
        <x:v>8</x:v>
      </x:c>
      <x:c r="B33" s="60" t="str">
        <x:v>Semantic grouping/color</x:v>
      </x:c>
      <x:c r="C33" s="60" t="str">
        <x:v>P1</x:v>
      </x:c>
      <x:c r="D33" s="60" t="str">
        <x:v>Operator green, tools blue, library amber, evidence purple, system gray; text/icon always accompanies color.</x:v>
      </x:c>
      <x:c r="E33" s="60" t="str">
        <x:v>WCAG contrast and color-independent meaning.</x:v>
      </x:c>
      <x:c r="F33" s="60"/>
      <x:c r="G33" s="60"/>
      <x:c r="H33" s="60"/>
      <x:c r="I33" s="60"/>
      <x:c r="J33" s="60"/>
    </x:row>
    <x:row r="34">
      <x:c r="A34" s="60" t="str">
        <x:v>9</x:v>
      </x:c>
      <x:c r="B34" s="60" t="str">
        <x:v>Concept tooltip/wiki</x:v>
      </x:c>
      <x:c r="C34" s="60" t="str">
        <x:v>P1</x:v>
      </x:c>
      <x:c r="D34" s="60" t="str">
        <x:v>Tap/focus/hover preview + drill-down; critical meaning inline in Guided.</x:v>
      </x:c>
      <x:c r="E34" s="60" t="str">
        <x:v>No critical content hover-only.</x:v>
      </x:c>
      <x:c r="F34" s="60"/>
      <x:c r="G34" s="60"/>
      <x:c r="H34" s="60"/>
      <x:c r="I34" s="60"/>
      <x:c r="J34" s="60"/>
    </x:row>
    <x:row r="35">
      <x:c r="A35" s="60" t="str">
        <x:v>10</x:v>
      </x:c>
      <x:c r="B35" s="60" t="str">
        <x:v>Setup wizard</x:v>
      </x:c>
      <x:c r="C35" s="60" t="str">
        <x:v>P1</x:v>
      </x:c>
      <x:c r="D35" s="60" t="str">
        <x:v>Experience, units, space, lighting, propagation, root zone, water, nutrients, sensors, review.</x:v>
      </x:c>
      <x:c r="E35" s="60" t="str">
        <x:v>Known/unknown/warning/blocker summary before activation.</x:v>
      </x:c>
      <x:c r="F35" s="60"/>
      <x:c r="G35" s="60"/>
      <x:c r="H35" s="60"/>
      <x:c r="I35" s="60"/>
      <x:c r="J35" s="60"/>
    </x:row>
    <x:row r="36">
      <x:c r="A36" s="60" t="str">
        <x:v>11</x:v>
      </x:c>
      <x:c r="B36" s="60" t="str">
        <x:v>Today/Now 2.0</x:v>
      </x:c>
      <x:c r="C36" s="60" t="str">
        <x:v>P1</x:v>
      </x:c>
      <x:c r="D36" s="60" t="str">
        <x:v>1 attention, &lt;=3 required tasks, measurements, blockers, targets vs actual, observe list, next event.</x:v>
      </x:c>
      <x:c r="E36" s="60" t="str">
        <x:v>First action visible above fold on mobile.</x:v>
      </x:c>
      <x:c r="F36" s="60"/>
      <x:c r="G36" s="60"/>
      <x:c r="H36" s="60"/>
      <x:c r="I36" s="60"/>
      <x:c r="J36" s="60"/>
    </x:row>
    <x:row r="37">
      <x:c r="A37" s="60" t="str">
        <x:v>12</x:v>
      </x:c>
      <x:c r="B37" s="60" t="str">
        <x:v>Journal/event log</x:v>
      </x:c>
      <x:c r="C37" s="60" t="str">
        <x:v>P1</x:v>
      </x:c>
      <x:c r="D37" s="60" t="str">
        <x:v>Measurement, observation, photo, watering, feed batch, training, maintenance, problem, note.</x:v>
      </x:c>
      <x:c r="E37" s="60" t="str">
        <x:v>Corrections supersede; history immutable.</x:v>
      </x:c>
      <x:c r="F37" s="60"/>
      <x:c r="G37" s="60"/>
      <x:c r="H37" s="60"/>
      <x:c r="I37" s="60"/>
      <x:c r="J37" s="60"/>
    </x:row>
    <x:row r="38">
      <x:c r="A38" s="60" t="str">
        <x:v>13</x:v>
      </x:c>
      <x:c r="B38" s="60" t="str">
        <x:v>Single stack compiler</x:v>
      </x:c>
      <x:c r="C38" s="60" t="str">
        <x:v>P0</x:v>
      </x:c>
      <x:c r="D38" s="60" t="str">
        <x:v>Preset + RunSnapshot + phase + measurements + evidence rules -&gt; resolved daily stack.</x:v>
      </x:c>
      <x:c r="E38" s="60" t="str">
        <x:v>Dashboard/Daily/Mix/export parity test.</x:v>
      </x:c>
      <x:c r="F38" s="60"/>
      <x:c r="G38" s="60"/>
      <x:c r="H38" s="60"/>
      <x:c r="I38" s="60"/>
      <x:c r="J38" s="60"/>
    </x:row>
    <x:row r="39">
      <x:c r="A39" s="60" t="str">
        <x:v>14</x:v>
      </x:c>
      <x:c r="B39" s="60" t="str">
        <x:v>Failure UX</x:v>
      </x:c>
      <x:c r="C39" s="60" t="str">
        <x:v>P2</x:v>
      </x:c>
      <x:c r="D39" s="60" t="str">
        <x:v>Blocked/unknown states show missing input, reason, resolution, safe fallback.</x:v>
      </x:c>
      <x:c r="E39" s="60" t="str">
        <x:v>No blank/error state without action.</x:v>
      </x:c>
      <x:c r="F39" s="60"/>
      <x:c r="G39" s="60"/>
      <x:c r="H39" s="60"/>
      <x:c r="I39" s="60"/>
      <x:c r="J39" s="60"/>
    </x:row>
    <x:row r="40">
      <x:c r="A40" s="60" t="str">
        <x:v>15</x:v>
      </x:c>
      <x:c r="B40" s="60" t="str">
        <x:v>Backup/migrations</x:v>
      </x:c>
      <x:c r="C40" s="60" t="str">
        <x:v>P2</x:v>
      </x:c>
      <x:c r="D40" s="60" t="str">
        <x:v>Versioned local repository + export/import + migration/recovery tests.</x:v>
      </x:c>
      <x:c r="E40" s="60" t="str">
        <x:v>Clean-browser restore passes.</x:v>
      </x:c>
      <x:c r="F40" s="60"/>
      <x:c r="G40" s="60"/>
      <x:c r="H40" s="60"/>
      <x:c r="I40" s="60"/>
      <x:c r="J40" s="60"/>
    </x:row>
    <x:row r="41">
      <x:c r="A41" s="60" t="str">
        <x:v>16</x:v>
      </x:c>
      <x:c r="B41" s="60" t="str">
        <x:v>History/experiments</x:v>
      </x:c>
      <x:c r="C41" s="60" t="str">
        <x:v>P2</x:v>
      </x:c>
      <x:c r="D41" s="60" t="str">
        <x:v>Run retrospective, personal baselines, saved comparisons, controlled experiment records.</x:v>
      </x:c>
      <x:c r="E41" s="60" t="str">
        <x:v>Association explicitly separated from causation.</x:v>
      </x:c>
      <x:c r="F41" s="60"/>
      <x:c r="G41" s="60"/>
      <x:c r="H41" s="60"/>
      <x:c r="I41" s="60"/>
      <x:c r="J41" s="60"/>
    </x:row>
    <x:row r="55">
      <x:c r="A55" s="2348" t="str">
        <x:v>VISUAL REFERENCE ONLY — NOT A DOSING SOURCE</x:v>
      </x:c>
      <x:c r="B55" s="2348"/>
      <x:c r="C55" s="2348"/>
      <x:c r="D55" s="2348"/>
      <x:c r="E55" s="2348"/>
      <x:c r="F55" s="2348"/>
      <x:c r="G55" s="2348"/>
      <x:c r="H55" s="2348"/>
      <x:c r="I55" s="2348"/>
      <x:c r="J55" s="2348"/>
    </x:row>
    <x:row r="56">
      <x:c r="A56" s="60" t="str">
        <x:v>User example 1</x:v>
      </x:c>
      <x:c r="B56" s="60" t="str">
        <x:v>https://grower.com.pl/userdata/public/assets/tabele/Advanced%20Nutrients%202021.jpg</x:v>
      </x:c>
      <x:c r="C56" s="60" t="str">
        <x:v>Use: dense feed-chart visual language / phase bands.</x:v>
      </x:c>
      <x:c r="D56" s="60" t="str">
        <x:v>Do not copy numeric values into UKD.</x:v>
      </x:c>
    </x:row>
    <x:row r="57">
      <x:c r="A57" s="60" t="str">
        <x:v>User example 2</x:v>
      </x:c>
      <x:c r="B57" s="60" t="str">
        <x:v>https://tse2.mm.bing.net/th/id/OIP.Q7AQCDAjZv67yaGHUSw_6gHaFQ?r=0&amp;rs=1&amp;pid=ImgDetMain&amp;o=7&amp;rm=3</x:v>
      </x:c>
      <x:c r="C57" s="60" t="str">
        <x:v>Use: feeding-table visual pattern.</x:v>
      </x:c>
      <x:c r="D57" s="60" t="str">
        <x:v>Do not treat image as evidence.</x:v>
      </x:c>
    </x:row>
    <x:row r="58">
      <x:c r="A58" s="60" t="str">
        <x:v>Generated concept asset</x:v>
      </x:c>
      <x:c r="B58" s="60" t="str">
        <x:v>a_high_resolution_flat_graphic_infographic_layou.png</x:v>
      </x:c>
      <x:c r="C58" s="60" t="str">
        <x:v>Use: concept/communication only.</x:v>
      </x:c>
      <x:c r="D58" s="60" t="str">
        <x:v>Generated text/numbers are illustrative; canonical data stays in XLSX/PDF feed schema.</x:v>
      </x:c>
    </x:row>
    <x:row r="60">
      <x:c r="A60" s="2367" t="str">
        <x:v>v10 CONTEXT HELP + VISUAL LANGUAGE CONTRACT</x:v>
      </x:c>
      <x:c r="B60" s="2367"/>
      <x:c r="C60" s="2367"/>
      <x:c r="D60" s="2367"/>
      <x:c r="E60" s="2367"/>
      <x:c r="F60" s="2367"/>
      <x:c r="G60" s="2367"/>
      <x:c r="H60" s="2367"/>
      <x:c r="I60" s="2367"/>
      <x:c r="J60" s="2367"/>
    </x:row>
    <x:row r="61">
      <x:c r="A61" s="60" t="str">
        <x:v>Display terminology</x:v>
      </x:c>
      <x:c r="B61" s="60" t="str">
        <x:v>Plain German first</x:v>
      </x:c>
      <x:c r="C61" s="60" t="str">
        <x:v>Render 'Nährsalzstärke (EC)', not bare 'EC'; 'Luftfeuchtigkeit (rF)', not bare 'LF'.</x:v>
      </x:c>
      <x:c r="D61" s="60" t="str">
        <x:v>Canonical keys stay unchanged in domain/raw data.</x:v>
      </x:c>
      <x:c r="E61" s="60" t="str">
        <x:v>P1</x:v>
      </x:c>
    </x:row>
    <x:row r="62">
      <x:c r="A62" s="60" t="str">
        <x:v>Term help trigger</x:v>
      </x:c>
      <x:c r="B62" s="60" t="str">
        <x:v>On-site</x:v>
      </x:c>
      <x:c r="C62" s="60" t="str">
        <x:v>Small INFO affordance on focus/tap/click; Guided also shows one-line explanation inline.</x:v>
      </x:c>
      <x:c r="D62" s="60" t="str">
        <x:v>No critical meaning only on hover.</x:v>
      </x:c>
      <x:c r="E62" s="60" t="str">
        <x:v>P1</x:v>
      </x:c>
    </x:row>
    <x:row r="63">
      <x:c r="A63" s="60" t="str">
        <x:v>Term help content</x:v>
      </x:c>
      <x:c r="B63" s="60" t="str">
        <x:v>Progressive</x:v>
      </x:c>
      <x:c r="C63" s="60" t="str">
        <x:v>1 line plain -&gt; operational meaning -&gt; unit/example -&gt; common mistake -&gt; what to do if unknown -&gt; full source.</x:v>
      </x:c>
      <x:c r="D63" s="60" t="str">
        <x:v>One shared content model for app/PDF/XLSX.</x:v>
      </x:c>
      <x:c r="E63" s="60" t="str">
        <x:v>P1</x:v>
      </x:c>
    </x:row>
    <x:row r="64">
      <x:c r="A64" s="60" t="str">
        <x:v>Section header</x:v>
      </x:c>
      <x:c r="B64" s="60" t="str">
        <x:v>Purpose first</x:v>
      </x:c>
      <x:c r="C64" s="60" t="str">
        <x:v>Every page/route says: Wofür? Hier machst du. Hier nicht. Wenn du X suchst -&gt; Y.</x:v>
      </x:c>
      <x:c r="D64" s="60" t="str">
        <x:v>Avoid title-only headers.</x:v>
      </x:c>
      <x:c r="E64" s="60" t="str">
        <x:v>P1</x:v>
      </x:c>
    </x:row>
    <x:row r="65">
      <x:c r="A65" s="60" t="str">
        <x:v>Semantic colors</x:v>
      </x:c>
      <x:c r="B65" s="60" t="str">
        <x:v>Consistent</x:v>
      </x:c>
      <x:c r="C65" s="60" t="str">
        <x:v>Green action/known; blue target/info; amber check/conditional; red block/stop; purple evidence/experiment; gray system/raw.</x:v>
      </x:c>
      <x:c r="D65" s="60" t="str">
        <x:v>Text/icon always duplicates color meaning.</x:v>
      </x:c>
      <x:c r="E65" s="60" t="str">
        <x:v>P1</x:v>
      </x:c>
    </x:row>
    <x:row r="66">
      <x:c r="A66" s="60" t="str">
        <x:v>Icon keys</x:v>
      </x:c>
      <x:c r="B66" s="60" t="str">
        <x:v>Meaningful</x:v>
      </x:c>
      <x:c r="C66" s="60" t="str">
        <x:v>SUN light, DROP water, EC salts, PH acidity, RH humidity, VPD drying pressure, STOP blocker, BOOK knowledge, LOG actual event.</x:v>
      </x:c>
      <x:c r="D66" s="60" t="str">
        <x:v>Accessible label required in DOM.</x:v>
      </x:c>
      <x:c r="E66" s="60" t="str">
        <x:v>P1</x:v>
      </x:c>
    </x:row>
    <x:row r="67">
      <x:c r="A67" s="60" t="str">
        <x:v>Operator/raw split</x:v>
      </x:c>
      <x:c r="B67" s="60" t="str">
        <x:v>Stable</x:v>
      </x:c>
      <x:c r="C67" s="60" t="str">
        <x:v>Operator routes use display labels and summaries; Expert/raw exposes canonical keys/formulas.</x:v>
      </x:c>
      <x:c r="D67" s="60" t="str">
        <x:v>Never fork calculations.</x:v>
      </x:c>
      <x:c r="E67" s="60" t="str">
        <x:v>P0/P1</x:v>
      </x:c>
    </x:row>
    <x:row r="68">
      <x:c r="A68" s="60" t="str">
        <x:v>Figure provenance</x:v>
      </x:c>
      <x:c r="B68" s="60" t="str">
        <x:v>Required</x:v>
      </x:c>
      <x:c r="C68" s="60" t="str">
        <x:v>CANONICAL DATA / MANUFACTURER REFERENCE / ILLUSTRATIVE CONCEPT badge on every infographic.</x:v>
      </x:c>
      <x:c r="D68" s="60" t="str">
        <x:v>Generated figures cannot be numeric source.</x:v>
      </x:c>
      <x:c r="E68" s="60" t="str">
        <x:v>P1</x:v>
      </x:c>
    </x:row>
  </x:sheetData>
  <x:mergeCells>
    <x:mergeCell ref="A18:J18"/>
    <x:mergeCell ref="A25:J25"/>
    <x:mergeCell ref="A55:J55"/>
    <x:mergeCell ref="A60:J60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6" customHeight="1">
      <x:c r="A1" s="2361" t="str">
        <x:v>UKD v11.4 AUTOFLOWER FEED MAP · manufacturer-schema reconciled · event-gated</x:v>
      </x:c>
      <x:c r="B1" s="2361"/>
      <x:c r="C1" s="2361"/>
      <x:c r="D1" s="2361"/>
      <x:c r="E1" s="2361"/>
      <x:c r="F1" s="2361"/>
      <x:c r="G1" s="2361"/>
      <x:c r="H1" s="2361"/>
      <x:c r="I1" s="2361"/>
      <x:c r="J1" s="2361"/>
      <x:c r="K1" s="2361"/>
      <x:c r="L1" s="2361"/>
      <x:c r="M1" s="2361"/>
      <x:c r="N1" s="2361"/>
      <x:c r="O1" s="2361"/>
    </x:row>
    <x:row r="3">
      <x:c r="A3" s="2348" t="str">
        <x:v>Role / Product</x:v>
      </x:c>
      <x:c r="B3" s="2348" t="str">
        <x:v>Plan state</x:v>
      </x:c>
      <x:c r="C3" s="2348" t="str">
        <x:v>Gate / interpretation</x:v>
      </x:c>
      <x:c r="D3" s="2348" t="str">
        <x:v>W1</x:v>
      </x:c>
      <x:c r="E3" s="2348" t="str">
        <x:v>W2</x:v>
      </x:c>
      <x:c r="F3" s="2348" t="str">
        <x:v>W3</x:v>
      </x:c>
      <x:c r="G3" s="2348" t="str">
        <x:v>W4</x:v>
      </x:c>
      <x:c r="H3" s="2348" t="str">
        <x:v>W5</x:v>
      </x:c>
      <x:c r="I3" s="2348" t="str">
        <x:v>W6</x:v>
      </x:c>
      <x:c r="J3" s="2348" t="str">
        <x:v>W7</x:v>
      </x:c>
      <x:c r="K3" s="2348" t="str">
        <x:v>W8</x:v>
      </x:c>
      <x:c r="L3" s="2348" t="str">
        <x:v>W9</x:v>
      </x:c>
      <x:c r="M3" s="2348" t="str">
        <x:v>W10</x:v>
      </x:c>
      <x:c r="N3" s="2348" t="str">
        <x:v>W11</x:v>
      </x:c>
      <x:c r="O3" s="2348" t="str">
        <x:v>W12</x:v>
      </x:c>
    </x:row>
    <x:row r="4">
      <x:c r="A4" s="2356" t="str">
        <x:v>PHASE</x:v>
      </x:c>
      <x:c r="B4" s="2356" t="str">
        <x:v>Timeline</x:v>
      </x:c>
      <x:c r="C4" s="2356" t="str">
        <x:v>Calendar display only</x:v>
      </x:c>
      <x:c r="D4" s="2356" t="str">
        <x:v>Keimung / Etablierung</x:v>
      </x:c>
      <x:c r="E4" s="2356" t="str">
        <x:v>Etablierung / Early Veg</x:v>
      </x:c>
      <x:c r="F4" s="2356" t="str">
        <x:v>Early Veg / Veg / LST</x:v>
      </x:c>
      <x:c r="G4" s="2356" t="str">
        <x:v>Veg / LST / Preflower-Watch</x:v>
      </x:c>
      <x:c r="H4" s="2356" t="str">
        <x:v>Transition / Stretch (B1)</x:v>
      </x:c>
      <x:c r="I4" s="2356" t="str">
        <x:v>Early Flower (B2)</x:v>
      </x:c>
      <x:c r="J4" s="2356" t="str">
        <x:v>Flower I (B3)</x:v>
      </x:c>
      <x:c r="K4" s="2356" t="str">
        <x:v>Peak Flower (B4)</x:v>
      </x:c>
      <x:c r="L4" s="2356" t="str">
        <x:v>Peak Flower (B5)</x:v>
      </x:c>
      <x:c r="M4" s="2356" t="str">
        <x:v>Late Flower (B6)</x:v>
      </x:c>
      <x:c r="N4" s="2356" t="str">
        <x:v>Ripening (B7)</x:v>
      </x:c>
      <x:c r="O4" s="2356" t="str">
        <x:v>Harvest / Extension (B7+)</x:v>
      </x:c>
    </x:row>
    <x:row r="5" ht="44" customHeight="1">
      <x:c r="A5" s="2356" t="str">
        <x:v>Medium path</x:v>
      </x:c>
      <x:c r="B5" s="2356" t="str">
        <x:v>EVENT-BASED</x:v>
      </x:c>
      <x:c r="C5" s="2356" t="str">
        <x:v>Eazy Plug → Eazy Block → Final Coco; Block nur kurze Brücke. Wochenspalten zeigen keine 4-Wochen-Blockpflicht mehr.</x:v>
      </x:c>
      <x:c r="D5" s="2356" t="str">
        <x:v>Plug→Block→Final (event)</x:v>
      </x:c>
      <x:c r="E5" s="2356" t="str">
        <x:v>Final Coco expected / confirm actual event</x:v>
      </x:c>
      <x:c r="F5" s="2356" t="str">
        <x:v>Final Coco</x:v>
      </x:c>
      <x:c r="G5" s="2356" t="str">
        <x:v>Final Coco</x:v>
      </x:c>
      <x:c r="H5" s="2356" t="str">
        <x:v>Final Coco</x:v>
      </x:c>
      <x:c r="I5" s="2356" t="str">
        <x:v>Final Coco</x:v>
      </x:c>
      <x:c r="J5" s="2356" t="str">
        <x:v>Final Coco</x:v>
      </x:c>
      <x:c r="K5" s="2356" t="str">
        <x:v>Final Coco</x:v>
      </x:c>
      <x:c r="L5" s="2356" t="str">
        <x:v>Final Coco</x:v>
      </x:c>
      <x:c r="M5" s="2356" t="str">
        <x:v>Final Coco</x:v>
      </x:c>
      <x:c r="N5" s="2356" t="str">
        <x:v>Final Coco</x:v>
      </x:c>
      <x:c r="O5" s="2356" t="str">
        <x:v>Final Coco</x:v>
      </x:c>
    </x:row>
    <x:row r="6" ht="44" customHeight="1">
      <x:c r="A6" s="1880" t="str">
        <x:v>HESI Base</x:v>
      </x:c>
      <x:c r="B6" s="1880" t="str">
        <x:v>CORE</x:v>
      </x:c>
      <x:c r="C6" s="1880" t="str">
        <x:v>Kalenderdosen sind nur Eligibility/Projection. Basisstart benötigt Plant/Medium/Watering-Gate; Flower-Wechsel benötigt beobachteten FlowerInitiation-Trigger.</x:v>
      </x:c>
      <x:c r="D6" s="1880" t="str">
        <x:v>TNT 1.25</x:v>
      </x:c>
      <x:c r="E6" s="1880" t="str">
        <x:v>TNT 1.25 / TNT 2</x:v>
      </x:c>
      <x:c r="F6" s="1880" t="str">
        <x:v>TNT 2 / TNT 2.5</x:v>
      </x:c>
      <x:c r="G6" s="1880" t="str">
        <x:v>TNT 2.5</x:v>
      </x:c>
      <x:c r="H6" s="1880" t="str">
        <x:v>Coco 2.5</x:v>
      </x:c>
      <x:c r="I6" s="1880" t="str">
        <x:v>Coco 3.25</x:v>
      </x:c>
      <x:c r="J6" s="1880" t="str">
        <x:v>Coco 3.75</x:v>
      </x:c>
      <x:c r="K6" s="1880" t="str">
        <x:v>Coco 4</x:v>
      </x:c>
      <x:c r="L6" s="1880" t="str">
        <x:v>Coco 4</x:v>
      </x:c>
      <x:c r="M6" s="1880" t="str">
        <x:v>Coco 3.5</x:v>
      </x:c>
      <x:c r="N6" s="1880" t="str">
        <x:v>Coco 2.5</x:v>
      </x:c>
      <x:c r="O6" s="1880" t="str">
        <x:v>Coco 1.5</x:v>
      </x:c>
    </x:row>
    <x:row r="7" ht="44" customHeight="1">
      <x:c r="A7" s="1880" t="str">
        <x:v>Wurzel Complex</x:v>
      </x:c>
      <x:c r="B7" s="1880" t="str">
        <x:v>CORE EARLY</x:v>
      </x:c>
      <x:c r="C7" s="1880" t="str">
        <x:v>2.5 ml/L = half label dose for frequent/long-term use; actual watering event still gates application</x:v>
      </x:c>
      <x:c r="D7" s="1880" t="str">
        <x:v>2.5 ml/L · 7d</x:v>
      </x:c>
      <x:c r="E7" s="1880" t="str">
        <x:v>2.5 ml/L · 7d</x:v>
      </x:c>
      <x:c r="F7" s="1880" t="str">
        <x:v>2.5 ml/L · 1d</x:v>
      </x:c>
      <x:c r="G7" s="1880" t="str">
        <x:v>—</x:v>
      </x:c>
      <x:c r="H7" s="1880" t="str">
        <x:v>—</x:v>
      </x:c>
      <x:c r="I7" s="1880" t="str">
        <x:v>—</x:v>
      </x:c>
      <x:c r="J7" s="1880" t="str">
        <x:v>—</x:v>
      </x:c>
      <x:c r="K7" s="1880" t="str">
        <x:v>—</x:v>
      </x:c>
      <x:c r="L7" s="1880" t="str">
        <x:v>—</x:v>
      </x:c>
      <x:c r="M7" s="1880" t="str">
        <x:v>—</x:v>
      </x:c>
      <x:c r="N7" s="1880" t="str">
        <x:v>—</x:v>
      </x:c>
      <x:c r="O7" s="1880" t="str">
        <x:v>—</x:v>
      </x:c>
    </x:row>
    <x:row r="8" ht="44" customHeight="1">
      <x:c r="A8" s="1880" t="str">
        <x:v>PowerZyme</x:v>
      </x:c>
      <x:c r="B8" s="1880" t="str">
        <x:v>CORE</x:v>
      </x:c>
      <x:c r="C8" s="1880" t="str">
        <x:v>Current v9 resolves 2 ml/L from earliest nutrient day through Bloom-Tag 49; actual application/log remains separate</x:v>
      </x:c>
      <x:c r="D8" s="1880" t="str">
        <x:v>2 ml/L · 3d</x:v>
      </x:c>
      <x:c r="E8" s="1880" t="str">
        <x:v>2 ml/L · 7d</x:v>
      </x:c>
      <x:c r="F8" s="1880" t="str">
        <x:v>2 ml/L · 7d</x:v>
      </x:c>
      <x:c r="G8" s="1880" t="str">
        <x:v>2 ml/L · 7d</x:v>
      </x:c>
      <x:c r="H8" s="1880" t="str">
        <x:v>2 ml/L · 7d</x:v>
      </x:c>
      <x:c r="I8" s="1880" t="str">
        <x:v>2 ml/L · 7d</x:v>
      </x:c>
      <x:c r="J8" s="1880" t="str">
        <x:v>2 ml/L · 7d</x:v>
      </x:c>
      <x:c r="K8" s="1880" t="str">
        <x:v>2 ml/L · 7d</x:v>
      </x:c>
      <x:c r="L8" s="1880" t="str">
        <x:v>2 ml/L · 7d</x:v>
      </x:c>
      <x:c r="M8" s="1880" t="str">
        <x:v>2 ml/L · 7d</x:v>
      </x:c>
      <x:c r="N8" s="1880" t="str">
        <x:v>2 ml/L · 7d</x:v>
      </x:c>
      <x:c r="O8" s="1880" t="str">
        <x:v>—</x:v>
      </x:c>
    </x:row>
    <x:row r="9" ht="44" customHeight="1">
      <x:c r="A9" s="1880" t="str">
        <x:v>SuperVit</x:v>
      </x:c>
      <x:c r="B9" s="1880" t="str">
        <x:v>CORE</x:v>
      </x:c>
      <x:c r="C9" s="1880" t="str">
        <x:v>0.015 ml/L plan microdose; manufacturer reference is every watering/spraying; no forced watering</x:v>
      </x:c>
      <x:c r="D9" s="1880" t="str">
        <x:v>0.015 ml/L · 7d</x:v>
      </x:c>
      <x:c r="E9" s="1880" t="str">
        <x:v>0.015 ml/L · 7d</x:v>
      </x:c>
      <x:c r="F9" s="1880" t="str">
        <x:v>0.015 ml/L · 7d</x:v>
      </x:c>
      <x:c r="G9" s="1880" t="str">
        <x:v>0.015 ml/L · 7d</x:v>
      </x:c>
      <x:c r="H9" s="1880" t="str">
        <x:v>0.015 ml/L · 7d</x:v>
      </x:c>
      <x:c r="I9" s="1880" t="str">
        <x:v>0.015 ml/L · 7d</x:v>
      </x:c>
      <x:c r="J9" s="1880" t="str">
        <x:v>0.015 ml/L · 7d</x:v>
      </x:c>
      <x:c r="K9" s="1880" t="str">
        <x:v>0.015 ml/L · 7d</x:v>
      </x:c>
      <x:c r="L9" s="1880" t="str">
        <x:v>0.015 ml/L · 7d</x:v>
      </x:c>
      <x:c r="M9" s="1880" t="str">
        <x:v>0.015 ml/L · 7d</x:v>
      </x:c>
      <x:c r="N9" s="1880" t="str">
        <x:v>0.015 ml/L · 7d</x:v>
      </x:c>
      <x:c r="O9" s="1880" t="str">
        <x:v>0.015 ml/L · 4d</x:v>
      </x:c>
    </x:row>
    <x:row r="10" ht="44" customHeight="1">
      <x:c r="A10" s="1880" t="str">
        <x:v>HESI Boost</x:v>
      </x:c>
      <x:c r="B10" s="1880" t="str">
        <x:v>CORE BLOOM</x:v>
      </x:c>
      <x:c r="C10" s="1880" t="str">
        <x:v>HESI Boost bleibt owned bloom path; bei Autoflower an beobachteten Blütenstart koppeln, nicht an absoluten Run-Tag.</x:v>
      </x:c>
      <x:c r="D10" s="1880" t="str">
        <x:v>—</x:v>
      </x:c>
      <x:c r="E10" s="1880" t="str">
        <x:v>—</x:v>
      </x:c>
      <x:c r="F10" s="1880" t="str">
        <x:v>—</x:v>
      </x:c>
      <x:c r="G10" s="1880" t="str">
        <x:v>—</x:v>
      </x:c>
      <x:c r="H10" s="1880" t="str">
        <x:v>2 ml/L · 1d</x:v>
      </x:c>
      <x:c r="I10" s="1880" t="str">
        <x:v>2 ml/L · 1d</x:v>
      </x:c>
      <x:c r="J10" s="1880" t="str">
        <x:v>2 ml/L · 1d</x:v>
      </x:c>
      <x:c r="K10" s="1880" t="str">
        <x:v>2 ml/L · 1d</x:v>
      </x:c>
      <x:c r="L10" s="1880" t="str">
        <x:v>2 ml/L · 1d</x:v>
      </x:c>
      <x:c r="M10" s="1880" t="str">
        <x:v>2 ml/L · 1d</x:v>
      </x:c>
      <x:c r="N10" s="1880" t="str">
        <x:v>2 ml/L · 1d</x:v>
      </x:c>
      <x:c r="O10" s="1880" t="str">
        <x:v>2 ml/L · 1d</x:v>
      </x:c>
    </x:row>
    <x:row r="11" ht="44" customHeight="1">
      <x:c r="A11" s="1880" t="str">
        <x:v>HESI PK13/14</x:v>
      </x:c>
      <x:c r="B11" s="1880" t="str">
        <x:v>CORE LATE BLOOM</x:v>
      </x:c>
      <x:c r="C11" s="1880" t="str">
        <x:v>HESI PK bleibt Bloom-Tag-relativ; BT1 muss aus beobachtetem FlowerInitiation-Event kommen.</x:v>
      </x:c>
      <x:c r="D11" s="1880" t="str">
        <x:v>—</x:v>
      </x:c>
      <x:c r="E11" s="1880" t="str">
        <x:v>—</x:v>
      </x:c>
      <x:c r="F11" s="1880" t="str">
        <x:v>—</x:v>
      </x:c>
      <x:c r="G11" s="1880" t="str">
        <x:v>—</x:v>
      </x:c>
      <x:c r="H11" s="1880" t="str">
        <x:v>—</x:v>
      </x:c>
      <x:c r="I11" s="1880" t="str">
        <x:v>—</x:v>
      </x:c>
      <x:c r="J11" s="1880" t="str">
        <x:v>—</x:v>
      </x:c>
      <x:c r="K11" s="1880" t="str">
        <x:v>—</x:v>
      </x:c>
      <x:c r="L11" s="1880" t="str">
        <x:v>0.25–0.365 ml/L · 7d</x:v>
      </x:c>
      <x:c r="M11" s="1880" t="str">
        <x:v>0.385–0.5 ml/L · 7d</x:v>
      </x:c>
      <x:c r="N11" s="1880" t="str">
        <x:v>—</x:v>
      </x:c>
      <x:c r="O11" s="1880" t="str">
        <x:v>—</x:v>
      </x:c>
    </x:row>
    <x:row r="12" ht="44" customHeight="1">
      <x:c r="A12" s="2242" t="str">
        <x:v>Voodoo Juice</x:v>
      </x:c>
      <x:c r="B12" s="2242" t="str">
        <x:v>SELECTED COMPLEMENT</x:v>
      </x:c>
      <x:c r="C12" s="2242" t="str">
        <x:v>AN Hersteller: 2 ml/L während Grow Week 1–2 und Bloom Week 1–2. Kein 1×/Woche-Schema. UKD: 2 ml/L bei JEDEM tatsächlich anstehenden Feed-/Bewässerungsereignis im eligible Fenster; kein Zusatzgießen nur für Mikroben.</x:v>
      </x:c>
      <x:c r="D12" s="2242" t="str">
        <x:v>G1 eligible</x:v>
      </x:c>
      <x:c r="E12" s="2242" t="str">
        <x:v>G1/G2 eligible</x:v>
      </x:c>
      <x:c r="F12" s="2242" t="str">
        <x:v>G2 if active</x:v>
      </x:c>
      <x:c r="G12" s="2242" t="str">
        <x:v>—</x:v>
      </x:c>
      <x:c r="H12" s="2242" t="str">
        <x:v>B1 eligible</x:v>
      </x:c>
      <x:c r="I12" s="2242" t="str">
        <x:v>B2 eligible</x:v>
      </x:c>
      <x:c r="J12" s="2242" t="str">
        <x:v>—</x:v>
      </x:c>
      <x:c r="K12" s="2242" t="str">
        <x:v>—</x:v>
      </x:c>
      <x:c r="L12" s="2242" t="str">
        <x:v>—</x:v>
      </x:c>
      <x:c r="M12" s="2242" t="str">
        <x:v>—</x:v>
      </x:c>
      <x:c r="N12" s="2242" t="str">
        <x:v>—</x:v>
      </x:c>
      <x:c r="O12" s="2242" t="str">
        <x:v>—</x:v>
      </x:c>
    </x:row>
    <x:row r="13" ht="44" customHeight="1">
      <x:c r="A13" s="2242" t="str">
        <x:v>Tarantula</x:v>
      </x:c>
      <x:c r="B13" s="2242" t="str">
        <x:v>SELECTED COMPLEMENT</x:v>
      </x:c>
      <x:c r="C13" s="2242" t="str">
        <x:v>Wie Voodoo: 2 ml/L G1–G2 und B1–B2. Tarantula ist im selected stack eigenständig sichtbar; keine 1×/Woche-Reduktion.</x:v>
      </x:c>
      <x:c r="D13" s="2242" t="str">
        <x:v>G1 eligible</x:v>
      </x:c>
      <x:c r="E13" s="2242" t="str">
        <x:v>G1/G2 eligible</x:v>
      </x:c>
      <x:c r="F13" s="2242" t="str">
        <x:v>G2 if active</x:v>
      </x:c>
      <x:c r="G13" s="2242" t="str">
        <x:v>—</x:v>
      </x:c>
      <x:c r="H13" s="2242" t="str">
        <x:v>B1 eligible</x:v>
      </x:c>
      <x:c r="I13" s="2242" t="str">
        <x:v>B2 eligible</x:v>
      </x:c>
      <x:c r="J13" s="2242" t="str">
        <x:v>—</x:v>
      </x:c>
      <x:c r="K13" s="2242" t="str">
        <x:v>—</x:v>
      </x:c>
      <x:c r="L13" s="2242" t="str">
        <x:v>—</x:v>
      </x:c>
      <x:c r="M13" s="2242" t="str">
        <x:v>—</x:v>
      </x:c>
      <x:c r="N13" s="2242" t="str">
        <x:v>—</x:v>
      </x:c>
      <x:c r="O13" s="2242" t="str">
        <x:v>—</x:v>
      </x:c>
    </x:row>
    <x:row r="14" ht="44" customHeight="1">
      <x:c r="A14" s="2064" t="str">
        <x:v>Athena Balance</x:v>
      </x:c>
      <x:c r="B14" s="2064" t="str">
        <x:v>CONDITIONAL</x:v>
      </x:c>
      <x:c r="C14" s="2064" t="str">
        <x:v>Preferred owned Si/pH path; no universal calendar rate; remains 0 until titration gate</x:v>
      </x:c>
      <x:c r="D14" s="2064" t="str">
        <x:v>—</x:v>
      </x:c>
      <x:c r="E14" s="2064" t="str">
        <x:v>—</x:v>
      </x:c>
      <x:c r="F14" s="2064" t="str">
        <x:v>—</x:v>
      </x:c>
      <x:c r="G14" s="2064" t="str">
        <x:v>—</x:v>
      </x:c>
      <x:c r="H14" s="2064" t="str">
        <x:v>—</x:v>
      </x:c>
      <x:c r="I14" s="2064" t="str">
        <x:v>—</x:v>
      </x:c>
      <x:c r="J14" s="2064" t="str">
        <x:v>—</x:v>
      </x:c>
      <x:c r="K14" s="2064" t="str">
        <x:v>—</x:v>
      </x:c>
      <x:c r="L14" s="2064" t="str">
        <x:v>—</x:v>
      </x:c>
      <x:c r="M14" s="2064" t="str">
        <x:v>—</x:v>
      </x:c>
      <x:c r="N14" s="2064" t="str">
        <x:v>—</x:v>
      </x:c>
      <x:c r="O14" s="2064" t="str">
        <x:v>—</x:v>
      </x:c>
    </x:row>
    <x:row r="15" ht="44" customHeight="1">
      <x:c r="A15" s="2064" t="str">
        <x:v>Sensi CalMag Xtra</x:v>
      </x:c>
      <x:c r="B15" s="2064" t="str">
        <x:v>CONDITIONAL</x:v>
      </x:c>
      <x:c r="C15" s="2064" t="str">
        <x:v>Owned source; dose equals explicit CalMag Plan only; current default 0</x:v>
      </x:c>
      <x:c r="D15" s="2064" t="str">
        <x:v>—</x:v>
      </x:c>
      <x:c r="E15" s="2064" t="str">
        <x:v>—</x:v>
      </x:c>
      <x:c r="F15" s="2064" t="str">
        <x:v>—</x:v>
      </x:c>
      <x:c r="G15" s="2064" t="str">
        <x:v>—</x:v>
      </x:c>
      <x:c r="H15" s="2064" t="str">
        <x:v>—</x:v>
      </x:c>
      <x:c r="I15" s="2064" t="str">
        <x:v>—</x:v>
      </x:c>
      <x:c r="J15" s="2064" t="str">
        <x:v>—</x:v>
      </x:c>
      <x:c r="K15" s="2064" t="str">
        <x:v>—</x:v>
      </x:c>
      <x:c r="L15" s="2064" t="str">
        <x:v>—</x:v>
      </x:c>
      <x:c r="M15" s="2064" t="str">
        <x:v>—</x:v>
      </x:c>
      <x:c r="N15" s="2064" t="str">
        <x:v>—</x:v>
      </x:c>
      <x:c r="O15" s="2064" t="str">
        <x:v>—</x:v>
      </x:c>
    </x:row>
    <x:row r="16" ht="44" customHeight="1">
      <x:c r="A16" s="2338" t="str">
        <x:v>Tasty Terpenes</x:v>
      </x:c>
      <x:c r="B16" s="2338" t="str">
        <x:v>OWNED / OFF</x:v>
      </x:c>
      <x:c r="C16" s="2338" t="str">
        <x:v>Future isolated A/B only; no reference-run calendar dose</x:v>
      </x:c>
      <x:c r="D16" s="2338" t="str">
        <x:v>—</x:v>
      </x:c>
      <x:c r="E16" s="2338" t="str">
        <x:v>—</x:v>
      </x:c>
      <x:c r="F16" s="2338" t="str">
        <x:v>—</x:v>
      </x:c>
      <x:c r="G16" s="2338" t="str">
        <x:v>—</x:v>
      </x:c>
      <x:c r="H16" s="2338" t="str">
        <x:v>—</x:v>
      </x:c>
      <x:c r="I16" s="2338" t="str">
        <x:v>—</x:v>
      </x:c>
      <x:c r="J16" s="2338" t="str">
        <x:v>—</x:v>
      </x:c>
      <x:c r="K16" s="2338" t="str">
        <x:v>—</x:v>
      </x:c>
      <x:c r="L16" s="2338" t="str">
        <x:v>—</x:v>
      </x:c>
      <x:c r="M16" s="2338" t="str">
        <x:v>—</x:v>
      </x:c>
      <x:c r="N16" s="2338" t="str">
        <x:v>—</x:v>
      </x:c>
      <x:c r="O16" s="2338" t="str">
        <x:v>—</x:v>
      </x:c>
    </x:row>
    <x:row r="17" ht="44" customHeight="1">
      <x:c r="A17" s="2338" t="str">
        <x:v>CarboLoad</x:v>
      </x:c>
      <x:c r="B17" s="2338" t="str">
        <x:v>TINY REMAINDER / OFF</x:v>
      </x:c>
      <x:c r="C17" s="2338" t="str">
        <x:v>No repurchase; do not add merely to use remainder while HESI Boost is selected</x:v>
      </x:c>
      <x:c r="D17" s="2338" t="str">
        <x:v>—</x:v>
      </x:c>
      <x:c r="E17" s="2338" t="str">
        <x:v>—</x:v>
      </x:c>
      <x:c r="F17" s="2338" t="str">
        <x:v>—</x:v>
      </x:c>
      <x:c r="G17" s="2338" t="str">
        <x:v>—</x:v>
      </x:c>
      <x:c r="H17" s="2338" t="str">
        <x:v>—</x:v>
      </x:c>
      <x:c r="I17" s="2338" t="str">
        <x:v>—</x:v>
      </x:c>
      <x:c r="J17" s="2338" t="str">
        <x:v>—</x:v>
      </x:c>
      <x:c r="K17" s="2338" t="str">
        <x:v>—</x:v>
      </x:c>
      <x:c r="L17" s="2338" t="str">
        <x:v>—</x:v>
      </x:c>
      <x:c r="M17" s="2338" t="str">
        <x:v>—</x:v>
      </x:c>
      <x:c r="N17" s="2338" t="str">
        <x:v>—</x:v>
      </x:c>
      <x:c r="O17" s="2338" t="str">
        <x:v>—</x:v>
      </x:c>
    </x:row>
    <x:row r="20">
      <x:c r="A20" s="2348" t="str">
        <x:v>HOW TO READ THE MAP</x:v>
      </x:c>
      <x:c r="B20" s="2348"/>
      <x:c r="C20" s="2348"/>
      <x:c r="D20" s="2348"/>
      <x:c r="E20" s="2348"/>
      <x:c r="F20" s="2348"/>
      <x:c r="G20" s="2348"/>
      <x:c r="H20" s="2348"/>
      <x:c r="I20" s="2348"/>
      <x:c r="J20" s="2348"/>
      <x:c r="K20" s="2348"/>
      <x:c r="L20" s="2348"/>
      <x:c r="M20" s="2348"/>
      <x:c r="N20" s="2348"/>
      <x:c r="O20" s="2348"/>
    </x:row>
    <x:row r="21">
      <x:c r="A21" s="2360" t="str">
        <x:v>Cells show the resolved v9 Daily Master dose and count of calendar days with a positive planned dose. '7d' does NOT mean 'force seven irrigations'; actual application occurs only when the watering/event is actually performed and logged. Conditional rows intentionally remain zero until their gate resolves. Medium pH/EC specifications are substrate references, not irrigation setpoints. The schedule is UKD-owned-stock operational logic; manufacturer label, research evidence and UKD adaptation remain separate.</x:v>
      </x:c>
      <x:c r="B21" s="2360"/>
      <x:c r="C21" s="2360"/>
      <x:c r="D21" s="2360"/>
      <x:c r="E21" s="2360"/>
      <x:c r="F21" s="2360"/>
      <x:c r="G21" s="2360"/>
      <x:c r="H21" s="2360"/>
      <x:c r="I21" s="2360"/>
      <x:c r="J21" s="2360"/>
      <x:c r="K21" s="2360"/>
      <x:c r="L21" s="2360"/>
      <x:c r="M21" s="2360"/>
      <x:c r="N21" s="2360"/>
      <x:c r="O21" s="2360"/>
    </x:row>
    <x:row r="22">
      <x:c r="A22" s="2360"/>
      <x:c r="B22" s="2360"/>
      <x:c r="C22" s="2360"/>
      <x:c r="D22" s="2360"/>
      <x:c r="E22" s="2360"/>
      <x:c r="F22" s="2360"/>
      <x:c r="G22" s="2360"/>
      <x:c r="H22" s="2360"/>
      <x:c r="I22" s="2360"/>
      <x:c r="J22" s="2360"/>
      <x:c r="K22" s="2360"/>
      <x:c r="L22" s="2360"/>
      <x:c r="M22" s="2360"/>
      <x:c r="N22" s="2360"/>
      <x:c r="O22" s="2360"/>
    </x:row>
    <x:row r="23">
      <x:c r="A23" s="2360"/>
      <x:c r="B23" s="2360"/>
      <x:c r="C23" s="2360"/>
      <x:c r="D23" s="2360"/>
      <x:c r="E23" s="2360"/>
      <x:c r="F23" s="2360"/>
      <x:c r="G23" s="2360"/>
      <x:c r="H23" s="2360"/>
      <x:c r="I23" s="2360"/>
      <x:c r="J23" s="2360"/>
      <x:c r="K23" s="2360"/>
      <x:c r="L23" s="2360"/>
      <x:c r="M23" s="2360"/>
      <x:c r="N23" s="2360"/>
      <x:c r="O23" s="2360"/>
    </x:row>
    <x:row r="25">
      <x:c r="A25" s="2348" t="str">
        <x:v>Source / scope</x:v>
      </x:c>
      <x:c r="B25" s="2348" t="str">
        <x:v>URL</x:v>
      </x:c>
      <x:c r="C25" s="2348" t="str">
        <x:v>Use</x:v>
      </x:c>
      <x:c r="D25" s="2348"/>
      <x:c r="E25" s="2348"/>
      <x:c r="F25" s="2348"/>
      <x:c r="G25" s="2348"/>
      <x:c r="H25" s="2348"/>
      <x:c r="I25" s="2348"/>
      <x:c r="J25" s="2348"/>
      <x:c r="K25" s="2348"/>
      <x:c r="L25" s="2348"/>
      <x:c r="M25" s="2348"/>
      <x:c r="N25" s="2348"/>
      <x:c r="O25" s="2348"/>
    </x:row>
    <x:row r="26">
      <x:c r="A26" s="60" t="str">
        <x:v>Eazy Plug technical specs / FAQ</x:v>
      </x:c>
      <x:c r="B26" s="60" t="str">
        <x:v>https://www.eazy-plug.com/eazy-plug-tech-specs/</x:v>
      </x:c>
      <x:c r="C26" s="60" t="str">
        <x:v>Predetermined/buffered pH/EC and no pre-correction requirement.</x:v>
      </x:c>
    </x:row>
    <x:row r="27">
      <x:c r="A27" s="60" t="str">
        <x:v>UGro COCO Rhiza</x:v>
      </x:c>
      <x:c r="B27" s="60" t="str">
        <x:v>https://simplyorganicsl.com/en/product/xl-rhiza/</x:v>
      </x:c>
      <x:c r="C27" s="60" t="str">
        <x:v>True-buffered Rhiza coco product reference; pH/EC are substrate specs.</x:v>
      </x:c>
    </x:row>
    <x:row r="28">
      <x:c r="A28" s="60" t="str">
        <x:v>HESI TNT</x:v>
      </x:c>
      <x:c r="B28" s="60" t="str">
        <x:v>https://hesi.nl/de/TNT-COMPLEX</x:v>
      </x:c>
      <x:c r="C28" s="60" t="str">
        <x:v>Half dose for very young seedlings; seeds initially carry nutrients.</x:v>
      </x:c>
    </x:row>
    <x:row r="29">
      <x:c r="A29" s="60" t="str">
        <x:v>HESI Root Complex</x:v>
      </x:c>
      <x:c r="B29" s="60" t="str">
        <x:v>https://hesi.nl/de/Wurzel-Complex</x:v>
      </x:c>
      <x:c r="C29" s="60" t="str">
        <x:v>5 ml/L label; half for frequent/long-term use.</x:v>
      </x:c>
    </x:row>
    <x:row r="30">
      <x:c r="A30" s="60" t="str">
        <x:v>HESI PowerZyme</x:v>
      </x:c>
      <x:c r="B30" s="60" t="str">
        <x:v>https://hesi.nl/de/PowerZyme</x:v>
      </x:c>
      <x:c r="C30" s="60" t="str">
        <x:v>2 ml/L; continuous-use product reference.</x:v>
      </x:c>
    </x:row>
    <x:row r="31">
      <x:c r="A31" s="60" t="str">
        <x:v>HESI Boost</x:v>
      </x:c>
      <x:c r="B31" s="60" t="str">
        <x:v>https://hesi.nl/de/Boost</x:v>
      </x:c>
      <x:c r="C31" s="60" t="str">
        <x:v>2 ml/L regular bloom use; UKD cadence is a conservative adaptation.</x:v>
      </x:c>
    </x:row>
    <x:row r="32">
      <x:c r="A32" s="60" t="str">
        <x:v>Advanced Nutrients feeding</x:v>
      </x:c>
      <x:c r="B32" s="60" t="str">
        <x:v>https://www.advancednutrients.com/de/feeding/</x:v>
      </x:c>
      <x:c r="C32" s="60" t="str">
        <x:v>Manufacturer reference/compatibility context; not the UKD HESI base.</x:v>
      </x:c>
    </x:row>
  </x:sheetData>
  <x:mergeCells>
    <x:mergeCell ref="A1:O1"/>
    <x:mergeCell ref="A20:O20"/>
    <x:mergeCell ref="A21:O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40" hidden="0" customWidth="1"/>
    <x:col min="5" max="5" width="42" hidden="0" customWidth="1"/>
    <x:col min="6" max="6" width="20" hidden="0" customWidth="1"/>
    <x:col min="7" max="7" width="30" hidden="0" customWidth="1"/>
  </x:cols>
  <x:sheetData>
    <x:row r="1">
      <x:c r="A1" s="2348" t="str">
        <x:v>Term</x:v>
      </x:c>
      <x:c r="B1" s="2348" t="str">
        <x:v>One-line / Guided</x:v>
      </x:c>
      <x:c r="C1" s="2348" t="str">
        <x:v>Operational meaning</x:v>
      </x:c>
      <x:c r="D1" s="2348" t="str">
        <x:v>Do / check</x:v>
      </x:c>
      <x:c r="E1" s="2348" t="str">
        <x:v>Do NOT infer</x:v>
      </x:c>
      <x:c r="F1" s="2348" t="str">
        <x:v>State / evidence</x:v>
      </x:c>
      <x:c r="G1" s="2348" t="str">
        <x:v>Source / note</x:v>
      </x:c>
    </x:row>
    <x:row r="2" ht="48" customHeight="1">
      <x:c r="A2" s="2356" t="str">
        <x:v>PPFD</x:v>
      </x:c>
      <x:c r="B2" s="60" t="str">
        <x:v>Lichtdichte am Canopy.</x:v>
      </x:c>
      <x:c r="C2" s="60" t="str">
        <x:v>Momentane Photonenflussdichte am Messpunkt.</x:v>
      </x:c>
      <x:c r="D2" s="60" t="str">
        <x:v>Messpunkt, Höhe, Sensor und Zeitpunkt dokumentieren.</x:v>
      </x:c>
      <x:c r="E2" s="60" t="str">
        <x:v>Watt oder Lampenabstand sind kein Ersatz für gemessenes PPFD.</x:v>
      </x:c>
      <x:c r="F2" s="60" t="str">
        <x:v>measurement/target</x:v>
      </x:c>
      <x:c r="G2" s="60" t="str">
        <x:v>UKD domain</x:v>
      </x:c>
    </x:row>
    <x:row r="3" ht="48" customHeight="1">
      <x:c r="A3" s="2356" t="str">
        <x:v>DLI</x:v>
      </x:c>
      <x:c r="B3" s="60" t="str">
        <x:v>Lichtmenge über einen ganzen Tag.</x:v>
      </x:c>
      <x:c r="C3" s="60" t="str">
        <x:v>Integral aus PPFD und Photoperiode.</x:v>
      </x:c>
      <x:c r="D3" s="60" t="str">
        <x:v>Photoperiode + PPFD prüfen; bei Änderung neu berechnen.</x:v>
      </x:c>
      <x:c r="E3" s="60" t="str">
        <x:v>Ein einzelner PPFD-Wert ist nicht automatisch DLI.</x:v>
      </x:c>
      <x:c r="F3" s="60" t="str">
        <x:v>derived/target</x:v>
      </x:c>
      <x:c r="G3" s="60" t="str">
        <x:v>UKD calculation</x:v>
      </x:c>
    </x:row>
    <x:row r="4" ht="48" customHeight="1">
      <x:c r="A4" s="2356" t="str">
        <x:v>EC</x:v>
      </x:c>
      <x:c r="B4" s="60" t="str">
        <x:v>Elektrische Leitfähigkeit der Lösung.</x:v>
      </x:c>
      <x:c r="C4" s="60" t="str">
        <x:v>Proxy für gelöste Ionen; Input und Drain getrennt betrachten.</x:v>
      </x:c>
      <x:c r="D4" s="60" t="str">
        <x:v>Gerät kalibrieren; Temperatur/Einheit/Probe loggen.</x:v>
      </x:c>
      <x:c r="E4" s="60" t="str">
        <x:v>EC sagt nicht, welches Ion fehlt oder zu viel ist.</x:v>
      </x:c>
      <x:c r="F4" s="60" t="str">
        <x:v>measured/target</x:v>
      </x:c>
      <x:c r="G4" s="60" t="str">
        <x:v>measurement principle</x:v>
      </x:c>
    </x:row>
    <x:row r="5" ht="48" customHeight="1">
      <x:c r="A5" s="2356" t="str">
        <x:v>pH</x:v>
      </x:c>
      <x:c r="B5" s="60" t="str">
        <x:v>Säure-/Basenzustand der fertigen Lösung.</x:v>
      </x:c>
      <x:c r="C5" s="60" t="str">
        <x:v>Endmix nach vollständigem Mischen beurteilen.</x:v>
      </x:c>
      <x:c r="D5" s="60" t="str">
        <x:v>Meter kalibrieren; nicht auf Nachkommastellen 'jagen'.</x:v>
      </x:c>
      <x:c r="E5" s="60" t="str">
        <x:v>Substrat-pH, Wasser-pH und Endmix-pH sind nicht dasselbe.</x:v>
      </x:c>
      <x:c r="F5" s="60" t="str">
        <x:v>measured/target</x:v>
      </x:c>
      <x:c r="G5" s="60" t="str">
        <x:v>HESI/UKD</x:v>
      </x:c>
    </x:row>
    <x:row r="6" ht="48" customHeight="1">
      <x:c r="A6" s="2356" t="str">
        <x:v>Leaf-VPD</x:v>
      </x:c>
      <x:c r="B6" s="60" t="str">
        <x:v>Geschätzter Dampfdruckunterschied Blatt-Luft.</x:v>
      </x:c>
      <x:c r="C6" s="60" t="str">
        <x:v>Abhängig von Lufttemp, rF und Blatt-Temperatur.</x:v>
      </x:c>
      <x:c r="D6" s="60" t="str">
        <x:v>IR-Blatttemperatur bevorzugen; Schätzung kennzeichnen.</x:v>
      </x:c>
      <x:c r="E6" s="60" t="str">
        <x:v>Feste Blatt-ΔT-Annahme ist keine Messung.</x:v>
      </x:c>
      <x:c r="F6" s="60" t="str">
        <x:v>derived/simulated</x:v>
      </x:c>
      <x:c r="G6" s="60" t="str">
        <x:v>UKD calculation</x:v>
      </x:c>
    </x:row>
    <x:row r="7" ht="48" customHeight="1">
      <x:c r="A7" s="2356" t="str">
        <x:v>Drain-EC</x:v>
      </x:c>
      <x:c r="B7" s="60" t="str">
        <x:v>EC einer definierten Drain-/Runoff-Probe.</x:v>
      </x:c>
      <x:c r="C7" s="60" t="str">
        <x:v>Diagnoseindikator für Salz-/Wasserhaushalt.</x:v>
      </x:c>
      <x:c r="D7" s="60" t="str">
        <x:v>Probenmethode, Volumen, Zeitpunkt und Input-EC gemeinsam loggen.</x:v>
      </x:c>
      <x:c r="E7" s="60" t="str">
        <x:v>Ein einzelner Drainwert ist keine automatische Spül-Anweisung.</x:v>
      </x:c>
      <x:c r="F7" s="60" t="str">
        <x:v>measured</x:v>
      </x:c>
      <x:c r="G7" s="60" t="str">
        <x:v>UKD safety</x:v>
      </x:c>
    </x:row>
    <x:row r="8" ht="48" customHeight="1">
      <x:c r="A8" s="2356" t="str">
        <x:v>Water band</x:v>
      </x:c>
      <x:c r="B8" s="60" t="str">
        <x:v>Start-/Beobachtungsbereich, keine Soll-Dosis.</x:v>
      </x:c>
      <x:c r="C8" s="60" t="str">
        <x:v>Hilft bei Planung, wird von Pflanzen-/Topfstatus überschrieben.</x:v>
      </x:c>
      <x:c r="D8" s="60" t="str">
        <x:v>Topfmasse/Feuchte/Pflanzenreaktion priorisieren.</x:v>
      </x:c>
      <x:c r="E8" s="60" t="str">
        <x:v>Liter/Tag nie erzwingen.</x:v>
      </x:c>
      <x:c r="F8" s="60" t="str">
        <x:v>target/heuristic</x:v>
      </x:c>
      <x:c r="G8" s="60" t="str">
        <x:v>UKD</x:v>
      </x:c>
    </x:row>
    <x:row r="9" ht="48" customHeight="1">
      <x:c r="A9" s="2356" t="str">
        <x:v>TARGET</x:v>
      </x:c>
      <x:c r="B9" s="60" t="str">
        <x:v>Geplanter Wert oder Bereich.</x:v>
      </x:c>
      <x:c r="C9" s="60" t="str">
        <x:v>Soll/Trajektorie, nicht Messung.</x:v>
      </x:c>
      <x:c r="D9" s="60" t="str">
        <x:v>Mit measured/actual vergleichen.</x:v>
      </x:c>
      <x:c r="E9" s="60" t="str">
        <x:v>Target != live/actual.</x:v>
      </x:c>
      <x:c r="F9" s="60" t="str">
        <x:v>data state</x:v>
      </x:c>
      <x:c r="G9" s="60" t="str">
        <x:v>Product spec</x:v>
      </x:c>
    </x:row>
    <x:row r="10" ht="48" customHeight="1">
      <x:c r="A10" s="2356" t="str">
        <x:v>MEASURED</x:v>
      </x:c>
      <x:c r="B10" s="60" t="str">
        <x:v>Tatsächlich gemessen.</x:v>
      </x:c>
      <x:c r="C10" s="60" t="str">
        <x:v>Braucht Zeitpunkt, Einheit, Gerät/Methode und Qualität.</x:v>
      </x:c>
      <x:c r="D10" s="60" t="str">
        <x:v>Kalibrierung/Staleness prüfen.</x:v>
      </x:c>
      <x:c r="E10" s="60" t="str">
        <x:v>Messwert ist nicht automatisch korrekt oder kausal.</x:v>
      </x:c>
      <x:c r="F10" s="60" t="str">
        <x:v>data state</x:v>
      </x:c>
      <x:c r="G10" s="60" t="str">
        <x:v>Product spec + metrology</x:v>
      </x:c>
    </x:row>
    <x:row r="11" ht="48" customHeight="1">
      <x:c r="A11" s="2356" t="str">
        <x:v>DERIVED</x:v>
      </x:c>
      <x:c r="B11" s="60" t="str">
        <x:v>Aus Messungen/Inputs berechnet.</x:v>
      </x:c>
      <x:c r="C11" s="60" t="str">
        <x:v>Formel + Version + Eingaben müssen nachvollziehbar sein.</x:v>
      </x:c>
      <x:c r="D11" s="60" t="str">
        <x:v>Inputs und Formelversion anzeigen.</x:v>
      </x:c>
      <x:c r="E11" s="60" t="str">
        <x:v>Derived != measured.</x:v>
      </x:c>
      <x:c r="F11" s="60" t="str">
        <x:v>data state</x:v>
      </x:c>
      <x:c r="G11" s="60" t="str">
        <x:v>v9 extension</x:v>
      </x:c>
    </x:row>
    <x:row r="12" ht="48" customHeight="1">
      <x:c r="A12" s="2356" t="str">
        <x:v>SIMULATED</x:v>
      </x:c>
      <x:c r="B12" s="60" t="str">
        <x:v>Modellierter Wert.</x:v>
      </x:c>
      <x:c r="C12" s="60" t="str">
        <x:v>Hypothetisches Ergebnis aus Annahmen.</x:v>
      </x:c>
      <x:c r="D12" s="60" t="str">
        <x:v>Annahmen/Unsicherheit anzeigen.</x:v>
      </x:c>
      <x:c r="E12" s="60" t="str">
        <x:v>Nie als live/measured darstellen.</x:v>
      </x:c>
      <x:c r="F12" s="60" t="str">
        <x:v>data state</x:v>
      </x:c>
      <x:c r="G12" s="60" t="str">
        <x:v>Product spec</x:v>
      </x:c>
    </x:row>
    <x:row r="13" ht="48" customHeight="1">
      <x:c r="A13" s="2356" t="str">
        <x:v>USER INPUT</x:v>
      </x:c>
      <x:c r="B13" s="60" t="str">
        <x:v>Nutzereingabe / Setup-Fakt.</x:v>
      </x:c>
      <x:c r="C13" s="60" t="str">
        <x:v>Konfiguration oder Beobachtung; keine Evidenzklasse.</x:v>
      </x:c>
      <x:c r="D13" s="60" t="str">
        <x:v>Quelle/Datum/Confidence speichern.</x:v>
      </x:c>
      <x:c r="E13" s="60" t="str">
        <x:v>User Input != Evidence.</x:v>
      </x:c>
      <x:c r="F13" s="60" t="str">
        <x:v>data state</x:v>
      </x:c>
      <x:c r="G13" s="60" t="str">
        <x:v>Rules of Evidence</x:v>
      </x:c>
    </x:row>
    <x:row r="14" ht="48" customHeight="1">
      <x:c r="A14" s="2356" t="str">
        <x:v>MISSING / UNKNOWN</x:v>
      </x:c>
      <x:c r="B14" s="60" t="str">
        <x:v>Noch nicht bekannt.</x:v>
      </x:c>
      <x:c r="C14" s="60" t="str">
        <x:v>Legitimer Zustand, der je nach Regel blockieren kann.</x:v>
      </x:c>
      <x:c r="D14" s="60" t="str">
        <x:v>Zeige warum relevant + wie ermittelbar.</x:v>
      </x:c>
      <x:c r="E14" s="60" t="str">
        <x:v>Niemals still schätzen.</x:v>
      </x:c>
      <x:c r="F14" s="60" t="str">
        <x:v>data state</x:v>
      </x:c>
      <x:c r="G14" s="60" t="str">
        <x:v>Fail-closed</x:v>
      </x:c>
    </x:row>
    <x:row r="15" ht="48" customHeight="1">
      <x:c r="A15" s="2356" t="str">
        <x:v>STALE</x:v>
      </x:c>
      <x:c r="B15" s="60" t="str">
        <x:v>Messung/Quelle ist zu alt für den aktuellen Zweck.</x:v>
      </x:c>
      <x:c r="C15" s="60" t="str">
        <x:v>Alter und Gültigkeitsfenster sind kontextabhängig.</x:v>
      </x:c>
      <x:c r="D15" s="60" t="str">
        <x:v>Refresh/remeasure action anbieten.</x:v>
      </x:c>
      <x:c r="E15" s="60" t="str">
        <x:v>Alt != falsch, aber evtl. nicht entscheidungsfähig.</x:v>
      </x:c>
      <x:c r="F15" s="60" t="str">
        <x:v>data state</x:v>
      </x:c>
      <x:c r="G15" s="60" t="str">
        <x:v>v9 extension</x:v>
      </x:c>
    </x:row>
    <x:row r="16" ht="48" customHeight="1">
      <x:c r="A16" s="2356" t="str">
        <x:v>CONDITIONAL</x:v>
      </x:c>
      <x:c r="B16" s="60" t="str">
        <x:v>Nur bei erfülltem Gate anwendbar.</x:v>
      </x:c>
      <x:c r="C16" s="60" t="str">
        <x:v>Produkt/Aktion existiert, aber Voraussetzung fehlt oder muss bestätigt werden.</x:v>
      </x:c>
      <x:c r="D16" s="60" t="str">
        <x:v>Gate und fehlende Inputs anzeigen.</x:v>
      </x:c>
      <x:c r="E16" s="60" t="str">
        <x:v>Conditional != recommended by default.</x:v>
      </x:c>
      <x:c r="F16" s="60" t="str">
        <x:v>decision state</x:v>
      </x:c>
      <x:c r="G16" s="60" t="str">
        <x:v>UKD</x:v>
      </x:c>
    </x:row>
    <x:row r="17" ht="48" customHeight="1">
      <x:c r="A17" s="2356" t="str">
        <x:v>BLOCKED</x:v>
      </x:c>
      <x:c r="B17" s="60" t="str">
        <x:v>Keine operative Freigabe.</x:v>
      </x:c>
      <x:c r="C17" s="60" t="str">
        <x:v>Regelkonflikt, fehlender Pflichtinput oder unsicherer Zustand.</x:v>
      </x:c>
      <x:c r="D17" s="60" t="str">
        <x:v>Grund, sichere Alternative und Auflösung anzeigen.</x:v>
      </x:c>
      <x:c r="E17" s="60" t="str">
        <x:v>Nicht durch 'trotzdem' oder Defaultwert umgehen.</x:v>
      </x:c>
      <x:c r="F17" s="60" t="str">
        <x:v>decision state</x:v>
      </x:c>
      <x:c r="G17" s="60" t="str">
        <x:v>UKD safety</x:v>
      </x:c>
    </x:row>
    <x:row r="18" ht="48" customHeight="1">
      <x:c r="A18" s="2356" t="str">
        <x:v>EXPERIMENTAL</x:v>
      </x:c>
      <x:c r="B18" s="60" t="str">
        <x:v>Bewusste Abweichung / A-B-Modul.</x:v>
      </x:c>
      <x:c r="C18" s="60" t="str">
        <x:v>Nicht Teil des Referenzpfads; braucht Hypothese und Log.</x:v>
      </x:c>
      <x:c r="D18" s="60" t="str">
        <x:v>Nur eine relevante Variable pro Pilot wenn möglich.</x:v>
      </x:c>
      <x:c r="E18" s="60" t="str">
        <x:v>Experiment != evidence-backed optimum.</x:v>
      </x:c>
      <x:c r="F18" s="60" t="str">
        <x:v>decision state</x:v>
      </x:c>
      <x:c r="G18" s="60" t="str">
        <x:v>UKD</x:v>
      </x:c>
    </x:row>
    <x:row r="19" ht="48" customHeight="1">
      <x:c r="A19" s="2356" t="str">
        <x:v>MANUFACTURER</x:v>
      </x:c>
      <x:c r="B19" s="60" t="str">
        <x:v>Primärquelle für Label/Kompatibilität.</x:v>
      </x:c>
      <x:c r="C19" s="60" t="str">
        <x:v>Stark für Produktidentität, Dosierlabel, Misch-/Freigabehinweise.</x:v>
      </x:c>
      <x:c r="D19" s="60" t="str">
        <x:v>Aktuelle Version/Datum speichern.</x:v>
      </x:c>
      <x:c r="E19" s="60" t="str">
        <x:v>Herstellerclaim != unabhängige Wirksamkeitsevidenz.</x:v>
      </x:c>
      <x:c r="F19" s="60" t="str">
        <x:v>evidence class</x:v>
      </x:c>
      <x:c r="G19" s="60" t="str">
        <x:v>Rules of Evidence</x:v>
      </x:c>
    </x:row>
    <x:row r="20" ht="48" customHeight="1">
      <x:c r="A20" s="2356" t="str">
        <x:v>UKD INFERENCE</x:v>
      </x:c>
      <x:c r="B20" s="60" t="str">
        <x:v>Engineering- oder Prozessregel.</x:v>
      </x:c>
      <x:c r="C20" s="60" t="str">
        <x:v>Aus Quellen/Constraints abgeleitete Operationalisierung.</x:v>
      </x:c>
      <x:c r="D20" s="60" t="str">
        <x:v>Als UKD kennzeichnen + Inputs/Reason.</x:v>
      </x:c>
      <x:c r="E20" s="60" t="str">
        <x:v>Nicht als Hersteller- oder Studienaussage ausgeben.</x:v>
      </x:c>
      <x:c r="F20" s="60" t="str">
        <x:v>evidence class</x:v>
      </x:c>
      <x:c r="G20" s="60" t="str">
        <x:v>Rules of Evidence</x:v>
      </x:c>
    </x:row>
    <x:row r="21" ht="48" customHeight="1">
      <x:c r="A21" s="2356" t="str">
        <x:v>A/B / N-of-1</x:v>
      </x:c>
      <x:c r="B21" s="60" t="str">
        <x:v>Persönlicher Vergleich unter begrenzter Kontrolle.</x:v>
      </x:c>
      <x:c r="C21" s="60" t="str">
        <x:v>Kann persönliche Hinweise liefern, ist aber oft confounded.</x:v>
      </x:c>
      <x:c r="D21" s="60" t="str">
        <x:v>Hypothese, variable, baseline, outcome und caveats loggen.</x:v>
      </x:c>
      <x:c r="E21" s="60" t="str">
        <x:v>Nicht zu universeller Kausalität hochstufen.</x:v>
      </x:c>
      <x:c r="F21" s="60" t="str">
        <x:v>experiment</x:v>
      </x:c>
      <x:c r="G21" s="60" t="str">
        <x:v>UKD research rules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2" hidden="0" customWidth="1"/>
    <x:col min="5" max="5" width="34" hidden="0" customWidth="1"/>
    <x:col min="6" max="6" width="34" hidden="0" customWidth="1"/>
    <x:col min="7" max="7" width="20" hidden="0" customWidth="1"/>
    <x:col min="8" max="8" width="24" hidden="0" customWidth="1"/>
  </x:cols>
  <x:sheetData>
    <x:row r="1">
      <x:c r="A1" s="2348" t="str">
        <x:v>Gate</x:v>
      </x:c>
      <x:c r="B1" s="2348" t="str">
        <x:v>Priority</x:v>
      </x:c>
      <x:c r="C1" s="2348" t="str">
        <x:v>/GOAL</x:v>
      </x:c>
      <x:c r="D1" s="2348" t="str">
        <x:v>Release block when</x:v>
      </x:c>
      <x:c r="E1" s="2348" t="str">
        <x:v>Automated check</x:v>
      </x:c>
      <x:c r="F1" s="2348" t="str">
        <x:v>Manual check</x:v>
      </x:c>
      <x:c r="G1" s="2348" t="str">
        <x:v>Owner / layer</x:v>
      </x:c>
      <x:c r="H1" s="2348" t="str">
        <x:v>v9 status</x:v>
      </x:c>
    </x:row>
    <x:row r="2" ht="50" customHeight="1">
      <x:c r="A2" s="60" t="str">
        <x:v>Release identity</x:v>
      </x:c>
      <x:c r="B2" s="1962" t="str">
        <x:v>P0</x:v>
      </x:c>
      <x:c r="C2" s="60" t="str">
        <x:v>App/PDF/XLSX same version + source manifest.</x:v>
      </x:c>
      <x:c r="D2" s="60" t="str">
        <x:v>Any version/date/schema/hash mismatch.</x:v>
      </x:c>
      <x:c r="E2" s="60" t="str">
        <x:v>CI manifest parity + artifact hash check.</x:v>
      </x:c>
      <x:c r="F2" s="60" t="str">
        <x:v>Spot-check visible labels.</x:v>
      </x:c>
      <x:c r="G2" s="60" t="str">
        <x:v>Build/content</x:v>
      </x:c>
      <x:c r="H2" s="60" t="str">
        <x:v>PLANNED APP; XLSX/PDF v9 labeled</x:v>
      </x:c>
    </x:row>
    <x:row r="3" ht="50" customHeight="1">
      <x:c r="A3" s="60" t="str">
        <x:v>Formula integrity</x:v>
      </x:c>
      <x:c r="B3" s="1962" t="str">
        <x:v>P0</x:v>
      </x:c>
      <x:c r="C3" s="60" t="str">
        <x:v>No broken references or semantic column misreferences.</x:v>
      </x:c>
      <x:c r="D3" s="60" t="str">
        <x:v>Formula error or golden fixture mismatch.</x:v>
      </x:c>
      <x:c r="E3" s="60" t="str">
        <x:v>Scan #REF/#VALUE/#NAME + formula fixtures.</x:v>
      </x:c>
      <x:c r="F3" s="60" t="str">
        <x:v>Review key day windows.</x:v>
      </x:c>
      <x:c r="G3" s="60" t="str">
        <x:v>Domain</x:v>
      </x:c>
      <x:c r="H3" s="60" t="str">
        <x:v>FIXED AJ-&gt;AL; tests planned</x:v>
      </x:c>
    </x:row>
    <x:row r="4" ht="50" customHeight="1">
      <x:c r="A4" s="60" t="str">
        <x:v>Product coverage</x:v>
      </x:c>
      <x:c r="B4" s="1962" t="str">
        <x:v>P0</x:v>
      </x:c>
      <x:c r="C4" s="60" t="str">
        <x:v>Every selected product resolves identically everywhere.</x:v>
      </x:c>
      <x:c r="D4" s="60" t="str">
        <x:v>Selected product disappears from Daily/Dashboard/Mix/export.</x:v>
      </x:c>
      <x:c r="E4" s="60" t="str">
        <x:v>Coverage validator.</x:v>
      </x:c>
      <x:c r="F4" s="60" t="str">
        <x:v>Spot-check current day and alternative preset.</x:v>
      </x:c>
      <x:c r="G4" s="60" t="str">
        <x:v>Domain/content</x:v>
      </x:c>
      <x:c r="H4" s="60" t="str">
        <x:v>Existing v8 gate + v9 extension</x:v>
      </x:c>
    </x:row>
    <x:row r="5" ht="50" customHeight="1">
      <x:c r="A5" s="60" t="str">
        <x:v>Fail-closed chemistry</x:v>
      </x:c>
      <x:c r="B5" s="1962" t="str">
        <x:v>P0</x:v>
      </x:c>
      <x:c r="C5" s="60" t="str">
        <x:v>Unknown chemistry stays zero/blocked.</x:v>
      </x:c>
      <x:c r="D5" s="60" t="str">
        <x:v>Positive Athena/CalMag dose from unknown inputs.</x:v>
      </x:c>
      <x:c r="E5" s="60" t="str">
        <x:v>Rule tests.</x:v>
      </x:c>
      <x:c r="F5" s="60" t="str">
        <x:v>Water profile review.</x:v>
      </x:c>
      <x:c r="G5" s="60" t="str">
        <x:v>Safety</x:v>
      </x:c>
      <x:c r="H5" s="60" t="str">
        <x:v>ACTIVE</x:v>
      </x:c>
    </x:row>
    <x:row r="6" ht="50" customHeight="1">
      <x:c r="A6" s="60" t="str">
        <x:v>Propagation gate</x:v>
      </x:c>
      <x:c r="B6" s="1962" t="str">
        <x:v>P0</x:v>
      </x:c>
      <x:c r="C6" s="60" t="str">
        <x:v>Pre-fertilised propagation media do not get blind calendar feed.</x:v>
      </x:c>
      <x:c r="D6" s="60" t="str">
        <x:v>Base action shown as GO without propagation/plant check.</x:v>
      </x:c>
      <x:c r="E6" s="60" t="str">
        <x:v>Run-config validation.</x:v>
      </x:c>
      <x:c r="F6" s="60" t="str">
        <x:v>Check first-run flow with Eazy Plug/Block.</x:v>
      </x:c>
      <x:c r="G6" s="60" t="str">
        <x:v>Safety/domain</x:v>
      </x:c>
      <x:c r="H6" s="60" t="str">
        <x:v>PLAN v9; app pending</x:v>
      </x:c>
    </x:row>
    <x:row r="7" ht="50" customHeight="1">
      <x:c r="A7" s="60" t="str">
        <x:v>Lens invariance</x:v>
      </x:c>
      <x:c r="B7" s="1962" t="str">
        <x:v>P0</x:v>
      </x:c>
      <x:c r="C7" s="60" t="str">
        <x:v>Guided/Advanced/Expert share calculations and decisions.</x:v>
      </x:c>
      <x:c r="D7" s="60" t="str">
        <x:v>Same inputs produce different result across lens.</x:v>
      </x:c>
      <x:c r="E7" s="60" t="str">
        <x:v>Cross-lens snapshot tests.</x:v>
      </x:c>
      <x:c r="F7" s="60" t="str">
        <x:v>Compare critical cards.</x:v>
      </x:c>
      <x:c r="G7" s="60" t="str">
        <x:v>UX/domain</x:v>
      </x:c>
      <x:c r="H7" s="60" t="str">
        <x:v>REQUIRED</x:v>
      </x:c>
    </x:row>
    <x:row r="8" ht="50" customHeight="1">
      <x:c r="A8" s="60" t="str">
        <x:v>Guided next action</x:v>
      </x:c>
      <x:c r="B8" s="2064" t="str">
        <x:v>P1</x:v>
      </x:c>
      <x:c r="C8" s="60" t="str">
        <x:v>First next action visible without analysis.</x:v>
      </x:c>
      <x:c r="D8" s="60" t="str">
        <x:v>No clear required action/blocker above fold.</x:v>
      </x:c>
      <x:c r="E8" s="60" t="str">
        <x:v>E2E locator assertions.</x:v>
      </x:c>
      <x:c r="F8" s="60" t="str">
        <x:v>5-user comprehension/usability test.</x:v>
      </x:c>
      <x:c r="G8" s="60" t="str">
        <x:v>UX</x:v>
      </x:c>
      <x:c r="H8" s="60" t="str">
        <x:v>PLANNED</x:v>
      </x:c>
    </x:row>
    <x:row r="9" ht="50" customHeight="1">
      <x:c r="A9" s="60" t="str">
        <x:v>Typography</x:v>
      </x:c>
      <x:c r="B9" s="2064" t="str">
        <x:v>P1</x:v>
      </x:c>
      <x:c r="C9" s="60" t="str">
        <x:v>Readable text and controls.</x:v>
      </x:c>
      <x:c r="D9" s="60" t="str">
        <x:v>Visible text &lt;11px or control target &lt;44px.</x:v>
      </x:c>
      <x:c r="E9" s="60" t="str">
        <x:v>CSS lint/custom check where feasible.</x:v>
      </x:c>
      <x:c r="F9" s="60" t="str">
        <x:v>200% zoom + mobile + touch audit.</x:v>
      </x:c>
      <x:c r="G9" s="60" t="str">
        <x:v>Design system</x:v>
      </x:c>
      <x:c r="H9" s="60" t="str">
        <x:v>PLANNED</x:v>
      </x:c>
    </x:row>
    <x:row r="10" ht="50" customHeight="1">
      <x:c r="A10" s="60" t="str">
        <x:v>No hover-only safety</x:v>
      </x:c>
      <x:c r="B10" s="2064" t="str">
        <x:v>P1</x:v>
      </x:c>
      <x:c r="C10" s="60" t="str">
        <x:v>Critical meaning available on touch/keyboard.</x:v>
      </x:c>
      <x:c r="D10" s="60" t="str">
        <x:v>Safety/source explanation only appears on hover.</x:v>
      </x:c>
      <x:c r="E10" s="60" t="str">
        <x:v>A11y tests for focus/tap pathways.</x:v>
      </x:c>
      <x:c r="F10" s="60" t="str">
        <x:v>Keyboard/screen-reader review.</x:v>
      </x:c>
      <x:c r="G10" s="60" t="str">
        <x:v>Accessibility</x:v>
      </x:c>
      <x:c r="H10" s="60" t="str">
        <x:v>REQUIRED</x:v>
      </x:c>
    </x:row>
    <x:row r="11" ht="50" customHeight="1">
      <x:c r="A11" s="60" t="str">
        <x:v>Setup readiness</x:v>
      </x:c>
      <x:c r="B11" s="2064" t="str">
        <x:v>P1</x:v>
      </x:c>
      <x:c r="C11" s="60" t="str">
        <x:v>Known/unknown/warnings/blockers explicit.</x:v>
      </x:c>
      <x:c r="D11" s="60" t="str">
        <x:v>Run activates through a hard blocker.</x:v>
      </x:c>
      <x:c r="E11" s="60" t="str">
        <x:v>State-machine tests.</x:v>
      </x:c>
      <x:c r="F11" s="60" t="str">
        <x:v>First-run walkthrough.</x:v>
      </x:c>
      <x:c r="G11" s="60" t="str">
        <x:v>Workflow</x:v>
      </x:c>
      <x:c r="H11" s="60" t="str">
        <x:v>PLANNED</x:v>
      </x:c>
    </x:row>
    <x:row r="12" ht="50" customHeight="1">
      <x:c r="A12" s="60" t="str">
        <x:v>Actual vs plan</x:v>
      </x:c>
      <x:c r="B12" s="2064" t="str">
        <x:v>P1</x:v>
      </x:c>
      <x:c r="C12" s="60" t="str">
        <x:v>Actions create immutable actual events.</x:v>
      </x:c>
      <x:c r="D12" s="60" t="str">
        <x:v>Plan cell silently overwritten with actual data.</x:v>
      </x:c>
      <x:c r="E12" s="60" t="str">
        <x:v>Repository/event tests.</x:v>
      </x:c>
      <x:c r="F12" s="60" t="str">
        <x:v>Edit/correction workflow review.</x:v>
      </x:c>
      <x:c r="G12" s="60" t="str">
        <x:v>Data</x:v>
      </x:c>
      <x:c r="H12" s="60" t="str">
        <x:v>PLANNED</x:v>
      </x:c>
    </x:row>
    <x:row r="13" ht="50" customHeight="1">
      <x:c r="A13" s="60" t="str">
        <x:v>Persistence migration</x:v>
      </x:c>
      <x:c r="B13" s="2338" t="str">
        <x:v>P2</x:v>
      </x:c>
      <x:c r="C13" s="60" t="str">
        <x:v>Historic runs survive schema changes.</x:v>
      </x:c>
      <x:c r="D13" s="60" t="str">
        <x:v>Migration loses/corrupts events.</x:v>
      </x:c>
      <x:c r="E13" s="60" t="str">
        <x:v>Migration + round-trip fixtures.</x:v>
      </x:c>
      <x:c r="F13" s="60" t="str">
        <x:v>Restore test on clean profile.</x:v>
      </x:c>
      <x:c r="G13" s="60" t="str">
        <x:v>Storage</x:v>
      </x:c>
      <x:c r="H13" s="60" t="str">
        <x:v>PLANNED</x:v>
      </x:c>
    </x:row>
    <x:row r="14" ht="50" customHeight="1">
      <x:c r="A14" s="60" t="str">
        <x:v>Backup/recovery</x:v>
      </x:c>
      <x:c r="B14" s="2338" t="str">
        <x:v>P2</x:v>
      </x:c>
      <x:c r="C14" s="60" t="str">
        <x:v>User can restore exported run archive.</x:v>
      </x:c>
      <x:c r="D14" s="60" t="str">
        <x:v>No tested restore path.</x:v>
      </x:c>
      <x:c r="E14" s="60" t="str">
        <x:v>Export/import checksum tests.</x:v>
      </x:c>
      <x:c r="F14" s="60" t="str">
        <x:v>Disaster-recovery drill.</x:v>
      </x:c>
      <x:c r="G14" s="60" t="str">
        <x:v>Storage</x:v>
      </x:c>
      <x:c r="H14" s="60" t="str">
        <x:v>PLANNED</x:v>
      </x:c>
    </x:row>
    <x:row r="15" ht="50" customHeight="1">
      <x:c r="A15" s="60" t="str">
        <x:v>Source freshness</x:v>
      </x:c>
      <x:c r="B15" s="1962" t="str">
        <x:v>P0</x:v>
      </x:c>
      <x:c r="C15" s="60" t="str">
        <x:v>Time-sensitive manufacturer/legal claims reviewed.</x:v>
      </x:c>
      <x:c r="D15" s="60" t="str">
        <x:v>checkedAt expired or source conflict unresolved.</x:v>
      </x:c>
      <x:c r="E15" s="60" t="str">
        <x:v>Content validator.</x:v>
      </x:c>
      <x:c r="F15" s="60" t="str">
        <x:v>Reviewer sign-off.</x:v>
      </x:c>
      <x:c r="G15" s="60" t="str">
        <x:v>Evidence</x:v>
      </x:c>
      <x:c r="H15" s="60" t="str">
        <x:v>EXISTING, extend to v9</x:v>
      </x:c>
    </x:row>
    <x:row r="16" ht="50" customHeight="1">
      <x:c r="A16" s="60" t="str">
        <x:v>Accessibility</x:v>
      </x:c>
      <x:c r="B16" s="2064" t="str">
        <x:v>P1</x:v>
      </x:c>
      <x:c r="C16" s="60" t="str">
        <x:v>WCAG 2.2 AA release target.</x:v>
      </x:c>
      <x:c r="D16" s="60" t="str">
        <x:v>Critical axe issue or keyboard blocker.</x:v>
      </x:c>
      <x:c r="E16" s="60" t="str">
        <x:v>axe/Playwright.</x:v>
      </x:c>
      <x:c r="F16" s="60" t="str">
        <x:v>Real AT + zoom + contrast.</x:v>
      </x:c>
      <x:c r="G16" s="60" t="str">
        <x:v>Accessibility</x:v>
      </x:c>
      <x:c r="H16" s="60" t="str">
        <x:v>EXISTING automation; manual needed</x:v>
      </x:c>
    </x:row>
    <x:row r="17" ht="50" customHeight="1">
      <x:c r="A17" s="60" t="str">
        <x:v>Performance</x:v>
      </x:c>
      <x:c r="B17" s="2338" t="str">
        <x:v>P2</x:v>
      </x:c>
      <x:c r="C17" s="60" t="str">
        <x:v>UI remains responsive on mobile.</x:v>
      </x:c>
      <x:c r="D17" s="60" t="str">
        <x:v>Budget regression beyond agreed thresholds.</x:v>
      </x:c>
      <x:c r="E17" s="60" t="str">
        <x:v>Build size/perf budget.</x:v>
      </x:c>
      <x:c r="F17" s="60" t="str">
        <x:v>Mid-range mobile check.</x:v>
      </x:c>
      <x:c r="G17" s="60" t="str">
        <x:v>Platform</x:v>
      </x:c>
      <x:c r="H17" s="60" t="str">
        <x:v>EXISTING goals</x:v>
      </x:c>
    </x:row>
    <x:row r="18" ht="50" customHeight="1">
      <x:c r="A18" s="60" t="str">
        <x:v>Security/privacy</x:v>
      </x:c>
      <x:c r="B18" s="2338" t="str">
        <x:v>P2</x:v>
      </x:c>
      <x:c r="C18" s="60" t="str">
        <x:v>No sensitive grow/legal data leaks to URL/localStorage/telemetry.</x:v>
      </x:c>
      <x:c r="D18" s="60" t="str">
        <x:v>Sensitive fields stored in prohibited channel.</x:v>
      </x:c>
      <x:c r="E18" s="60" t="str">
        <x:v>Static checks / threat model gates.</x:v>
      </x:c>
      <x:c r="F18" s="60" t="str">
        <x:v>Privacy review.</x:v>
      </x:c>
      <x:c r="G18" s="60" t="str">
        <x:v>Security</x:v>
      </x:c>
      <x:c r="H18" s="60" t="str">
        <x:v>EXISTING principle</x:v>
      </x:c>
    </x:row>
    <x:row r="19" ht="50" customHeight="1">
      <x:c r="A19" s="60" t="str">
        <x:v>Sensor trust</x:v>
      </x:c>
      <x:c r="B19" s="2338" t="str">
        <x:v>P3</x:v>
      </x:c>
      <x:c r="C19" s="60" t="str">
        <x:v>Sensor values carry trust/calibration/staleness.</x:v>
      </x:c>
      <x:c r="D19" s="60" t="str">
        <x:v>Unverified sensor displayed as authoritative live truth.</x:v>
      </x:c>
      <x:c r="E19" s="60" t="str">
        <x:v>Adapter/contract tests.</x:v>
      </x:c>
      <x:c r="F19" s="60" t="str">
        <x:v>Calibration/failure injection.</x:v>
      </x:c>
      <x:c r="G19" s="60" t="str">
        <x:v>Integrations</x:v>
      </x:c>
      <x:c r="H19" s="60" t="str">
        <x:v>FUTURE</x:v>
      </x:c>
    </x:row>
    <x:row r="20" ht="50" customHeight="1">
      <x:c r="A20" s="60" t="str">
        <x:v>Automation safety</x:v>
      </x:c>
      <x:c r="B20" s="2338" t="str">
        <x:v>P4</x:v>
      </x:c>
      <x:c r="C20" s="60" t="str">
        <x:v>Commands require validation/confirmation/ack/verify.</x:v>
      </x:c>
      <x:c r="D20" s="60" t="str">
        <x:v>Actuator action can occur without state transition.</x:v>
      </x:c>
      <x:c r="E20" s="60" t="str">
        <x:v>State-machine tests/failure injection.</x:v>
      </x:c>
      <x:c r="F20" s="60" t="str">
        <x:v>Safe-state drill.</x:v>
      </x:c>
      <x:c r="G20" s="60" t="str">
        <x:v>Automation</x:v>
      </x:c>
      <x:c r="H20" s="60" t="str">
        <x:v>FUTURE</x:v>
      </x:c>
    </x:row>
    <x:row r="21">
      <x:c r="A21" s="60" t="str">
        <x:v>Terminology clarity</x:v>
      </x:c>
      <x:c r="B21" s="60" t="str">
        <x:v>P1</x:v>
      </x:c>
      <x:c r="C21" s="60" t="str">
        <x:v>No unexplained operator-facing acronym.</x:v>
      </x:c>
      <x:c r="D21" s="60" t="str">
        <x:v>Bare technical acronym appears in Guided without local explanation or plain-language label.</x:v>
      </x:c>
      <x:c r="E21" s="60" t="str">
        <x:v>UI/content lint against context-help registry.</x:v>
      </x:c>
      <x:c r="F21" s="60" t="str">
        <x:v>Beginner comprehension test.</x:v>
      </x:c>
      <x:c r="G21" s="60" t="str">
        <x:v>UX/content</x:v>
      </x:c>
      <x:c r="H21" s="60" t="str">
        <x:v>ACTIVE v10 contract</x:v>
      </x:c>
    </x:row>
    <x:row r="22">
      <x:c r="A22" s="60" t="str">
        <x:v>Section orientation</x:v>
      </x:c>
      <x:c r="B22" s="60" t="str">
        <x:v>P1</x:v>
      </x:c>
      <x:c r="C22" s="60" t="str">
        <x:v>Every route/page states purpose and next lookup path.</x:v>
      </x:c>
      <x:c r="D22" s="60" t="str">
        <x:v>User must infer what a section is for or where to continue.</x:v>
      </x:c>
      <x:c r="E22" s="60" t="str">
        <x:v>Presence of section metadata in route registry.</x:v>
      </x:c>
      <x:c r="F22" s="60" t="str">
        <x:v>Task-to-section usability test.</x:v>
      </x:c>
      <x:c r="G22" s="60" t="str">
        <x:v>UX/IA</x:v>
      </x:c>
      <x:c r="H22" s="60" t="str">
        <x:v>ACTIVE v10 contract</x:v>
      </x:c>
    </x:row>
    <x:row r="23">
      <x:c r="A23" s="60" t="str">
        <x:v>Figure provenance</x:v>
      </x:c>
      <x:c r="B23" s="60" t="str">
        <x:v>P1</x:v>
      </x:c>
      <x:c r="C23" s="60" t="str">
        <x:v>Every graphic declares source type/scope.</x:v>
      </x:c>
      <x:c r="D23" s="60" t="str">
        <x:v>Generated/decorative graphic could be mistaken for canonical data.</x:v>
      </x:c>
      <x:c r="E23" s="60" t="str">
        <x:v>Figure metadata/schema check.</x:v>
      </x:c>
      <x:c r="F23" s="60" t="str">
        <x:v>PDF/app spot-check.</x:v>
      </x:c>
      <x:c r="G23" s="60" t="str">
        <x:v>Content/evidence</x:v>
      </x:c>
      <x:c r="H23" s="60" t="str">
        <x:v>ACTIVE v10 contract</x:v>
      </x:c>
    </x:row>
    <x:row r="24">
      <x:c r="A24" s="60" t="str">
        <x:v>Operator-canonical parity</x:v>
      </x:c>
      <x:c r="B24" s="60" t="str">
        <x:v>P0</x:v>
      </x:c>
      <x:c r="C24" s="60" t="str">
        <x:v>Readable operator view is a projection of canonical data.</x:v>
      </x:c>
      <x:c r="D24" s="60" t="str">
        <x:v>Operator sheet/card value diverges from canonical master.</x:v>
      </x:c>
      <x:c r="E24" s="60" t="str">
        <x:v>Parity formulas/snapshot tests.</x:v>
      </x:c>
      <x:c r="F24" s="60" t="str">
        <x:v>Spot-check days and mix.</x:v>
      </x:c>
      <x:c r="G24" s="60" t="str">
        <x:v>Domain/UI</x:v>
      </x:c>
      <x:c r="H24" s="60" t="str">
        <x:v>REQUIRED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2" hidden="0" customWidth="1"/>
    <x:col min="5" max="5" width="44" hidden="0" customWidth="1"/>
    <x:col min="6" max="6" width="42" hidden="0" customWidth="1"/>
    <x:col min="7" max="7" width="34" hidden="0" customWidth="1"/>
    <x:col min="8" max="8" width="14" hidden="0" customWidth="1"/>
    <x:col min="9" max="9" width="14" hidden="0" customWidth="1"/>
  </x:cols>
  <x:sheetData>
    <x:row r="1">
      <x:c r="A1" s="2367" t="str">
        <x:v>Canonical term / key</x:v>
      </x:c>
      <x:c r="B1" s="2367" t="str">
        <x:v>Display label (plain German)</x:v>
      </x:c>
      <x:c r="C1" s="2367" t="str">
        <x:v>Kurz erklärt</x:v>
      </x:c>
      <x:c r="D1" s="2367" t="str">
        <x:v>Einheit / Beispiel</x:v>
      </x:c>
      <x:c r="E1" s="2367" t="str">
        <x:v>Typischer Fehler</x:v>
      </x:c>
      <x:c r="F1" s="2367" t="str">
        <x:v>Was tun wenn unklar?</x:v>
      </x:c>
      <x:c r="G1" s="2367" t="str">
        <x:v>Wo nachsehen?</x:v>
      </x:c>
      <x:c r="H1" s="2367" t="str">
        <x:v>Color role</x:v>
      </x:c>
      <x:c r="I1" s="2367" t="str">
        <x:v>Icon key</x:v>
      </x:c>
    </x:row>
    <x:row r="2" ht="48" customHeight="1">
      <x:c r="A2" s="60" t="str">
        <x:v>PPFD</x:v>
      </x:c>
      <x:c r="B2" s="2369" t="str">
        <x:v>Lichtstärke am Blätterdach (PPFD)</x:v>
      </x:c>
      <x:c r="C2" s="2369" t="str">
        <x:v>Wie viel pflanzenwirksames Licht pro Sekunde am Messpunkt ankommt.</x:v>
      </x:c>
      <x:c r="D2" s="60" t="str">
        <x:v>µmol/m²/s</x:v>
      </x:c>
      <x:c r="E2" s="60" t="str">
        <x:v>Watt oder Lampenabstand mit echter Lichtmessung verwechseln.</x:v>
      </x:c>
      <x:c r="F2" s="60" t="str">
        <x:v>Messpunkt/Höhe notieren und mit geeignetem Sensor messen.</x:v>
      </x:c>
      <x:c r="G2" s="60" t="str">
        <x:v>10_Climate_Light · 32_GLOSSARY_STATES</x:v>
      </x:c>
      <x:c r="H2" s="60" t="str">
        <x:v>blue</x:v>
      </x:c>
      <x:c r="I2" s="60" t="str">
        <x:v>SUN</x:v>
      </x:c>
    </x:row>
    <x:row r="3" ht="48" customHeight="1">
      <x:c r="A3" s="60" t="str">
        <x:v>DLI</x:v>
      </x:c>
      <x:c r="B3" s="2369" t="str">
        <x:v>Tageslichtmenge (DLI)</x:v>
      </x:c>
      <x:c r="C3" s="2369" t="str">
        <x:v>Die gesamte pflanzenwirksame Lichtmenge über einen kompletten Tag.</x:v>
      </x:c>
      <x:c r="D3" s="60" t="str">
        <x:v>mol/m²/Tag</x:v>
      </x:c>
      <x:c r="E3" s="60" t="str">
        <x:v>DLI mit einem einzelnen PPFD-Wert verwechseln.</x:v>
      </x:c>
      <x:c r="F3" s="60" t="str">
        <x:v>PPFD + Beleuchtungsdauer prüfen.</x:v>
      </x:c>
      <x:c r="G3" s="60" t="str">
        <x:v>10_Climate_Light · 32_GLOSSARY_STATES</x:v>
      </x:c>
      <x:c r="H3" s="60" t="str">
        <x:v>blue</x:v>
      </x:c>
      <x:c r="I3" s="60" t="str">
        <x:v>DAY</x:v>
      </x:c>
    </x:row>
    <x:row r="4" ht="48" customHeight="1">
      <x:c r="A4" s="60" t="str">
        <x:v>EC</x:v>
      </x:c>
      <x:c r="B4" s="2371" t="str">
        <x:v>Nährsalzstärke (EC)</x:v>
      </x:c>
      <x:c r="C4" s="2371" t="str">
        <x:v>Zeigt vereinfacht, wie viele gelöste Ionen/Salze in der Lösung sind.</x:v>
      </x:c>
      <x:c r="D4" s="60" t="str">
        <x:v>mS/cm</x:v>
      </x:c>
      <x:c r="E4" s="60" t="str">
        <x:v>EC als genaue Nährstoffanalyse verstehen.</x:v>
      </x:c>
      <x:c r="F4" s="60" t="str">
        <x:v>Messgerät kalibrieren; Input und Drain getrennt messen.</x:v>
      </x:c>
      <x:c r="G4" s="60" t="str">
        <x:v>02_Daily_Master · 12_Daily_Log · 32_GLOSSARY_STATES</x:v>
      </x:c>
      <x:c r="H4" s="60" t="str">
        <x:v>green</x:v>
      </x:c>
      <x:c r="I4" s="60" t="str">
        <x:v>EC</x:v>
      </x:c>
    </x:row>
    <x:row r="5" ht="48" customHeight="1">
      <x:c r="A5" s="60" t="str">
        <x:v>pH</x:v>
      </x:c>
      <x:c r="B5" s="2371" t="str">
        <x:v>Säure-/Basenwert (pH)</x:v>
      </x:c>
      <x:c r="C5" s="2371" t="str">
        <x:v>Zeigt, wie sauer oder basisch die fertige Lösung ist.</x:v>
      </x:c>
      <x:c r="D5" s="60" t="str">
        <x:v>pH 0–14</x:v>
      </x:c>
      <x:c r="E5" s="60" t="str">
        <x:v>Wasser-pH, Substrat-pH und fertigen Nährmix gleichsetzen.</x:v>
      </x:c>
      <x:c r="F5" s="60" t="str">
        <x:v>Erst vollständigen Mix beurteilen; Meterkalibrierung prüfen.</x:v>
      </x:c>
      <x:c r="G5" s="60" t="str">
        <x:v>05_Mix_Calculator · 32_GLOSSARY_STATES</x:v>
      </x:c>
      <x:c r="H5" s="60" t="str">
        <x:v>green</x:v>
      </x:c>
      <x:c r="I5" s="60" t="str">
        <x:v>PH</x:v>
      </x:c>
    </x:row>
    <x:row r="6" ht="48" customHeight="1">
      <x:c r="A6" s="60" t="str">
        <x:v>LF / rF</x:v>
      </x:c>
      <x:c r="B6" s="2373" t="str">
        <x:v>Luftfeuchtigkeit (rF)</x:v>
      </x:c>
      <x:c r="C6" s="2373" t="str">
        <x:v>Anteil der aktuell enthaltenen Feuchte relativ zum möglichen Maximum.</x:v>
      </x:c>
      <x:c r="D6" s="60" t="str">
        <x:v>% rF</x:v>
      </x:c>
      <x:c r="E6" s="60" t="str">
        <x:v>Nur auf einen Sollwert schauen und Blatt-/Lufttemperatur ignorieren.</x:v>
      </x:c>
      <x:c r="F6" s="60" t="str">
        <x:v>Mit Temperatur und Blattzustand zusammen beurteilen.</x:v>
      </x:c>
      <x:c r="G6" s="60" t="str">
        <x:v>10_Climate_Light · 12_Daily_Log</x:v>
      </x:c>
      <x:c r="H6" s="60" t="str">
        <x:v>amber</x:v>
      </x:c>
      <x:c r="I6" s="60" t="str">
        <x:v>RH</x:v>
      </x:c>
    </x:row>
    <x:row r="7" ht="48" customHeight="1">
      <x:c r="A7" s="60" t="str">
        <x:v>VPD</x:v>
      </x:c>
      <x:c r="B7" s="2373" t="str">
        <x:v>Trocknungsdruck der Luft (VPD)</x:v>
      </x:c>
      <x:c r="C7" s="2373" t="str">
        <x:v>Beschreibt vereinfacht, wie stark die Luft Feuchtigkeit aus dem Blatt ziehen kann.</x:v>
      </x:c>
      <x:c r="D7" s="60" t="str">
        <x:v>kPa</x:v>
      </x:c>
      <x:c r="E7" s="60" t="str">
        <x:v>VPD als direkt gemessenen Pflanzenwert verstehen.</x:v>
      </x:c>
      <x:c r="F7" s="60" t="str">
        <x:v>Bei Blatt-VPD Blatttemperatur messen oder Schätzung klar markieren.</x:v>
      </x:c>
      <x:c r="G7" s="60" t="str">
        <x:v>10_Climate_Light · 32_GLOSSARY_STATES</x:v>
      </x:c>
      <x:c r="H7" s="60" t="str">
        <x:v>amber</x:v>
      </x:c>
      <x:c r="I7" s="60" t="str">
        <x:v>VPD</x:v>
      </x:c>
    </x:row>
    <x:row r="8" ht="48" customHeight="1">
      <x:c r="A8" s="60" t="str">
        <x:v>Leaf-VPD</x:v>
      </x:c>
      <x:c r="B8" s="2373" t="str">
        <x:v>Blatt-VPD (geschätzt)</x:v>
      </x:c>
      <x:c r="C8" s="2373" t="str">
        <x:v>VPD mit Blatt- statt nur Lufttemperatur; hier häufig geschätzt.</x:v>
      </x:c>
      <x:c r="D8" s="60" t="str">
        <x:v>kPa</x:v>
      </x:c>
      <x:c r="E8" s="60" t="str">
        <x:v>Feste Blatt-Temperaturdifferenz als Messung behandeln.</x:v>
      </x:c>
      <x:c r="F8" s="60" t="str">
        <x:v>Wenn möglich IR-Blatttemperatur messen.</x:v>
      </x:c>
      <x:c r="G8" s="60" t="str">
        <x:v>02_Daily_Master · 32_GLOSSARY_STATES</x:v>
      </x:c>
      <x:c r="H8" s="60" t="str">
        <x:v>amber</x:v>
      </x:c>
      <x:c r="I8" s="60" t="str">
        <x:v>LEAF</x:v>
      </x:c>
    </x:row>
    <x:row r="9" ht="48" customHeight="1">
      <x:c r="A9" s="60" t="str">
        <x:v>Drain-EC</x:v>
      </x:c>
      <x:c r="B9" s="2371" t="str">
        <x:v>EC der Drain-/Ablauflösung</x:v>
      </x:c>
      <x:c r="C9" s="2371" t="str">
        <x:v>Leitfähigkeit einer definierten Ablaufprobe zur Diagnose der Wurzelzone.</x:v>
      </x:c>
      <x:c r="D9" s="60" t="str">
        <x:v>mS/cm</x:v>
      </x:c>
      <x:c r="E9" s="60" t="str">
        <x:v>Einzelwert automatisch als Spül-Anweisung interpretieren.</x:v>
      </x:c>
      <x:c r="F9" s="60" t="str">
        <x:v>Zusammen mit Input-EC, Probenmenge und Zeitpunkt loggen.</x:v>
      </x:c>
      <x:c r="G9" s="60" t="str">
        <x:v>12_Daily_Log · 13_Diagnostics</x:v>
      </x:c>
      <x:c r="H9" s="60" t="str">
        <x:v>green</x:v>
      </x:c>
      <x:c r="I9" s="60" t="str">
        <x:v>DRAIN</x:v>
      </x:c>
    </x:row>
    <x:row r="10" ht="48" customHeight="1">
      <x:c r="A10" s="60" t="str">
        <x:v>Water band</x:v>
      </x:c>
      <x:c r="B10" s="2369" t="str">
        <x:v>Wasser-Startbereich</x:v>
      </x:c>
      <x:c r="C10" s="2369" t="str">
        <x:v>Planungsbereich für eine mögliche Wassermenge - keine Pflichtmenge.</x:v>
      </x:c>
      <x:c r="D10" s="60" t="str">
        <x:v>Liter</x:v>
      </x:c>
      <x:c r="E10" s="60" t="str">
        <x:v>Literzahl erzwingen, obwohl Topf/Pflanze anders reagieren.</x:v>
      </x:c>
      <x:c r="F10" s="60" t="str">
        <x:v>Topfmasse/Feuchte und Pflanze haben Vorrang.</x:v>
      </x:c>
      <x:c r="G10" s="60" t="str">
        <x:v>02_Daily_Master · 12_Daily_Log</x:v>
      </x:c>
      <x:c r="H10" s="60" t="str">
        <x:v>blue</x:v>
      </x:c>
      <x:c r="I10" s="60" t="str">
        <x:v>DROP</x:v>
      </x:c>
    </x:row>
    <x:row r="11" ht="48" customHeight="1">
      <x:c r="A11" s="60" t="str">
        <x:v>Bloom-Tag</x:v>
      </x:c>
      <x:c r="B11" s="2375" t="str">
        <x:v>Blütetag (BT)</x:v>
      </x:c>
      <x:c r="C11" s="2375" t="str">
        <x:v>Tage seit dem konfigurierten biologischen Blüte-Trigger.</x:v>
      </x:c>
      <x:c r="D11" s="60" t="str">
        <x:v>BT 1, BT 2 ...</x:v>
      </x:c>
      <x:c r="E11" s="60" t="str">
        <x:v>Kalenderalter und Blütetag verwechseln.</x:v>
      </x:c>
      <x:c r="F11" s="60" t="str">
        <x:v>Triggerdatum in Setup prüfen.</x:v>
      </x:c>
      <x:c r="G11" s="60" t="str">
        <x:v>01_Run_Config · 02_Daily_Master</x:v>
      </x:c>
      <x:c r="H11" s="60" t="str">
        <x:v>purple</x:v>
      </x:c>
      <x:c r="I11" s="60" t="str">
        <x:v>FLOWER</x:v>
      </x:c>
    </x:row>
    <x:row r="12" ht="48" customHeight="1">
      <x:c r="A12" s="60" t="str">
        <x:v>Bloom-Woche</x:v>
      </x:c>
      <x:c r="B12" s="2375" t="str">
        <x:v>Blütewoche (BW)</x:v>
      </x:c>
      <x:c r="C12" s="2375" t="str">
        <x:v>Woche seit dem biologischen Blüte-Trigger.</x:v>
      </x:c>
      <x:c r="D12" s="60" t="str">
        <x:v>BW1, BW2 ...</x:v>
      </x:c>
      <x:c r="E12" s="60" t="str">
        <x:v>Mit allgemeiner Run-Woche verwechseln.</x:v>
      </x:c>
      <x:c r="F12" s="60" t="str">
        <x:v>BT/BW gemeinsam mit Phase anzeigen.</x:v>
      </x:c>
      <x:c r="G12" s="60" t="str">
        <x:v>02_Daily_Master · 03_Weekly_Master</x:v>
      </x:c>
      <x:c r="H12" s="60" t="str">
        <x:v>purple</x:v>
      </x:c>
      <x:c r="I12" s="60" t="str">
        <x:v>WEEK</x:v>
      </x:c>
    </x:row>
    <x:row r="13" ht="48" customHeight="1">
      <x:c r="A13" s="60" t="str">
        <x:v>Target</x:v>
      </x:c>
      <x:c r="B13" s="2369" t="str">
        <x:v>Planwert / Ziel</x:v>
      </x:c>
      <x:c r="C13" s="2369" t="str">
        <x:v>Ein gewünschter oder geplanter Wert, kein Ist-Messwert.</x:v>
      </x:c>
      <x:c r="D13" s="60" t="str">
        <x:v>z. B. EC-Ziel 1,4</x:v>
      </x:c>
      <x:c r="E13" s="60" t="str">
        <x:v>Planwert als Live-Sensorwert darstellen.</x:v>
      </x:c>
      <x:c r="F13" s="60" t="str">
        <x:v>Mit tatsächlicher Messung vergleichen.</x:v>
      </x:c>
      <x:c r="G13" s="60" t="str">
        <x:v>00_Dashboard · 32_GLOSSARY_STATES</x:v>
      </x:c>
      <x:c r="H13" s="60" t="str">
        <x:v>blue</x:v>
      </x:c>
      <x:c r="I13" s="60" t="str">
        <x:v>TARGET</x:v>
      </x:c>
    </x:row>
    <x:row r="14" ht="48" customHeight="1">
      <x:c r="A14" s="60" t="str">
        <x:v>Measured</x:v>
      </x:c>
      <x:c r="B14" s="2371" t="str">
        <x:v>Gemessen / Istwert</x:v>
      </x:c>
      <x:c r="C14" s="2371" t="str">
        <x:v>Ein tatsächlich gemessener Wert mit Zeitpunkt und Methode.</x:v>
      </x:c>
      <x:c r="D14" s="60" t="str">
        <x:v>z. B. EC in 1,32</x:v>
      </x:c>
      <x:c r="E14" s="60" t="str">
        <x:v>Messwert automatisch als korrekt/kausal ansehen.</x:v>
      </x:c>
      <x:c r="F14" s="60" t="str">
        <x:v>Kalibrierung, Zeitpunkt und Plausibilität prüfen.</x:v>
      </x:c>
      <x:c r="G14" s="60" t="str">
        <x:v>12_Daily_Log · 32_GLOSSARY_STATES</x:v>
      </x:c>
      <x:c r="H14" s="60" t="str">
        <x:v>green</x:v>
      </x:c>
      <x:c r="I14" s="60" t="str">
        <x:v>MEASURE</x:v>
      </x:c>
    </x:row>
    <x:row r="15" ht="48" customHeight="1">
      <x:c r="A15" s="60" t="str">
        <x:v>Conditional</x:v>
      </x:c>
      <x:c r="B15" s="2373" t="str">
        <x:v>Nur bei Bedarf / Bedingung</x:v>
      </x:c>
      <x:c r="C15" s="2373" t="str">
        <x:v>Produkt oder Aktion ist vorhanden, aber erst bei erfüllter Voraussetzung aktiv.</x:v>
      </x:c>
      <x:c r="D15" s="60" t="str">
        <x:v>z. B. CalMag</x:v>
      </x:c>
      <x:c r="E15" s="60" t="str">
        <x:v>'vorhanden' mit 'benötigt' gleichsetzen.</x:v>
      </x:c>
      <x:c r="F15" s="60" t="str">
        <x:v>Bedingung/Gate öffnen und fehlenden Input erfassen.</x:v>
      </x:c>
      <x:c r="G15" s="60" t="str">
        <x:v>01_Run_Config · 05_Mix_Calculator</x:v>
      </x:c>
      <x:c r="H15" s="60" t="str">
        <x:v>amber</x:v>
      </x:c>
      <x:c r="I15" s="60" t="str">
        <x:v>COND</x:v>
      </x:c>
    </x:row>
    <x:row r="16" ht="48" customHeight="1">
      <x:c r="A16" s="60" t="str">
        <x:v>Blocked</x:v>
      </x:c>
      <x:c r="B16" s="2377" t="str">
        <x:v>Gesperrt / nicht freigegeben</x:v>
      </x:c>
      <x:c r="C16" s="2377" t="str">
        <x:v>Es fehlt ein Pflichtinput oder eine Regel verhindert die Aktion.</x:v>
      </x:c>
      <x:c r="D16" s="60" t="str">
        <x:v>BLOCK</x:v>
      </x:c>
      <x:c r="E16" s="60" t="str">
        <x:v>Trotzdem mit Defaultwert fortfahren.</x:v>
      </x:c>
      <x:c r="F16" s="60" t="str">
        <x:v>Blockgrund lesen und fehlende Messung/Entscheidung nachholen.</x:v>
      </x:c>
      <x:c r="G16" s="60" t="str">
        <x:v>00_Dashboard · 33_RELEASE_GATES</x:v>
      </x:c>
      <x:c r="H16" s="60" t="str">
        <x:v>red</x:v>
      </x:c>
      <x:c r="I16" s="60" t="str">
        <x:v>STOP</x:v>
      </x:c>
    </x:row>
    <x:row r="17" ht="48" customHeight="1">
      <x:c r="A17" s="60" t="str">
        <x:v>Experimental</x:v>
      </x:c>
      <x:c r="B17" s="2375" t="str">
        <x:v>Experiment / A-B-Test</x:v>
      </x:c>
      <x:c r="C17" s="2375" t="str">
        <x:v>Bewusste Abweichung vom Referenzpfad; Ergebnis muss protokolliert werden.</x:v>
      </x:c>
      <x:c r="D17" s="60" t="str">
        <x:v>A/B</x:v>
      </x:c>
      <x:c r="E17" s="60" t="str">
        <x:v>Experiment als erwiesenes Optimum behandeln.</x:v>
      </x:c>
      <x:c r="F17" s="60" t="str">
        <x:v>Hypothese, Variable und Ergebnis dokumentieren.</x:v>
      </x:c>
      <x:c r="G17" s="60" t="str">
        <x:v>08_Hybrid_AB · 20_Practice_Evidence</x:v>
      </x:c>
      <x:c r="H17" s="60" t="str">
        <x:v>purple</x:v>
      </x:c>
      <x:c r="I17" s="60" t="str">
        <x:v>TEST</x:v>
      </x:c>
    </x:row>
    <x:row r="18" ht="48" customHeight="1">
      <x:c r="A18" s="60" t="str">
        <x:v>AKF</x:v>
      </x:c>
      <x:c r="B18" s="2379" t="str">
        <x:v>Aktivkohlefilter (AKF)</x:v>
      </x:c>
      <x:c r="C18" s="2379" t="str">
        <x:v>Filtert Geruch aus dem Abluftstrom.</x:v>
      </x:c>
      <x:c r="D18" s="60" t="str">
        <x:v>—</x:v>
      </x:c>
      <x:c r="E18" s="60" t="str">
        <x:v>AKF als Umluftfilter verstehen.</x:v>
      </x:c>
      <x:c r="F18" s="60" t="str">
        <x:v>Unterdruck/Abluftweg prüfen.</x:v>
      </x:c>
      <x:c r="G18" s="60" t="str">
        <x:v>Setup / Lüftung</x:v>
      </x:c>
      <x:c r="H18" s="60" t="str">
        <x:v>gray</x:v>
      </x:c>
      <x:c r="I18" s="60" t="str">
        <x:v>FILTER</x:v>
      </x:c>
    </x:row>
    <x:row r="19" ht="48" customHeight="1">
      <x:c r="A19" s="60" t="str">
        <x:v>PWM</x:v>
      </x:c>
      <x:c r="B19" s="2379" t="str">
        <x:v>Lüfter-Drehzahlsteuerung (PWM)</x:v>
      </x:c>
      <x:c r="C19" s="2379" t="str">
        <x:v>Elektronische Steuerung der Lüfterdrehzahl.</x:v>
      </x:c>
      <x:c r="D19" s="60" t="str">
        <x:v>% PWM</x:v>
      </x:c>
      <x:c r="E19" s="60" t="str">
        <x:v>PWM-Prozent direkt als Luftmenge oder dB interpretieren.</x:v>
      </x:c>
      <x:c r="F19" s="60" t="str">
        <x:v>Tatsächliche Drehzahl/Luftbewegung beobachten oder messen.</x:v>
      </x:c>
      <x:c r="G19" s="60" t="str">
        <x:v>Setup / Hardwareprofil</x:v>
      </x:c>
      <x:c r="H19" s="60" t="str">
        <x:v>gray</x:v>
      </x:c>
      <x:c r="I19" s="60" t="str">
        <x:v>FAN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  <x:col min="5" max="5" width="34" hidden="0" customWidth="1"/>
    <x:col min="6" max="6" width="38" hidden="0" customWidth="1"/>
    <x:col min="7" max="7" width="36" hidden="0" customWidth="1"/>
    <x:col min="8" max="8" width="14" hidden="0" customWidth="1"/>
    <x:col min="9" max="9" width="20" hidden="0" customWidth="1"/>
  </x:cols>
  <x:sheetData>
    <x:row r="1">
      <x:c r="A1" s="2367" t="str">
        <x:v>Sektion / Arbeitsbereich</x:v>
      </x:c>
      <x:c r="B1" s="2367" t="str">
        <x:v>Wofür ist das?</x:v>
      </x:c>
      <x:c r="C1" s="2367" t="str">
        <x:v>Hier machst du</x:v>
      </x:c>
      <x:c r="D1" s="2367" t="str">
        <x:v>Hier NICHT</x:v>
      </x:c>
      <x:c r="E1" s="2367" t="str">
        <x:v>Wenn du ... suchst</x:v>
      </x:c>
      <x:c r="F1" s="2367" t="str">
        <x:v>Dann gehe zu</x:v>
      </x:c>
      <x:c r="G1" s="2367" t="str">
        <x:v>Wichtige Begriffe vor Ort</x:v>
      </x:c>
      <x:c r="H1" s="2367" t="str">
        <x:v>Farbcode</x:v>
      </x:c>
      <x:c r="I1" s="2367" t="str">
        <x:v>App Zielroute</x:v>
      </x:c>
    </x:row>
    <x:row r="2" ht="58" customHeight="1">
      <x:c r="A2" s="60" t="str">
        <x:v>START HERE / Dashboard</x:v>
      </x:c>
      <x:c r="B2" s="60" t="str">
        <x:v>Orientierung und nächste Entscheidung.</x:v>
      </x:c>
      <x:c r="C2" s="60" t="str">
        <x:v>Blocker prüfen, heutigen Schritt finden, Setup-Status sehen.</x:v>
      </x:c>
      <x:c r="D2" s="60" t="str">
        <x:v>Keine tiefen Rohdaten bearbeiten.</x:v>
      </x:c>
      <x:c r="E2" s="60" t="str">
        <x:v>'Was muss ich jetzt tun?'</x:v>
      </x:c>
      <x:c r="F2" s="60" t="str">
        <x:v>00_Dashboard / 36_TODAY_OPERATOR</x:v>
      </x:c>
      <x:c r="G2" s="60" t="str">
        <x:v>Target, Measured, Conditional, Blocked</x:v>
      </x:c>
      <x:c r="H2" s="60" t="str">
        <x:v>green</x:v>
      </x:c>
      <x:c r="I2" s="60" t="str">
        <x:v>Cockpit</x:v>
      </x:c>
    </x:row>
    <x:row r="3" ht="58" customHeight="1">
      <x:c r="A3" s="60" t="str">
        <x:v>SETUP</x:v>
      </x:c>
      <x:c r="B3" s="60" t="str">
        <x:v>Alle Fakten vor dem Run erfassen.</x:v>
      </x:c>
      <x:c r="C3" s="60" t="str">
        <x:v>Propagation, Medium, Wasser, Geräte, Produkte, Trigger, Unknowns prüfen.</x:v>
      </x:c>
      <x:c r="D3" s="60" t="str">
        <x:v>Keine Tagesdosis aus Inventar ableiten.</x:v>
      </x:c>
      <x:c r="E3" s="60" t="str">
        <x:v>'Was ist noch unbekannt?'</x:v>
      </x:c>
      <x:c r="F3" s="60" t="str">
        <x:v>37_SETUP_OPERATOR / 01_Run_Config</x:v>
      </x:c>
      <x:c r="G3" s="60" t="str">
        <x:v>pH, EC, Wasserchemie, Propagation Gate</x:v>
      </x:c>
      <x:c r="H3" s="60" t="str">
        <x:v>amber</x:v>
      </x:c>
      <x:c r="I3" s="60" t="str">
        <x:v>Setup</x:v>
      </x:c>
    </x:row>
    <x:row r="4" ht="58" customHeight="1">
      <x:c r="A4" s="60" t="str">
        <x:v>TODAY / NOW</x:v>
      </x:c>
      <x:c r="B4" s="60" t="str">
        <x:v>Nur die heutige Lage und Aufgabe.</x:v>
      </x:c>
      <x:c r="C4" s="60" t="str">
        <x:v>Messen -&gt; entscheiden -&gt; ausführen -&gt; loggen.</x:v>
      </x:c>
      <x:c r="D4" s="60" t="str">
        <x:v>Nicht den ganzen 81-Tage-Plan analysieren.</x:v>
      </x:c>
      <x:c r="E4" s="60" t="str">
        <x:v>'Was heute geben/messen?'</x:v>
      </x:c>
      <x:c r="F4" s="60" t="str">
        <x:v>36_TODAY_OPERATOR / 02_Daily_Master</x:v>
      </x:c>
      <x:c r="G4" s="60" t="str">
        <x:v>PPFD, DLI, EC, rF, VPD, Wasserband</x:v>
      </x:c>
      <x:c r="H4" s="60" t="str">
        <x:v>green</x:v>
      </x:c>
      <x:c r="I4" s="60" t="str">
        <x:v>Heute</x:v>
      </x:c>
    </x:row>
    <x:row r="5" ht="58" customHeight="1">
      <x:c r="A5" s="60" t="str">
        <x:v>MIX</x:v>
      </x:c>
      <x:c r="B5" s="60" t="str">
        <x:v>Heutigen Nährmix sicher herstellen.</x:v>
      </x:c>
      <x:c r="C5" s="60" t="str">
        <x:v>Aktive Produkte, Mengen, Reihenfolge und Gates prüfen.</x:v>
      </x:c>
      <x:c r="D5" s="60" t="str">
        <x:v>Keine OFF/Conditional-Produkte 'vorsorglich' hinzufügen.</x:v>
      </x:c>
      <x:c r="E5" s="60" t="str">
        <x:v>'Wie mische ich heute?'</x:v>
      </x:c>
      <x:c r="F5" s="60" t="str">
        <x:v>38_MIX_OPERATOR / 05_Mix_Calculator</x:v>
      </x:c>
      <x:c r="G5" s="60" t="str">
        <x:v>EC, pH, Batch, Conditional, Blocked</x:v>
      </x:c>
      <x:c r="H5" s="60" t="str">
        <x:v>blue</x:v>
      </x:c>
      <x:c r="I5" s="60" t="str">
        <x:v>Mischlabor</x:v>
      </x:c>
    </x:row>
    <x:row r="6" ht="58" customHeight="1">
      <x:c r="A6" s="60" t="str">
        <x:v>LOG</x:v>
      </x:c>
      <x:c r="B6" s="60" t="str">
        <x:v>Was wirklich passiert ist dokumentieren.</x:v>
      </x:c>
      <x:c r="C6" s="60" t="str">
        <x:v>Messwerte, Gießen, Feed, Foto, Beobachtung und Abweichung erfassen.</x:v>
      </x:c>
      <x:c r="D6" s="60" t="str">
        <x:v>Planwerte nicht mit Istwerten überschreiben.</x:v>
      </x:c>
      <x:c r="E6" s="60" t="str">
        <x:v>'Wo trage ich Messwerte ein?'</x:v>
      </x:c>
      <x:c r="F6" s="60" t="str">
        <x:v>39_LOG_GUIDE / 12_Daily_Log</x:v>
      </x:c>
      <x:c r="G6" s="60" t="str">
        <x:v>Measured, Drain-EC, Istwert, Ereignis</x:v>
      </x:c>
      <x:c r="H6" s="60" t="str">
        <x:v>amber</x:v>
      </x:c>
      <x:c r="I6" s="60" t="str">
        <x:v>Log / Journal</x:v>
      </x:c>
    </x:row>
    <x:row r="7" ht="58" customHeight="1">
      <x:c r="A7" s="60" t="str">
        <x:v>ZEITACHSE / WEEKLY</x:v>
      </x:c>
      <x:c r="B7" s="60" t="str">
        <x:v>Phasen und nächste Übergänge verstehen.</x:v>
      </x:c>
      <x:c r="C7" s="60" t="str">
        <x:v>Trend, Trigger, kommende Änderungen und Abweichungen sehen.</x:v>
      </x:c>
      <x:c r="D7" s="60" t="str">
        <x:v>Keine einzelne Tagesaktion nur aus Wochenübersicht ableiten.</x:v>
      </x:c>
      <x:c r="E7" s="60" t="str">
        <x:v>'Wann ändert sich Phase/Licht/Feed?'</x:v>
      </x:c>
      <x:c r="F7" s="60" t="str">
        <x:v>03_Weekly_Master / Zeitachse</x:v>
      </x:c>
      <x:c r="G7" s="60" t="str">
        <x:v>BT, BW, Phase, Trigger</x:v>
      </x:c>
      <x:c r="H7" s="60" t="str">
        <x:v>blue</x:v>
      </x:c>
      <x:c r="I7" s="60" t="str">
        <x:v>Zeitachse</x:v>
      </x:c>
    </x:row>
    <x:row r="8" ht="58" customHeight="1">
      <x:c r="A8" s="60" t="str">
        <x:v>DIAGNOSE</x:v>
      </x:c>
      <x:c r="B8" s="60" t="str">
        <x:v>Abweichungen strukturiert untersuchen.</x:v>
      </x:c>
      <x:c r="C8" s="60" t="str">
        <x:v>Messung, Symptome, Kontext und sichere nächste Prüfung verbinden.</x:v>
      </x:c>
      <x:c r="D8" s="60" t="str">
        <x:v>Symptom nie als sichere Ursache behandeln.</x:v>
      </x:c>
      <x:c r="E8" s="60" t="str">
        <x:v>'Warum sieht die Pflanze so aus?'</x:v>
      </x:c>
      <x:c r="F8" s="60" t="str">
        <x:v>13_Diagnostics</x:v>
      </x:c>
      <x:c r="G8" s="60" t="str">
        <x:v>Drain-EC, Stress, Confidence, Missing</x:v>
      </x:c>
      <x:c r="H8" s="60" t="str">
        <x:v>red</x:v>
      </x:c>
      <x:c r="I8" s="60" t="str">
        <x:v>Diagnose</x:v>
      </x:c>
    </x:row>
    <x:row r="9" ht="58" customHeight="1">
      <x:c r="A9" s="60" t="str">
        <x:v>WISSEN / GLOSSAR</x:v>
      </x:c>
      <x:c r="B9" s="60" t="str">
        <x:v>Begriffe und Hintergründe verstehen.</x:v>
      </x:c>
      <x:c r="C9" s="60" t="str">
        <x:v>Kurzerklärung -&gt; operative Bedeutung -&gt; technische Tiefe öffnen.</x:v>
      </x:c>
      <x:c r="D9" s="60" t="str">
        <x:v>Kritische Info nicht nur als Tooltip verstecken.</x:v>
      </x:c>
      <x:c r="E9" s="60" t="str">
        <x:v>'Was bedeutet VPD/EC/DLI?'</x:v>
      </x:c>
      <x:c r="F9" s="60" t="str">
        <x:v>34_CONTEXT_HELP_MAP / 32_GLOSSARY_STATES</x:v>
      </x:c>
      <x:c r="G9" s="60" t="str">
        <x:v>alle Fachbegriffe</x:v>
      </x:c>
      <x:c r="H9" s="60" t="str">
        <x:v>purple</x:v>
      </x:c>
      <x:c r="I9" s="60" t="str">
        <x:v>Wissen &amp; Quellen</x:v>
      </x:c>
    </x:row>
    <x:row r="10" ht="58" customHeight="1">
      <x:c r="A10" s="60" t="str">
        <x:v>EVIDENZ / AUDIT</x:v>
      </x:c>
      <x:c r="B10" s="60" t="str">
        <x:v>Nachvollziehen warum eine Regel existiert.</x:v>
      </x:c>
      <x:c r="C10" s="60" t="str">
        <x:v>Hersteller, Forschung, UKD-Inferenz, Unsicherheit und Korrekturen prüfen.</x:v>
      </x:c>
      <x:c r="D10" s="60" t="str">
        <x:v>Quelle und Interpretation nicht vermischen.</x:v>
      </x:c>
      <x:c r="E10" s="60" t="str">
        <x:v>'Woher kommt diese Aussage?'</x:v>
      </x:c>
      <x:c r="F10" s="60" t="str">
        <x:v>20_Practice_Evidence / 22_Sources / 26_Audit_Report</x:v>
      </x:c>
      <x:c r="G10" s="60" t="str">
        <x:v>Manufacturer, UKD Inference, Experimental</x:v>
      </x:c>
      <x:c r="H10" s="60" t="str">
        <x:v>purple</x:v>
      </x:c>
      <x:c r="I10" s="60" t="str">
        <x:v>Audit Center</x:v>
      </x:c>
    </x:row>
    <x:row r="11" ht="58" customHeight="1">
      <x:c r="A11" s="60" t="str">
        <x:v>ROHDATEN</x:v>
      </x:c>
      <x:c r="B11" s="60" t="str">
        <x:v>Technische Detailprüfung.</x:v>
      </x:c>
      <x:c r="C11" s="60" t="str">
        <x:v>Formeln, Spalten, Quellen, Exportdaten prüfen.</x:v>
      </x:c>
      <x:c r="D11" s="60" t="str">
        <x:v>Nicht als Anfänger-Startseite nutzen.</x:v>
      </x:c>
      <x:c r="E11" s="60" t="str">
        <x:v>'Welche Zelle/Formel steckt dahinter?'</x:v>
      </x:c>
      <x:c r="F11" s="60" t="str">
        <x:v>02_Daily_Master / Rohdaten</x:v>
      </x:c>
      <x:c r="G11" s="60" t="str">
        <x:v>canonical key, derived, formula version</x:v>
      </x:c>
      <x:c r="H11" s="60" t="str">
        <x:v>gray</x:v>
      </x:c>
      <x:c r="I11" s="60" t="str">
        <x:v>Rohdaten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398" t="str">
        <x:v>TODAY / NOW · heute verstehen, handeln und dokumentieren</x:v>
      </x:c>
      <x:c r="B1" s="2398"/>
      <x:c r="C1" s="2398"/>
      <x:c r="D1" s="2398"/>
      <x:c r="E1" s="2398"/>
      <x:c r="F1" s="2398"/>
      <x:c r="G1" s="2398"/>
      <x:c r="H1" s="2398"/>
      <x:c r="I1" s="2398"/>
      <x:c r="J1" s="2398"/>
      <x:c r="K1" s="2398"/>
      <x:c r="L1" s="2398"/>
    </x:row>
    <x:row r="2">
      <x:c r="A2" s="2371" t="str">
        <x:v>Diese Seite beantwortet nur 5 Fragen: Wo bin ich? Was muss ich prüfen? Was ist heute erlaubt? Was ist blockiert? Was muss ich danach loggen?</x:v>
      </x:c>
      <x:c r="B2" s="2371"/>
      <x:c r="C2" s="2371"/>
      <x:c r="D2" s="2371"/>
      <x:c r="E2" s="2371"/>
      <x:c r="F2" s="2371"/>
      <x:c r="G2" s="2371"/>
      <x:c r="H2" s="2371"/>
      <x:c r="I2" s="2371"/>
      <x:c r="J2" s="2371"/>
      <x:c r="K2" s="2371"/>
      <x:c r="L2" s="2371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WO BIN ICH?</x:v>
      </x:c>
      <x:c r="B4" s="2367"/>
      <x:c r="C4" s="2367"/>
      <x:c r="D4" s="2367"/>
      <x:c r="E4" s="2367" t="str">
        <x:v>WAS MUSS ICH PRÜFEN?</x:v>
      </x:c>
      <x:c r="F4" s="2367"/>
      <x:c r="G4" s="2367"/>
      <x:c r="H4" s="2367"/>
      <x:c r="I4" s="2367" t="str">
        <x:v>WAS IST GESPERRT / NUR BEDINGT?</x:v>
      </x:c>
      <x:c r="J4" s="2367"/>
      <x:c r="K4" s="2367"/>
      <x:c r="L4" s="2367"/>
    </x:row>
    <x:row r="5">
      <x:c r="A5" s="2369" t="str">
        <x:f>"Run Day: "&amp;'01_Run_Config'!$B$5&amp;" / "&amp;'01_Run_Config'!$B$7&amp;CHAR(10)&amp;"P1 Double Grape Plant Day: "&amp;INDEX('02_Daily_Master'!$BI$2:$BI$82,'01_Run_Config'!$B$5+1)&amp;CHAR(10)&amp;"P2 Banana Purple Punch Plant Day: "&amp;INDEX('02_Daily_Master'!$BJ$2:$BJ$82,'01_Run_Config'!$B$5+1)&amp;CHAR(10)&amp;"P3 GG4 Plant Day: "&amp;INDEX('02_Daily_Master'!$BK$2:$BK$82,'01_Run_Config'!$B$5+1)&amp;CHAR(10)&amp;"Phase-Projektion: "&amp;INDEX('02_Daily_Master'!$E$2:$E$82,'01_Run_Config'!$B$5+1)&amp;CHAR(10)&amp;"Clock rule: Run Day ab Aussaat · Plant Day ab Durchbruch · Bloom Day ab FlowerInitiation"</x:f>
        <x:v>Run Day: 2 / 80
P1 Double Grape Plant Day: 0
P2 Banana Purple Punch Plant Day: PRE
P3 GG4 Plant Day: PRE
Phase-Projektion: Keimung
Clock rule: Run Day ab Aussaat · Plant Day ab Durchbruch · Bloom Day ab FlowerInitiation</x:v>
      </x:c>
      <x:c r="B5" s="2369"/>
      <x:c r="C5" s="2369"/>
      <x:c r="D5" s="2369"/>
      <x:c r="E5" s="2373" t="str">
        <x:v>1. Pflanze vital? Blattstellung/Farbe/Stress prüfen.
2. Topf/Block: Feuchte/Topfmasse bzw. tatsächlichen Gießbedarf prüfen.
3. pH-/EC-Meter: Kalibrierung plausibel?
4. Klima: Temperatur + Luftfeuchte gemeinsam beurteilen.
5. Wenn eine Pflichtmessung fehlt: erst messen, dann entscheiden.</x:v>
      </x:c>
      <x:c r="F5" s="2373"/>
      <x:c r="G5" s="2373"/>
      <x:c r="H5" s="2373"/>
      <x:c r="I5" s="2377" t="str">
        <x:f>"Vollständigkeitsprüfung: "&amp;'01_Run_Config'!$E$57&amp;CHAR(10)&amp;"Wasserchemie: PARTIAL (pH+EC gemessen; Ca/Mg/HCO3 offen)"&amp;CHAR(10)&amp;"Athena Balance: "&amp;'01_Run_Config'!$E$35&amp;CHAR(10)&amp;"CalMag: "&amp;'01_Run_Config'!$E$54&amp;CHAR(10)&amp;"P1 Status: EMERGED / Plant Day "&amp;INDEX('02_Daily_Master'!$BI$2:$BI$82,'01_Run_Config'!$B$5+1)</x:f>
        <x:v>Vollständigkeitsprüfung: OK
Wasserchemie: PARTIAL (pH+EC gemessen; Ca/Mg/HCO3 offen)
Athena Balance: AVAILABLE IF END-MIX LOW
CalMag: SAFE / DOSE 0
P1 Status: EMERGED / Plant Day 0</x:v>
      </x:c>
      <x:c r="J5" s="2377"/>
      <x:c r="K5" s="2377"/>
      <x:c r="L5" s="2377"/>
    </x:row>
    <x:row r="6">
      <x:c r="A6" s="2369"/>
      <x:c r="B6" s="2369"/>
      <x:c r="C6" s="2369"/>
      <x:c r="D6" s="2369"/>
      <x:c r="E6" s="2373"/>
      <x:c r="F6" s="2373"/>
      <x:c r="G6" s="2373"/>
      <x:c r="H6" s="2373"/>
      <x:c r="I6" s="2377"/>
      <x:c r="J6" s="2377"/>
      <x:c r="K6" s="2377"/>
      <x:c r="L6" s="2377"/>
    </x:row>
    <x:row r="7">
      <x:c r="A7" s="2369"/>
      <x:c r="B7" s="2369"/>
      <x:c r="C7" s="2369"/>
      <x:c r="D7" s="2369"/>
      <x:c r="E7" s="2373"/>
      <x:c r="F7" s="2373"/>
      <x:c r="G7" s="2373"/>
      <x:c r="H7" s="2373"/>
      <x:c r="I7" s="2377"/>
      <x:c r="J7" s="2377"/>
      <x:c r="K7" s="2377"/>
      <x:c r="L7" s="2377"/>
    </x:row>
    <x:row r="8">
      <x:c r="A8" s="2369"/>
      <x:c r="B8" s="2369"/>
      <x:c r="C8" s="2369"/>
      <x:c r="D8" s="2369"/>
      <x:c r="E8" s="2373"/>
      <x:c r="F8" s="2373"/>
      <x:c r="G8" s="2373"/>
      <x:c r="H8" s="2373"/>
      <x:c r="I8" s="2377"/>
      <x:c r="J8" s="2377"/>
      <x:c r="K8" s="2377"/>
      <x:c r="L8" s="2377"/>
    </x:row>
    <x:row r="9">
      <x:c r="A9" s="2369"/>
      <x:c r="B9" s="2369"/>
      <x:c r="C9" s="2369"/>
      <x:c r="D9" s="2369"/>
      <x:c r="E9" s="2373"/>
      <x:c r="F9" s="2373"/>
      <x:c r="G9" s="2373"/>
      <x:c r="H9" s="2373"/>
      <x:c r="I9" s="2377"/>
      <x:c r="J9" s="2377"/>
      <x:c r="K9" s="2377"/>
      <x:c r="L9" s="2377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</x:row>
    <x:row r="11">
      <x:c r="A11" s="2399" t="str">
        <x:v>HEUTIGE ZIELWERTE · Planwert ≠ Messwert</x:v>
      </x:c>
      <x:c r="B11" s="2399"/>
      <x:c r="C11" s="2399"/>
      <x:c r="D11" s="2399"/>
      <x:c r="E11" s="2399"/>
      <x:c r="F11" s="2399"/>
      <x:c r="G11" s="2399"/>
      <x:c r="H11" s="2399"/>
      <x:c r="I11" s="2399"/>
      <x:c r="J11" s="2399"/>
      <x:c r="K11" s="2399"/>
      <x:c r="L11" s="2399"/>
    </x:row>
    <x:row r="12">
      <x:c r="A12" s="2369" t="str">
        <x:f>"LICHTSTÄRKE (PPFD)"&amp;CHAR(10)&amp;CHAR(10)&amp;"Soll: "&amp;TEXT(INDEX('02_Daily_Master'!$I$2:$I$82,'01_Run_Config'!$B$5+1),"0")&amp;" µmol/m²/s"&amp;CHAR(10)&amp;"Kurz: Licht pro Sekunde am Blätterdach."</x:f>
        <x:v>LICHTSTÄRKE (PPFD)
Soll: 160 µmol/m²/s
Kurz: Licht pro Sekunde am Blätterdach.</x:v>
      </x:c>
      <x:c r="B12" s="2369"/>
      <x:c r="C12" s="2369"/>
      <x:c r="D12" s="2369" t="str">
        <x:f>"TAGESLICHTMENGE (DLI)"&amp;CHAR(10)&amp;CHAR(10)&amp;"Soll: "&amp;TEXT(INDEX('02_Daily_Master'!$J$2:$J$82,'01_Run_Config'!$B$5+1),"0.0")&amp;" mol/m²/Tag"&amp;CHAR(10)&amp;"Kurz: gesamte Lichtmenge über den Tag."</x:f>
        <x:v>TAGESLICHTMENGE (DLI)
Soll: 10.4 mol/m²/Tag
Kurz: gesamte Lichtmenge über den Tag.</x:v>
      </x:c>
      <x:c r="E12" s="2369"/>
      <x:c r="F12" s="2369"/>
      <x:c r="G12" s="2369" t="str">
        <x:f>"NÄHRSALZSTÄRKE (EC)"&amp;CHAR(10)&amp;CHAR(10)&amp;"Soll: "&amp;TEXT(INDEX('02_Daily_Master'!$P$2:$P$82,'01_Run_Config'!$B$5+1),"0.00")&amp;" mS/cm"&amp;CHAR(10)&amp;"Kurz: Leitfähigkeit als grober Salz-/Ionenindikator."</x:f>
        <x:v>NÄHRSALZSTÄRKE (EC)
Soll: 0.55 mS/cm
Kurz: Leitfähigkeit als grober Salz-/Ionenindikator.</x:v>
      </x:c>
      <x:c r="H12" s="2369"/>
      <x:c r="I12" s="2369"/>
      <x:c r="J12" s="2369" t="str">
        <x:f>"SÄURE-/BASENWERT (pH)"&amp;CHAR(10)&amp;CHAR(10)&amp;"Live-Arbeitssetpoint: "&amp;TEXT('01_Run_Config'!$B$23,"0.00")&amp;CHAR(10)&amp;"Run-Projektion: "&amp;TEXT(INDEX('02_Daily_Master'!$BM$2:$BM$82,'01_Run_Config'!$B$5+1),"0.00")&amp;CHAR(10)&amp;"Regel: "&amp;INDEX('02_Daily_Master'!$BO$2:$BO$82,'01_Run_Config'!$B$5+1)&amp;CHAR(10)&amp;"Nicht auf Hundertstel jagen; vollständigen Endmix messen."</x:f>
        <x:v>SÄURE-/BASENWERT (pH)
Live-Arbeitssetpoint: 5.80
Run-Projektion: 5.80
Regel: Eazy Plug/Block: Herstellerziel 5.80
Nicht auf Hundertstel jagen; vollständigen Endmix messen.</x:v>
      </x:c>
      <x:c r="K12" s="2369"/>
      <x:c r="L12" s="2369"/>
    </x:row>
    <x:row r="13">
      <x:c r="A13" s="2369"/>
      <x:c r="B13" s="2369"/>
      <x:c r="C13" s="2369"/>
      <x:c r="D13" s="2369"/>
      <x:c r="E13" s="2369"/>
      <x:c r="F13" s="2369"/>
      <x:c r="G13" s="2369"/>
      <x:c r="H13" s="2369"/>
      <x:c r="I13" s="2369"/>
      <x:c r="J13" s="2369"/>
      <x:c r="K13" s="2369"/>
      <x:c r="L13" s="2369"/>
    </x:row>
    <x:row r="14">
      <x:c r="A14" s="2369"/>
      <x:c r="B14" s="2369"/>
      <x:c r="C14" s="2369"/>
      <x:c r="D14" s="2369"/>
      <x:c r="E14" s="2369"/>
      <x:c r="F14" s="2369"/>
      <x:c r="G14" s="2369"/>
      <x:c r="H14" s="2369"/>
      <x:c r="I14" s="2369"/>
      <x:c r="J14" s="2369"/>
      <x:c r="K14" s="2369"/>
      <x:c r="L14" s="2369"/>
    </x:row>
    <x:row r="15">
      <x:c r="A15" s="2369"/>
      <x:c r="B15" s="2369"/>
      <x:c r="C15" s="2369"/>
      <x:c r="D15" s="2369"/>
      <x:c r="E15" s="2369"/>
      <x:c r="F15" s="2369"/>
      <x:c r="G15" s="2369"/>
      <x:c r="H15" s="2369"/>
      <x:c r="I15" s="2369"/>
      <x:c r="J15" s="2369"/>
      <x:c r="K15" s="2369"/>
      <x:c r="L15" s="2369"/>
    </x:row>
    <x:row r="16">
      <x:c r="A16" s="2369"/>
      <x:c r="B16" s="2369"/>
      <x:c r="C16" s="2369"/>
      <x:c r="D16" s="2369"/>
      <x:c r="E16" s="2369"/>
      <x:c r="F16" s="2369"/>
      <x:c r="G16" s="2369"/>
      <x:c r="H16" s="2369"/>
      <x:c r="I16" s="2369"/>
      <x:c r="J16" s="2369"/>
      <x:c r="K16" s="2369"/>
      <x:c r="L16" s="236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>
      <x:c r="A18" s="2367" t="str">
        <x:v>KLIMA</x:v>
      </x:c>
      <x:c r="B18" s="2367"/>
      <x:c r="C18" s="2367"/>
      <x:c r="D18" s="2367"/>
      <x:c r="E18" s="2367"/>
      <x:c r="F18" s="2367"/>
      <x:c r="G18" s="2367" t="str">
        <x:v>WASSER / WURZELZONE</x:v>
      </x:c>
      <x:c r="H18" s="2367"/>
      <x:c r="I18" s="2367"/>
      <x:c r="J18" s="2367"/>
      <x:c r="K18" s="2367"/>
      <x:c r="L18" s="2367"/>
    </x:row>
    <x:row r="19">
      <x:c r="A19" s="2373" t="str">
        <x:f>"Temperatur Licht: "&amp;TEXT(INDEX('02_Daily_Master'!$L$2:$L$82,'01_Run_Config'!$B$5+1),"0.0")&amp;" °C"&amp;CHAR(10)&amp;"Luftfeuchte (rF): "&amp;TEXT(INDEX('02_Daily_Master'!$N$2:$N$82,'01_Run_Config'!$B$5+1),"0")&amp;" %"&amp;CHAR(10)&amp;"Blatt-VPD geschätzt: "&amp;TEXT(INDEX('02_Daily_Master'!$O$2:$O$82,'01_Run_Config'!$B$5+1),"0.00")&amp;" kPa"&amp;CHAR(10)&amp;CHAR(10)&amp;"VPD = vereinfacht der Trocknungsdruck der Luft. Bei Blatt-VPD ist eine gemessene Blatttemperatur besser als eine Annahme."</x:f>
        <x:v>Temperatur Licht: 25.0 °C
Luftfeuchte (rF): 73 %
Blatt-VPD geschätzt: 0.67 kPa
VPD = vereinfacht der Trocknungsdruck der Luft. Bei Blatt-VPD ist eine gemessene Blatttemperatur besser als eine Annahme.</x:v>
      </x:c>
      <x:c r="B19" s="2373"/>
      <x:c r="C19" s="2373"/>
      <x:c r="D19" s="2373"/>
      <x:c r="E19" s="2373"/>
      <x:c r="F19" s="2373"/>
      <x:c r="G19" s="2371" t="str">
        <x:f>"Wasser-Startbereich: "&amp;TEXT(INDEX('02_Daily_Master'!$R$2:$R$82,'01_Run_Config'!$B$5+1),"0.00")&amp;"–"&amp;TEXT(INDEX('02_Daily_Master'!$S$2:$S$82,'01_Run_Config'!$B$5+1),"0.00")&amp;" L"&amp;CHAR(10)&amp;"Modus: "&amp;INDEX('02_Daily_Master'!$T$2:$T$82,'01_Run_Config'!$B$5+1)&amp;CHAR(10)&amp;CHAR(10)&amp;"Wasser-Startbereich = Planung, keine Pflichtmenge. Topf/Block/Pflanze entscheiden, ob tatsächlich gegossen wird."</x:f>
        <x:v>Wasser-Startbereich: 0.03–0.08 L
Modus: Manuell
Wasser-Startbereich = Planung, keine Pflichtmenge. Topf/Block/Pflanze entscheiden, ob tatsächlich gegossen wird.</x:v>
      </x:c>
      <x:c r="H19" s="2371"/>
      <x:c r="I19" s="2371"/>
      <x:c r="J19" s="2371"/>
      <x:c r="K19" s="2371"/>
      <x:c r="L19" s="2371"/>
    </x:row>
    <x:row r="20">
      <x:c r="A20" s="2373"/>
      <x:c r="B20" s="2373"/>
      <x:c r="C20" s="2373"/>
      <x:c r="D20" s="2373"/>
      <x:c r="E20" s="2373"/>
      <x:c r="F20" s="2373"/>
      <x:c r="G20" s="2371"/>
      <x:c r="H20" s="2371"/>
      <x:c r="I20" s="2371"/>
      <x:c r="J20" s="2371"/>
      <x:c r="K20" s="2371"/>
      <x:c r="L20" s="2371"/>
    </x:row>
    <x:row r="21">
      <x:c r="A21" s="2373"/>
      <x:c r="B21" s="2373"/>
      <x:c r="C21" s="2373"/>
      <x:c r="D21" s="2373"/>
      <x:c r="E21" s="2373"/>
      <x:c r="F21" s="2373"/>
      <x:c r="G21" s="2371"/>
      <x:c r="H21" s="2371"/>
      <x:c r="I21" s="2371"/>
      <x:c r="J21" s="2371"/>
      <x:c r="K21" s="2371"/>
      <x:c r="L21" s="2371"/>
    </x:row>
    <x:row r="22">
      <x:c r="A22" s="2373"/>
      <x:c r="B22" s="2373"/>
      <x:c r="C22" s="2373"/>
      <x:c r="D22" s="2373"/>
      <x:c r="E22" s="2373"/>
      <x:c r="F22" s="2373"/>
      <x:c r="G22" s="2371"/>
      <x:c r="H22" s="2371"/>
      <x:c r="I22" s="2371"/>
      <x:c r="J22" s="2371"/>
      <x:c r="K22" s="2371"/>
      <x:c r="L22" s="2371"/>
    </x:row>
    <x:row r="23">
      <x:c r="A23" s="2373"/>
      <x:c r="B23" s="2373"/>
      <x:c r="C23" s="2373"/>
      <x:c r="D23" s="2373"/>
      <x:c r="E23" s="2373"/>
      <x:c r="F23" s="2373"/>
      <x:c r="G23" s="2371"/>
      <x:c r="H23" s="2371"/>
      <x:c r="I23" s="2371"/>
      <x:c r="J23" s="2371"/>
      <x:c r="K23" s="2371"/>
      <x:c r="L23" s="2371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</x:row>
    <x:row r="25">
      <x:c r="A25" s="2400" t="str">
        <x:v>HEUTE MISCHEN / GEBEN · nur wenn tatsächliche Bewässerung ansteht</x:v>
      </x:c>
      <x:c r="B25" s="2400"/>
      <x:c r="C25" s="2400"/>
      <x:c r="D25" s="2400"/>
      <x:c r="E25" s="2400"/>
      <x:c r="F25" s="2400"/>
      <x:c r="G25" s="2400"/>
      <x:c r="H25" s="2400"/>
      <x:c r="I25" s="2400"/>
      <x:c r="J25" s="2400"/>
      <x:c r="K25" s="2400"/>
      <x:c r="L25" s="2400"/>
    </x:row>
    <x:row r="26">
      <x:c r="A26" s="2375" t="str">
        <x:f>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ml/L"&amp;CHAR(10)&amp;"HESI Boost: "&amp;TEXT(INDEX('02_Daily_Master'!$AA$2:$AA$82,'01_Run_Config'!$B$5+1),"0.00")&amp;" ml/L"&amp;CHAR(10)&amp;"HESI PK13/14: "&amp;TEXT(INDEX('02_Daily_Master'!$AB$2:$AB$82,'01_Run_Config'!$B$5+1),"0.000")&amp;" ml/L"&amp;CHAR(10)&amp;"Voodoo Juice: "&amp;TEXT(INDEX('02_Daily_Master'!$AC$2:$AC$82,'01_Run_Config'!$B$5+1),"0.00")&amp;" ml/L"&amp;CHAR(10)&amp;"Tarantula: "&amp;TEXT(INDEX('02_Daily_Master'!$AU$2:$AU$82,'01_Run_Config'!$B$5+1),"0.00")&amp;" ml/L"&amp;CHAR(10)&amp;"Athena Balance: KEINE Kalenderdosis · nur pH-Up wenn Endmix &lt; "&amp;TEXT('01_Run_Config'!$B$23,"0.00")&amp;CHAR(10)&amp;"AN gesamt heute: "&amp;INDEX('02_Daily_Master'!$BH$2:$BH$82,'01_Run_Config'!$B$5+1)</x:f>
        <x:v>Basis: Kein Basisdünger · 0.00 ml/L
Wurzel Complex: 2.50 ml/L
PowerZyme: 0.00 ml/L
SuperVit: 0.015 ml/L
HESI Boost: 0.00 ml/L
HESI PK13/14: 0.000 ml/L
Voodoo Juice: 0.00 ml/L
Tarantula: 0.00 ml/L
Athena Balance: KEINE Kalenderdosis · nur pH-Up wenn Endmix &lt; 5.80
AN gesamt heute: keine AN-Dosis heute</x:v>
      </x:c>
      <x:c r="B26" s="2375"/>
      <x:c r="C26" s="2375"/>
      <x:c r="D26" s="2375"/>
      <x:c r="E26" s="2375"/>
      <x:c r="F26" s="2375"/>
      <x:c r="G26" s="2375"/>
      <x:c r="H26" s="2375"/>
      <x:c r="I26" s="2379" t="str">
        <x:v>BEGRIFFE HIER
ml/L = Milliliter Produkt pro Liter Wasser.
Nur bedingt = erst nach erfüllter Voraussetzung.
Vollständigkeitsprüfung = kontrolliert, ob kein ausgewähltes Produkt im Plan 'verschwindet'.
AKTIV = heute operativ aktiv.
AUS = bewusst nicht im Referenzpfad.
Mehr: 34_CONTEXT_HELP_MAP</x:v>
      </x:c>
      <x:c r="J26" s="2379"/>
      <x:c r="K26" s="2379"/>
      <x:c r="L26" s="2379"/>
    </x:row>
    <x:row r="27">
      <x:c r="A27" s="2375"/>
      <x:c r="B27" s="2375"/>
      <x:c r="C27" s="2375"/>
      <x:c r="D27" s="2375"/>
      <x:c r="E27" s="2375"/>
      <x:c r="F27" s="2375"/>
      <x:c r="G27" s="2375"/>
      <x:c r="H27" s="2375"/>
      <x:c r="I27" s="2379"/>
      <x:c r="J27" s="2379"/>
      <x:c r="K27" s="2379"/>
      <x:c r="L27" s="2379"/>
    </x:row>
    <x:row r="28">
      <x:c r="A28" s="2375"/>
      <x:c r="B28" s="2375"/>
      <x:c r="C28" s="2375"/>
      <x:c r="D28" s="2375"/>
      <x:c r="E28" s="2375"/>
      <x:c r="F28" s="2375"/>
      <x:c r="G28" s="2375"/>
      <x:c r="H28" s="2375"/>
      <x:c r="I28" s="2379"/>
      <x:c r="J28" s="2379"/>
      <x:c r="K28" s="2379"/>
      <x:c r="L28" s="2379"/>
    </x:row>
    <x:row r="29">
      <x:c r="A29" s="2375"/>
      <x:c r="B29" s="2375"/>
      <x:c r="C29" s="2375"/>
      <x:c r="D29" s="2375"/>
      <x:c r="E29" s="2375"/>
      <x:c r="F29" s="2375"/>
      <x:c r="G29" s="2375"/>
      <x:c r="H29" s="2375"/>
      <x:c r="I29" s="2379"/>
      <x:c r="J29" s="2379"/>
      <x:c r="K29" s="2379"/>
      <x:c r="L29" s="2379"/>
    </x:row>
    <x:row r="30">
      <x:c r="A30" s="2375"/>
      <x:c r="B30" s="2375"/>
      <x:c r="C30" s="2375"/>
      <x:c r="D30" s="2375"/>
      <x:c r="E30" s="2375"/>
      <x:c r="F30" s="2375"/>
      <x:c r="G30" s="2375"/>
      <x:c r="H30" s="2375"/>
      <x:c r="I30" s="2379"/>
      <x:c r="J30" s="2379"/>
      <x:c r="K30" s="2379"/>
      <x:c r="L30" s="2379"/>
    </x:row>
    <x:row r="31">
      <x:c r="A31" s="2375"/>
      <x:c r="B31" s="2375"/>
      <x:c r="C31" s="2375"/>
      <x:c r="D31" s="2375"/>
      <x:c r="E31" s="2375"/>
      <x:c r="F31" s="2375"/>
      <x:c r="G31" s="2375"/>
      <x:c r="H31" s="2375"/>
      <x:c r="I31" s="2379"/>
      <x:c r="J31" s="2379"/>
      <x:c r="K31" s="2379"/>
      <x:c r="L31" s="2379"/>
    </x:row>
    <x:row r="32">
      <x:c r="A32" s="2375"/>
      <x:c r="B32" s="2375"/>
      <x:c r="C32" s="2375"/>
      <x:c r="D32" s="2375"/>
      <x:c r="E32" s="2375"/>
      <x:c r="F32" s="2375"/>
      <x:c r="G32" s="2375"/>
      <x:c r="H32" s="2375"/>
      <x:c r="I32" s="2379"/>
      <x:c r="J32" s="2379"/>
      <x:c r="K32" s="2379"/>
      <x:c r="L32" s="2379"/>
    </x:row>
    <x:row r="33">
      <x:c r="A33" s="2375"/>
      <x:c r="B33" s="2375"/>
      <x:c r="C33" s="2375"/>
      <x:c r="D33" s="2375"/>
      <x:c r="E33" s="2375"/>
      <x:c r="F33" s="2375"/>
      <x:c r="G33" s="2375"/>
      <x:c r="H33" s="2375"/>
      <x:c r="I33" s="2379"/>
      <x:c r="J33" s="2379"/>
      <x:c r="K33" s="2379"/>
      <x:c r="L33" s="2379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</x:row>
    <x:row r="35">
      <x:c r="A35" s="2367" t="str">
        <x:v>NACH DER AKTION LOGGEN</x:v>
      </x:c>
      <x:c r="B35" s="2367"/>
      <x:c r="C35" s="2367"/>
      <x:c r="D35" s="2367"/>
      <x:c r="E35" s="2367"/>
      <x:c r="F35" s="2367"/>
      <x:c r="G35" s="2367"/>
      <x:c r="H35" s="2367"/>
      <x:c r="I35" s="2367"/>
      <x:c r="J35" s="2367"/>
      <x:c r="K35" s="2367"/>
      <x:c r="L35" s="2367"/>
    </x:row>
    <x:row r="36">
      <x:c r="A36" s="2371" t="str">
        <x:v>Eintragen in 12_Daily_Log: tatsächliche Temperatur/Luftfeuchte, pH in, EC in, ggf. pH/EC Drain, Wasser L, Pflanzen-/Stressbeobachtung und Notiz.
Wenn du nicht weißt, welches Feld gemeint ist: 39_LOG_GUIDE öffnen. Wenn du einen Begriff nicht verstehst: 34_CONTEXT_HELP_MAP öffnen.</x:v>
      </x:c>
      <x:c r="B36" s="2371"/>
      <x:c r="C36" s="2371"/>
      <x:c r="D36" s="2371"/>
      <x:c r="E36" s="2371"/>
      <x:c r="F36" s="2371"/>
      <x:c r="G36" s="2371"/>
      <x:c r="H36" s="2371"/>
      <x:c r="I36" s="2371"/>
      <x:c r="J36" s="2371"/>
      <x:c r="K36" s="2371"/>
      <x:c r="L36" s="2371"/>
    </x:row>
    <x:row r="37">
      <x:c r="A37" s="2371"/>
      <x:c r="B37" s="2371"/>
      <x:c r="C37" s="2371"/>
      <x:c r="D37" s="2371"/>
      <x:c r="E37" s="2371"/>
      <x:c r="F37" s="2371"/>
      <x:c r="G37" s="2371"/>
      <x:c r="H37" s="2371"/>
      <x:c r="I37" s="2371"/>
      <x:c r="J37" s="2371"/>
      <x:c r="K37" s="2371"/>
      <x:c r="L37" s="2371"/>
    </x:row>
    <x:row r="38">
      <x:c r="A38" s="2371"/>
      <x:c r="B38" s="2371"/>
      <x:c r="C38" s="2371"/>
      <x:c r="D38" s="2371"/>
      <x:c r="E38" s="2371"/>
      <x:c r="F38" s="2371"/>
      <x:c r="G38" s="2371"/>
      <x:c r="H38" s="2371"/>
      <x:c r="I38" s="2371"/>
      <x:c r="J38" s="2371"/>
      <x:c r="K38" s="2371"/>
      <x:c r="L38" s="2371"/>
    </x:row>
    <x:row r="39">
      <x:c r="A39" s="2371"/>
      <x:c r="B39" s="2371"/>
      <x:c r="C39" s="2371"/>
      <x:c r="D39" s="2371"/>
      <x:c r="E39" s="2371"/>
      <x:c r="F39" s="2371"/>
      <x:c r="G39" s="2371"/>
      <x:c r="H39" s="2371"/>
      <x:c r="I39" s="2371"/>
      <x:c r="J39" s="2371"/>
      <x:c r="K39" s="2371"/>
      <x:c r="L39" s="2371"/>
    </x:row>
    <x:row r="40">
      <x:c r="A40" s="2371"/>
      <x:c r="B40" s="2371"/>
      <x:c r="C40" s="2371"/>
      <x:c r="D40" s="2371"/>
      <x:c r="E40" s="2371"/>
      <x:c r="F40" s="2371"/>
      <x:c r="G40" s="2371"/>
      <x:c r="H40" s="2371"/>
      <x:c r="I40" s="2371"/>
      <x:c r="J40" s="2371"/>
      <x:c r="K40" s="2371"/>
      <x:c r="L40" s="2371"/>
    </x:row>
  </x:sheetData>
  <x:mergeCells>
    <x:mergeCell ref="A1:L1"/>
    <x:mergeCell ref="A2:L2"/>
    <x:mergeCell ref="A4:D4"/>
    <x:mergeCell ref="A5:D9"/>
    <x:mergeCell ref="E4:H4"/>
    <x:mergeCell ref="E5:H9"/>
    <x:mergeCell ref="I4:L4"/>
    <x:mergeCell ref="I5:L9"/>
    <x:mergeCell ref="A11:L11"/>
    <x:mergeCell ref="A12:C16"/>
    <x:mergeCell ref="D12:F16"/>
    <x:mergeCell ref="G12:I16"/>
    <x:mergeCell ref="J12:L16"/>
    <x:mergeCell ref="A18:F18"/>
    <x:mergeCell ref="A19:F23"/>
    <x:mergeCell ref="G18:L18"/>
    <x:mergeCell ref="G19:L23"/>
    <x:mergeCell ref="A25:L25"/>
    <x:mergeCell ref="A26:H33"/>
    <x:mergeCell ref="I26:L33"/>
    <x:mergeCell ref="A35:L35"/>
    <x:mergeCell ref="A36:L40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2406" t="str">
        <x:v>SETUP · bekannte Fakten, offene Punkte und Freigaben vor dem Run</x:v>
      </x:c>
      <x:c r="B1" s="2406"/>
      <x:c r="C1" s="2406"/>
      <x:c r="D1" s="2406"/>
      <x:c r="E1" s="2406"/>
      <x:c r="F1" s="2406"/>
      <x:c r="G1" s="2406"/>
      <x:c r="H1" s="2406"/>
      <x:c r="I1" s="2406"/>
      <x:c r="J1" s="2406"/>
    </x:row>
    <x:row r="2">
      <x:c r="A2" s="2373" t="str">
        <x:v>Wofür? Hier wird NICHT gedüngt. Hier wird festgelegt, womit du arbeitest, was sicher bekannt ist, was noch gemessen werden muss und was den Start blockiert.</x:v>
      </x:c>
      <x:c r="B2" s="2373"/>
      <x:c r="C2" s="2373"/>
      <x:c r="D2" s="2373"/>
      <x:c r="E2" s="2373"/>
      <x:c r="F2" s="2373"/>
      <x:c r="G2" s="2373"/>
      <x:c r="H2" s="2373"/>
      <x:c r="I2" s="2373"/>
      <x:c r="J2" s="2373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2367" t="str">
        <x:v>Bereich</x:v>
      </x:c>
      <x:c r="B4" s="2367" t="str">
        <x:v>Status</x:v>
      </x:c>
      <x:c r="C4" s="2367" t="str">
        <x:v>Was ist aktuell bekannt?</x:v>
      </x:c>
      <x:c r="D4" s="2367"/>
      <x:c r="E4" s="2367"/>
      <x:c r="F4" s="2367" t="str">
        <x:v>Was fehlt / was bedeutet das?</x:v>
      </x:c>
      <x:c r="G4" s="2367"/>
      <x:c r="H4" s="2367"/>
      <x:c r="I4" s="2367" t="str">
        <x:v>Wo nachsehen?</x:v>
      </x:c>
      <x:c r="J4" s="2367"/>
    </x:row>
    <x:row r="5" ht="42" customHeight="1">
      <x:c r="A5" s="2405" t="str">
        <x:v>Propagation / Anzucht</x:v>
      </x:c>
      <x:c r="B5" s="2373" t="str">
        <x:v>PRÜFEN</x:v>
      </x:c>
      <x:c r="C5" s="60" t="str">
        <x:v>Eazy Plug Mini -&gt; Eazy Block Standard -&gt; UGro Rhiza Coco</x:v>
      </x:c>
      <x:c r="D5" s="60"/>
      <x:c r="E5" s="60"/>
      <x:c r="F5" s="60" t="str">
        <x:v>Exakte Eazy-Größe und tatsächliches Umtopf-Ereignis noch bestätigen.</x:v>
      </x:c>
      <x:c r="G5" s="60"/>
      <x:c r="H5" s="60"/>
      <x:c r="I5" s="60" t="str">
        <x:v>01_Run_Config A66:H76</x:v>
      </x:c>
      <x:c r="J5" s="60"/>
    </x:row>
    <x:row r="6" ht="42" customHeight="1">
      <x:c r="A6" s="2405" t="str">
        <x:v>Finales Medium</x:v>
      </x:c>
      <x:c r="B6" s="2371" t="str">
        <x:v>BEKANNT</x:v>
      </x:c>
      <x:c r="C6" s="60" t="str">
        <x:v>UGro Rhiza Coco</x:v>
      </x:c>
      <x:c r="D6" s="60"/>
      <x:c r="E6" s="60"/>
      <x:c r="F6" s="60" t="str">
        <x:v>Exaktes UGro-Format und tatsächliches Füllvolumen bleiben Setup-Fakten.</x:v>
      </x:c>
      <x:c r="G6" s="60"/>
      <x:c r="H6" s="60"/>
      <x:c r="I6" s="60" t="str">
        <x:v>01_Run_Config / Produktprofil</x:v>
      </x:c>
      <x:c r="J6" s="60"/>
    </x:row>
    <x:row r="7" ht="42" customHeight="1">
      <x:c r="A7" s="2405" t="str">
        <x:v>Wasserchemie</x:v>
      </x:c>
      <x:c r="B7" s="2377" t="str">
        <x:v>UNBEKANNT</x:v>
      </x:c>
      <x:c r="C7" s="60" t="str">
        <x:v>pH/EC des Ausgangswassers teilweise bekannt oder vom Nutzer eingetragen</x:v>
      </x:c>
      <x:c r="D7" s="60"/>
      <x:c r="E7" s="60"/>
      <x:c r="F7" s="60" t="str">
        <x:v>Calcium (Ca), Magnesium (Mg) und Hydrogencarbonat/Alkalinität fehlen für chemieabhängige Entscheidungen.</x:v>
      </x:c>
      <x:c r="G7" s="60"/>
      <x:c r="H7" s="60"/>
      <x:c r="I7" s="60" t="str">
        <x:v>01_Run_Config · Wasser-Gate</x:v>
      </x:c>
      <x:c r="J7" s="60"/>
    </x:row>
    <x:row r="8" ht="42" customHeight="1">
      <x:c r="A8" s="2405" t="str">
        <x:v>pH-Meter</x:v>
      </x:c>
      <x:c r="B8" s="2373" t="str">
        <x:v>OFFEN</x:v>
      </x:c>
      <x:c r="C8" s="60" t="str">
        <x:v>Messgerät vorhanden</x:v>
      </x:c>
      <x:c r="D8" s="60"/>
      <x:c r="E8" s="60"/>
      <x:c r="F8" s="60" t="str">
        <x:v>Kalibrierstatus und Datum noch protokollieren.</x:v>
      </x:c>
      <x:c r="G8" s="60"/>
      <x:c r="H8" s="60"/>
      <x:c r="I8" s="60" t="str">
        <x:v>12_Daily_Log / späteres Geräteprofil</x:v>
      </x:c>
      <x:c r="J8" s="60"/>
    </x:row>
    <x:row r="9" ht="42" customHeight="1">
      <x:c r="A9" s="2405" t="str">
        <x:v>EC-Meter</x:v>
      </x:c>
      <x:c r="B9" s="2373" t="str">
        <x:v>OFFEN</x:v>
      </x:c>
      <x:c r="C9" s="60" t="str">
        <x:v>Messgerät vorhanden</x:v>
      </x:c>
      <x:c r="D9" s="60"/>
      <x:c r="E9" s="60"/>
      <x:c r="F9" s="60" t="str">
        <x:v>Kalibrierstatus und Datum noch protokollieren.</x:v>
      </x:c>
      <x:c r="G9" s="60"/>
      <x:c r="H9" s="60"/>
      <x:c r="I9" s="60" t="str">
        <x:v>12_Daily_Log / späteres Geräteprofil</x:v>
      </x:c>
      <x:c r="J9" s="60"/>
    </x:row>
    <x:row r="10" ht="42" customHeight="1">
      <x:c r="A10" s="2405" t="str">
        <x:v>Nährstoffsystem</x:v>
      </x:c>
      <x:c r="B10" s="2371" t="str">
        <x:v>BEKANNT</x:v>
      </x:c>
      <x:c r="C10" s="60" t="str">
        <x:v>HESI-Basis + Voodoo/Tarantula</x:v>
      </x:c>
      <x:c r="D10" s="60"/>
      <x:c r="E10" s="60"/>
      <x:c r="F10" s="60" t="str">
        <x:v>Alternativen bleiben AUS oder bedingt. Bestand allein beweist keinen Bedarf.</x:v>
      </x:c>
      <x:c r="G10" s="60"/>
      <x:c r="H10" s="60"/>
      <x:c r="I10" s="60" t="str">
        <x:v>27_HESI_AN_Hybrid</x:v>
      </x:c>
      <x:c r="J10" s="60"/>
    </x:row>
    <x:row r="11" ht="42" customHeight="1">
      <x:c r="A11" s="2405" t="str">
        <x:v>Silizium-/pH-Pfad</x:v>
      </x:c>
      <x:c r="B11" s="2373" t="str">
        <x:v>BEDINGT</x:v>
      </x:c>
      <x:c r="C11" s="60" t="str">
        <x:v>Athena Balance ausgewählt</x:v>
      </x:c>
      <x:c r="D11" s="60"/>
      <x:c r="E11" s="60"/>
      <x:c r="F11" s="60" t="str">
        <x:v>Keine universelle Kalenderdosis; erst nach Wasser-/Endmix-Prüfung einsetzen.</x:v>
      </x:c>
      <x:c r="G11" s="60"/>
      <x:c r="H11" s="60"/>
      <x:c r="I11" s="60" t="str">
        <x:v>24_Athena_Balance</x:v>
      </x:c>
      <x:c r="J11" s="60"/>
    </x:row>
    <x:row r="12" ht="42" customHeight="1">
      <x:c r="A12" s="2405" t="str">
        <x:v>CalMag</x:v>
      </x:c>
      <x:c r="B12" s="2373" t="str">
        <x:v>BEDINGT</x:v>
      </x:c>
      <x:c r="C12" s="60" t="str">
        <x:v>Sensi CalMag Xtra vorhanden</x:v>
      </x:c>
      <x:c r="D12" s="60"/>
      <x:c r="E12" s="60"/>
      <x:c r="F12" s="60" t="str">
        <x:v>Aktuelle Plan-Dosis bleibt 0, bis ein Bedarf ausdrücklich freigegeben ist.</x:v>
      </x:c>
      <x:c r="G12" s="60"/>
      <x:c r="H12" s="60"/>
      <x:c r="I12" s="60" t="str">
        <x:v>28_Current_Inventory</x:v>
      </x:c>
      <x:c r="J12" s="60"/>
    </x:row>
    <x:row r="13" ht="42" customHeight="1">
      <x:c r="A13" s="2405" t="str">
        <x:v>Licht</x:v>
      </x:c>
      <x:c r="B13" s="2373" t="str">
        <x:v>TEILWEISE</x:v>
      </x:c>
      <x:c r="C13" s="60" t="str">
        <x:v>140-W-Plantrajektorie</x:v>
      </x:c>
      <x:c r="D13" s="60"/>
      <x:c r="E13" s="60"/>
      <x:c r="F13" s="60" t="str">
        <x:v>Exaktes Lampenmodell und PPFD-Karte fehlen als strukturierte Setup-Fakten.</x:v>
      </x:c>
      <x:c r="G13" s="60"/>
      <x:c r="H13" s="60"/>
      <x:c r="I13" s="60" t="str">
        <x:v>10_Climate_Light</x:v>
      </x:c>
      <x:c r="J13" s="60"/>
    </x:row>
    <x:row r="14" ht="42" customHeight="1">
      <x:c r="A14" s="2405" t="str">
        <x:v>Lüftung / Umluft</x:v>
      </x:c>
      <x:c r="B14" s="2373" t="str">
        <x:v>TEILWEISE</x:v>
      </x:c>
      <x:c r="C14" s="60" t="str">
        <x:v>AC Infinity T4 + geplante große, langsam laufende Umluftlüfter</x:v>
      </x:c>
      <x:c r="D14" s="60"/>
      <x:c r="E14" s="60"/>
      <x:c r="F14" s="60" t="str">
        <x:v>Exakte Geräteprofile und Positionen fehlen noch im kanonischen Setup-Modell.</x:v>
      </x:c>
      <x:c r="G14" s="60"/>
      <x:c r="H14" s="60"/>
      <x:c r="I14" s="60" t="str">
        <x:v>späteres SetupProfile</x:v>
      </x:c>
      <x:c r="J14" s="60"/>
    </x:row>
    <x:row r="15" ht="42" customHeight="1">
      <x:c r="A15" s="2405" t="str">
        <x:v>Run-/Phasentrigger</x:v>
      </x:c>
      <x:c r="B15" s="2371" t="str">
        <x:v>BEKANNT</x:v>
      </x:c>
      <x:c r="C15" s="60" t="str">
        <x:v>Zellen für Nährstoff- und Blüte-Trigger vorhanden</x:v>
      </x:c>
      <x:c r="D15" s="60"/>
      <x:c r="E15" s="60"/>
      <x:c r="F15" s="60" t="str">
        <x:v>Kalendertrigger ist kein biologischer Beweis; Pflanzen-/Medium-Gate bleibt vorrangig.</x:v>
      </x:c>
      <x:c r="G15" s="60"/>
      <x:c r="H15" s="60"/>
      <x:c r="I15" s="60" t="str">
        <x:v>01_Run_Config</x:v>
      </x:c>
      <x:c r="J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67" t="str">
        <x:v>FACHBEGRIFFE DIREKT HIER</x:v>
      </x:c>
      <x:c r="B18" s="2367"/>
      <x:c r="C18" s="2367"/>
      <x:c r="D18" s="2367"/>
      <x:c r="E18" s="2367"/>
      <x:c r="F18" s="2367"/>
      <x:c r="G18" s="2367"/>
      <x:c r="H18" s="2367"/>
      <x:c r="I18" s="2367"/>
      <x:c r="J18" s="2367"/>
    </x:row>
    <x:row r="19">
      <x:c r="A19" s="2369" t="str">
        <x:v>Wasserchemie
Ca = Calcium
Mg = Magnesium
HCO3 / Alkalinität = Pufferwirkung des Wassers.
Warum wichtig? Zwei Wasserproben können denselben pH und EC haben, aber völlig verschieden auf pH-Korrektur und CalMag reagieren.</x:v>
      </x:c>
      <x:c r="B19" s="2369"/>
      <x:c r="C19" s="2369"/>
      <x:c r="D19" s="2369"/>
      <x:c r="E19" s="2369"/>
      <x:c r="F19" s="2371" t="str">
        <x:v>Propagation Gate
Bedeutet: Der Kalender allein darf einen frühen Düngerstart nicht freigeben.
Zusätzlich werden Mediumstufe und Pflanzenzustand geprüft.
Eazy Plug/Block sind bereits gepuffert; der Block selbst wird nicht aggressiv auf einen anderen pH 'eingestellt'.</x:v>
      </x:c>
      <x:c r="G19" s="2371"/>
      <x:c r="H19" s="2371"/>
      <x:c r="I19" s="2371"/>
      <x:c r="J19" s="2371"/>
    </x:row>
    <x:row r="20">
      <x:c r="A20" s="2369"/>
      <x:c r="B20" s="2369"/>
      <x:c r="C20" s="2369"/>
      <x:c r="D20" s="2369"/>
      <x:c r="E20" s="2369"/>
      <x:c r="F20" s="2371"/>
      <x:c r="G20" s="2371"/>
      <x:c r="H20" s="2371"/>
      <x:c r="I20" s="2371"/>
      <x:c r="J20" s="2371"/>
    </x:row>
    <x:row r="21">
      <x:c r="A21" s="2369"/>
      <x:c r="B21" s="2369"/>
      <x:c r="C21" s="2369"/>
      <x:c r="D21" s="2369"/>
      <x:c r="E21" s="2369"/>
      <x:c r="F21" s="2371"/>
      <x:c r="G21" s="2371"/>
      <x:c r="H21" s="2371"/>
      <x:c r="I21" s="2371"/>
      <x:c r="J21" s="2371"/>
    </x:row>
    <x:row r="22">
      <x:c r="A22" s="2369"/>
      <x:c r="B22" s="2369"/>
      <x:c r="C22" s="2369"/>
      <x:c r="D22" s="2369"/>
      <x:c r="E22" s="2369"/>
      <x:c r="F22" s="2371"/>
      <x:c r="G22" s="2371"/>
      <x:c r="H22" s="2371"/>
      <x:c r="I22" s="2371"/>
      <x:c r="J22" s="2371"/>
    </x:row>
    <x:row r="23">
      <x:c r="A23" s="2369"/>
      <x:c r="B23" s="2369"/>
      <x:c r="C23" s="2369"/>
      <x:c r="D23" s="2369"/>
      <x:c r="E23" s="2369"/>
      <x:c r="F23" s="2371"/>
      <x:c r="G23" s="2371"/>
      <x:c r="H23" s="2371"/>
      <x:c r="I23" s="2371"/>
      <x:c r="J23" s="2371"/>
    </x:row>
    <x:row r="24">
      <x:c r="A24" s="2369"/>
      <x:c r="B24" s="2369"/>
      <x:c r="C24" s="2369"/>
      <x:c r="D24" s="2369"/>
      <x:c r="E24" s="2369"/>
      <x:c r="F24" s="2371"/>
      <x:c r="G24" s="2371"/>
      <x:c r="H24" s="2371"/>
      <x:c r="I24" s="2371"/>
      <x:c r="J24" s="2371"/>
    </x:row>
    <x:row r="25">
      <x:c r="A25" s="2369"/>
      <x:c r="B25" s="2369"/>
      <x:c r="C25" s="2369"/>
      <x:c r="D25" s="2369"/>
      <x:c r="E25" s="2369"/>
      <x:c r="F25" s="2371"/>
      <x:c r="G25" s="2371"/>
      <x:c r="H25" s="2371"/>
      <x:c r="I25" s="2371"/>
      <x:c r="J25" s="2371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</x:row>
    <x:row r="28">
      <x:c r="A28" s="2379" t="str">
        <x:v>WO FINDE ICH WAS?
Produktbestand -&gt; 28_Current_Inventory · Hybridregeln -&gt; 27_HESI_AN_Hybrid · Quellen -&gt; 22_Sources · Begriffe -&gt; 34_CONTEXT_HELP_MAP · Systemweite offene Probleme -&gt; 29_GOAL_PROBLEM</x:v>
      </x:c>
      <x:c r="B28" s="2379"/>
      <x:c r="C28" s="2379"/>
      <x:c r="D28" s="2379"/>
      <x:c r="E28" s="2379"/>
      <x:c r="F28" s="2379"/>
      <x:c r="G28" s="2379"/>
      <x:c r="H28" s="2379"/>
      <x:c r="I28" s="2379"/>
      <x:c r="J28" s="2379"/>
    </x:row>
    <x:row r="29">
      <x:c r="A29" s="2379"/>
      <x:c r="B29" s="2379"/>
      <x:c r="C29" s="2379"/>
      <x:c r="D29" s="2379"/>
      <x:c r="E29" s="2379"/>
      <x:c r="F29" s="2379"/>
      <x:c r="G29" s="2379"/>
      <x:c r="H29" s="2379"/>
      <x:c r="I29" s="2379"/>
      <x:c r="J29" s="2379"/>
    </x:row>
    <x:row r="30">
      <x:c r="A30" s="2379"/>
      <x:c r="B30" s="2379"/>
      <x:c r="C30" s="2379"/>
      <x:c r="D30" s="2379"/>
      <x:c r="E30" s="2379"/>
      <x:c r="F30" s="2379"/>
      <x:c r="G30" s="2379"/>
      <x:c r="H30" s="2379"/>
      <x:c r="I30" s="2379"/>
      <x:c r="J30" s="2379"/>
    </x:row>
    <x:row r="31">
      <x:c r="A31" s="2379"/>
      <x:c r="B31" s="2379"/>
      <x:c r="C31" s="2379"/>
      <x:c r="D31" s="2379"/>
      <x:c r="E31" s="2379"/>
      <x:c r="F31" s="2379"/>
      <x:c r="G31" s="2379"/>
      <x:c r="H31" s="2379"/>
      <x:c r="I31" s="2379"/>
      <x:c r="J31" s="2379"/>
    </x:row>
    <x:row r="32">
      <x:c r="A32" s="2379"/>
      <x:c r="B32" s="2379"/>
      <x:c r="C32" s="2379"/>
      <x:c r="D32" s="2379"/>
      <x:c r="E32" s="2379"/>
      <x:c r="F32" s="2379"/>
      <x:c r="G32" s="2379"/>
      <x:c r="H32" s="2379"/>
      <x:c r="I32" s="2379"/>
      <x:c r="J32" s="2379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</x:row>
  </x:sheetData>
  <x:mergeCells>
    <x:mergeCell ref="A1:J1"/>
    <x:mergeCell ref="A2:J2"/>
    <x:mergeCell ref="C4:E4"/>
    <x:mergeCell ref="F4:H4"/>
    <x:mergeCell ref="I4:J4"/>
    <x:mergeCell ref="C5:E5"/>
    <x:mergeCell ref="F5:H5"/>
    <x:mergeCell ref="I5:J5"/>
    <x:mergeCell ref="C6:E6"/>
    <x:mergeCell ref="F6:H6"/>
    <x:mergeCell ref="I6:J6"/>
    <x:mergeCell ref="C7:E7"/>
    <x:mergeCell ref="F7:H7"/>
    <x:mergeCell ref="I7:J7"/>
    <x:mergeCell ref="C8:E8"/>
    <x:mergeCell ref="F8:H8"/>
    <x:mergeCell ref="I8:J8"/>
    <x:mergeCell ref="C9:E9"/>
    <x:mergeCell ref="F9:H9"/>
    <x:mergeCell ref="I9:J9"/>
    <x:mergeCell ref="C10:E10"/>
    <x:mergeCell ref="F10:H10"/>
    <x:mergeCell ref="I10:J10"/>
    <x:mergeCell ref="C11:E11"/>
    <x:mergeCell ref="F11:H11"/>
    <x:mergeCell ref="I11:J11"/>
    <x:mergeCell ref="C12:E12"/>
    <x:mergeCell ref="F12:H12"/>
    <x:mergeCell ref="I12:J12"/>
    <x:mergeCell ref="C13:E13"/>
    <x:mergeCell ref="F13:H13"/>
    <x:mergeCell ref="I13:J13"/>
    <x:mergeCell ref="C14:E14"/>
    <x:mergeCell ref="F14:H14"/>
    <x:mergeCell ref="I14:J14"/>
    <x:mergeCell ref="C15:E15"/>
    <x:mergeCell ref="F15:H15"/>
    <x:mergeCell ref="I15:J15"/>
    <x:mergeCell ref="A18:J18"/>
    <x:mergeCell ref="A19:E25"/>
    <x:mergeCell ref="F19:J25"/>
    <x:mergeCell ref="A28:J3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408" t="str">
        <x:v>MIX · heutigen Nährmix verständlich und in richtiger Reihenfolge herstellen</x:v>
      </x:c>
      <x:c r="B1" s="2408"/>
      <x:c r="C1" s="2408"/>
      <x:c r="D1" s="2408"/>
      <x:c r="E1" s="2408"/>
      <x:c r="F1" s="2408"/>
      <x:c r="G1" s="2408"/>
      <x:c r="H1" s="2408"/>
      <x:c r="I1" s="2408"/>
      <x:c r="J1" s="2408"/>
      <x:c r="K1" s="2408"/>
      <x:c r="L1" s="2408"/>
    </x:row>
    <x:row r="2">
      <x:c r="A2" s="2369" t="str">
        <x:v>Wofür? Diese Seite ist nur für einen tatsächlich anstehenden Mix. Wenn heute nicht gegossen wird, wird auch keine Plan-Dosis 'vorsorglich' angemischt.</x:v>
      </x:c>
      <x:c r="B2" s="2369"/>
      <x:c r="C2" s="2369"/>
      <x:c r="D2" s="2369"/>
      <x:c r="E2" s="2369"/>
      <x:c r="F2" s="2369"/>
      <x:c r="G2" s="2369"/>
      <x:c r="H2" s="2369"/>
      <x:c r="I2" s="2369"/>
      <x:c r="J2" s="2369"/>
      <x:c r="K2" s="2369"/>
      <x:c r="L2" s="236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HEUTE AKTIVE PRODUKTE</x:v>
      </x:c>
      <x:c r="B4" s="2367"/>
      <x:c r="C4" s="2367"/>
      <x:c r="D4" s="2367"/>
      <x:c r="E4" s="2367"/>
      <x:c r="F4" s="2367"/>
      <x:c r="G4" s="2367" t="str">
        <x:v>FREIGABEN / BEDINGUNGEN VOR DEM MISCHEN</x:v>
      </x:c>
      <x:c r="H4" s="2367"/>
      <x:c r="I4" s="2367"/>
      <x:c r="J4" s="2367"/>
      <x:c r="K4" s="2367"/>
      <x:c r="L4" s="2367"/>
    </x:row>
    <x:row r="5">
      <x:c r="A5" s="2375" t="str">
        <x:f>"Tag "&amp;'01_Run_Config'!$B$5&amp;CHAR(10)&amp;CHAR(10)&amp;"Basis: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ml/L"&amp;CHAR(10)&amp;"Boost: "&amp;TEXT(INDEX('02_Daily_Master'!$AA$2:$AA$82,'01_Run_Config'!$B$5+1),"0.00")&amp;" ml/L"&amp;CHAR(10)&amp;"PK13/14: "&amp;TEXT(INDEX('02_Daily_Master'!$AB$2:$AB$82,'01_Run_Config'!$B$5+1),"0.000")&amp;" ml/L"&amp;CHAR(10)&amp;"Voodoo Juice: "&amp;TEXT(INDEX('02_Daily_Master'!$AC$2:$AC$82,'01_Run_Config'!$B$5+1),"0.00")&amp;" ml/L"&amp;CHAR(10)&amp;"Tarantula: "&amp;TEXT(INDEX('02_Daily_Master'!$AU$2:$AU$82,'01_Run_Config'!$B$5+1),"0.00")&amp;" ml/L"&amp;CHAR(10)&amp;"Microbe cadence: 2 ml/L on each actual feed event in G1–G2 / B1–B2; no extra watering."</x:f>
        <x:v>Tag 2
Basis: Kein Basisdünger · 0.00 ml/L
Wurzel Complex: 2.50 ml/L
PowerZyme: 0.00 ml/L
SuperVit: 0.015 ml/L
Boost: 0.00 ml/L
PK13/14: 0.000 ml/L
Voodoo Juice: 0.00 ml/L
Tarantula: 0.00 ml/L
Microbe cadence: 2 ml/L on each actual feed event in G1–G2 / B1–B2; no extra watering.</x:v>
      </x:c>
      <x:c r="B5" s="2375"/>
      <x:c r="C5" s="2375"/>
      <x:c r="D5" s="2375"/>
      <x:c r="E5" s="2375"/>
      <x:c r="F5" s="2375"/>
      <x:c r="G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"&amp;'01_Run_Config'!$E$54&amp;CHAR(10)&amp;"Anzucht/Setup: "&amp;'01_Run_Config'!$E$75&amp;CHAR(10)&amp;CHAR(10)&amp;"GESPERRT = nicht mischen. NUR BEDINGT = erst Voraussetzung erfüllen. 0 ml/L kann der korrekte sichere Wert sein."</x:f>
        <x:v>Vollständigkeitsprüfung: OK
Wasserchemie: UNKNOWN
Athena Balance: AVAILABLE IF END-MIX LOW
CalMag: SAFE / DOSE 0
Anzucht/Setup: OPEN
GESPERRT = nicht mischen. NUR BEDINGT = erst Voraussetzung erfüllen. 0 ml/L kann der korrekte sichere Wert sein.</x:v>
      </x:c>
      <x:c r="H5" s="2377"/>
      <x:c r="I5" s="2377"/>
      <x:c r="J5" s="2377"/>
      <x:c r="K5" s="2377"/>
      <x:c r="L5" s="2377"/>
    </x:row>
    <x:row r="6">
      <x:c r="A6" s="2375"/>
      <x:c r="B6" s="2375"/>
      <x:c r="C6" s="2375"/>
      <x:c r="D6" s="2375"/>
      <x:c r="E6" s="2375"/>
      <x:c r="F6" s="2375"/>
      <x:c r="G6" s="2377"/>
      <x:c r="H6" s="2377"/>
      <x:c r="I6" s="2377"/>
      <x:c r="J6" s="2377"/>
      <x:c r="K6" s="2377"/>
      <x:c r="L6" s="2377"/>
    </x:row>
    <x:row r="7">
      <x:c r="A7" s="2375"/>
      <x:c r="B7" s="2375"/>
      <x:c r="C7" s="2375"/>
      <x:c r="D7" s="2375"/>
      <x:c r="E7" s="2375"/>
      <x:c r="F7" s="2375"/>
      <x:c r="G7" s="2377"/>
      <x:c r="H7" s="2377"/>
      <x:c r="I7" s="2377"/>
      <x:c r="J7" s="2377"/>
      <x:c r="K7" s="2377"/>
      <x:c r="L7" s="2377"/>
    </x:row>
    <x:row r="8">
      <x:c r="A8" s="2375"/>
      <x:c r="B8" s="2375"/>
      <x:c r="C8" s="2375"/>
      <x:c r="D8" s="2375"/>
      <x:c r="E8" s="2375"/>
      <x:c r="F8" s="2375"/>
      <x:c r="G8" s="2377"/>
      <x:c r="H8" s="2377"/>
      <x:c r="I8" s="2377"/>
      <x:c r="J8" s="2377"/>
      <x:c r="K8" s="2377"/>
      <x:c r="L8" s="2377"/>
    </x:row>
    <x:row r="9">
      <x:c r="A9" s="2375"/>
      <x:c r="B9" s="2375"/>
      <x:c r="C9" s="2375"/>
      <x:c r="D9" s="2375"/>
      <x:c r="E9" s="2375"/>
      <x:c r="F9" s="2375"/>
      <x:c r="G9" s="2377"/>
      <x:c r="H9" s="2377"/>
      <x:c r="I9" s="2377"/>
      <x:c r="J9" s="2377"/>
      <x:c r="K9" s="2377"/>
      <x:c r="L9" s="2377"/>
    </x:row>
    <x:row r="10">
      <x:c r="A10" s="2375"/>
      <x:c r="B10" s="2375"/>
      <x:c r="C10" s="2375"/>
      <x:c r="D10" s="2375"/>
      <x:c r="E10" s="2375"/>
      <x:c r="F10" s="2375"/>
      <x:c r="G10" s="2377"/>
      <x:c r="H10" s="2377"/>
      <x:c r="I10" s="2377"/>
      <x:c r="J10" s="2377"/>
      <x:c r="K10" s="2377"/>
      <x:c r="L10" s="2377"/>
    </x:row>
    <x:row r="11">
      <x:c r="A11" s="2375"/>
      <x:c r="B11" s="2375"/>
      <x:c r="C11" s="2375"/>
      <x:c r="D11" s="2375"/>
      <x:c r="E11" s="2375"/>
      <x:c r="F11" s="2375"/>
      <x:c r="G11" s="2377"/>
      <x:c r="H11" s="2377"/>
      <x:c r="I11" s="2377"/>
      <x:c r="J11" s="2377"/>
      <x:c r="K11" s="2377"/>
      <x:c r="L11" s="2377"/>
    </x:row>
    <x:row r="12">
      <x:c r="A12" s="2375"/>
      <x:c r="B12" s="2375"/>
      <x:c r="C12" s="2375"/>
      <x:c r="D12" s="2375"/>
      <x:c r="E12" s="2375"/>
      <x:c r="F12" s="2375"/>
      <x:c r="G12" s="2377"/>
      <x:c r="H12" s="2377"/>
      <x:c r="I12" s="2377"/>
      <x:c r="J12" s="2377"/>
      <x:c r="K12" s="2377"/>
      <x:c r="L12" s="2377"/>
    </x:row>
    <x:row r="13">
      <x:c r="A13" s="2375"/>
      <x:c r="B13" s="2375"/>
      <x:c r="C13" s="2375"/>
      <x:c r="D13" s="2375"/>
      <x:c r="E13" s="2375"/>
      <x:c r="F13" s="2375"/>
      <x:c r="G13" s="2377"/>
      <x:c r="H13" s="2377"/>
      <x:c r="I13" s="2377"/>
      <x:c r="J13" s="2377"/>
      <x:c r="K13" s="2377"/>
      <x:c r="L13" s="2377"/>
    </x:row>
    <x:row r="14">
      <x:c r="A14" s="2375"/>
      <x:c r="B14" s="2375"/>
      <x:c r="C14" s="2375"/>
      <x:c r="D14" s="2375"/>
      <x:c r="E14" s="2375"/>
      <x:c r="F14" s="2375"/>
      <x:c r="G14" s="2377"/>
      <x:c r="H14" s="2377"/>
      <x:c r="I14" s="2377"/>
      <x:c r="J14" s="2377"/>
      <x:c r="K14" s="2377"/>
      <x:c r="L14" s="2377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</x:row>
    <x:row r="16">
      <x:c r="A16" s="2399" t="str">
        <x:v>MISCHREIHENFOLGE · in normaler Sprache</x:v>
      </x:c>
      <x:c r="B16" s="2399"/>
      <x:c r="C16" s="2399"/>
      <x:c r="D16" s="2399"/>
      <x:c r="E16" s="2399"/>
      <x:c r="F16" s="2399"/>
      <x:c r="G16" s="2399"/>
      <x:c r="H16" s="2399"/>
      <x:c r="I16" s="2399"/>
      <x:c r="J16" s="2399"/>
      <x:c r="K16" s="2399"/>
      <x:c r="L16" s="239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 ht="34" customHeight="1">
      <x:c r="A18" s="2405" t="str">
        <x:v>1</x:v>
      </x:c>
      <x:c r="B18" s="2405" t="str">
        <x:v>Wasser vorbereiten</x:v>
      </x:c>
      <x:c r="C18" s="2371" t="str">
        <x:v>Frisches Wasser verwenden. Ausgangs-pH, EC und Temperatur messen.</x:v>
      </x:c>
      <x:c r="D18" s="2371"/>
      <x:c r="E18" s="2371"/>
      <x:c r="F18" s="2371"/>
      <x:c r="G18" s="2371"/>
      <x:c r="H18" s="2371"/>
      <x:c r="I18" s="2371"/>
      <x:c r="J18" s="2371"/>
      <x:c r="K18" s="2371"/>
      <x:c r="L18" s="2371"/>
    </x:row>
    <x:row r="19" ht="34" customHeight="1">
      <x:c r="A19" s="2405" t="str">
        <x:v>2</x:v>
      </x:c>
      <x:c r="B19" s="2405" t="str">
        <x:v>Athena nur wenn freigegeben</x:v>
      </x:c>
      <x:c r="C19" s="2371" t="str">
        <x:v>Athena Balance zuerst ins Wasser - aber nur wenn das Wasser-/Endmix-Gate es wirklich verlangt.</x:v>
      </x:c>
      <x:c r="D19" s="2371"/>
      <x:c r="E19" s="2371"/>
      <x:c r="F19" s="2371"/>
      <x:c r="G19" s="2371"/>
      <x:c r="H19" s="2371"/>
      <x:c r="I19" s="2371"/>
      <x:c r="J19" s="2371"/>
      <x:c r="K19" s="2371"/>
      <x:c r="L19" s="2371"/>
    </x:row>
    <x:row r="20" ht="34" customHeight="1">
      <x:c r="A20" s="2405" t="str">
        <x:v>3</x:v>
      </x:c>
      <x:c r="B20" s="2405" t="str">
        <x:v>CalMag nur bei bestätigtem Bedarf</x:v>
      </x:c>
      <x:c r="C20" s="2371" t="str">
        <x:v>Sensi CalMag Xtra bleibt sonst 0. Vorhanden bedeutet nicht benötigt.</x:v>
      </x:c>
      <x:c r="D20" s="2371"/>
      <x:c r="E20" s="2371"/>
      <x:c r="F20" s="2371"/>
      <x:c r="G20" s="2371"/>
      <x:c r="H20" s="2371"/>
      <x:c r="I20" s="2371"/>
      <x:c r="J20" s="2371"/>
      <x:c r="K20" s="2371"/>
      <x:c r="L20" s="2371"/>
    </x:row>
    <x:row r="21" ht="34" customHeight="1">
      <x:c r="A21" s="2405" t="str">
        <x:v>4</x:v>
      </x:c>
      <x:c r="B21" s="2405" t="str">
        <x:v>HESI Basis einmischen</x:v>
      </x:c>
      <x:c r="C21" s="2371" t="str">
        <x:v>TNT oder Coco vollständig einrühren.</x:v>
      </x:c>
      <x:c r="D21" s="2371"/>
      <x:c r="E21" s="2371"/>
      <x:c r="F21" s="2371"/>
      <x:c r="G21" s="2371"/>
      <x:c r="H21" s="2371"/>
      <x:c r="I21" s="2371"/>
      <x:c r="J21" s="2371"/>
      <x:c r="K21" s="2371"/>
      <x:c r="L21" s="2371"/>
    </x:row>
    <x:row r="22" ht="34" customHeight="1">
      <x:c r="A22" s="2405" t="str">
        <x:v>5</x:v>
      </x:c>
      <x:c r="B22" s="2405" t="str">
        <x:v>HESI Support ergänzen</x:v>
      </x:c>
      <x:c r="C22" s="2371" t="str">
        <x:v>Wurzel Complex, PowerZyme, SuperVit und in der Blüte Boost/PK nach dem heutigen Plan.</x:v>
      </x:c>
      <x:c r="D22" s="2371"/>
      <x:c r="E22" s="2371"/>
      <x:c r="F22" s="2371"/>
      <x:c r="G22" s="2371"/>
      <x:c r="H22" s="2371"/>
      <x:c r="I22" s="2371"/>
      <x:c r="J22" s="2371"/>
      <x:c r="K22" s="2371"/>
      <x:c r="L22" s="2371"/>
    </x:row>
    <x:row r="23" ht="34" customHeight="1">
      <x:c r="A23" s="2405" t="str">
        <x:v>6</x:v>
      </x:c>
      <x:c r="B23" s="2405" t="str">
        <x:v>EC prüfen</x:v>
      </x:c>
      <x:c r="C23" s="2371" t="str">
        <x:v>Nährsalzstärke messen. Nicht nur nach ml/L urteilen.</x:v>
      </x:c>
      <x:c r="D23" s="2371"/>
      <x:c r="E23" s="2371"/>
      <x:c r="F23" s="2371"/>
      <x:c r="G23" s="2371"/>
      <x:c r="H23" s="2371"/>
      <x:c r="I23" s="2371"/>
      <x:c r="J23" s="2371"/>
      <x:c r="K23" s="2371"/>
      <x:c r="L23" s="2371"/>
    </x:row>
    <x:row r="24" ht="34" customHeight="1">
      <x:c r="A24" s="2405" t="str">
        <x:v>7</x:v>
      </x:c>
      <x:c r="B24" s="2405" t="str">
        <x:v>Mischen / warten</x:v>
      </x:c>
      <x:c r="C24" s="2371" t="str">
        <x:v>5–10 Minuten homogenisieren, dann den fertigen Mix beurteilen.</x:v>
      </x:c>
      <x:c r="D24" s="2371"/>
      <x:c r="E24" s="2371"/>
      <x:c r="F24" s="2371"/>
      <x:c r="G24" s="2371"/>
      <x:c r="H24" s="2371"/>
      <x:c r="I24" s="2371"/>
      <x:c r="J24" s="2371"/>
      <x:c r="K24" s="2371"/>
      <x:c r="L24" s="2371"/>
    </x:row>
    <x:row r="25" ht="34" customHeight="1">
      <x:c r="A25" s="2405" t="str">
        <x:v>8</x:v>
      </x:c>
      <x:c r="B25" s="2405" t="str">
        <x:v>pH erst jetzt korrigieren</x:v>
      </x:c>
      <x:c r="C25" s="2371" t="str">
        <x:v>Nur den fertigen Mix korrigieren. Kein Hin-und-her zwischen Athena und pH Down.</x:v>
      </x:c>
      <x:c r="D25" s="2371"/>
      <x:c r="E25" s="2371"/>
      <x:c r="F25" s="2371"/>
      <x:c r="G25" s="2371"/>
      <x:c r="H25" s="2371"/>
      <x:c r="I25" s="2371"/>
      <x:c r="J25" s="2371"/>
      <x:c r="K25" s="2371"/>
      <x:c r="L25" s="2371"/>
    </x:row>
    <x:row r="26" ht="34" customHeight="1">
      <x:c r="A26" s="2405" t="str">
        <x:v>9</x:v>
      </x:c>
      <x:c r="B26" s="2405" t="str">
        <x:v>Voodoo + Tarantula zuletzt</x:v>
      </x:c>
      <x:c r="C26" s="2371" t="str">
        <x:v>Biologische Zusätze erst nach der finalen pH-Korrektur in stark verdünnter Umgebung zugeben.</x:v>
      </x:c>
      <x:c r="D26" s="2371"/>
      <x:c r="E26" s="2371"/>
      <x:c r="F26" s="2371"/>
      <x:c r="G26" s="2371"/>
      <x:c r="H26" s="2371"/>
      <x:c r="I26" s="2371"/>
      <x:c r="J26" s="2371"/>
      <x:c r="K26" s="2371"/>
      <x:c r="L26" s="2371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</x:row>
    <x:row r="29">
      <x:c r="A29" s="2379" t="str">
        <x:v>BEGRIFFE HIER
Batch = die konkret angemischte Wassermenge.
EC = Nährsalzstärke / Leitfähigkeit.
Endmix = fertige Lösung nach allen mineralischen Zusätzen.
Titration = kleine schrittweise Zugabe mit erneuter Messung.
pH Down = Säureprodukt zur Senkung des finalen pH.</x:v>
      </x:c>
      <x:c r="B29" s="2379"/>
      <x:c r="C29" s="2379"/>
      <x:c r="D29" s="2379"/>
      <x:c r="E29" s="2379"/>
      <x:c r="F29" s="2379"/>
      <x:c r="G29" s="2369" t="str">
        <x:v>WO NACHSEHEN?
Exakte Batch-Mengen -&gt; 05_Mix_Calculator
Produktregeln -&gt; 27_HESI_AN_Hybrid
Do-not-stack -&gt; 19_Do_Not_Stack
Warum ein Produkt 0/blocked ist -&gt; 01_Run_Config
Begriffe -&gt; 34_CONTEXT_HELP_MAP</x:v>
      </x:c>
      <x:c r="H29" s="2369"/>
      <x:c r="I29" s="2369"/>
      <x:c r="J29" s="2369"/>
      <x:c r="K29" s="2369"/>
      <x:c r="L29" s="2369"/>
    </x:row>
    <x:row r="30">
      <x:c r="A30" s="2379"/>
      <x:c r="B30" s="2379"/>
      <x:c r="C30" s="2379"/>
      <x:c r="D30" s="2379"/>
      <x:c r="E30" s="2379"/>
      <x:c r="F30" s="2379"/>
      <x:c r="G30" s="2369"/>
      <x:c r="H30" s="2369"/>
      <x:c r="I30" s="2369"/>
      <x:c r="J30" s="2369"/>
      <x:c r="K30" s="2369"/>
      <x:c r="L30" s="2369"/>
    </x:row>
    <x:row r="31">
      <x:c r="A31" s="2379"/>
      <x:c r="B31" s="2379"/>
      <x:c r="C31" s="2379"/>
      <x:c r="D31" s="2379"/>
      <x:c r="E31" s="2379"/>
      <x:c r="F31" s="2379"/>
      <x:c r="G31" s="2369"/>
      <x:c r="H31" s="2369"/>
      <x:c r="I31" s="2369"/>
      <x:c r="J31" s="2369"/>
      <x:c r="K31" s="2369"/>
      <x:c r="L31" s="2369"/>
    </x:row>
    <x:row r="32">
      <x:c r="A32" s="2379"/>
      <x:c r="B32" s="2379"/>
      <x:c r="C32" s="2379"/>
      <x:c r="D32" s="2379"/>
      <x:c r="E32" s="2379"/>
      <x:c r="F32" s="2379"/>
      <x:c r="G32" s="2369"/>
      <x:c r="H32" s="2369"/>
      <x:c r="I32" s="2369"/>
      <x:c r="J32" s="2369"/>
      <x:c r="K32" s="2369"/>
      <x:c r="L32" s="2369"/>
    </x:row>
    <x:row r="33">
      <x:c r="A33" s="2379"/>
      <x:c r="B33" s="2379"/>
      <x:c r="C33" s="2379"/>
      <x:c r="D33" s="2379"/>
      <x:c r="E33" s="2379"/>
      <x:c r="F33" s="2379"/>
      <x:c r="G33" s="2369"/>
      <x:c r="H33" s="2369"/>
      <x:c r="I33" s="2369"/>
      <x:c r="J33" s="2369"/>
      <x:c r="K33" s="2369"/>
      <x:c r="L33" s="2369"/>
    </x:row>
    <x:row r="34">
      <x:c r="A34" s="2379"/>
      <x:c r="B34" s="2379"/>
      <x:c r="C34" s="2379"/>
      <x:c r="D34" s="2379"/>
      <x:c r="E34" s="2379"/>
      <x:c r="F34" s="2379"/>
      <x:c r="G34" s="2369"/>
      <x:c r="H34" s="2369"/>
      <x:c r="I34" s="2369"/>
      <x:c r="J34" s="2369"/>
      <x:c r="K34" s="2369"/>
      <x:c r="L34" s="2369"/>
    </x:row>
    <x:row r="35">
      <x:c r="A35" s="2379"/>
      <x:c r="B35" s="2379"/>
      <x:c r="C35" s="2379"/>
      <x:c r="D35" s="2379"/>
      <x:c r="E35" s="2379"/>
      <x:c r="F35" s="2379"/>
      <x:c r="G35" s="2369"/>
      <x:c r="H35" s="2369"/>
      <x:c r="I35" s="2369"/>
      <x:c r="J35" s="2369"/>
      <x:c r="K35" s="2369"/>
      <x:c r="L35" s="2369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</x:row>
  </x:sheetData>
  <x:mergeCells>
    <x:mergeCell ref="A1:L1"/>
    <x:mergeCell ref="A2:L2"/>
    <x:mergeCell ref="A4:F4"/>
    <x:mergeCell ref="A5:F14"/>
    <x:mergeCell ref="G4:L4"/>
    <x:mergeCell ref="G5:L14"/>
    <x:mergeCell ref="A16:L16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A29:F35"/>
    <x:mergeCell ref="G29:L35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8" hidden="0" customWidth="1"/>
    <x:col min="4" max="4" width="14" hidden="0" customWidth="1"/>
    <x:col min="5" max="5" width="20" hidden="0" customWidth="1"/>
    <x:col min="6" max="6" width="38" hidden="0" customWidth="1"/>
    <x:col min="7" max="7" width="34" hidden="0" customWidth="1"/>
    <x:col min="8" max="8" width="24" hidden="0" customWidth="1"/>
  </x:cols>
  <x:sheetData>
    <x:row r="1" ht="28" customHeight="1">
      <x:c r="A1" s="2402" t="str">
        <x:v>LOG · so trägst du Istwerte ein, ohne Plan und Realität zu vermischen</x:v>
      </x:c>
      <x:c r="B1" s="2402"/>
      <x:c r="C1" s="2402"/>
      <x:c r="D1" s="2402"/>
      <x:c r="E1" s="2402"/>
      <x:c r="F1" s="2402"/>
      <x:c r="G1" s="2402"/>
      <x:c r="H1" s="2402"/>
    </x:row>
    <x:row r="2">
      <x:c r="A2" s="2373" t="str">
        <x:v>Wofür? 12_Daily_Log enthält das, was wirklich gemessen oder getan wurde. Das ist die wichtigste Grundlage für spätere Diagnose, Vergleich und Lernen.</x:v>
      </x:c>
      <x:c r="B2" s="2373"/>
      <x:c r="C2" s="2373"/>
      <x:c r="D2" s="2373"/>
      <x:c r="E2" s="2373"/>
      <x:c r="F2" s="2373"/>
      <x:c r="G2" s="2373"/>
      <x:c r="H2" s="2373"/>
    </x:row>
    <x:row r="4">
      <x:c r="A4" s="2367" t="str">
        <x:v>Feld im Log</x:v>
      </x:c>
      <x:c r="B4" s="2367" t="str">
        <x:v>Einfacher Name</x:v>
      </x:c>
      <x:c r="C4" s="2367" t="str">
        <x:v>Was eintragen?</x:v>
      </x:c>
      <x:c r="D4" s="2367" t="str">
        <x:v>Einheit</x:v>
      </x:c>
      <x:c r="E4" s="2367" t="str">
        <x:v>Wann?</x:v>
      </x:c>
      <x:c r="F4" s="2367" t="str">
        <x:v>Warum wichtig?</x:v>
      </x:c>
      <x:c r="G4" s="2367" t="str">
        <x:v>Nicht verwechseln mit</x:v>
      </x:c>
      <x:c r="H4" s="2367" t="str">
        <x:v>Wo erklärt?</x:v>
      </x:c>
    </x:row>
    <x:row r="5" ht="46" customHeight="1">
      <x:c r="A5" s="60" t="str">
        <x:v>Temp max/min</x:v>
      </x:c>
      <x:c r="B5" s="60" t="str">
        <x:v>höchste/niedrigste Temperatur</x:v>
      </x:c>
      <x:c r="C5" s="60" t="str">
        <x:v>gemessene Extremwerte des Tages</x:v>
      </x:c>
      <x:c r="D5" s="60" t="str">
        <x:v>°C</x:v>
      </x:c>
      <x:c r="E5" s="60" t="str">
        <x:v>täglich</x:v>
      </x:c>
      <x:c r="F5" s="60" t="str">
        <x:v>zeigt Klima-Spannweite</x:v>
      </x:c>
      <x:c r="G5" s="60" t="str">
        <x:v>Plan-Solltemperatur</x:v>
      </x:c>
      <x:c r="H5" s="60" t="str">
        <x:v>34_CONTEXT_HELP_MAP</x:v>
      </x:c>
    </x:row>
    <x:row r="6" ht="46" customHeight="1">
      <x:c r="A6" s="60" t="str">
        <x:v>LF max/min</x:v>
      </x:c>
      <x:c r="B6" s="60" t="str">
        <x:v>höchste/niedrigste Luftfeuchte</x:v>
      </x:c>
      <x:c r="C6" s="60" t="str">
        <x:v>gemessene Extremwerte</x:v>
      </x:c>
      <x:c r="D6" s="60" t="str">
        <x:v>% rF</x:v>
      </x:c>
      <x:c r="E6" s="60" t="str">
        <x:v>täglich</x:v>
      </x:c>
      <x:c r="F6" s="60" t="str">
        <x:v>zeigt Feuchtespitzen</x:v>
      </x:c>
      <x:c r="G6" s="60" t="str">
        <x:v>VPD</x:v>
      </x:c>
      <x:c r="H6" s="60" t="str">
        <x:v>34_CONTEXT_HELP_MAP</x:v>
      </x:c>
    </x:row>
    <x:row r="7" ht="46" customHeight="1">
      <x:c r="A7" s="60" t="str">
        <x:v>VPD</x:v>
      </x:c>
      <x:c r="B7" s="60" t="str">
        <x:v>Trocknungsdruck</x:v>
      </x:c>
      <x:c r="C7" s="60" t="str">
        <x:v>gemessenen/abgeleiteten VPD nur mit Quelle/Methodik</x:v>
      </x:c>
      <x:c r="D7" s="60" t="str">
        <x:v>kPa</x:v>
      </x:c>
      <x:c r="E7" s="60" t="str">
        <x:v>wenn verfügbar</x:v>
      </x:c>
      <x:c r="F7" s="60" t="str">
        <x:v>verknüpft Temperatur und Feuchte</x:v>
      </x:c>
      <x:c r="G7" s="60" t="str">
        <x:v>Luftfeuchte allein</x:v>
      </x:c>
      <x:c r="H7" s="60" t="str">
        <x:v>34_CONTEXT_HELP_MAP</x:v>
      </x:c>
    </x:row>
    <x:row r="8" ht="46" customHeight="1">
      <x:c r="A8" s="60" t="str">
        <x:v>PPFD</x:v>
      </x:c>
      <x:c r="B8" s="60" t="str">
        <x:v>gemessene Lichtstärke</x:v>
      </x:c>
      <x:c r="C8" s="60" t="str">
        <x:v>Messwert am Canopy + möglichst Position</x:v>
      </x:c>
      <x:c r="D8" s="60" t="str">
        <x:v>µmol/m²/s</x:v>
      </x:c>
      <x:c r="E8" s="60" t="str">
        <x:v>nach Änderungen / Spotcheck</x:v>
      </x:c>
      <x:c r="F8" s="60" t="str">
        <x:v>prüft echten Lichtwert</x:v>
      </x:c>
      <x:c r="G8" s="60" t="str">
        <x:v>Watt/Lampenabstand</x:v>
      </x:c>
      <x:c r="H8" s="60" t="str">
        <x:v>34_CONTEXT_HELP_MAP</x:v>
      </x:c>
    </x:row>
    <x:row r="9" ht="46" customHeight="1">
      <x:c r="A9" s="60" t="str">
        <x:v>pH in</x:v>
      </x:c>
      <x:c r="B9" s="60" t="str">
        <x:v>pH des fertigen Gießmixes</x:v>
      </x:c>
      <x:c r="C9" s="60" t="str">
        <x:v>fertigen Mix vor Anwendung</x:v>
      </x:c>
      <x:c r="D9" s="60" t="str">
        <x:v>pH</x:v>
      </x:c>
      <x:c r="E9" s="60" t="str">
        <x:v>bei Feed/Gießen</x:v>
      </x:c>
      <x:c r="F9" s="60" t="str">
        <x:v>prüft tatsächliche Anwendung</x:v>
      </x:c>
      <x:c r="G9" s="60" t="str">
        <x:v>Wasser-pH vor Nährstoffen</x:v>
      </x:c>
      <x:c r="H9" s="60" t="str">
        <x:v>38_MIX_OPERATOR</x:v>
      </x:c>
    </x:row>
    <x:row r="10" ht="46" customHeight="1">
      <x:c r="A10" s="60" t="str">
        <x:v>EC in</x:v>
      </x:c>
      <x:c r="B10" s="60" t="str">
        <x:v>Nährsalzstärke des fertigen Mixes</x:v>
      </x:c>
      <x:c r="C10" s="60" t="str">
        <x:v>fertigen Mix vor Anwendung</x:v>
      </x:c>
      <x:c r="D10" s="60" t="str">
        <x:v>mS/cm</x:v>
      </x:c>
      <x:c r="E10" s="60" t="str">
        <x:v>bei Feed/Gießen</x:v>
      </x:c>
      <x:c r="F10" s="60" t="str">
        <x:v>prüft echte Salzstärke</x:v>
      </x:c>
      <x:c r="G10" s="60" t="str">
        <x:v>ml/L allein</x:v>
      </x:c>
      <x:c r="H10" s="60" t="str">
        <x:v>34_CONTEXT_HELP_MAP</x:v>
      </x:c>
    </x:row>
    <x:row r="11" ht="46" customHeight="1">
      <x:c r="A11" s="60" t="str">
        <x:v>pH drain</x:v>
      </x:c>
      <x:c r="B11" s="60" t="str">
        <x:v>pH der Ablaufprobe</x:v>
      </x:c>
      <x:c r="C11" s="60" t="str">
        <x:v>nur definierte Drainprobe</x:v>
      </x:c>
      <x:c r="D11" s="60" t="str">
        <x:v>pH</x:v>
      </x:c>
      <x:c r="E11" s="60" t="str">
        <x:v>bei Diagnoseprobe</x:v>
      </x:c>
      <x:c r="F11" s="60" t="str">
        <x:v>Wurzelzonen-Hinweis</x:v>
      </x:c>
      <x:c r="G11" s="60" t="str">
        <x:v>Substrat-pH</x:v>
      </x:c>
      <x:c r="H11" s="60" t="str">
        <x:v>13_Diagnostics</x:v>
      </x:c>
    </x:row>
    <x:row r="12" ht="46" customHeight="1">
      <x:c r="A12" s="60" t="str">
        <x:v>EC drain</x:v>
      </x:c>
      <x:c r="B12" s="60" t="str">
        <x:v>EC der Ablaufprobe</x:v>
      </x:c>
      <x:c r="C12" s="60" t="str">
        <x:v>definierte Drainprobe</x:v>
      </x:c>
      <x:c r="D12" s="60" t="str">
        <x:v>mS/cm</x:v>
      </x:c>
      <x:c r="E12" s="60" t="str">
        <x:v>bei Diagnoseprobe</x:v>
      </x:c>
      <x:c r="F12" s="60" t="str">
        <x:v>erkennt Salztrend</x:v>
      </x:c>
      <x:c r="G12" s="60" t="str">
        <x:v>Input-EC</x:v>
      </x:c>
      <x:c r="H12" s="60" t="str">
        <x:v>13_Diagnostics</x:v>
      </x:c>
    </x:row>
    <x:row r="13" ht="46" customHeight="1">
      <x:c r="A13" s="60" t="str">
        <x:v>Wasser L</x:v>
      </x:c>
      <x:c r="B13" s="60" t="str">
        <x:v>tatsächlich angewendetes Wasser</x:v>
      </x:c>
      <x:c r="C13" s="60" t="str">
        <x:v>reale Wassermenge</x:v>
      </x:c>
      <x:c r="D13" s="60" t="str">
        <x:v>L</x:v>
      </x:c>
      <x:c r="E13" s="60" t="str">
        <x:v>jedes Gießen</x:v>
      </x:c>
      <x:c r="F13" s="60" t="str">
        <x:v>Actual vs Plan</x:v>
      </x:c>
      <x:c r="G13" s="60" t="str">
        <x:v>Wasser-Startbereich</x:v>
      </x:c>
      <x:c r="H13" s="60" t="str">
        <x:v>36_TODAY_OPERATOR</x:v>
      </x:c>
    </x:row>
    <x:row r="14" ht="46" customHeight="1">
      <x:c r="A14" s="60" t="str">
        <x:v>Stress 0-5</x:v>
      </x:c>
      <x:c r="B14" s="60" t="str">
        <x:v>sichtbarer Stressscore</x:v>
      </x:c>
      <x:c r="C14" s="60" t="str">
        <x:v>eigene standardisierte Beobachtung</x:v>
      </x:c>
      <x:c r="D14" s="60" t="str">
        <x:v>0-5</x:v>
      </x:c>
      <x:c r="E14" s="60" t="str">
        <x:v>täglich</x:v>
      </x:c>
      <x:c r="F14" s="60" t="str">
        <x:v>Trend, keine Diagnose</x:v>
      </x:c>
      <x:c r="G14" s="60" t="str">
        <x:v>Ursachenbehauptung</x:v>
      </x:c>
      <x:c r="H14" s="60" t="str">
        <x:v>13_Diagnostics</x:v>
      </x:c>
    </x:row>
    <x:row r="15" ht="46" customHeight="1">
      <x:c r="A15" s="60" t="str">
        <x:v>Notizen</x:v>
      </x:c>
      <x:c r="B15" s="60" t="str">
        <x:v>Beobachtung / Ereignis</x:v>
      </x:c>
      <x:c r="C15" s="60" t="str">
        <x:v>was anders war, Produktwechsel, Foto, Geruch, Wurzeln etc.</x:v>
      </x:c>
      <x:c r="D15" s="60" t="str">
        <x:v>Text</x:v>
      </x:c>
      <x:c r="E15" s="60" t="str">
        <x:v>bei Ereignis</x:v>
      </x:c>
      <x:c r="F15" s="60" t="str">
        <x:v>Kontext für spätere Auswertung</x:v>
      </x:c>
      <x:c r="G15" s="60" t="str">
        <x:v>Evidenzklasse</x:v>
      </x:c>
      <x:c r="H15" s="60" t="str">
        <x:v>20_Practice_Evidence</x:v>
      </x:c>
    </x:row>
    <x:row r="18">
      <x:c r="A18" s="2371" t="str">
        <x:v>MERKSATZ
Plan = was vorgesehen war. Log = was tatsächlich passiert ist. Wenn du etwas korrigierst, soll die alte Information nachvollziehbar bleiben - später in der App als superseding event statt stillem Überschreiben.</x:v>
      </x:c>
      <x:c r="B18" s="2371"/>
      <x:c r="C18" s="2371"/>
      <x:c r="D18" s="2371"/>
      <x:c r="E18" s="2371"/>
      <x:c r="F18" s="2371"/>
      <x:c r="G18" s="2371"/>
      <x:c r="H18" s="2371"/>
    </x:row>
    <x:row r="19">
      <x:c r="A19" s="2371"/>
      <x:c r="B19" s="2371"/>
      <x:c r="C19" s="2371"/>
      <x:c r="D19" s="2371"/>
      <x:c r="E19" s="2371"/>
      <x:c r="F19" s="2371"/>
      <x:c r="G19" s="2371"/>
      <x:c r="H19" s="2371"/>
    </x:row>
    <x:row r="20">
      <x:c r="A20" s="2371"/>
      <x:c r="B20" s="2371"/>
      <x:c r="C20" s="2371"/>
      <x:c r="D20" s="2371"/>
      <x:c r="E20" s="2371"/>
      <x:c r="F20" s="2371"/>
      <x:c r="G20" s="2371"/>
      <x:c r="H20" s="2371"/>
    </x:row>
    <x:row r="21">
      <x:c r="A21" s="2371"/>
      <x:c r="B21" s="2371"/>
      <x:c r="C21" s="2371"/>
      <x:c r="D21" s="2371"/>
      <x:c r="E21" s="2371"/>
      <x:c r="F21" s="2371"/>
      <x:c r="G21" s="2371"/>
      <x:c r="H21" s="2371"/>
    </x:row>
    <x:row r="22">
      <x:c r="A22" s="2371"/>
      <x:c r="B22" s="2371"/>
      <x:c r="C22" s="2371"/>
      <x:c r="D22" s="2371"/>
      <x:c r="E22" s="2371"/>
      <x:c r="F22" s="2371"/>
      <x:c r="G22" s="2371"/>
      <x:c r="H22" s="2371"/>
    </x:row>
    <x:row r="24">
      <x:c r="A24" s="2369" t="str">
        <x:v>WO FINDE ICH WAS?
Heute-Zielwerte -&gt; 36_TODAY_OPERATOR · Mix -&gt; 38_MIX_OPERATOR · Diagnose -&gt; 13_Diagnostics · Begriffe -&gt; 34_CONTEXT_HELP_MAP · wissenschaftliche/Herstellerquelle -&gt; 22_Sources</x:v>
      </x:c>
      <x:c r="B24" s="2369"/>
      <x:c r="C24" s="2369"/>
      <x:c r="D24" s="2369"/>
      <x:c r="E24" s="2369"/>
      <x:c r="F24" s="2369"/>
      <x:c r="G24" s="2369"/>
      <x:c r="H24" s="2369"/>
    </x:row>
    <x:row r="25">
      <x:c r="A25" s="2369"/>
      <x:c r="B25" s="2369"/>
      <x:c r="C25" s="2369"/>
      <x:c r="D25" s="2369"/>
      <x:c r="E25" s="2369"/>
      <x:c r="F25" s="2369"/>
      <x:c r="G25" s="2369"/>
      <x:c r="H25" s="2369"/>
    </x:row>
    <x:row r="26">
      <x:c r="A26" s="2369"/>
      <x:c r="B26" s="2369"/>
      <x:c r="C26" s="2369"/>
      <x:c r="D26" s="2369"/>
      <x:c r="E26" s="2369"/>
      <x:c r="F26" s="2369"/>
      <x:c r="G26" s="2369"/>
      <x:c r="H26" s="2369"/>
    </x:row>
    <x:row r="27">
      <x:c r="A27" s="2369"/>
      <x:c r="B27" s="2369"/>
      <x:c r="C27" s="2369"/>
      <x:c r="D27" s="2369"/>
      <x:c r="E27" s="2369"/>
      <x:c r="F27" s="2369"/>
      <x:c r="G27" s="2369"/>
      <x:c r="H27" s="2369"/>
    </x:row>
    <x:row r="28">
      <x:c r="A28" s="2369"/>
      <x:c r="B28" s="2369"/>
      <x:c r="C28" s="2369"/>
      <x:c r="D28" s="2369"/>
      <x:c r="E28" s="2369"/>
      <x:c r="F28" s="2369"/>
      <x:c r="G28" s="2369"/>
      <x:c r="H28" s="2369"/>
    </x:row>
    <x:row r="29">
      <x:c r="A29" s="2369"/>
      <x:c r="B29" s="2369"/>
      <x:c r="C29" s="2369"/>
      <x:c r="D29" s="2369"/>
      <x:c r="E29" s="2369"/>
      <x:c r="F29" s="2369"/>
      <x:c r="G29" s="2369"/>
      <x:c r="H29" s="2369"/>
    </x:row>
  </x:sheetData>
  <x:mergeCells>
    <x:mergeCell ref="A1:H1"/>
    <x:mergeCell ref="A2:H2"/>
    <x:mergeCell ref="A18:H22"/>
    <x:mergeCell ref="A24:H29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8" hidden="0" customWidth="1"/>
    <x:col min="4" max="4" width="36" hidden="0" customWidth="1"/>
    <x:col min="5" max="5" width="18" hidden="0" customWidth="1"/>
    <x:col min="6" max="6" width="34" hidden="0" customWidth="1"/>
    <x:col min="7" max="7" width="38" hidden="0" customWidth="1"/>
    <x:col min="8" max="8" width="44" hidden="0" customWidth="1"/>
  </x:cols>
  <x:sheetData>
    <x:row r="1">
      <x:c r="A1" s="2439" t="str">
        <x:v>Grafik</x:v>
      </x:c>
      <x:c r="B1" s="2439" t="str">
        <x:v>Datei</x:v>
      </x:c>
      <x:c r="C1" s="2439" t="str">
        <x:v>Wofür gedacht?</x:v>
      </x:c>
      <x:c r="D1" s="2439" t="str">
        <x:v>Wann verwenden?</x:v>
      </x:c>
      <x:c r="E1" s="2439" t="str">
        <x:v>Kanonisch?</x:v>
      </x:c>
      <x:c r="F1" s="2439" t="str">
        <x:v>Quelle im UKD</x:v>
      </x:c>
      <x:c r="G1" s="2439" t="str">
        <x:v>Farb-/Statuslogik</x:v>
      </x:c>
      <x:c r="H1" s="2439" t="str">
        <x:v>Hinweis</x:v>
      </x:c>
    </x:row>
    <x:row r="2" ht="48" customHeight="1">
      <x:c r="A2" s="60" t="str">
        <x:v>Fütterungsplan UGro Rhiza</x:v>
      </x:c>
      <x:c r="B2" s="60" t="str">
        <x:v>UKD_v10_Fuetterungsplan_UGro_Rhiza_DE.png</x:v>
      </x:c>
      <x:c r="C2" s="60" t="str">
        <x:v>Wochenübersicht des aktuellen Owned-Stock-Stacks.</x:v>
      </x:c>
      <x:c r="D2" s="60" t="str">
        <x:v>Planorientierung / PDF / App-Zeitachse</x:v>
      </x:c>
      <x:c r="E2" s="60" t="str">
        <x:v>JA - aus Workbookdaten</x:v>
      </x:c>
      <x:c r="F2" s="60" t="str">
        <x:v>31_FEED_SCHEMA + 02_Daily_Master</x:v>
      </x:c>
      <x:c r="G2" s="60" t="str">
        <x:v>Grün aktiv, Gelb bedingt, Lila Ergänzung, Grau aus</x:v>
      </x:c>
      <x:c r="H2" s="60" t="str">
        <x:v>Kein Hersteller-Chart; UKD-Projektion.</x:v>
      </x:c>
    </x:row>
    <x:row r="3" ht="48" customHeight="1">
      <x:c r="A3" s="60" t="str">
        <x:v>Setup-Bereitschaft</x:v>
      </x:c>
      <x:c r="B3" s="60" t="str">
        <x:v>UKD_v10_Setup_Bereitschaft_DE.png</x:v>
      </x:c>
      <x:c r="C3" s="60" t="str">
        <x:v>Bekannt/offen/unbekannt/bedingt vor Run-Aktivierung.</x:v>
      </x:c>
      <x:c r="D3" s="60" t="str">
        <x:v>Pre-Setup / Onboarding</x:v>
      </x:c>
      <x:c r="E3" s="60" t="str">
        <x:v>JA - aus Setupdaten</x:v>
      </x:c>
      <x:c r="F3" s="60" t="str">
        <x:v>37_SETUP_OPERATOR + 01_Run_Config</x:v>
      </x:c>
      <x:c r="G3" s="60" t="str">
        <x:v>Grün bekannt, Gelb prüfen, Rot unbekannt/blockierend</x:v>
      </x:c>
      <x:c r="H3" s="60" t="str">
        <x:v>Unknown nie schätzen.</x:v>
      </x:c>
    </x:row>
    <x:row r="4" ht="48" customHeight="1">
      <x:c r="A4" s="60" t="str">
        <x:v>Mischreihenfolge</x:v>
      </x:c>
      <x:c r="B4" s="60" t="str">
        <x:v>UKD_v10_Mischreihenfolge_DE.png</x:v>
      </x:c>
      <x:c r="C4" s="60" t="str">
        <x:v>Sichere Reihenfolge für einen tatsächlich anstehenden Mix.</x:v>
      </x:c>
      <x:c r="D4" s="60" t="str">
        <x:v>Mix-Labor / Tagesaktion</x:v>
      </x:c>
      <x:c r="E4" s="60" t="str">
        <x:v>JA - aus UKD-Mixlogik</x:v>
      </x:c>
      <x:c r="F4" s="60" t="str">
        <x:v>38_MIX_OPERATOR + 05_Mix_Calculator</x:v>
      </x:c>
      <x:c r="G4" s="60" t="str">
        <x:v>Blau Info, Gelb bedingt, Grün Basis, Lila Bio</x:v>
      </x:c>
      <x:c r="H4" s="60" t="str">
        <x:v>Konzentrate nie direkt mischen.</x:v>
      </x:c>
    </x:row>
    <x:row r="5" ht="48" customHeight="1">
      <x:c r="A5" s="60" t="str">
        <x:v>Datenstatus &amp; Evidenz</x:v>
      </x:c>
      <x:c r="B5" s="60" t="str">
        <x:v>UKD_v10_Datenstatus_Evidenz_DE.png</x:v>
      </x:c>
      <x:c r="C5" s="60" t="str">
        <x:v>Unterscheidet Plan, Messung, User Input, Hersteller, UKD, Blocker, Experiment.</x:v>
      </x:c>
      <x:c r="D5" s="60" t="str">
        <x:v>Überall als Legende / Audit</x:v>
      </x:c>
      <x:c r="E5" s="60" t="str">
        <x:v>JA - Systemmodell</x:v>
      </x:c>
      <x:c r="F5" s="60" t="str">
        <x:v>34_CONTEXT_HELP_MAP + Rules of Evidence</x:v>
      </x:c>
      <x:c r="G5" s="60" t="str">
        <x:v>Semantische Statusfarben</x:v>
      </x:c>
      <x:c r="H5" s="60" t="str">
        <x:v>User Input ≠ Evidence.</x:v>
      </x:c>
    </x:row>
    <x:row r="6" ht="48" customHeight="1">
      <x:c r="A6" s="60" t="str">
        <x:v>12-Wochen-Zeitachse</x:v>
      </x:c>
      <x:c r="B6" s="60" t="str">
        <x:v>UKD_v10_12_Wochen_Zeitachse_DE.png</x:v>
      </x:c>
      <x:c r="C6" s="60" t="str">
        <x:v>Phase plus geplante PPFD-/EC-Richtung.</x:v>
      </x:c>
      <x:c r="D6" s="60" t="str">
        <x:v>Zeitachse / Wochenreview</x:v>
      </x:c>
      <x:c r="E6" s="60" t="str">
        <x:v>JA - aus Daily Master</x:v>
      </x:c>
      <x:c r="F6" s="60" t="str">
        <x:v>02_Daily_Master</x:v>
      </x:c>
      <x:c r="G6" s="60" t="str">
        <x:v>Phasenfarbband + Linien</x:v>
      </x:c>
      <x:c r="H6" s="60" t="str">
        <x:v>Orientierung, keine Tagesfreigabe.</x:v>
      </x:c>
    </x:row>
    <x:row r="7" ht="48" customHeight="1">
      <x:c r="A7" s="60" t="str">
        <x:v>Heute-Schnellkarte</x:v>
      </x:c>
      <x:c r="B7" s="60" t="str">
        <x:v>UKD_v10_Heute_Schnellkarte_DE.png</x:v>
      </x:c>
      <x:c r="C7" s="60" t="str">
        <x:v>Ein-Seiten-Zusammenfassung des aktuell konfigurierten Tages.</x:v>
      </x:c>
      <x:c r="D7" s="60" t="str">
        <x:v>Cockpit / Heute / Ausdruck</x:v>
      </x:c>
      <x:c r="E7" s="60" t="str">
        <x:v>JA - aktueller Run-Tag</x:v>
      </x:c>
      <x:c r="F7" s="60" t="str">
        <x:v>02_Daily_Master + 01_Run_Config</x:v>
      </x:c>
      <x:c r="G7" s="60" t="str">
        <x:v>Operatorfarben</x:v>
      </x:c>
      <x:c r="H7" s="60" t="str">
        <x:v>Bei anderem Run-Tag neu generieren.</x:v>
      </x:c>
    </x:row>
    <x:row r="8" ht="48" customHeight="1">
      <x:c r="A8" s="60" t="str">
        <x:v>Sektionen-Landkarte</x:v>
      </x:c>
      <x:c r="B8" s="60" t="str">
        <x:v>UKD_v10_SECTION_MAP.png</x:v>
      </x:c>
      <x:c r="C8" s="60" t="str">
        <x:v>Wo finde ich was? Aufgabe -&gt; richtige Sektion.</x:v>
      </x:c>
      <x:c r="D8" s="60" t="str">
        <x:v>Startseite / Onboarding</x:v>
      </x:c>
      <x:c r="E8" s="60" t="str">
        <x:v>JA - IA-Vertrag</x:v>
      </x:c>
      <x:c r="F8" s="60" t="str">
        <x:v>35_SECTION_GUIDE</x:v>
      </x:c>
      <x:c r="G8" s="60" t="str">
        <x:v>Bereichsfarben</x:v>
      </x:c>
      <x:c r="H8" s="60" t="str">
        <x:v>Navigation, keine Grow-Dosis.</x:v>
      </x:c>
    </x:row>
    <x:row r="9" ht="48" customHeight="1">
      <x:c r="A9" s="60" t="str">
        <x:v>Fachbegriffe</x:v>
      </x:c>
      <x:c r="B9" s="60" t="str">
        <x:v>UKD_v10_TERM_MAP.png</x:v>
      </x:c>
      <x:c r="C9" s="60" t="str">
        <x:v>Wichtige Begriffe in verständlichem Deutsch.</x:v>
      </x:c>
      <x:c r="D9" s="60" t="str">
        <x:v>Guided / Hilfe / PDF</x:v>
      </x:c>
      <x:c r="E9" s="60" t="str">
        <x:v>JA - Context Help</x:v>
      </x:c>
      <x:c r="F9" s="60" t="str">
        <x:v>34_CONTEXT_HELP_MAP</x:v>
      </x:c>
      <x:c r="G9" s="60" t="str">
        <x:v>Begriffsfarben</x:v>
      </x:c>
      <x:c r="H9" s="60" t="str">
        <x:v>Technische Abkürzung bleibt in Klammern.</x:v>
      </x:c>
    </x:row>
    <x:row r="10" ht="48" customHeight="1">
      <x:c r="A10" s="60" t="str">
        <x:v>Entscheidungsfluss</x:v>
      </x:c>
      <x:c r="B10" s="60" t="str">
        <x:v>UKD_v10_DECISION_FLOW.png</x:v>
      </x:c>
      <x:c r="C10" s="60" t="str">
        <x:v>Messen -&gt; prüfen -&gt; entscheiden -&gt; handeln -&gt; loggen.</x:v>
      </x:c>
      <x:c r="D10" s="60" t="str">
        <x:v>Heute / Diagnose / Training</x:v>
      </x:c>
      <x:c r="E10" s="60" t="str">
        <x:v>JA - Prozessmodell</x:v>
      </x:c>
      <x:c r="F10" s="60" t="str">
        <x:v>33_RELEASE_GATES + UX</x:v>
      </x:c>
      <x:c r="G10" s="60" t="str">
        <x:v>Prozessfarben</x:v>
      </x:c>
      <x:c r="H10" s="60" t="str">
        <x:v>Fail-closed bei fehlenden Pflichtinputs.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46" hidden="0" customWidth="1"/>
    <x:col min="5" max="5" width="52" hidden="0" customWidth="1"/>
    <x:col min="6" max="6" width="24" hidden="0" customWidth="1"/>
    <x:col min="7" max="7" width="18" hidden="0" customWidth="1"/>
  </x:cols>
  <x:sheetData>
    <x:row r="1">
      <x:c r="A1" s="2442" t="str">
        <x:v>Priorität</x:v>
      </x:c>
      <x:c r="B1" s="2442" t="str">
        <x:v>Ebene</x:v>
      </x:c>
      <x:c r="C1" s="2442" t="str">
        <x:v>Aktueller Fehler / Risiko</x:v>
      </x:c>
      <x:c r="D1" s="2442" t="str">
        <x:v>Warum bei Autoflower relevant</x:v>
      </x:c>
      <x:c r="E1" s="2442" t="str">
        <x:v>v11.2 Anpassung</x:v>
      </x:c>
      <x:c r="F1" s="2442" t="str">
        <x:v>Evidenzklasse</x:v>
      </x:c>
      <x:c r="G1" s="2442" t="str">
        <x:v>Status</x:v>
      </x:c>
    </x:row>
    <x:row r="2" ht="56" customHeight="1">
      <x:c r="A2" s="60" t="str">
        <x:v>P0</x:v>
      </x:c>
      <x:c r="B2" s="60" t="str">
        <x:v>Propagation</x:v>
      </x:c>
      <x:c r="C2" s="60" t="str">
        <x:v>Eazy/Block shown for W1–W4</x:v>
      </x:c>
      <x:c r="D2" s="60" t="str">
        <x:v>Eazy Block is a short propagation bridge, not a 4-week default stage.</x:v>
      </x:c>
      <x:c r="E2" s="60" t="str">
        <x:v>Replace calendar stage with Plug → Block → Final Coco event chain; block exit by visible/root-through readiness. Manufacturer reference ~8–10 days in block.</x:v>
      </x:c>
      <x:c r="F2" s="60" t="str">
        <x:v>MANUFACTURER + UKD</x:v>
      </x:c>
      <x:c r="G2" s="60" t="str">
        <x:v>FIXED/PLANNED</x:v>
      </x:c>
    </x:row>
    <x:row r="3" ht="56" customHeight="1">
      <x:c r="A3" s="60" t="str">
        <x:v>P0</x:v>
      </x:c>
      <x:c r="B3" s="60" t="str">
        <x:v>Flower trigger</x:v>
      </x:c>
      <x:c r="C3" s="60" t="str">
        <x:v>Bloom-Tag starts from fixed Day 28</x:v>
      </x:c>
      <x:c r="D3" s="60" t="str">
        <x:v>Autoflower flowering is photoperiod-insensitive but cultivar timing varies; fixed Day 28 is only a projection.</x:v>
      </x:c>
      <x:c r="E3" s="60" t="str">
        <x:v>Add PreflowerObserved and FlowerInitiation events; use observed flower initiation as operational BT1. Day 28 remains planning estimate only.</x:v>
      </x:c>
      <x:c r="F3" s="60" t="str">
        <x:v>PEER_REVIEWED + BREEDER</x:v>
      </x:c>
      <x:c r="G3" s="60" t="str">
        <x:v>FIXED/PLANNED</x:v>
      </x:c>
    </x:row>
    <x:row r="4" ht="56" customHeight="1">
      <x:c r="A4" s="60" t="str">
        <x:v>P0</x:v>
      </x:c>
      <x:c r="B4" s="60" t="str">
        <x:v>Harvest horizon</x:v>
      </x:c>
      <x:c r="C4" s="60" t="str">
        <x:v>Day 70–80 labelled harvest window</x:v>
      </x:c>
      <x:c r="D4" s="60" t="str">
        <x:v>Double Grape breeder window is 70–80 days, but maturity remains plant-dependent.</x:v>
      </x:c>
      <x:c r="E4" s="60" t="str">
        <x:v>Keep breeder window as readiness-watch only; allow automatic plan extension beyond Day 80.</x:v>
      </x:c>
      <x:c r="F4" s="60" t="str">
        <x:v>BREEDER + UKD</x:v>
      </x:c>
      <x:c r="G4" s="60" t="str">
        <x:v>FIXED/PLANNED</x:v>
      </x:c>
    </x:row>
    <x:row r="5" ht="56" customHeight="1">
      <x:c r="A5" s="60" t="str">
        <x:v>P1</x:v>
      </x:c>
      <x:c r="B5" s="60" t="str">
        <x:v>Nutrient start</x:v>
      </x:c>
      <x:c r="C5" s="60" t="str">
        <x:v>TNT and support products appear from a fixed early day</x:v>
      </x:c>
      <x:c r="D5" s="60" t="str">
        <x:v>Seeds initially have reserves; Eazy media are lightly fertilized/buffered. A day alone is not feed eligibility.</x:v>
      </x:c>
      <x:c r="E5" s="60" t="str">
        <x:v>BaseFeedEligibility = plant established + propagation medium context + real watering event; earliest day only a reference.</x:v>
      </x:c>
      <x:c r="F5" s="60" t="str">
        <x:v>HESI + EAZY + UKD</x:v>
      </x:c>
      <x:c r="G5" s="60" t="str">
        <x:v>FIXED/PLANNED</x:v>
      </x:c>
    </x:row>
    <x:row r="6" ht="56" customHeight="1">
      <x:c r="A6" s="60" t="str">
        <x:v>P1</x:v>
      </x:c>
      <x:c r="B6" s="60" t="str">
        <x:v>Root products</x:v>
      </x:c>
      <x:c r="C6" s="60" t="str">
        <x:v>Root Complex is calendar-driven through Day 14</x:v>
      </x:c>
      <x:c r="D6" s="60" t="str">
        <x:v>For an auto, root/transplant events are more meaningful than total run age.</x:v>
      </x:c>
      <x:c r="E6" s="60" t="str">
        <x:v>Tie Root Complex emphasis to early establishment and post-transplant recovery; dose still label-derived.</x:v>
      </x:c>
      <x:c r="F6" s="60" t="str">
        <x:v>HESI + UKD</x:v>
      </x:c>
      <x:c r="G6" s="60" t="str">
        <x:v>FIXED/PLANNED</x:v>
      </x:c>
    </x:row>
    <x:row r="7" ht="56" customHeight="1">
      <x:c r="A7" s="60" t="str">
        <x:v>P1</x:v>
      </x:c>
      <x:c r="B7" s="60" t="str">
        <x:v>Microbes</x:v>
      </x:c>
      <x:c r="C7" s="60" t="str">
        <x:v>Voodoo/Tarantula fresh events tied to Day 4/11 and bloom dates</x:v>
      </x:c>
      <x:c r="D7" s="60" t="str">
        <x:v>The final root-zone transition is a more meaningful root-establishment event.</x:v>
      </x:c>
      <x:c r="E7" s="60" t="str">
        <x:v>Prefer one fresh event after final coco transplant/establishment and optional early-flower event if selected; keep no-efficacy-overclaim.</x:v>
      </x:c>
      <x:c r="F7" s="60" t="str">
        <x:v>UKD + MANUFACTURER</x:v>
      </x:c>
      <x:c r="G7" s="60" t="str">
        <x:v>FIXED/PLANNED</x:v>
      </x:c>
    </x:row>
    <x:row r="8" ht="56" customHeight="1">
      <x:c r="A8" s="60" t="str">
        <x:v>P1</x:v>
      </x:c>
      <x:c r="B8" s="60" t="str">
        <x:v>Training</x:v>
      </x:c>
      <x:c r="C8" s="60" t="str">
        <x:v>D11–18 / D19–28 are fixed day windows</x:v>
      </x:c>
      <x:c r="D8" s="60" t="str">
        <x:v>Autoflowers have little recovery time and genotype timing varies.</x:v>
      </x:c>
      <x:c r="E8" s="60" t="str">
        <x:v>Use node/vigor/post-transplant recovery/preflower state. Gentle LST/leaf-tuck default; topping/HST not reference default.</x:v>
      </x:c>
      <x:c r="F8" s="60" t="str">
        <x:v>BREEDER + CANNABIS RESEARCH</x:v>
      </x:c>
      <x:c r="G8" s="60" t="str">
        <x:v>FIXED/PLANNED</x:v>
      </x:c>
    </x:row>
    <x:row r="9" ht="56" customHeight="1">
      <x:c r="A9" s="60" t="str">
        <x:v>P1</x:v>
      </x:c>
      <x:c r="B9" s="60" t="str">
        <x:v>Transition feed</x:v>
      </x:c>
      <x:c r="C9" s="60" t="str">
        <x:v>TNT→Coco and Boost begin at projected Day 28</x:v>
      </x:c>
      <x:c r="D9" s="60" t="str">
        <x:v>Real auto transition can occur earlier/later.</x:v>
      </x:c>
      <x:c r="E9" s="60" t="str">
        <x:v>Switch on observed transition/flower initiation, not absolute day.</x:v>
      </x:c>
      <x:c r="F9" s="60" t="str">
        <x:v>UKD</x:v>
      </x:c>
      <x:c r="G9" s="60" t="str">
        <x:v>FIXED/PLANNED</x:v>
      </x:c>
    </x:row>
    <x:row r="10" ht="56" customHeight="1">
      <x:c r="A10" s="60" t="str">
        <x:v>P1</x:v>
      </x:c>
      <x:c r="B10" s="60" t="str">
        <x:v>Late flower</x:v>
      </x:c>
      <x:c r="C10" s="60" t="str">
        <x:v>Boost/finish tied to absolute plan days</x:v>
      </x:c>
      <x:c r="D10" s="60" t="str">
        <x:v>Autos may mature earlier/later than the template.</x:v>
      </x:c>
      <x:c r="E10" s="60" t="str">
        <x:v>Stop/taper based on flower progress and harvest readiness; breeder days are only a watch window.</x:v>
      </x:c>
      <x:c r="F10" s="60" t="str">
        <x:v>BREEDER + UKD</x:v>
      </x:c>
      <x:c r="G10" s="60" t="str">
        <x:v>FIXED/PLANNED</x:v>
      </x:c>
    </x:row>
    <x:row r="11" ht="56" customHeight="1">
      <x:c r="A11" s="60" t="str">
        <x:v>P1</x:v>
      </x:c>
      <x:c r="B11" s="60" t="str">
        <x:v>Photoperiod</x:v>
      </x:c>
      <x:c r="C11" s="60" t="str">
        <x:v>18 h constant</x:v>
      </x:c>
      <x:c r="D11" s="60" t="str">
        <x:v>This is actually compatible with autoflower. Error would be a forced 12/12 switch.</x:v>
      </x:c>
      <x:c r="E11" s="60" t="str">
        <x:v>Keep 18/6 as UKD default. Offer 20/4 as optional profile; 24/0 experimental. Recalculate DLI if hours change.</x:v>
      </x:c>
      <x:c r="F11" s="60" t="str">
        <x:v>PEER_REVIEWED + UKD</x:v>
      </x:c>
      <x:c r="G11" s="60" t="str">
        <x:v>FIXED/PLANNED</x:v>
      </x:c>
    </x:row>
    <x:row r="12" ht="56" customHeight="1">
      <x:c r="A12" s="60" t="str">
        <x:v>P1</x:v>
      </x:c>
      <x:c r="B12" s="60" t="str">
        <x:v>EC trajectory</x:v>
      </x:c>
      <x:c r="C12" s="60" t="str">
        <x:v>Single exact EC path to 1.8</x:v>
      </x:c>
      <x:c r="D12" s="60" t="str">
        <x:v>No autoflower-specific evidence supports a universal exact EC curve.</x:v>
      </x:c>
      <x:c r="E12" s="60" t="str">
        <x:v>Treat as working corridor/ceiling; measured plant/root-zone response overrides calendar. Do not raise EC just because a day is reached.</x:v>
      </x:c>
      <x:c r="F12" s="60" t="str">
        <x:v>UKD + GENERAL CANNABIS</x:v>
      </x:c>
      <x:c r="G12" s="60" t="str">
        <x:v>FIXED/PLANNED</x:v>
      </x:c>
    </x:row>
    <x:row r="13" ht="56" customHeight="1">
      <x:c r="A13" s="60" t="str">
        <x:v>P1</x:v>
      </x:c>
      <x:c r="B13" s="60" t="str">
        <x:v>Watering</x:v>
      </x:c>
      <x:c r="C13" s="60" t="str">
        <x:v>Day→liters can be over-read as dosing</x:v>
      </x:c>
      <x:c r="D13" s="60" t="str">
        <x:v>Early plant in 8–9 L final coco occupies only a small active root zone.</x:v>
      </x:c>
      <x:c r="E13" s="60" t="str">
        <x:v>Separate initial substrate hydration from plant irrigation; expand wetted/root zone with establishment. Water band remains planning only.</x:v>
      </x:c>
      <x:c r="F13" s="60" t="str">
        <x:v>UGRO + UKD</x:v>
      </x:c>
      <x:c r="G13" s="60" t="str">
        <x:v>FIXED/PLANNED</x:v>
      </x:c>
    </x:row>
    <x:row r="14" ht="56" customHeight="1">
      <x:c r="A14" s="60" t="str">
        <x:v>P2</x:v>
      </x:c>
      <x:c r="B14" s="60" t="str">
        <x:v>RH/VPD</x:v>
      </x:c>
      <x:c r="C14" s="60" t="str">
        <x:v>Exact single-number trajectory</x:v>
      </x:c>
      <x:c r="D14" s="60" t="str">
        <x:v>Not specifically an autoflower truth; cultivar and measurement context matter.</x:v>
      </x:c>
      <x:c r="E14" s="60" t="str">
        <x:v>Render as target corridor plus measured actual. Keep high-humidity risk visible in flower but avoid universal optimum claims.</x:v>
      </x:c>
      <x:c r="F14" s="60" t="str">
        <x:v>UKD + RESEARCH</x:v>
      </x:c>
      <x:c r="G14" s="60" t="str">
        <x:v>FIXED/PLANNED</x:v>
      </x:c>
    </x:row>
    <x:row r="15" ht="56" customHeight="1">
      <x:c r="A15" s="60" t="str">
        <x:v>P2</x:v>
      </x:c>
      <x:c r="B15" s="60" t="str">
        <x:v>Daily plan length</x:v>
      </x:c>
      <x:c r="C15" s="60" t="str">
        <x:v>81-day static plan</x:v>
      </x:c>
      <x:c r="D15" s="60" t="str">
        <x:v>Double Grape fits 70–80 day breeder estimate, but real autos vary.</x:v>
      </x:c>
      <x:c r="E15" s="60" t="str">
        <x:v>Allow extension state indefinitely until harvest readiness event.</x:v>
      </x:c>
      <x:c r="F15" s="60" t="str">
        <x:v>BREEDER + UKD</x:v>
      </x:c>
      <x:c r="G15" s="60" t="str">
        <x:v>FIXED/PLANNED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2" hidden="0" customWidth="1"/>
    <x:col min="4" max="4" width="14" hidden="0" customWidth="1"/>
    <x:col min="5" max="5" width="20" hidden="0" customWidth="1"/>
    <x:col min="6" max="6" width="24" hidden="0" customWidth="1"/>
    <x:col min="7" max="7" width="24" hidden="0" customWidth="1"/>
    <x:col min="8" max="8" width="52" hidden="0" customWidth="1"/>
    <x:col min="9" max="9" width="46" hidden="0" customWidth="1"/>
  </x:cols>
  <x:sheetData>
    <x:row r="1">
      <x:c r="A1" s="2442" t="str">
        <x:v>Variante</x:v>
      </x:c>
      <x:c r="B1" s="2442" t="str">
        <x:v>Pfad</x:v>
      </x:c>
      <x:c r="C1" s="2442" t="str">
        <x:v>Pflanzen</x:v>
      </x:c>
      <x:c r="D1" s="2442" t="str">
        <x:v>Finaltopf L</x:v>
      </x:c>
      <x:c r="E1" s="2442" t="str">
        <x:v>Gesamtwurzelraum</x:v>
      </x:c>
      <x:c r="F1" s="2442" t="str">
        <x:v>Ziel</x:v>
      </x:c>
      <x:c r="G1" s="2442" t="str">
        <x:v>Bewertung</x:v>
      </x:c>
      <x:c r="H1" s="2442" t="str">
        <x:v>Trade-off</x:v>
      </x:c>
      <x:c r="I1" s="2442" t="str">
        <x:v>UKD Entscheidung</x:v>
      </x:c>
    </x:row>
    <x:row r="2">
      <x:c r="A2" s="60" t="str">
        <x:v>A</x:v>
      </x:c>
      <x:c r="B2" s="60" t="str">
        <x:v>3×8 L · Eazy Plug → Block → 8 L UGro Rhiza</x:v>
      </x:c>
      <x:c r="C2" s="60" t="str">
        <x:v>3</x:v>
      </x:c>
      <x:c r="D2" s="60" t="str">
        <x:v>8</x:v>
      </x:c>
      <x:c r="E2" s="60" t="str">
        <x:v>24 L</x:v>
      </x:c>
      <x:c r="F2" s="60" t="str">
        <x:v>Compact / mehr Steuerung</x:v>
      </x:c>
      <x:c r="G2" s="60" t="str">
        <x:v>SOLIDE</x:v>
      </x:c>
      <x:c r="H2" s="60" t="str">
        <x:v>Etwas weniger Root-/Wasserpuffer; potenziell häufigere kleine Irrigationsanpassung. Nur sinnvoll mit separatem 8-L-Topf + UGro Rhiza Substrat.</x:v>
      </x:c>
      <x:c r="I2" s="60" t="str">
        <x:v>Gut, wenn Topfgeometrie/Platz wichtiger ist. Nicht Pot9 auf 8 L 'halbieren'.</x:v>
      </x:c>
    </x:row>
    <x:row r="3">
      <x:c r="A3" s="60" t="str">
        <x:v>B</x:v>
      </x:c>
      <x:c r="B3" s="60" t="str">
        <x:v>3×9 L · Eazy Plug → Block → UGro Pot9 Professional Rhiza</x:v>
      </x:c>
      <x:c r="C3" s="60" t="str">
        <x:v>3</x:v>
      </x:c>
      <x:c r="D3" s="60" t="str">
        <x:v>9</x:v>
      </x:c>
      <x:c r="E3" s="60" t="str">
        <x:v>27 L</x:v>
      </x:c>
      <x:c r="F3" s="60" t="str">
        <x:v>Ausgewogen / Referenz</x:v>
      </x:c>
      <x:c r="G3" s="60" t="str">
        <x:v>EMPFOHLEN</x:v>
      </x:c>
      <x:c r="H3" s="60" t="str">
        <x:v>Exaktes UGro-Pot9-System, 1 L mehr Puffer je Pflanze; passt gut zu 3 Double Grape im 60×60 bei kontrolliertem Canopy.</x:v>
      </x:c>
      <x:c r="I3" s="60" t="str">
        <x:v>UKD-Referenzprofil.</x:v>
      </x:c>
    </x:row>
    <x:row r="4">
      <x:c r="A4" s="60" t="str">
        <x:v>C</x:v>
      </x:c>
      <x:c r="B4" s="60" t="str">
        <x:v>3×9 L · Eazy Plug → Block → Pot9 · Minimal-Stress-Training</x:v>
      </x:c>
      <x:c r="C4" s="60" t="str">
        <x:v>3</x:v>
      </x:c>
      <x:c r="D4" s="60" t="str">
        <x:v>9</x:v>
      </x:c>
      <x:c r="E4" s="60" t="str">
        <x:v>27 L</x:v>
      </x:c>
      <x:c r="F4" s="60" t="str">
        <x:v>Max. Robustheit</x:v>
      </x:c>
      <x:c r="G4" s="60" t="str">
        <x:v>EMPFOHLEN FÜR ERSTLAUF</x:v>
      </x:c>
      <x:c r="H4" s="60" t="str">
        <x:v>Wie B, aber nur leaf-tuck + sanftes LST; keine HST-/Topping-Referenz. Weniger Risiko, etwas weniger aggressive Flächenformung.</x:v>
      </x:c>
      <x:c r="I4" s="60" t="str">
        <x:v>Beste Sicherheitsvariante, wenn frühe Pflanzenreaktion unbekannt ist.</x:v>
      </x:c>
    </x:row>
    <x:row r="6">
      <x:c r="A6" s="2442" t="str">
        <x:v>UKD EMPFEHLUNG</x:v>
      </x:c>
      <x:c r="B6" s="2442"/>
      <x:c r="C6" s="2442"/>
      <x:c r="D6" s="2442"/>
      <x:c r="E6" s="2442"/>
      <x:c r="F6" s="2442"/>
      <x:c r="G6" s="2442"/>
      <x:c r="H6" s="2442"/>
      <x:c r="I6" s="2442"/>
    </x:row>
    <x:row r="7">
      <x:c r="A7" s="2445" t="str">
        <x:v>Für 60×60×180 cm mit 3× Double Grape Auto ist 3×9 L (Variante B) der robusteste Referenzpfad. 3×8 L ist ebenfalls solide, aber mit etwas weniger Wasser-/Wurzelpuffer. Variante C verwendet denselben 9-L-Wurzelraum wie B, minimiert aber Trainingseingriffe. Die physische Topfanzahl ist nicht das Hauptlimit; Canopy-Breite, Lichtverteilung und Mikroklima sind die engeren Grenzen.</x:v>
      </x:c>
      <x:c r="B7" s="2445"/>
      <x:c r="C7" s="2445"/>
      <x:c r="D7" s="2445"/>
      <x:c r="E7" s="2445"/>
      <x:c r="F7" s="2445"/>
      <x:c r="G7" s="2445"/>
      <x:c r="H7" s="2445"/>
      <x:c r="I7" s="2445"/>
    </x:row>
    <x:row r="8">
      <x:c r="A8" s="2445"/>
      <x:c r="B8" s="2445"/>
      <x:c r="C8" s="2445"/>
      <x:c r="D8" s="2445"/>
      <x:c r="E8" s="2445"/>
      <x:c r="F8" s="2445"/>
      <x:c r="G8" s="2445"/>
      <x:c r="H8" s="2445"/>
      <x:c r="I8" s="2445"/>
    </x:row>
    <x:row r="9">
      <x:c r="A9" s="2445"/>
      <x:c r="B9" s="2445"/>
      <x:c r="C9" s="2445"/>
      <x:c r="D9" s="2445"/>
      <x:c r="E9" s="2445"/>
      <x:c r="F9" s="2445"/>
      <x:c r="G9" s="2445"/>
      <x:c r="H9" s="2445"/>
      <x:c r="I9" s="2445"/>
    </x:row>
    <x:row r="10">
      <x:c r="A10" s="2445"/>
      <x:c r="B10" s="2445"/>
      <x:c r="C10" s="2445"/>
      <x:c r="D10" s="2445"/>
      <x:c r="E10" s="2445"/>
      <x:c r="F10" s="2445"/>
      <x:c r="G10" s="2445"/>
      <x:c r="H10" s="2445"/>
      <x:c r="I10" s="2445"/>
    </x:row>
  </x:sheetData>
  <x:mergeCells>
    <x:mergeCell ref="A6:I6"/>
    <x:mergeCell ref="A7:I10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48" hidden="0" customWidth="1"/>
    <x:col min="5" max="5" width="56" hidden="0" customWidth="1"/>
    <x:col min="6" max="6" width="52" hidden="0" customWidth="1"/>
  </x:cols>
  <x:sheetData>
    <x:row r="1">
      <x:c r="A1" s="2442" t="str">
        <x:v>State</x:v>
      </x:c>
      <x:c r="B1" s="2442" t="str">
        <x:v>Stadium</x:v>
      </x:c>
      <x:c r="C1" s="2442" t="str">
        <x:v>Zeitbezug</x:v>
      </x:c>
      <x:c r="D1" s="2442" t="str">
        <x:v>Trigger / Voraussetzung</x:v>
      </x:c>
      <x:c r="E1" s="2442" t="str">
        <x:v>Operative Aktion</x:v>
      </x:c>
      <x:c r="F1" s="2442" t="str">
        <x:v>Wichtig / Grenze</x:v>
      </x:c>
    </x:row>
    <x:row r="2" ht="58" customHeight="1">
      <x:c r="A2" s="60" t="str">
        <x:v>S0</x:v>
      </x:c>
      <x:c r="B2" s="60" t="str">
        <x:v>Keimung / Eazy Plug</x:v>
      </x:c>
      <x:c r="C2" s="60" t="str">
        <x:v>Tag 0 bis erste stabile Wurzel-/Sämlingszeichen</x:v>
      </x:c>
      <x:c r="D2" s="60" t="str">
        <x:v>Seedling emerges, healthy cotyledons, no stress</x:v>
      </x:c>
      <x:c r="E2" s="60" t="str">
        <x:v>Kein erzwungener Basisfeed. Plug feucht, nicht nass; keine Strukturarbeit.</x:v>
      </x:c>
      <x:c r="F2" s="60" t="str">
        <x:v>18/6 default; sanftes Licht; Planwerte sind Referenz.</x:v>
      </x:c>
    </x:row>
    <x:row r="3" ht="58" customHeight="1">
      <x:c r="A3" s="60" t="str">
        <x:v>S1</x:v>
      </x:c>
      <x:c r="B3" s="60" t="str">
        <x:v>Eazy Plug → Eazy Block</x:v>
      </x:c>
      <x:c r="C3" s="60" t="str">
        <x:v>Wenn erste Wurzeln sichtbar / Plug stabil durchwurzelt</x:v>
      </x:c>
      <x:c r="D3" s="60" t="str">
        <x:v>Root visible + seedling stable</x:v>
      </x:c>
      <x:c r="E3" s="60" t="str">
        <x:v>Plug vollständig in Block setzen; kein Wurzelballen-Zerfall.</x:v>
      </x:c>
      <x:c r="F3" s="60" t="str">
        <x:v>Umtopfereignis loggen.</x:v>
      </x:c>
    </x:row>
    <x:row r="4" ht="58" customHeight="1">
      <x:c r="A4" s="60" t="str">
        <x:v>S2</x:v>
      </x:c>
      <x:c r="B4" s="60" t="str">
        <x:v>Eazy Block</x:v>
      </x:c>
      <x:c r="C4" s="60" t="str">
        <x:v>Herstellerreferenz grob 8–10 Tage nach Einsetzen; früher nur wenn klar root-ready</x:v>
      </x:c>
      <x:c r="D4" s="60" t="str">
        <x:v>Roots visibly engage / emerge from block, plant vigorous</x:v>
      </x:c>
      <x:c r="E4" s="60" t="str">
        <x:v>Block als kurze Brücke nutzen; nicht bis Woche 4 halten.</x:v>
      </x:c>
      <x:c r="F4" s="60" t="str">
        <x:v>Leichte Fertigation erst nach Pflanzen-/Medium-Gate; Hersteller-EC nicht blind als Cannabisziel übernehmen.</x:v>
      </x:c>
    </x:row>
    <x:row r="5" ht="58" customHeight="1">
      <x:c r="A5" s="60" t="str">
        <x:v>S3</x:v>
      </x:c>
      <x:c r="B5" s="60" t="str">
        <x:v>Finaler 8/9-L-Coco-Wurzelraum</x:v>
      </x:c>
      <x:c r="C5" s="60" t="str">
        <x:v>Sobald Block root-ready ist; Ziel: früh, einmalig, stressarm</x:v>
      </x:c>
      <x:c r="D5" s="60" t="str">
        <x:v>Block roots visible + final coco prepared + plant vigorous</x:v>
      </x:c>
      <x:c r="E5" s="60" t="str">
        <x:v>Einmal in Endtopf; danach 2–3 Tage keine aggressive Strukturarbeit.</x:v>
      </x:c>
      <x:c r="F5" s="60" t="str">
        <x:v>UGro initial hydration ≠ tägliche Plant Irrigation.</x:v>
      </x:c>
    </x:row>
    <x:row r="6" ht="58" customHeight="1">
      <x:c r="A6" s="60" t="str">
        <x:v>S4</x:v>
      </x:c>
      <x:c r="B6" s="60" t="str">
        <x:v>Frühe Vegetation / Etablierung</x:v>
      </x:c>
      <x:c r="C6" s="60" t="str">
        <x:v>Nach Wiederaufnahme kräftigen Wachstums im Endtopf</x:v>
      </x:c>
      <x:c r="D6" s="60" t="str">
        <x:v>4–5 kräftige Nodes + no transplant stress</x:v>
      </x:c>
      <x:c r="E6" s="60" t="str">
        <x:v>Optional sanftes LST / leaf-tuck; kein Default-Topping.</x:v>
      </x:c>
      <x:c r="F6" s="60" t="str">
        <x:v>Double Grape ist laut Breeder bushy/LST-friendly.</x:v>
      </x:c>
    </x:row>
    <x:row r="7" ht="58" customHeight="1">
      <x:c r="A7" s="60" t="str">
        <x:v>S5</x:v>
      </x:c>
      <x:c r="B7" s="60" t="str">
        <x:v>Preflower Watch</x:v>
      </x:c>
      <x:c r="C7" s="60" t="str">
        <x:v>Nicht fix Day 21/28</x:v>
      </x:c>
      <x:c r="D7" s="60" t="str">
        <x:v>erste klare Pistillen / Stretch beginnt</x:v>
      </x:c>
      <x:c r="E7" s="60" t="str">
        <x:v>PreflowerObserved Event setzen; Training auslaufen lassen.</x:v>
      </x:c>
      <x:c r="F7" s="60" t="str">
        <x:v>Noch nicht automatisch BT1.</x:v>
      </x:c>
    </x:row>
    <x:row r="8" ht="58" customHeight="1">
      <x:c r="A8" s="60" t="str">
        <x:v>S6</x:v>
      </x:c>
      <x:c r="B8" s="60" t="str">
        <x:v>Flower Initiation / Stretch</x:v>
      </x:c>
      <x:c r="C8" s="60" t="str">
        <x:v>Bestätigter Blütenstart</x:v>
      </x:c>
      <x:c r="D8" s="60" t="str">
        <x:v>mehrere klare Stigmen/Budlets am Apex/mehreren Sites</x:v>
      </x:c>
      <x:c r="E8" s="60" t="str">
        <x:v>FlowerInitiation Event = operational BT1; TNT→Coco/Boost-Pfad ab hier auflösen.</x:v>
      </x:c>
      <x:c r="F8" s="60" t="str">
        <x:v>Absolute Day 28 bleibt nur Projection.</x:v>
      </x:c>
    </x:row>
    <x:row r="9" ht="58" customHeight="1">
      <x:c r="A9" s="60" t="str">
        <x:v>S7</x:v>
      </x:c>
      <x:c r="B9" s="60" t="str">
        <x:v>Early–Mid Flower</x:v>
      </x:c>
      <x:c r="C9" s="60" t="str">
        <x:v>BT relativ zum beobachteten Start</x:v>
      </x:c>
      <x:c r="D9" s="60" t="str">
        <x:v>Stretch endet, Blütenmasse baut auf</x:v>
      </x:c>
      <x:c r="E9" s="60" t="str">
        <x:v>Nur Support/Luftkanäle; EC/PPFD nur bei gesunder Reaktion steigern.</x:v>
      </x:c>
      <x:c r="F9" s="60" t="str">
        <x:v>Keine aggressive Defoliation/HST.</x:v>
      </x:c>
    </x:row>
    <x:row r="10" ht="58" customHeight="1">
      <x:c r="A10" s="60" t="str">
        <x:v>S8</x:v>
      </x:c>
      <x:c r="B10" s="60" t="str">
        <x:v>Peak / Late Flower</x:v>
      </x:c>
      <x:c r="C10" s="60" t="str">
        <x:v>Maturity-driven</x:v>
      </x:c>
      <x:c r="D10" s="60" t="str">
        <x:v>flower swelling, stable climate, no stress</x:v>
      </x:c>
      <x:c r="E10" s="60" t="str">
        <x:v>PK nur im vorgesehenen Bloom-Tag-Fenster und nur solange noch passend; keine Stack-Alternativen.</x:v>
      </x:c>
      <x:c r="F10" s="60" t="str">
        <x:v>RH/airflow wichtiger wegen dichter werdender Blüten.</x:v>
      </x:c>
    </x:row>
    <x:row r="11" ht="58" customHeight="1">
      <x:c r="A11" s="60" t="str">
        <x:v>S9</x:v>
      </x:c>
      <x:c r="B11" s="60" t="str">
        <x:v>Harvest Readiness Watch</x:v>
      </x:c>
      <x:c r="C11" s="60" t="str">
        <x:v>Double Grape breeder reference 70–80 d from sprout</x:v>
      </x:c>
      <x:c r="D11" s="60" t="str">
        <x:v>Calyx/trichome + whole-plant maturity</x:v>
      </x:c>
      <x:c r="E11" s="60" t="str">
        <x:v>Breeder-Tage nur Watch-Window; bei Unreife Plan verlängern.</x:v>
      </x:c>
      <x:c r="F11" s="60" t="str">
        <x:v>Kein Zwangs-Harvest an Day 80.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4" hidden="0" customWidth="1"/>
    <x:col min="5" max="5" width="46" hidden="0" customWidth="1"/>
    <x:col min="6" max="6" width="48" hidden="0" customWidth="1"/>
  </x:cols>
  <x:sheetData>
    <x:row r="1">
      <x:c r="A1" s="2442" t="str">
        <x:v>Feld</x:v>
      </x:c>
      <x:c r="B1" s="2442" t="str">
        <x:v>Wert</x:v>
      </x:c>
      <x:c r="C1" s="2442" t="str">
        <x:v>Bedeutung für UKD</x:v>
      </x:c>
      <x:c r="D1" s="2442" t="str">
        <x:v>Evidenz</x:v>
      </x:c>
      <x:c r="E1" s="2442" t="str">
        <x:v>Quelle</x:v>
      </x:c>
      <x:c r="F1" s="2442" t="str">
        <x:v>Planänderung</x:v>
      </x:c>
    </x:row>
    <x:row r="2">
      <x:c r="A2" s="60" t="str">
        <x:v>Genetik</x:v>
      </x:c>
      <x:c r="B2" s="60" t="str">
        <x:v>Double Grape Auto · Mephisto · F7 Feminised Automatic</x:v>
      </x:c>
      <x:c r="C2" s="60" t="str">
        <x:v>echte Autoflower; photoperiod-insensitiver Lifecycle</x:v>
      </x:c>
      <x:c r="D2" s="60" t="str">
        <x:v>BREEDER</x:v>
      </x:c>
      <x:c r="E2" s="60" t="str">
        <x:v>https://mephistogenetics.com/products/double-grape</x:v>
      </x:c>
      <x:c r="F2" s="60" t="str">
        <x:v>kein 12/12-Trigger</x:v>
      </x:c>
    </x:row>
    <x:row r="3">
      <x:c r="A3" s="60" t="str">
        <x:v>Breeder cycle</x:v>
      </x:c>
      <x:c r="B3" s="60" t="str">
        <x:v>70–80 Tage ab Sprout</x:v>
      </x:c>
      <x:c r="C3" s="60" t="str">
        <x:v>gutes Readiness-Watch-Fenster; nicht Harvest-Trigger</x:v>
      </x:c>
      <x:c r="D3" s="60" t="str">
        <x:v>BREEDER</x:v>
      </x:c>
      <x:c r="E3" s="60" t="str">
        <x:v>https://mephistogenetics.com/products/double-grape</x:v>
      </x:c>
      <x:c r="F3" s="60" t="str">
        <x:v>Plan nach Day80 verlängerbar</x:v>
      </x:c>
    </x:row>
    <x:row r="4">
      <x:c r="A4" s="60" t="str">
        <x:v>Breeder size</x:v>
      </x:c>
      <x:c r="B4" s="60" t="str">
        <x:v>55–80 cm</x:v>
      </x:c>
      <x:c r="C4" s="60" t="str">
        <x:v>3 Pflanzen in 60×60 plausibel, aber Canopy kann dicht werden</x:v>
      </x:c>
      <x:c r="D4" s="60" t="str">
        <x:v>BREEDER</x:v>
      </x:c>
      <x:c r="E4" s="60" t="str">
        <x:v>https://mephistogenetics.com/products/double-grape</x:v>
      </x:c>
      <x:c r="F4" s="60" t="str">
        <x:v>dreieckig stellen + sanft verteilen</x:v>
      </x:c>
    </x:row>
    <x:row r="5">
      <x:c r="A5" s="60" t="str">
        <x:v>Wuchs</x:v>
      </x:c>
      <x:c r="B5" s="60" t="str">
        <x:v>relativ offen, buscht natürlich</x:v>
      </x:c>
      <x:c r="C5" s="60" t="str">
        <x:v>weniger Bedarf für HST; leaf-tuck/LST reicht oft</x:v>
      </x:c>
      <x:c r="D5" s="60" t="str">
        <x:v>BREEDER</x:v>
      </x:c>
      <x:c r="E5" s="60" t="str">
        <x:v>https://mephistogenetics.com/products/double-grape</x:v>
      </x:c>
      <x:c r="F5" s="60" t="str">
        <x:v>Minimal-Stress als Standard</x:v>
      </x:c>
    </x:row>
    <x:row r="6">
      <x:c r="A6" s="60" t="str">
        <x:v>Training</x:v>
      </x:c>
      <x:c r="B6" s="60" t="str">
        <x:v>adaptiert gut an LST bei korrekter Durchführung</x:v>
      </x:c>
      <x:c r="C6" s="60" t="str">
        <x:v>LST optional nach Vitalität; nicht nach Tag</x:v>
      </x:c>
      <x:c r="D6" s="60" t="str">
        <x:v>BREEDER</x:v>
      </x:c>
      <x:c r="E6" s="60" t="str">
        <x:v>https://mephistogenetics.com/products/double-grape</x:v>
      </x:c>
      <x:c r="F6" s="60" t="str">
        <x:v>Trigger = 4–5 Nodes + post-transplant recovery</x:v>
      </x:c>
    </x:row>
    <x:row r="7">
      <x:c r="A7" s="60" t="str">
        <x:v>Autoflower biology</x:v>
      </x:c>
      <x:c r="B7" s="60" t="str">
        <x:v>Blüte unabhängig von Tageslänge</x:v>
      </x:c>
      <x:c r="C7" s="60" t="str">
        <x:v>kein photoperiodischer 12/12-Wechsel erforderlich</x:v>
      </x:c>
      <x:c r="D7" s="60" t="str">
        <x:v>PEER_REVIEWED/EXTENSION</x:v>
      </x:c>
      <x:c r="E7" s="60" t="str">
        <x:v>https://harvestny.cce.cornell.edu/uploads/doc_231.pdf</x:v>
      </x:c>
      <x:c r="F7" s="60" t="str">
        <x:v>18/6 bleibt Default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</x:cols>
  <x:sheetData>
    <x:row r="1">
      <x:c r="A1" s="2442" t="str">
        <x:v>Photoperiode</x:v>
      </x:c>
      <x:c r="B1" s="2442" t="str">
        <x:v>Status</x:v>
      </x:c>
      <x:c r="C1" s="2442" t="str">
        <x:v>Einsatz</x:v>
      </x:c>
      <x:c r="D1" s="2442" t="str">
        <x:v>Warum</x:v>
      </x:c>
      <x:c r="E1" s="2442" t="str">
        <x:v>Grenze</x:v>
      </x:c>
    </x:row>
    <x:row r="2">
      <x:c r="A2" s="60" t="str">
        <x:v>18/6</x:v>
      </x:c>
      <x:c r="B2" s="60" t="str">
        <x:v>DEFAULT</x:v>
      </x:c>
      <x:c r="C2" s="60" t="str">
        <x:v>Aktueller UKD-Pfad</x:v>
      </x:c>
      <x:c r="D2" s="60" t="str">
        <x:v>Robuster Arbeitsstandard; konstante Dunkelphase; DLI bereits im Plan darauf aufgebaut.</x:v>
      </x:c>
      <x:c r="E2" s="60" t="str">
        <x:v>Keine Aussage, dass 18 h universell optimal sind.</x:v>
      </x:c>
    </x:row>
    <x:row r="3">
      <x:c r="A3" s="60" t="str">
        <x:v>20/4</x:v>
      </x:c>
      <x:c r="B3" s="60" t="str">
        <x:v>OPTIONAL / A-B</x:v>
      </x:c>
      <x:c r="C3" s="60" t="str">
        <x:v>Nur als bewusstes Profil</x:v>
      </x:c>
      <x:c r="D3" s="60" t="str">
        <x:v>Mehr Lichtstunden bedeuten bei gleichem PPFD mehr DLI; deshalb PPFD/DLI neu kalibrieren.</x:v>
      </x:c>
      <x:c r="E3" s="60" t="str">
        <x:v>Nicht einfach 18→20 h erhöhen und alle PPFD-Ziele unverändert lassen.</x:v>
      </x:c>
    </x:row>
    <x:row r="4">
      <x:c r="A4" s="60" t="str">
        <x:v>24/0</x:v>
      </x:c>
      <x:c r="B4" s="60" t="str">
        <x:v>EXPERIMENTAL</x:v>
      </x:c>
      <x:c r="C4" s="60" t="str">
        <x:v>Nicht Referenz</x:v>
      </x:c>
      <x:c r="D4" s="60" t="str">
        <x:v>Autoflower kann photoperiod-insensitiv sein; daraus folgt nicht, dass 24 h Licht ertrags-/gesundheitsoptimal ist.</x:v>
      </x:c>
      <x:c r="E4" s="60" t="str">
        <x:v>Nur Experiment mit expliziter Hypothese und Messplan.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54" hidden="0" customWidth="1"/>
    <x:col min="8" max="8" width="22" hidden="0" customWidth="1"/>
  </x:cols>
  <x:sheetData>
    <x:row r="1">
      <x:c r="A1" s="2442" t="str">
        <x:v>Option</x:v>
      </x:c>
      <x:c r="B1" s="2442" t="str">
        <x:v>Pflanzen</x:v>
      </x:c>
      <x:c r="C1" s="2442" t="str">
        <x:v>L je Pflanze</x:v>
      </x:c>
      <x:c r="D1" s="2442" t="str">
        <x:v>Gesamt L</x:v>
      </x:c>
      <x:c r="E1" s="2442" t="str">
        <x:v>Dichte Pflanzen/m²</x:v>
      </x:c>
      <x:c r="F1" s="2442" t="str">
        <x:v>Vorteil</x:v>
      </x:c>
      <x:c r="G1" s="2442" t="str">
        <x:v>Risiko</x:v>
      </x:c>
      <x:c r="H1" s="2442" t="str">
        <x:v>UKD Status</x:v>
      </x:c>
    </x:row>
    <x:row r="2">
      <x:c r="A2" s="60" t="str">
        <x:v>3×8 L</x:v>
      </x:c>
      <x:c r="B2" s="60" t="n">
        <x:v>3</x:v>
      </x:c>
      <x:c r="C2" s="60" t="n">
        <x:v>8</x:v>
      </x:c>
      <x:c r="D2" s="60" t="n">
        <x:v>24</x:v>
      </x:c>
      <x:c r="E2" s="60" t="n">
        <x:v>8.33</x:v>
      </x:c>
      <x:c r="F2" s="60" t="str">
        <x:v>kompakter; etwas schnellerer Dryback / leichter zu bremsen</x:v>
      </x:c>
      <x:c r="G2" s="60" t="str">
        <x:v>weniger Puffer; häufiger auf Wasser-/EC-Entwicklung achten</x:v>
      </x:c>
      <x:c r="H2" s="60" t="str">
        <x:v>SOLIDE</x:v>
      </x:c>
    </x:row>
    <x:row r="3">
      <x:c r="A3" s="60" t="str">
        <x:v>3×9 L Pot9 Rhiza</x:v>
      </x:c>
      <x:c r="B3" s="60" t="n">
        <x:v>3</x:v>
      </x:c>
      <x:c r="C3" s="60" t="n">
        <x:v>9</x:v>
      </x:c>
      <x:c r="D3" s="60" t="n">
        <x:v>27</x:v>
      </x:c>
      <x:c r="E3" s="60" t="n">
        <x:v>8.33</x:v>
      </x:c>
      <x:c r="F3" s="60" t="str">
        <x:v>mehr Root-/Wasserpuffer; exaktes UGro Pot9 System</x:v>
      </x:c>
      <x:c r="G3" s="60" t="str">
        <x:v>Canopy bleibt das eigentliche Limit; früh nicht gesamten 9 L blind wiederholt sättigen</x:v>
      </x:c>
      <x:c r="H3" s="60" t="str">
        <x:v>EMPFOHLEN</x:v>
      </x:c>
    </x:row>
    <x:row r="4">
      <x:c r="A4" s="60" t="str">
        <x:v>2×9 L</x:v>
      </x:c>
      <x:c r="B4" s="60" t="n">
        <x:v>2</x:v>
      </x:c>
      <x:c r="C4" s="60" t="n">
        <x:v>9</x:v>
      </x:c>
      <x:c r="D4" s="60" t="n">
        <x:v>18</x:v>
      </x:c>
      <x:c r="E4" s="60" t="n">
        <x:v>5.56</x:v>
      </x:c>
      <x:c r="F4" s="60" t="str">
        <x:v>mehr Platz pro Krone, einfacher zu managen</x:v>
      </x:c>
      <x:c r="G4" s="60" t="str">
        <x:v>weniger Redundanz / Fläche muss stärker pro Pflanze gefüllt werden</x:v>
      </x:c>
      <x:c r="H4" s="60" t="str">
        <x:v>EINFACHER, aber nicht gewählt</x:v>
      </x:c>
    </x:row>
    <x:row r="5">
      <x:c r="A5" s="60" t="str">
        <x:v>4×9 L</x:v>
      </x:c>
      <x:c r="B5" s="60" t="n">
        <x:v>4</x:v>
      </x:c>
      <x:c r="C5" s="60" t="n">
        <x:v>9</x:v>
      </x:c>
      <x:c r="D5" s="60" t="n">
        <x:v>36</x:v>
      </x:c>
      <x:c r="E5" s="60" t="n">
        <x:v>11.11</x:v>
      </x:c>
      <x:c r="F5" s="60" t="str">
        <x:v>mehr kleine Pflanzen möglich</x:v>
      </x:c>
      <x:c r="G5" s="60" t="str">
        <x:v>für Double Grape im 60×60 deutlich höheres Crowding-/Mikroklimarisiko</x:v>
      </x:c>
      <x:c r="H5" s="60" t="str">
        <x:v>NICHT REFERENZ</x:v>
      </x:c>
    </x:row>
    <x:row r="7">
      <x:c r="A7" s="2448" t="str">
        <x:v>UKD Inference: 3×9 L ist für das konkrete 60×60-Setup die beste Balance. 3 Pflanzen entsprechen 8,33 Pflanzen/m²; je Pflanze stehen geometrisch im Mittel 0,12 m² Canopyfläche zur Verfügung. Das ist kein wissenschaftlicher Optimalwert. Entscheidend sind Genetik, Canopy-Management, Lichtverteilung und Klima.</x:v>
      </x:c>
      <x:c r="B7" s="2448"/>
      <x:c r="C7" s="2448"/>
      <x:c r="D7" s="2448"/>
      <x:c r="E7" s="2448"/>
      <x:c r="F7" s="2448"/>
      <x:c r="G7" s="2448"/>
      <x:c r="H7" s="2448"/>
    </x:row>
    <x:row r="8">
      <x:c r="A8" s="2448"/>
      <x:c r="B8" s="2448"/>
      <x:c r="C8" s="2448"/>
      <x:c r="D8" s="2448"/>
      <x:c r="E8" s="2448"/>
      <x:c r="F8" s="2448"/>
      <x:c r="G8" s="2448"/>
      <x:c r="H8" s="2448"/>
    </x:row>
    <x:row r="9">
      <x:c r="A9" s="2448"/>
      <x:c r="B9" s="2448"/>
      <x:c r="C9" s="2448"/>
      <x:c r="D9" s="2448"/>
      <x:c r="E9" s="2448"/>
      <x:c r="F9" s="2448"/>
      <x:c r="G9" s="2448"/>
      <x:c r="H9" s="2448"/>
    </x:row>
    <x:row r="10">
      <x:c r="A10" s="2448"/>
      <x:c r="B10" s="2448"/>
      <x:c r="C10" s="2448"/>
      <x:c r="D10" s="2448"/>
      <x:c r="E10" s="2448"/>
      <x:c r="F10" s="2448"/>
      <x:c r="G10" s="2448"/>
      <x:c r="H10" s="2448"/>
    </x:row>
  </x:sheetData>
  <x:mergeCells>
    <x:mergeCell ref="A7:H10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72" hidden="0" customWidth="1"/>
    <x:col min="4" max="4" width="24" hidden="0" customWidth="1"/>
  </x:cols>
  <x:sheetData>
    <x:row r="1">
      <x:c r="A1" s="2442" t="str">
        <x:v>Quelle</x:v>
      </x:c>
      <x:c r="B1" s="2442" t="str">
        <x:v>URL</x:v>
      </x:c>
      <x:c r="C1" s="2442" t="str">
        <x:v>Was sie stützt</x:v>
      </x:c>
      <x:c r="D1" s="2442" t="str">
        <x:v>Evidenzklasse</x:v>
      </x:c>
    </x:row>
    <x:row r="2">
      <x:c r="A2" s="60" t="str">
        <x:v>Eazy Plug / Block</x:v>
      </x:c>
      <x:c r="B2" s="60" t="str">
        <x:v>https://www.eazy-plug.com/how-to-use.html</x:v>
      </x:c>
      <x:c r="C2" s="60" t="str">
        <x:v>Eazy Block: light feed after ~5 days; roots through block in ~8–10 days; transplant then.</x:v>
      </x:c>
      <x:c r="D2" s="60" t="str">
        <x:v>MANUFACTURER</x:v>
      </x:c>
    </x:row>
    <x:row r="3">
      <x:c r="A3" s="60" t="str">
        <x:v>Eazy Block</x:v>
      </x:c>
      <x:c r="B3" s="60" t="str">
        <x:v>https://www.eazy-plug.com/eazy-block/</x:v>
      </x:c>
      <x:c r="C3" s="60" t="str">
        <x:v>Buffered/self-regulating block; air pruning and dense root structure.</x:v>
      </x:c>
      <x:c r="D3" s="60" t="str">
        <x:v>MANUFACTURER</x:v>
      </x:c>
    </x:row>
    <x:row r="4">
      <x:c r="A4" s="60" t="str">
        <x:v>UGro Pot9 Rhiza</x:v>
      </x:c>
      <x:c r="B4" s="60" t="str">
        <x:v>https://simplyorganicsl.com/en/product/pot9-professional-rhiza/</x:v>
      </x:c>
      <x:c r="C4" s="60" t="str">
        <x:v>9 L hydrated grow bag, true-buffered, endomycorrhizae, 5–6 L initial hydration.</x:v>
      </x:c>
      <x:c r="D4" s="60" t="str">
        <x:v>MANUFACTURER</x:v>
      </x:c>
    </x:row>
    <x:row r="5">
      <x:c r="A5" s="60" t="str">
        <x:v>HESI TNT</x:v>
      </x:c>
      <x:c r="B5" s="60" t="str">
        <x:v>https://hesi.nl/de/TNT-COMPLEX</x:v>
      </x:c>
      <x:c r="C5" s="60" t="str">
        <x:v>Seeds initially contain nutrients; half dose for very young seedlings.</x:v>
      </x:c>
      <x:c r="D5" s="60" t="str">
        <x:v>MANUFACTURER</x:v>
      </x:c>
    </x:row>
    <x:row r="6">
      <x:c r="A6" s="60" t="str">
        <x:v>Mephisto Double Grape</x:v>
      </x:c>
      <x:c r="B6" s="60" t="str">
        <x:v>https://mephistogenetics.com/products/double-grape</x:v>
      </x:c>
      <x:c r="C6" s="60" t="str">
        <x:v>F7 automatic; 70–80 days from sprout; 55–80 cm; naturally bushy; responds to leaf-tucking/LST.</x:v>
      </x:c>
      <x:c r="D6" s="60" t="str">
        <x:v>BREEDER</x:v>
      </x:c>
    </x:row>
    <x:row r="7">
      <x:c r="A7" s="60" t="str">
        <x:v>Cornell Cannabis Production Manual</x:v>
      </x:c>
      <x:c r="B7" s="60" t="str">
        <x:v>https://harvestny.cce.cornell.edu/uploads/doc_231.pdf</x:v>
      </x:c>
      <x:c r="C7" s="60" t="str">
        <x:v>Autoflowers flower independently of day length; typically flower after ~4–5 weeks; avoid root disturbance where possible.</x:v>
      </x:c>
      <x:c r="D7" s="60" t="str">
        <x:v>EXTENSION / TECHNICAL</x:v>
      </x:c>
    </x:row>
    <x:row r="8">
      <x:c r="A8" s="60" t="str">
        <x:v>Frontiers cannabis yield meta-analysis</x:v>
      </x:c>
      <x:c r="B8" s="60" t="str">
        <x:v>https://www.frontiersin.org/journals/plant-science/articles/10.3389/fpls.2019.00495/full</x:v>
      </x:c>
      <x:c r="C8" s="60" t="str">
        <x:v>Pot size is one of several yield predictors; does not define a universal optimum pot volume.</x:v>
      </x:c>
      <x:c r="D8" s="60" t="str">
        <x:v>PEER_REVIEWED</x:v>
      </x:c>
    </x:row>
    <x:row r="9">
      <x:c r="A9" s="60" t="str">
        <x:v>RQS autoflower transplant guide</x:v>
      </x:c>
      <x:c r="B9" s="60" t="str">
        <x:v>https://www.royalqueenseeds.com/uk/blog-rookie-guide-3-steps-to-master-the-seedling-stage-n239</x:v>
      </x:c>
      <x:c r="C9" s="60" t="str">
        <x:v>Breeder guidance: autos often use final pots, typically 5–15 L; avoid unnecessary transplant stress.</x:v>
      </x:c>
      <x:c r="D9" s="60" t="str">
        <x:v>BREEDER_GUIDANCE</x:v>
      </x:c>
    </x:row>
    <x:row r="10">
      <x:c r="A10" s="60" t="str">
        <x:v>Dutch Passion autoflower transplant guidance</x:v>
      </x:c>
      <x:c r="B10" s="60" t="str">
        <x:v>https://dutch-passion.com/en/blog/autoflower-cannabis-seeds-myth-busting-n1154</x:v>
      </x:c>
      <x:c r="C10" s="60" t="str">
        <x:v>Breeder guidance: transplanting can work, but keep it early and controlled; avoid repeated pot-ups.</x:v>
      </x:c>
      <x:c r="D10" s="60" t="str">
        <x:v>BREEDER_GUIDANCE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62" hidden="0" customWidth="1"/>
    <x:col min="5" max="5" width="54" hidden="0" customWidth="1"/>
    <x:col min="6" max="6" width="24" hidden="0" customWidth="1"/>
  </x:cols>
  <x:sheetData>
    <x:row r="1">
      <x:c r="A1" s="2455" t="str">
        <x:v>State</x:v>
      </x:c>
      <x:c r="B1" s="2455" t="str">
        <x:v>Wann?</x:v>
      </x:c>
      <x:c r="C1" s="2455" t="str">
        <x:v>Was bleibt gleich?</x:v>
      </x:c>
      <x:c r="D1" s="2455" t="str">
        <x:v>Was wird NICHT automatisch fortgeschrieben?</x:v>
      </x:c>
      <x:c r="E1" s="2455" t="str">
        <x:v>Entscheidung</x:v>
      </x:c>
      <x:c r="F1" s="2455" t="str">
        <x:v>Status</x:v>
      </x:c>
    </x:row>
    <x:row r="2" ht="54" customHeight="1">
      <x:c r="A2" s="60" t="str">
        <x:v>READINESS_WATCH</x:v>
      </x:c>
      <x:c r="B2" s="60" t="str">
        <x:v>ab ca. Day 70 bei Double Grape</x:v>
      </x:c>
      <x:c r="C2" s="60" t="str">
        <x:v>18/6, Klima-/Schimmelkontrolle, Support/airflow, tägliche Beobachtung</x:v>
      </x:c>
      <x:c r="D2" s="60" t="str">
        <x:v>keine automatische neue PK-/Boost-Rampe nur wegen zusätzlicher Tage</x:v>
      </x:c>
      <x:c r="E2" s="60" t="str">
        <x:v>Maturity beobachten; breeder window nur Orientierung</x:v>
      </x:c>
      <x:c r="F2" s="60" t="str">
        <x:v>ACTIVE</x:v>
      </x:c>
    </x:row>
    <x:row r="3" ht="54" customHeight="1">
      <x:c r="A3" s="60" t="str">
        <x:v>DAY80_NOT_READY</x:v>
      </x:c>
      <x:c r="B3" s="60" t="str">
        <x:v>wenn Day 80 erreicht und noch nicht reif</x:v>
      </x:c>
      <x:c r="C3" s="60" t="str">
        <x:v>Run bleibt aktiv; Tagesnummer darf weiterlaufen</x:v>
      </x:c>
      <x:c r="D3" s="60" t="str">
        <x:v>nicht ernten, nicht 'flushen', nicht Dosen extrapolieren ohne Resolver</x:v>
      </x:c>
      <x:c r="E3" s="60" t="str">
        <x:v>Extension Review erzeugen</x:v>
      </x:c>
      <x:c r="F3" s="60" t="str">
        <x:v>REQUIRES REVIEW</x:v>
      </x:c>
    </x:row>
    <x:row r="4" ht="54" customHeight="1">
      <x:c r="A4" s="60" t="str">
        <x:v>EXTENSION_REVIEW</x:v>
      </x:c>
      <x:c r="B4" s="60" t="str">
        <x:v>Day 81+</x:v>
      </x:c>
      <x:c r="C4" s="60" t="str">
        <x:v>nur sichere, bereits begründete Basis-/Klimaaktionen</x:v>
      </x:c>
      <x:c r="D4" s="60" t="str">
        <x:v>keine neuen Kalender-Claims</x:v>
      </x:c>
      <x:c r="E4" s="60" t="str">
        <x:v>aktuellen Bloom-Tag, Plant State, EC/Drain, Klima, Produktstatus neu auflösen</x:v>
      </x:c>
      <x:c r="F4" s="60" t="str">
        <x:v>MANUAL/APP FUTURE</x:v>
      </x:c>
    </x:row>
    <x:row r="5" ht="54" customHeight="1">
      <x:c r="A5" s="60" t="str">
        <x:v>HARVEST_READY</x:v>
      </x:c>
      <x:c r="B5" s="60" t="str">
        <x:v>wenn Reifeindikatoren passen</x:v>
      </x:c>
      <x:c r="C5" s="60" t="str">
        <x:v>Ernte-/Dry-Protokoll</x:v>
      </x:c>
      <x:c r="D5" s="60" t="str">
        <x:v>kein Warten nur auf Day X</x:v>
      </x:c>
      <x:c r="E5" s="60" t="str">
        <x:v>HarvestEvent dokumentieren</x:v>
      </x:c>
      <x:c r="F5" s="60" t="str">
        <x:v>EVENT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2" hidden="0" customWidth="1"/>
    <x:col min="5" max="5" width="34" hidden="0" customWidth="1"/>
    <x:col min="6" max="6" width="18" hidden="0" customWidth="1"/>
    <x:col min="7" max="7" width="44" hidden="0" customWidth="1"/>
    <x:col min="8" max="8" width="46" hidden="0" customWidth="1"/>
    <x:col min="9" max="9" width="42" hidden="0" customWidth="1"/>
    <x:col min="10" max="10" width="46" hidden="0" customWidth="1"/>
    <x:col min="11" max="11" width="42" hidden="0" customWidth="1"/>
    <x:col min="12" max="12" width="56" hidden="0" customWidth="1"/>
  </x:cols>
  <x:sheetData>
    <x:row r="1">
      <x:c r="A1" s="2458" t="str">
        <x:v>Plant ID</x:v>
      </x:c>
      <x:c r="B1" s="2458" t="str">
        <x:v>Genetik</x:v>
      </x:c>
      <x:c r="C1" s="2458" t="str">
        <x:v>Züchter / Quelle</x:v>
      </x:c>
      <x:c r="D1" s="2458" t="str">
        <x:v>Auto-Status</x:v>
      </x:c>
      <x:c r="E1" s="2458" t="str">
        <x:v>Breeder-Zeitangabe</x:v>
      </x:c>
      <x:c r="F1" s="2458" t="str">
        <x:v>Höhe</x:v>
      </x:c>
      <x:c r="G1" s="2458" t="str">
        <x:v>Wuchs / Blütenstruktur</x:v>
      </x:c>
      <x:c r="H1" s="2458" t="str">
        <x:v>Training-Bias</x:v>
      </x:c>
      <x:c r="I1" s="2458" t="str">
        <x:v>Nährstoff-Bias</x:v>
      </x:c>
      <x:c r="J1" s="2458" t="str">
        <x:v>Klima-/Luft-Bias</x:v>
      </x:c>
      <x:c r="K1" s="2458" t="str">
        <x:v>UKD Unsicherheit</x:v>
      </x:c>
      <x:c r="L1" s="2458" t="str">
        <x:v>Operative Konsequenz</x:v>
      </x:c>
    </x:row>
    <x:row r="2" ht="88" customHeight="1">
      <x:c r="A2" s="60" t="str">
        <x:v>P1</x:v>
      </x:c>
      <x:c r="B2" s="60" t="str">
        <x:v>Double Grape Auto</x:v>
      </x:c>
      <x:c r="C2" s="60" t="str">
        <x:v>Mephisto Genetics</x:v>
      </x:c>
      <x:c r="D2" s="60" t="str">
        <x:v>F7 Feminised Automatic</x:v>
      </x:c>
      <x:c r="E2" s="60" t="str">
        <x:v>70–80 Tage ab Sprout (Produktseite; Text nennt ideal teils 65–70 d)</x:v>
      </x:c>
      <x:c r="F2" s="60" t="str">
        <x:v>55–80 cm</x:v>
      </x:c>
      <x:c r="G2" s="60" t="str">
        <x:v>relativ offen, buscht natürlich</x:v>
      </x:c>
      <x:c r="H2" s="60" t="str">
        <x:v>leaf-tuck + sanftes LST; wenig Bedarf für aggressive Formung</x:v>
      </x:c>
      <x:c r="I2" s="60" t="str">
        <x:v>keine cultivar-spezifische EC-Optimalität belegt</x:v>
      </x:c>
      <x:c r="J2" s="60" t="str">
        <x:v>mittleres Geruchsprofil; normale späte Blüten-Luftkontrolle</x:v>
      </x:c>
      <x:c r="K2" s="60" t="str">
        <x:v>Breeder-Zeitangaben auf derselben Seite sind leicht inkonsistent</x:v>
      </x:c>
      <x:c r="L2" s="60" t="str">
        <x:v>wahrscheinlich kürzeste Pflanze; bei Bedarf Topf später auf Riser statt stärkere Pflanzen künstlich zu bremsen.</x:v>
      </x:c>
    </x:row>
    <x:row r="3" ht="88" customHeight="1">
      <x:c r="A3" s="60" t="str">
        <x:v>P2</x:v>
      </x:c>
      <x:c r="B3" s="60" t="str">
        <x:v>Banana Purple Punch Auto</x:v>
      </x:c>
      <x:c r="C3" s="60" t="str">
        <x:v>Fast Buds</x:v>
      </x:c>
      <x:c r="D3" s="60" t="str">
        <x:v>F5 feminisierte Polyhybrid Autoflower</x:v>
      </x:c>
      <x:c r="E3" s="60" t="str">
        <x:v>8 Wochen laut technischem Datenblatt; Beschreibung nennt 56 Tage</x:v>
      </x:c>
      <x:c r="F3" s="60" t="str">
        <x:v>80–120 cm</x:v>
      </x:c>
      <x:c r="G3" s="60" t="str">
        <x:v>kräftig/buschig; kurze Internodien; sehr dichte Buds</x:v>
      </x:c>
      <x:c r="H3" s="60" t="str">
        <x:v>stärkste LST-Priorität; Zweige auseinanderführen; nur schrittweise selektiv entblättern</x:v>
      </x:c>
      <x:c r="I3" s="60" t="str">
        <x:v>Fast Buds: braucht nicht viel Nährstoffe → im Misch-Run konservative EC-Eskalation</x:v>
      </x:c>
      <x:c r="J3" s="60" t="str">
        <x:v>höchste Priorität für Luftkanäle/Schimmelprävention wegen sehr dichter Buds</x:v>
      </x:c>
      <x:c r="K3" s="60" t="str">
        <x:v>'8 Wochen' ist Breeder-Angabe; nicht automatisch identisch mit Days-from-sprout-Semantik</x:v>
      </x:c>
      <x:c r="L3" s="60" t="str">
        <x:v>Canopy-Höhenanker: früh seitlich verteilen, später stützen; Klima-Alarm nach dichtester Pflanze ausrichten.</x:v>
      </x:c>
    </x:row>
    <x:row r="4" ht="88" customHeight="1">
      <x:c r="A4" s="60" t="str">
        <x:v>P3</x:v>
      </x:c>
      <x:c r="B4" s="60" t="str">
        <x:v>GG. #4 Auto</x:v>
      </x:c>
      <x:c r="C4" s="60" t="str">
        <x:v>Sensible Seeds Listing / BSB Genetics</x:v>
      </x:c>
      <x:c r="D4" s="60" t="str">
        <x:v>Autoflowering</x:v>
      </x:c>
      <x:c r="E4" s="60" t="str">
        <x:v>8–9 Wochen ab Seed/Germination laut Sensible/BSB-Angaben</x:v>
      </x:c>
      <x:c r="F4" s="60" t="str">
        <x:v>ca. 100 cm</x:v>
      </x:c>
      <x:c r="G4" s="60" t="str">
        <x:v>mittlere Höhe; dichte/kompakte, sehr harzige Buds</x:v>
      </x:c>
      <x:c r="H4" s="60" t="str">
        <x:v>moderates LST + spätere Stützung</x:v>
      </x:c>
      <x:c r="I4" s="60" t="str">
        <x:v>keine belastbare cultivar-spezifische EC-Kurve; gemeinsam konservativ starten</x:v>
      </x:c>
      <x:c r="J4" s="60" t="str">
        <x:v>dichte Buds → gute Luftführung, kein direkter harter Wind</x:v>
      </x:c>
      <x:c r="K4" s="60" t="str">
        <x:v>Breeder-Identität muss über Packung verifiziert werden; Original Sensible Seeds wäre ein anderes Profil</x:v>
      </x:c>
      <x:c r="L4" s="60" t="str">
        <x:v>zweite hohe Pflanze; separate FlowerInitiation und Harvest Readiness erfassen.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7" hidden="0" customWidth="1"/>
    <x:col min="4" max="4" width="18" hidden="0" customWidth="1"/>
    <x:col min="5" max="5" width="26" hidden="0" customWidth="1"/>
    <x:col min="6" max="6" width="20" hidden="0" customWidth="1"/>
    <x:col min="7" max="7" width="22" hidden="0" customWidth="1"/>
    <x:col min="8" max="8" width="22" hidden="0" customWidth="1"/>
    <x:col min="9" max="9" width="26" hidden="0" customWidth="1"/>
    <x:col min="10" max="10" width="20" hidden="0" customWidth="1"/>
    <x:col min="11" max="11" width="22" hidden="0" customWidth="1"/>
    <x:col min="12" max="12" width="18" hidden="0" customWidth="1"/>
    <x:col min="13" max="13" width="42" hidden="0" customWidth="1"/>
    <x:col min="14" max="14" width="18" hidden="0" customWidth="1"/>
    <x:col min="15" max="15" width="44" hidden="0" customWidth="1"/>
    <x:col min="16" max="16" width="22" hidden="0" customWidth="1"/>
  </x:cols>
  <x:sheetData>
    <x:row r="1">
      <x:c r="A1" s="2473" t="str">
        <x:v>Plant ID</x:v>
      </x:c>
      <x:c r="B1" s="2473" t="str">
        <x:v>Sowing Date</x:v>
      </x:c>
      <x:c r="C1" s="2473" t="str">
        <x:v>Emergence Date</x:v>
      </x:c>
      <x:c r="D1" s="2473" t="str">
        <x:v>Current Plant Day</x:v>
      </x:c>
      <x:c r="E1" s="2473" t="str">
        <x:v>Current Root Stage</x:v>
      </x:c>
      <x:c r="F1" s="2473" t="str">
        <x:v>Plug→Block Run Day</x:v>
      </x:c>
      <x:c r="G1" s="2473" t="str">
        <x:v>Block→Final Run Day</x:v>
      </x:c>
      <x:c r="H1" s="2473" t="str">
        <x:v>PreflowerObserved</x:v>
      </x:c>
      <x:c r="I1" s="2473" t="str">
        <x:v>FlowerInitiation Run Day</x:v>
      </x:c>
      <x:c r="J1" s="2473" t="str">
        <x:v>Current Bloom Day</x:v>
      </x:c>
      <x:c r="K1" s="2473" t="str">
        <x:v>Harvest Readiness</x:v>
      </x:c>
      <x:c r="L1" s="2473" t="str">
        <x:v>Canopy Height cm</x:v>
      </x:c>
      <x:c r="M1" s="2473" t="str">
        <x:v>Stress / Notes</x:v>
      </x:c>
      <x:c r="N1" s="2473" t="str">
        <x:v>pH Working Setpoint</x:v>
      </x:c>
      <x:c r="O1" s="2473" t="str">
        <x:v>pH State Rule</x:v>
      </x:c>
      <x:c r="P1" s="2473" t="str">
        <x:v>Resolver Status</x:v>
      </x:c>
    </x:row>
    <x:row r="2">
      <x:c r="A2" s="60" t="str">
        <x:v>P1 Double Grape</x:v>
      </x:c>
      <x:c r="B2" s="2475" t="n">
        <x:f>'01_Run_Config'!$B$90</x:f>
        <x:v>46255</x:v>
      </x:c>
      <x:c r="C2" s="2475" t="n">
        <x:f>'01_Run_Config'!$B$91</x:f>
        <x:v>46257</x:v>
      </x:c>
      <x:c r="D2" s="60" t="n">
        <x:f>IF(ISNUMBER(C2),MAX(0,('01_Run_Config'!$B$4+'01_Run_Config'!$B$5)-C2),"PRE-EMERGENCE")</x:f>
        <x:v>0</x:v>
      </x:c>
      <x:c r="E2" s="60" t="str">
        <x:v>EAZY_PLUG / EMERGED</x:v>
      </x:c>
      <x:c r="F2" s="60" t="str">
        <x:v>UNKNOWN</x:v>
      </x:c>
      <x:c r="G2" s="60" t="str">
        <x:v>UNKNOWN</x:v>
      </x:c>
      <x:c r="H2" s="60" t="str">
        <x:v>UNKNOWN</x:v>
      </x:c>
      <x:c r="I2" s="60" t="str">
        <x:v>UNKNOWN</x:v>
      </x:c>
      <x:c r="J2" s="60" t="str">
        <x:f>IF(ISNUMBER(I2),MAX(0,'01_Run_Config'!$B$5-I2),"NOT STARTED")</x:f>
        <x:v>NOT STARTED</x:v>
      </x:c>
      <x:c r="K2" s="60" t="str">
        <x:v>NOT READY</x:v>
      </x:c>
      <x:c r="L2" s="60" t="str">
        <x:v>UNKNOWN</x:v>
      </x:c>
      <x:c r="M2" s="60"/>
      <x:c r="N2" s="2482" t="n">
        <x:v>5.8</x:v>
      </x:c>
      <x:c r="O2" s="60" t="str">
        <x:v>EAZY Plug/Block → pH 5.80</x:v>
      </x:c>
      <x:c r="P2" s="60" t="str">
        <x:v>PLANT-SPECIFIC</x:v>
      </x:c>
    </x:row>
    <x:row r="3">
      <x:c r="A3" s="60" t="str">
        <x:v>P2 Banana Purple Punch</x:v>
      </x:c>
      <x:c r="B3" s="2475" t="n">
        <x:f>'01_Run_Config'!$B$90</x:f>
        <x:v>46255</x:v>
      </x:c>
      <x:c r="C3" s="2475" t="str">
        <x:v>UNKNOWN</x:v>
      </x:c>
      <x:c r="D3" s="60" t="str">
        <x:f>IF(ISNUMBER(C3),MAX(0,('01_Run_Config'!$B$4+'01_Run_Config'!$B$5)-C3),"PRE-EMERGENCE")</x:f>
        <x:v>PRE-EMERGENCE</x:v>
      </x:c>
      <x:c r="E3" s="60" t="str">
        <x:v>EAZY_PLUG / PRE-EMERGENCE</x:v>
      </x:c>
      <x:c r="F3" s="60" t="str">
        <x:v>UNKNOWN</x:v>
      </x:c>
      <x:c r="G3" s="60" t="str">
        <x:v>UNKNOWN</x:v>
      </x:c>
      <x:c r="H3" s="60" t="str">
        <x:v>UNKNOWN</x:v>
      </x:c>
      <x:c r="I3" s="60" t="str">
        <x:v>UNKNOWN</x:v>
      </x:c>
      <x:c r="J3" s="60" t="str">
        <x:f>IF(ISNUMBER(I3),MAX(0,'01_Run_Config'!$B$5-I3),"NOT STARTED")</x:f>
        <x:v>NOT STARTED</x:v>
      </x:c>
      <x:c r="K3" s="60" t="str">
        <x:v>NOT READY</x:v>
      </x:c>
      <x:c r="L3" s="60" t="str">
        <x:v>UNKNOWN</x:v>
      </x:c>
      <x:c r="M3" s="60"/>
      <x:c r="N3" s="2482" t="n">
        <x:v>5.8</x:v>
      </x:c>
      <x:c r="O3" s="60" t="str">
        <x:v>EAZY Plug/Block → pH 5.80</x:v>
      </x:c>
      <x:c r="P3" s="60" t="str">
        <x:v>PLANT-SPECIFIC</x:v>
      </x:c>
    </x:row>
    <x:row r="4">
      <x:c r="A4" s="60" t="str">
        <x:v>P3 GG. #4</x:v>
      </x:c>
      <x:c r="B4" s="2475" t="n">
        <x:f>'01_Run_Config'!$B$90</x:f>
        <x:v>46255</x:v>
      </x:c>
      <x:c r="C4" s="2475" t="str">
        <x:v>UNKNOWN</x:v>
      </x:c>
      <x:c r="D4" s="60" t="str">
        <x:f>IF(ISNUMBER(C4),MAX(0,('01_Run_Config'!$B$4+'01_Run_Config'!$B$5)-C4),"PRE-EMERGENCE")</x:f>
        <x:v>PRE-EMERGENCE</x:v>
      </x:c>
      <x:c r="E4" s="60" t="str">
        <x:v>EAZY_PLUG / PRE-EMERGENCE</x:v>
      </x:c>
      <x:c r="F4" s="60" t="str">
        <x:v>UNKNOWN</x:v>
      </x:c>
      <x:c r="G4" s="60" t="str">
        <x:v>UNKNOWN</x:v>
      </x:c>
      <x:c r="H4" s="60" t="str">
        <x:v>UNKNOWN</x:v>
      </x:c>
      <x:c r="I4" s="60" t="str">
        <x:v>UNKNOWN</x:v>
      </x:c>
      <x:c r="J4" s="60" t="str">
        <x:f>IF(ISNUMBER(I4),MAX(0,'01_Run_Config'!$B$5-I4),"NOT STARTED")</x:f>
        <x:v>NOT STARTED</x:v>
      </x:c>
      <x:c r="K4" s="60" t="str">
        <x:v>NOT READY</x:v>
      </x:c>
      <x:c r="L4" s="60" t="str">
        <x:v>UNKNOWN</x:v>
      </x:c>
      <x:c r="M4" s="60"/>
      <x:c r="N4" s="2482" t="n">
        <x:v>5.8</x:v>
      </x:c>
      <x:c r="O4" s="60" t="str">
        <x:v>EAZY Plug/Block → pH 5.80</x:v>
      </x:c>
      <x:c r="P4" s="60" t="str">
        <x:v>PLANT-SPECIFIC</x:v>
      </x:c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</x:row>
    <x:row r="6">
      <x:c r="A6" s="2479" t="str">
        <x:v>CLOCK + pH INVARIANT: Run Day zählt ab Aussaat. Plant Day zählt pro Pflanze ab sichtbarem Durchbruch (Plant Day 0). Bloom Day zählt pro Pflanze ab bestätigter FlowerInitiation. pH ist nicht cultivar-spezifisch 'optimiert': Eazy Plug/Block → 5,80 Hersteller-Referenz; finales Coco → UKD-Arbeitssetpoint 6,00 innerhalb HESI 5,8–6,2. Messwert im akzeptierten Band nicht auf Hundertstel 'jagen'.</x:v>
      </x:c>
      <x:c r="B6" s="2479"/>
      <x:c r="C6" s="2479"/>
      <x:c r="D6" s="2479"/>
      <x:c r="E6" s="2479"/>
      <x:c r="F6" s="2479"/>
      <x:c r="G6" s="2479"/>
      <x:c r="H6" s="2479"/>
      <x:c r="I6" s="2479"/>
      <x:c r="J6" s="2479"/>
      <x:c r="K6" s="2479"/>
      <x:c r="L6" s="2479"/>
      <x:c r="M6" s="2479"/>
      <x:c r="N6" s="2479"/>
      <x:c r="O6" s="2479"/>
      <x:c r="P6" s="2479"/>
    </x:row>
    <x:row r="7">
      <x:c r="A7" s="2479"/>
      <x:c r="B7" s="2479"/>
      <x:c r="C7" s="2479"/>
      <x:c r="D7" s="2479"/>
      <x:c r="E7" s="2479"/>
      <x:c r="F7" s="2479"/>
      <x:c r="G7" s="2479"/>
      <x:c r="H7" s="2479"/>
      <x:c r="I7" s="2479"/>
      <x:c r="J7" s="2479"/>
      <x:c r="K7" s="2479"/>
      <x:c r="L7" s="2479"/>
      <x:c r="M7" s="2479"/>
      <x:c r="N7" s="2479"/>
      <x:c r="O7" s="2479"/>
      <x:c r="P7" s="2479"/>
    </x:row>
    <x:row r="8">
      <x:c r="A8" s="2479"/>
      <x:c r="B8" s="2479"/>
      <x:c r="C8" s="2479"/>
      <x:c r="D8" s="2479"/>
      <x:c r="E8" s="2479"/>
      <x:c r="F8" s="2479"/>
      <x:c r="G8" s="2479"/>
      <x:c r="H8" s="2479"/>
      <x:c r="I8" s="2479"/>
      <x:c r="J8" s="2479"/>
      <x:c r="K8" s="2479"/>
      <x:c r="L8" s="2479"/>
      <x:c r="M8" s="2479"/>
      <x:c r="N8" s="2479"/>
      <x:c r="O8" s="2479"/>
      <x:c r="P8" s="2479"/>
    </x:row>
    <x:row r="9">
      <x:c r="A9" s="2466"/>
      <x:c r="B9" s="2466"/>
      <x:c r="C9" s="2466"/>
      <x:c r="D9" s="2466"/>
      <x:c r="E9" s="2466"/>
      <x:c r="F9" s="2466"/>
      <x:c r="G9" s="2466"/>
      <x:c r="H9" s="2466"/>
      <x:c r="I9" s="2466"/>
      <x:c r="J9" s="2466"/>
      <x:c r="K9" s="2466"/>
      <x:c r="L9" s="60"/>
      <x:c r="M9" s="60"/>
      <x:c r="N9" s="60"/>
      <x:c r="O9" s="60"/>
      <x:c r="P9" s="60"/>
    </x:row>
    <x:row r="10">
      <x:c r="A10" s="2466"/>
      <x:c r="B10" s="2466"/>
      <x:c r="C10" s="2466"/>
      <x:c r="D10" s="2466"/>
      <x:c r="E10" s="2466"/>
      <x:c r="F10" s="2466"/>
      <x:c r="G10" s="2466"/>
      <x:c r="H10" s="2466"/>
      <x:c r="I10" s="2466"/>
      <x:c r="J10" s="2466"/>
      <x:c r="K10" s="2466"/>
      <x:c r="L10" s="60"/>
      <x:c r="M10" s="60"/>
      <x:c r="N10" s="60"/>
      <x:c r="O10" s="60"/>
      <x:c r="P10" s="60"/>
    </x:row>
  </x:sheetData>
  <x:mergeCells>
    <x:mergeCell ref="A6:K10"/>
    <x:mergeCell ref="A6:P8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30" hidden="0" customWidth="1"/>
    <x:col min="5" max="5" width="60" hidden="0" customWidth="1"/>
    <x:col min="6" max="6" width="46" hidden="0" customWidth="1"/>
    <x:col min="7" max="7" width="46" hidden="0" customWidth="1"/>
    <x:col min="8" max="8" width="18" hidden="0" customWidth="1"/>
  </x:cols>
  <x:sheetData>
    <x:row r="1">
      <x:c r="A1" s="2458" t="str">
        <x:v>Thema</x:v>
      </x:c>
      <x:c r="B1" s="2458" t="str">
        <x:v>Double Grape</x:v>
      </x:c>
      <x:c r="C1" s="2458" t="str">
        <x:v>Banana Purple Punch</x:v>
      </x:c>
      <x:c r="D1" s="2458" t="str">
        <x:v>GG. #4</x:v>
      </x:c>
      <x:c r="E1" s="2458" t="str">
        <x:v>Run-Regel</x:v>
      </x:c>
      <x:c r="F1" s="2458" t="str">
        <x:v>Trigger</x:v>
      </x:c>
      <x:c r="G1" s="2458" t="str">
        <x:v>Nicht tun</x:v>
      </x:c>
      <x:c r="H1" s="2458" t="str">
        <x:v>Status</x:v>
      </x:c>
    </x:row>
    <x:row r="2" ht="64" customHeight="1">
      <x:c r="A2" s="60" t="str">
        <x:v>Erwartete Höhe</x:v>
      </x:c>
      <x:c r="B2" s="60" t="str">
        <x:v>55–80 cm</x:v>
      </x:c>
      <x:c r="C2" s="60" t="str">
        <x:v>80–120 cm</x:v>
      </x:c>
      <x:c r="D2" s="60" t="str">
        <x:v>~100 cm</x:v>
      </x:c>
      <x:c r="E2" s="60" t="str">
        <x:v>Nicht alle gleich trainieren. Ziel ist gemeinsame Canopy-Ebene, nicht gleiche Eingriffsmenge.</x:v>
      </x:c>
      <x:c r="F2" s="60" t="str">
        <x:v>ab 4–5 Nodes + Finaltopf-Recovery</x:v>
      </x:c>
      <x:c r="G2" s="60" t="str">
        <x:v>keine Kalender-LST-Pflicht</x:v>
      </x:c>
      <x:c r="H2" s="60" t="str">
        <x:v>ACTIVE</x:v>
      </x:c>
    </x:row>
    <x:row r="3" ht="64" customHeight="1">
      <x:c r="A3" s="60" t="str">
        <x:v>LST-Intensität</x:v>
      </x:c>
      <x:c r="B3" s="60" t="str">
        <x:v>niedrig–moderat</x:v>
      </x:c>
      <x:c r="C3" s="60" t="str">
        <x:v>moderat–höher</x:v>
      </x:c>
      <x:c r="D3" s="60" t="str">
        <x:v>moderat</x:v>
      </x:c>
      <x:c r="E3" s="60" t="str">
        <x:v>BPP zuerst lateral bremsen; GG4 moderat; DG eher auffächern/leaf-tuck.</x:v>
      </x:c>
      <x:c r="F3" s="60" t="str">
        <x:v>Höhendifferenz &gt; ca. 5–8 cm UND Pflanzen vital</x:v>
      </x:c>
      <x:c r="G3" s="60" t="str">
        <x:v>kein HST als Default</x:v>
      </x:c>
      <x:c r="H3" s="60" t="str">
        <x:v>ACTIVE</x:v>
      </x:c>
    </x:row>
    <x:row r="4" ht="64" customHeight="1">
      <x:c r="A4" s="60" t="str">
        <x:v>Riser</x:v>
      </x:c>
      <x:c r="B4" s="60" t="str">
        <x:v>wahrscheinlichster Kandidat</x:v>
      </x:c>
      <x:c r="C4" s="60" t="str">
        <x:v>normalerweise nein</x:v>
      </x:c>
      <x:c r="D4" s="60" t="str">
        <x:v>normalerweise nein</x:v>
      </x:c>
      <x:c r="E4" s="60" t="str">
        <x:v>Short plant später anheben statt Tall plants dauerhaft stärker zu stressen.</x:v>
      </x:c>
      <x:c r="F4" s="60" t="str">
        <x:v>nach Stretch, falls DG unter Canopy bleibt</x:v>
      </x:c>
      <x:c r="G4" s="60" t="str">
        <x:v>kein früher Riser nur nach Breederhöhe</x:v>
      </x:c>
      <x:c r="H4" s="60" t="str">
        <x:v>CONDITIONAL</x:v>
      </x:c>
    </x:row>
    <x:row r="5" ht="64" customHeight="1">
      <x:c r="A5" s="60" t="str">
        <x:v>Luft / Bud-Dichte</x:v>
      </x:c>
      <x:c r="B5" s="60" t="str">
        <x:v>offener</x:v>
      </x:c>
      <x:c r="C5" s="60" t="str">
        <x:v>sehr dicht</x:v>
      </x:c>
      <x:c r="D5" s="60" t="str">
        <x:v>dicht</x:v>
      </x:c>
      <x:c r="E5" s="60" t="str">
        <x:v>Spätblüten-Luftstrategie richtet sich nach BPP/GG4 als dichtesten Blütenstrukturen.</x:v>
      </x:c>
      <x:c r="F5" s="60" t="str">
        <x:v>lokale rF/Totzone / Bud-Dichte</x:v>
      </x:c>
      <x:c r="G5" s="60" t="str">
        <x:v>kein direkter Jet auf Buds</x:v>
      </x:c>
      <x:c r="H5" s="60" t="str">
        <x:v>ACTIVE</x:v>
      </x:c>
    </x:row>
    <x:row r="6" ht="64" customHeight="1">
      <x:c r="A6" s="60" t="str">
        <x:v>Entlaubung</x:v>
      </x:c>
      <x:c r="B6" s="60" t="str">
        <x:v>minimal</x:v>
      </x:c>
      <x:c r="C6" s="60" t="str">
        <x:v>nur schrittweise selektiv</x:v>
      </x:c>
      <x:c r="D6" s="60" t="str">
        <x:v>selektiv</x:v>
      </x:c>
      <x:c r="E6" s="60" t="str">
        <x:v>nur Blätter entfernen, die Luft/Licht klar blockieren; Pflanze muss stabil sein.</x:v>
      </x:c>
      <x:c r="F6" s="60" t="str">
        <x:v>beobachtete Blockade / Mikroklima</x:v>
      </x:c>
      <x:c r="G6" s="60" t="str">
        <x:v>keine Massenentlaubung</x:v>
      </x:c>
      <x:c r="H6" s="60" t="str">
        <x:v>ACTIVE</x:v>
      </x:c>
    </x:row>
    <x:row r="7" ht="64" customHeight="1">
      <x:c r="A7" s="60" t="str">
        <x:v>Ernte</x:v>
      </x:c>
      <x:c r="B7" s="60" t="str">
        <x:v>separat</x:v>
      </x:c>
      <x:c r="C7" s="60" t="str">
        <x:v>separat</x:v>
      </x:c>
      <x:c r="D7" s="60" t="str">
        <x:v>separat</x:v>
      </x:c>
      <x:c r="E7" s="60" t="str">
        <x:v>Pflanzen dürfen an unterschiedlichen Tagen geerntet werden.</x:v>
      </x:c>
      <x:c r="F7" s="60" t="str">
        <x:v>plant-spezifische Reife</x:v>
      </x:c>
      <x:c r="G7" s="60" t="str">
        <x:v>kein gemeinsamer Day-X Harvest</x:v>
      </x:c>
      <x:c r="H7" s="60" t="str">
        <x:v>P0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44" hidden="0" customWidth="1"/>
    <x:col min="4" max="4" width="50" hidden="0" customWidth="1"/>
    <x:col min="5" max="5" width="58" hidden="0" customWidth="1"/>
    <x:col min="6" max="6" width="58" hidden="0" customWidth="1"/>
    <x:col min="7" max="7" width="18" hidden="0" customWidth="1"/>
  </x:cols>
  <x:sheetData>
    <x:row r="1">
      <x:c r="A1" s="2458" t="str">
        <x:v>Schritt</x:v>
      </x:c>
      <x:c r="B1" s="2458" t="str">
        <x:v>Frage</x:v>
      </x:c>
      <x:c r="C1" s="2458" t="str">
        <x:v>Wenn JA</x:v>
      </x:c>
      <x:c r="D1" s="2458" t="str">
        <x:v>Wenn NEIN</x:v>
      </x:c>
      <x:c r="E1" s="2458" t="str">
        <x:v>Warum</x:v>
      </x:c>
      <x:c r="F1" s="2458" t="str">
        <x:v>Beispiel</x:v>
      </x:c>
      <x:c r="G1" s="2458" t="str">
        <x:v>Status</x:v>
      </x:c>
    </x:row>
    <x:row r="2" ht="70" customHeight="1">
      <x:c r="A2" s="60" t="n">
        <x:v>1</x:v>
      </x:c>
      <x:c r="B2" s="60" t="str">
        <x:v>Sind alle drei Pflanzen im selben Basis-Pfad (TNT/Coco)?</x:v>
      </x:c>
      <x:c r="C2" s="60" t="str">
        <x:v>weiter</x:v>
      </x:c>
      <x:c r="D2" s="60" t="str">
        <x:v>separate Batch-Gruppe</x:v>
      </x:c>
      <x:c r="E2" s="60" t="str">
        <x:v>Misch-Genetiken können unterschiedlich früh in Transition gehen.</x:v>
      </x:c>
      <x:c r="F2" s="60" t="str">
        <x:v>BPP bereits FlowerInitiation, DG noch Veg → nicht automatisch Coco für alle.</x:v>
      </x:c>
      <x:c r="G2" s="60" t="str">
        <x:v>P0</x:v>
      </x:c>
    </x:row>
    <x:row r="3" ht="70" customHeight="1">
      <x:c r="A3" s="60" t="n">
        <x:v>2</x:v>
      </x:c>
      <x:c r="B3" s="60" t="str">
        <x:v>Sind alle conditional Produkte identisch freigegeben?</x:v>
      </x:c>
      <x:c r="C3" s="60" t="str">
        <x:v>weiter</x:v>
      </x:c>
      <x:c r="D3" s="60" t="str">
        <x:v>conditional Produkt nur in passender Einzel-/Teilbatch</x:v>
      </x:c>
      <x:c r="E3" s="60" t="str">
        <x:v>Athena/CalMag dürfen nicht über Shared Batch ungeprüft alle Pflanzen treffen.</x:v>
      </x:c>
      <x:c r="F3" s="60" t="str">
        <x:v>CalMag Bedarf nur P3 → keine globale Zugabe.</x:v>
      </x:c>
      <x:c r="G3" s="60" t="str">
        <x:v>P0</x:v>
      </x:c>
    </x:row>
    <x:row r="4" ht="70" customHeight="1">
      <x:c r="A4" s="60" t="n">
        <x:v>3</x:v>
      </x:c>
      <x:c r="B4" s="60" t="str">
        <x:v>Sind Boost/PK-Fenster kompatibel?</x:v>
      </x:c>
      <x:c r="C4" s="60" t="str">
        <x:v>weiter</x:v>
      </x:c>
      <x:c r="D4" s="60" t="str">
        <x:v>separate Teilbatch oder Produkt 0 im gemeinsamen Basisbatch</x:v>
      </x:c>
      <x:c r="E4" s="60" t="str">
        <x:v>FlowerInitiation kann mehrere Tage auseinanderliegen.</x:v>
      </x:c>
      <x:c r="F4" s="60" t="str">
        <x:v>P2 BT29, P1 BT22 → PK nicht pauschal gemeinsam.</x:v>
      </x:c>
      <x:c r="G4" s="60" t="str">
        <x:v>P0</x:v>
      </x:c>
    </x:row>
    <x:row r="5" ht="70" customHeight="1">
      <x:c r="A5" s="60" t="n">
        <x:v>4</x:v>
      </x:c>
      <x:c r="B5" s="60" t="str">
        <x:v>Ist die konservativste EC-Grenze für alle drei akzeptabel?</x:v>
      </x:c>
      <x:c r="C5" s="60" t="str">
        <x:v>gemeinsamer Batch möglich</x:v>
      </x:c>
      <x:c r="D5" s="60" t="str">
        <x:v>separat anpassen</x:v>
      </x:c>
      <x:c r="E5" s="60" t="str">
        <x:v>BPP wird breederseitig als nicht stark nährstoffbedürftig beschrieben.</x:v>
      </x:c>
      <x:c r="F5" s="60" t="str">
        <x:v>Shared EC richtet sich zunächst nach empfindlichster Pflanze.</x:v>
      </x:c>
      <x:c r="G5" s="60" t="str">
        <x:v>P1</x:v>
      </x:c>
    </x:row>
    <x:row r="6" ht="70" customHeight="1">
      <x:c r="A6" s="60" t="n">
        <x:v>5</x:v>
      </x:c>
      <x:c r="B6" s="60" t="str">
        <x:v>Sind Wasserbedarf/Volumen ähnlich?</x:v>
      </x:c>
      <x:c r="C6" s="60" t="str">
        <x:v>gleicher Mix, aber Liter pro Pflanze separat</x:v>
      </x:c>
      <x:c r="D6" s="60" t="str">
        <x:v>individuelle Gießmenge</x:v>
      </x:c>
      <x:c r="E6" s="60" t="str">
        <x:v>gleiche Konzentration bedeutet nicht gleiche Wassermenge.</x:v>
      </x:c>
      <x:c r="F6" s="60" t="str">
        <x:v>Pflanzengröße/Root-Zone unterschiedlich.</x:v>
      </x:c>
      <x:c r="G6" s="60" t="str">
        <x:v>P1</x:v>
      </x:c>
    </x:row>
    <x:row r="8">
      <x:c r="A8" s="2464" t="str">
        <x:v>TARGET ARCHITECTURE: resolvePlantDailyPlan(P1/P2/P3) → compareResolvedFeedSignature() → COMMON_BATCH | SPLIT_BATCHES. Gemeinsame Klima-/Lichtbedingungen bleiben Run-level; Root-Zone, Bewässerung, phänologische Trigger und Harvest bleiben plant-level.</x:v>
      </x:c>
      <x:c r="B8" s="2464"/>
      <x:c r="C8" s="2464"/>
      <x:c r="D8" s="2464"/>
      <x:c r="E8" s="2464"/>
      <x:c r="F8" s="2464"/>
      <x:c r="G8" s="2464"/>
    </x:row>
    <x:row r="9">
      <x:c r="A9" s="2464"/>
      <x:c r="B9" s="2464"/>
      <x:c r="C9" s="2464"/>
      <x:c r="D9" s="2464"/>
      <x:c r="E9" s="2464"/>
      <x:c r="F9" s="2464"/>
      <x:c r="G9" s="2464"/>
    </x:row>
    <x:row r="10">
      <x:c r="A10" s="2464"/>
      <x:c r="B10" s="2464"/>
      <x:c r="C10" s="2464"/>
      <x:c r="D10" s="2464"/>
      <x:c r="E10" s="2464"/>
      <x:c r="F10" s="2464"/>
      <x:c r="G10" s="2464"/>
    </x:row>
    <x:row r="11">
      <x:c r="A11" s="2464"/>
      <x:c r="B11" s="2464"/>
      <x:c r="C11" s="2464"/>
      <x:c r="D11" s="2464"/>
      <x:c r="E11" s="2464"/>
      <x:c r="F11" s="2464"/>
      <x:c r="G11" s="2464"/>
    </x:row>
  </x:sheetData>
  <x:mergeCells>
    <x:mergeCell ref="A8:G1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72" hidden="0" customWidth="1"/>
    <x:col min="4" max="4" width="26" hidden="0" customWidth="1"/>
    <x:col min="5" max="5" width="62" hidden="0" customWidth="1"/>
  </x:cols>
  <x:sheetData>
    <x:row r="1">
      <x:c r="A1" s="2458" t="str">
        <x:v>Genetik</x:v>
      </x:c>
      <x:c r="B1" s="2458" t="str">
        <x:v>Quelle</x:v>
      </x:c>
      <x:c r="C1" s="2458" t="str">
        <x:v>Verifizierte Angaben</x:v>
      </x:c>
      <x:c r="D1" s="2458" t="str">
        <x:v>Evidenzklasse</x:v>
      </x:c>
      <x:c r="E1" s="2458" t="str">
        <x:v>Offener Punkt</x:v>
      </x:c>
    </x:row>
    <x:row r="2">
      <x:c r="A2" s="60" t="str">
        <x:v>Double Grape Auto</x:v>
      </x:c>
      <x:c r="B2" s="60" t="str">
        <x:v>https://mephistogenetics.com/products/double-grape</x:v>
      </x:c>
      <x:c r="C2" s="60" t="str">
        <x:v>F7 Automatic; 70–80 d from sprout; 55–80 cm; leaf-tuck/LST-friendly; medium odour</x:v>
      </x:c>
      <x:c r="D2" s="60" t="str">
        <x:v>BREEDER PRIMARY</x:v>
      </x:c>
      <x:c r="E2" s="60" t="str">
        <x:v>Produkttext nennt zusätzlich 65–70 d ideal → als breeder-internal range/conflict markieren.</x:v>
      </x:c>
    </x:row>
    <x:row r="3">
      <x:c r="A3" s="60" t="str">
        <x:v>Banana Purple Punch Auto</x:v>
      </x:c>
      <x:c r="B3" s="60" t="str">
        <x:v>https://2fast4buds.com/de/seeds/banana-purple-punch-auto</x:v>
      </x:c>
      <x:c r="C3" s="60" t="str">
        <x:v>F5 Auto; 80–120 cm; 8 Wochen; sehr dichte Buds; Zweige anbinden; schrittweise entblättern; braucht nicht viel Nährstoffe</x:v>
      </x:c>
      <x:c r="D3" s="60" t="str">
        <x:v>BREEDER PRIMARY</x:v>
      </x:c>
      <x:c r="E3" s="60" t="str">
        <x:v>'8 Wochen' nicht ungeprüft in Day-from-sprout umdeuten.</x:v>
      </x:c>
    </x:row>
    <x:row r="4">
      <x:c r="A4" s="60" t="str">
        <x:v>GG. #4 Auto</x:v>
      </x:c>
      <x:c r="B4" s="60" t="str">
        <x:v>https://www.sensibleseeds.com/gorilla-glue-4-auto-feminized-bsb-genetics.html</x:v>
      </x:c>
      <x:c r="C4" s="60" t="str">
        <x:v>Sensible listing für BSB Genetics; Auto; 8–9 Wochen from seed; ~100 cm; dense compact buds</x:v>
      </x:c>
      <x:c r="D4" s="60" t="str">
        <x:v>RETAILER / BREEDER LISTING</x:v>
      </x:c>
      <x:c r="E4" s="60" t="str">
        <x:v>Packung prüfen: BSB Genetics vs Original Sensible Seeds. Andere GG4-Auto-Produkte haben andere Spezifikationen.</x:v>
      </x:c>
    </x:row>
    <x:row r="5">
      <x:c r="A5" s="60" t="str">
        <x:v>GG-derived current BSB page</x:v>
      </x:c>
      <x:c r="B5" s="60" t="str">
        <x:v>https://www.bsbgenetics.com/shop/auto-flowering-seeds/auto-ape-attack-4/</x:v>
      </x:c>
      <x:c r="C5" s="60" t="str">
        <x:v>GG#4 × Auto Critical Diesel; 8–9 Wochen from germination; ~1 m</x:v>
      </x:c>
      <x:c r="D5" s="60" t="str">
        <x:v>BREEDER PRIMARY</x:v>
      </x:c>
      <x:c r="E5" s="60" t="str">
        <x:v>Produktname heute 'Ape Attack #4 Auto'; dient nur zur Plausibilisierung, nicht zur stillen Identitätsänderung.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2" hidden="0" customWidth="1"/>
    <x:col min="4" max="4" width="46" hidden="0" customWidth="1"/>
    <x:col min="5" max="5" width="52" hidden="0" customWidth="1"/>
    <x:col min="6" max="6" width="56" hidden="0" customWidth="1"/>
    <x:col min="7" max="7" width="26" hidden="0" customWidth="1"/>
    <x:col min="8" max="8" width="18" hidden="0" customWidth="1"/>
    <x:col min="9" max="9" width="72" hidden="0" customWidth="1"/>
    <x:col min="10" max="10" width="24" hidden="0" customWidth="1"/>
  </x:cols>
  <x:sheetData>
    <x:row r="1">
      <x:c r="A1" s="2469" t="str">
        <x:v>Product / Rule</x:v>
      </x:c>
      <x:c r="B1" s="2469" t="str">
        <x:v>Uploaded schema</x:v>
      </x:c>
      <x:c r="C1" s="2469" t="str">
        <x:v>Current manufacturer web</x:v>
      </x:c>
      <x:c r="D1" s="2469" t="str">
        <x:v>Old UKD v11.3</x:v>
      </x:c>
      <x:c r="E1" s="2469" t="str">
        <x:v>v11.4 decision</x:v>
      </x:c>
      <x:c r="F1" s="2469" t="str">
        <x:v>Operational semantics</x:v>
      </x:c>
      <x:c r="G1" s="2469" t="str">
        <x:v>Evidence class</x:v>
      </x:c>
      <x:c r="H1" s="2469" t="str">
        <x:v>Conflict?</x:v>
      </x:c>
      <x:c r="I1" s="2469" t="str">
        <x:v>Source URL</x:v>
      </x:c>
      <x:c r="J1" s="2469" t="str">
        <x:v>Status</x:v>
      </x:c>
    </x:row>
    <x:row r="2" ht="82" customHeight="1">
      <x:c r="A2" s="60" t="str">
        <x:v>Voodoo Juice</x:v>
      </x:c>
      <x:c r="B2" s="60" t="str">
        <x:v>AN Sensi Master Recipe: 2 ml/L Grow W1–W2 + Bloom W1–W2</x:v>
      </x:c>
      <x:c r="C2" s="60" t="str">
        <x:v>AN product page: 2 ml/L W1–W2 in both grow and bloom</x:v>
      </x:c>
      <x:c r="D2" s="60" t="str">
        <x:v>2 ml/L only on 4 discrete days (about 1×/week)</x:v>
      </x:c>
      <x:c r="E2" s="60" t="str">
        <x:v>FIX: 2 ml/L throughout eligible G1–G2 and B1–B2 windows</x:v>
      </x:c>
      <x:c r="F2" s="60" t="str">
        <x:v>Dose only when a real feed/irrigation event happens; no extra watering solely for microbes.</x:v>
      </x:c>
      <x:c r="G2" s="60" t="str">
        <x:v>MANUFACTURER</x:v>
      </x:c>
      <x:c r="H2" s="60" t="str">
        <x:v>NO</x:v>
      </x:c>
      <x:c r="I2" s="60" t="str">
        <x:v>https://www.advancednutrients.com/de/products/voodoo-juice/</x:v>
      </x:c>
      <x:c r="J2" s="60" t="str">
        <x:v>FIXED</x:v>
      </x:c>
    </x:row>
    <x:row r="3" ht="82" customHeight="1">
      <x:c r="A3" s="60" t="str">
        <x:v>Tarantula</x:v>
      </x:c>
      <x:c r="B3" s="60" t="str">
        <x:v>AN Sensi Master Recipe: 2 ml/L Grow W1–W2 + Bloom W1–W2</x:v>
      </x:c>
      <x:c r="C3" s="60" t="str">
        <x:v>AN product page: 2 ml/L W1–W2 in both grow and bloom; recommends combining with Voodoo</x:v>
      </x:c>
      <x:c r="D3" s="60" t="str">
        <x:v>Formula followed Voodoo discrete-day bug; visibility incomplete in operator summary</x:v>
      </x:c>
      <x:c r="E3" s="60" t="str">
        <x:v>FIX: same eligible window as Voodoo; dedicated Today/Mix line</x:v>
      </x:c>
      <x:c r="F3" s="60" t="str">
        <x:v>Dose only when a real feed/irrigation event happens.</x:v>
      </x:c>
      <x:c r="G3" s="60" t="str">
        <x:v>MANUFACTURER</x:v>
      </x:c>
      <x:c r="H3" s="60" t="str">
        <x:v>NO</x:v>
      </x:c>
      <x:c r="I3" s="60" t="str">
        <x:v>https://www.advancednutrients.com/de/products/tarantula/</x:v>
      </x:c>
      <x:c r="J3" s="60" t="str">
        <x:v>FIXED</x:v>
      </x:c>
    </x:row>
    <x:row r="4" ht="82" customHeight="1">
      <x:c r="A4" s="60" t="str">
        <x:v>PowerZyme</x:v>
      </x:c>
      <x:c r="B4" s="60" t="str">
        <x:v>Uploaded HESI Coco chart (marked 2017): 20 ml/10 L, 1–2× per week with fertilizer/boosters</x:v>
      </x:c>
      <x:c r="C4" s="60" t="str">
        <x:v>Current HESI page: 20 ml/10 L and continuous use throughout plant life cycle</x:v>
      </x:c>
      <x:c r="D4" s="60" t="str">
        <x:v>Daily Master continuous; Reference sheet incorrectly called it weekly</x:v>
      </x:c>
      <x:c r="E4" s="60" t="str">
        <x:v>Keep current-web operational projection; explicitly record legacy-chart conflict</x:v>
      </x:c>
      <x:c r="F4" s="60" t="str">
        <x:v>Actual irrigation still gates application.</x:v>
      </x:c>
      <x:c r="G4" s="60" t="str">
        <x:v>MANUFACTURER VERSION CONFLICT</x:v>
      </x:c>
      <x:c r="H4" s="60" t="str">
        <x:v>YES</x:v>
      </x:c>
      <x:c r="I4" s="60" t="str">
        <x:v>https://hesi.nl/de/PowerZyme</x:v>
      </x:c>
      <x:c r="J4" s="60" t="str">
        <x:v>DOCUMENTED</x:v>
      </x:c>
    </x:row>
    <x:row r="5" ht="82" customHeight="1">
      <x:c r="A5" s="60" t="str">
        <x:v>HESI Boost</x:v>
      </x:c>
      <x:c r="B5" s="60" t="str">
        <x:v>Uploaded chart: 20 ml/10 L through bloom graphic</x:v>
      </x:c>
      <x:c r="C5" s="60" t="str">
        <x:v>Current HESI: 20 ml/10 L regularly with irrigation; continuous during flowering</x:v>
      </x:c>
      <x:c r="D5" s="60" t="str">
        <x:v>UKD ~1×/week</x:v>
      </x:c>
      <x:c r="E5" s="60" t="str">
        <x:v>Keep conservative UKD cadence for now; label as UKD custom, not manufacturer schedule</x:v>
      </x:c>
      <x:c r="F5" s="60" t="str">
        <x:v>Do not infer universal optimum from manufacturer schedule.</x:v>
      </x:c>
      <x:c r="G5" s="60" t="str">
        <x:v>UKD ADAPTATION</x:v>
      </x:c>
      <x:c r="H5" s="60" t="str">
        <x:v>YES / intentional</x:v>
      </x:c>
      <x:c r="I5" s="60" t="str">
        <x:v>https://hesi.nl/de/Boost</x:v>
      </x:c>
      <x:c r="J5" s="60" t="str">
        <x:v>INTENTIONAL DIVERGENCE</x:v>
      </x:c>
    </x:row>
    <x:row r="6" ht="82" customHeight="1">
      <x:c r="A6" s="60" t="str">
        <x:v>PK13/14</x:v>
      </x:c>
      <x:c r="B6" s="60" t="str">
        <x:v>Uploaded HESI chart: 2.5 → 5.0 → 7.5 → 15 ml/10 L late bloom</x:v>
      </x:c>
      <x:c r="C6" s="60" t="str">
        <x:v>Current HESI: 2.5–15 ml/10 L, gradually increase from second half bloom</x:v>
      </x:c>
      <x:c r="D6" s="60" t="str">
        <x:v>UKD 0.25→0.50 ml/L BT29–42</x:v>
      </x:c>
      <x:c r="E6" s="60" t="str">
        <x:v>Keep conservative UKD corridor; remove incorrect 'weekly feed' wording</x:v>
      </x:c>
      <x:c r="F6" s="60" t="str">
        <x:v>Plant/root-zone response overrides calendar; no additive AN PK stacking.</x:v>
      </x:c>
      <x:c r="G6" s="60" t="str">
        <x:v>UKD ADAPTATION</x:v>
      </x:c>
      <x:c r="H6" s="60" t="str">
        <x:v>YES / intentional</x:v>
      </x:c>
      <x:c r="I6" s="60" t="str">
        <x:v>https://hesi.nl/de/PK-13-14</x:v>
      </x:c>
      <x:c r="J6" s="60" t="str">
        <x:v>INTENTIONAL DIVERGENCE</x:v>
      </x:c>
    </x:row>
    <x:row r="7" ht="82" customHeight="1">
      <x:c r="A7" s="60" t="str">
        <x:v>SuperVit</x:v>
      </x:c>
      <x:c r="B7" s="60" t="str">
        <x:v>Uploaded HESI: regularly 1 drop / 4.5 L</x:v>
      </x:c>
      <x:c r="C7" s="60" t="str">
        <x:v>Current HESI: 1 ml / 65 L; every watering/spray</x:v>
      </x:c>
      <x:c r="D7" s="60" t="str">
        <x:v>0.015 ml/L continuous projection</x:v>
      </x:c>
      <x:c r="E7" s="60" t="str">
        <x:v>Keep</x:v>
      </x:c>
      <x:c r="F7" s="60" t="str">
        <x:v>No forced irrigation.</x:v>
      </x:c>
      <x:c r="G7" s="60" t="str">
        <x:v>MANUFACTURER + UKD ROUNDING</x:v>
      </x:c>
      <x:c r="H7" s="60" t="str">
        <x:v>MINOR</x:v>
      </x:c>
      <x:c r="I7" s="60" t="str">
        <x:v>https://hesi.nl/de/SUPERVIT</x:v>
      </x:c>
      <x:c r="J7" s="60" t="str">
        <x:v>ALIGNED</x:v>
      </x:c>
    </x:row>
    <x:row r="8" ht="92" customHeight="1">
      <x:c r="A8" s="60" t="str">
        <x:v>Athena Balance</x:v>
      </x:c>
      <x:c r="B8" s="60" t="str">
        <x:v>—</x:v>
      </x:c>
      <x:c r="C8" s="60" t="str">
        <x:v>Athena: Anwendung nach Source Water + Feed Recipe bestimmen; bei alkalischem Wasser weniger; Ziel-pH per Titration erreichen; nach Kalibrierung Balance zuerst ins Wasser.</x:v>
      </x:c>
      <x:c r="D8" s="60" t="str">
        <x:v>v11.4: OFF default / pH-Up rescue</x:v>
      </x:c>
      <x:c r="E8" s="60" t="str">
        <x:v>v11.5: ab Plant Day 0 AVAILABLE IF NEEDED; weiterhin keine Kalenderdosis</x:v>
      </x:c>
      <x:c r="F8" s="60" t="str">
        <x:v>Vollständigen Endmix beurteilen. &gt; Ziel: pH-; im Band: nichts; &lt; Ziel: Balance/pH-Up titrieren. 0 ml/L bedeutet 'nicht zugeben', nicht 'Dosis'.</x:v>
      </x:c>
      <x:c r="G8" s="60" t="str">
        <x:v>MANUFACTURER + UKD STATE GATE</x:v>
      </x:c>
      <x:c r="H8" s="60" t="str">
        <x:v>NO</x:v>
      </x:c>
      <x:c r="I8" s="60" t="str">
        <x:v>https://store.athenaag.com/SSP%20Applications/NetSuite%20Inc.%20-%20SCS/SuiteCommerce%20Standard/athena/assets/athena_balance_application_rate.pdf</x:v>
      </x:c>
      <x:c r="J8" s="60" t="str">
        <x:v>ALIGNED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6" hidden="0" customWidth="1"/>
    <x:col min="5" max="5" width="44" hidden="0" customWidth="1"/>
    <x:col min="6" max="6" width="21" hidden="0" customWidth="1"/>
    <x:col min="7" max="7" width="42" hidden="0" customWidth="1"/>
    <x:col min="8" max="8" width="46" hidden="0" customWidth="1"/>
    <x:col min="9" max="9" width="46" hidden="0" customWidth="1"/>
    <x:col min="10" max="10" width="70" hidden="0" customWidth="1"/>
  </x:cols>
  <x:sheetData>
    <x:row r="1">
      <x:c r="A1" s="2484" t="str">
        <x:v>UKD pH POLICY v11.5 · EXACT WORKING SETPOINTS WITHOUT FALSE PRECISION</x:v>
      </x:c>
      <x:c r="B1" s="2484"/>
      <x:c r="C1" s="2484"/>
      <x:c r="D1" s="2484"/>
      <x:c r="E1" s="2484"/>
      <x:c r="F1" s="2484"/>
      <x:c r="G1" s="2484"/>
      <x:c r="H1" s="2484"/>
      <x:c r="I1" s="2484"/>
      <x:c r="J1" s="2484"/>
    </x:row>
    <x:row r="3">
      <x:c r="A3" s="2479" t="str">
        <x:v>WICHTIG: Es gibt keine belastbare Evidenz für ein anderes biologisches 'Optimal-pH' an jedem einzelnen Kalendertag. Darum verwendet UKD exakte ARBEITSSETPOINTS statt erfundener Hundertstel-Optima: Eazy Plug/Block = 5,80 nach Herstelleranleitung; nach finalem Coco = 6,00 als Mittelpunkt des HESI-Herstellerbands 5,8–6,2. Ein Endmix innerhalb 5,8–6,2 wird nicht unnötig auf exakt 6,00 nachkorrigiert.</x:v>
      </x:c>
      <x:c r="B3" s="2479"/>
      <x:c r="C3" s="2479"/>
      <x:c r="D3" s="2479"/>
      <x:c r="E3" s="2479"/>
      <x:c r="F3" s="2479"/>
      <x:c r="G3" s="2479"/>
      <x:c r="H3" s="2479"/>
      <x:c r="I3" s="2479"/>
      <x:c r="J3" s="2479"/>
    </x:row>
    <x:row r="4">
      <x:c r="A4" s="2479"/>
      <x:c r="B4" s="2479"/>
      <x:c r="C4" s="2479"/>
      <x:c r="D4" s="2479"/>
      <x:c r="E4" s="2479"/>
      <x:c r="F4" s="2479"/>
      <x:c r="G4" s="2479"/>
      <x:c r="H4" s="2479"/>
      <x:c r="I4" s="2479"/>
      <x:c r="J4" s="2479"/>
    </x:row>
    <x:row r="5">
      <x:c r="A5" s="2479"/>
      <x:c r="B5" s="2479"/>
      <x:c r="C5" s="2479"/>
      <x:c r="D5" s="2479"/>
      <x:c r="E5" s="2479"/>
      <x:c r="F5" s="2479"/>
      <x:c r="G5" s="2479"/>
      <x:c r="H5" s="2479"/>
      <x:c r="I5" s="2479"/>
      <x:c r="J5" s="2479"/>
    </x:row>
    <x:row r="7">
      <x:c r="A7" s="2473" t="str">
        <x:v>Run Day</x:v>
      </x:c>
      <x:c r="B7" s="2473" t="str">
        <x:v>Datum</x:v>
      </x:c>
      <x:c r="C7" s="2473" t="str">
        <x:v>P1 Plant Day</x:v>
      </x:c>
      <x:c r="D7" s="2473" t="str">
        <x:v>Planphase</x:v>
      </x:c>
      <x:c r="E7" s="2473" t="str">
        <x:v>Root-Zone Projektion</x:v>
      </x:c>
      <x:c r="F7" s="2473" t="str">
        <x:v>pH exact working setpoint</x:v>
      </x:c>
      <x:c r="G7" s="2473" t="str">
        <x:v>Accepted/reference</x:v>
      </x:c>
      <x:c r="H7" s="2473" t="str">
        <x:v>Athena Balance</x:v>
      </x:c>
      <x:c r="I7" s="2473" t="str">
        <x:v>pH Down</x:v>
      </x:c>
      <x:c r="J7" s="2473" t="str">
        <x:v>Evidence / Override</x:v>
      </x:c>
    </x:row>
    <x:row r="8">
      <x:c r="A8" s="60" t="n">
        <x:f>'02_Daily_Master'!A2</x:f>
        <x:v>0</x:v>
      </x:c>
      <x:c r="B8" s="2475" t="n">
        <x:f>'02_Daily_Master'!B2</x:f>
        <x:v>46255</x:v>
      </x:c>
      <x:c r="C8" s="60" t="str">
        <x:f>'02_Daily_Master'!BI2</x:f>
        <x:v>PRE</x:v>
      </x:c>
      <x:c r="D8" s="60" t="str">
        <x:f>'02_Daily_Master'!E2</x:f>
        <x:v>Keimung</x:v>
      </x:c>
      <x:c r="E8" s="60" t="str">
        <x:f>'02_Daily_Master'!BO2</x:f>
        <x:v>Eazy Plug/Block: Herstellerziel 5.80</x:v>
      </x:c>
      <x:c r="F8" s="2482" t="n">
        <x:f>'02_Daily_Master'!BM2</x:f>
        <x:v>5.8</x:v>
      </x:c>
      <x:c r="G8" s="60" t="str">
        <x:f>IF(F8=5.8,"Target 5.80 while Eazy Plug/Block","HESI Coco/Hydro 5.8–6.2; UKD target 6.00")</x:f>
        <x:v>Target 5.80 while Eazy Plug/Block</x:v>
      </x:c>
      <x:c r="H8" s="60" t="str">
        <x:f>IF(A8&lt;2,"normally not needed before emergence","available only if COMPLETE endmix &lt; target")</x:f>
        <x:v>normally not needed before emergence</x:v>
      </x:c>
      <x:c r="I8" s="60" t="str">
        <x:f>IF(F8=5.8,"if endmix &gt; 5.80, pH- may be needed","if endmix &gt; 6.00 and outside desired band, pH- may be needed")</x:f>
        <x:v>if endmix &gt; 5.80, pH- may be needed</x:v>
      </x:c>
      <x:c r="J8" s="60" t="str">
        <x:f>IF(F8=5.8,"Eazy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9">
      <x:c r="A9" s="60" t="n">
        <x:f>'02_Daily_Master'!A3</x:f>
        <x:v>1</x:v>
      </x:c>
      <x:c r="B9" s="2475" t="n">
        <x:f>'02_Daily_Master'!B3</x:f>
        <x:v>46256</x:v>
      </x:c>
      <x:c r="C9" s="60" t="str">
        <x:f>'02_Daily_Master'!BI3</x:f>
        <x:v>PRE</x:v>
      </x:c>
      <x:c r="D9" s="60" t="str">
        <x:f>'02_Daily_Master'!E3</x:f>
        <x:v>Keimung</x:v>
      </x:c>
      <x:c r="E9" s="60" t="str">
        <x:f>'02_Daily_Master'!BO3</x:f>
        <x:v>Eazy Plug/Block: Herstellerziel 5.80</x:v>
      </x:c>
      <x:c r="F9" s="2482" t="n">
        <x:f>'02_Daily_Master'!BM3</x:f>
        <x:v>5.8</x:v>
      </x:c>
      <x:c r="G9" s="60" t="str">
        <x:f>IF(F9=5.8,"Target 5.80 while Eazy Plug/Block","HESI Coco/Hydro 5.8–6.2; UKD target 6.00")</x:f>
        <x:v>Target 5.80 while Eazy Plug/Block</x:v>
      </x:c>
      <x:c r="H9" s="60" t="str">
        <x:f>IF(A9&lt;2,"normally not needed before emergence","available only if COMPLETE endmix &lt; target")</x:f>
        <x:v>normally not needed before emergence</x:v>
      </x:c>
      <x:c r="I9" s="60" t="str">
        <x:f>IF(F9=5.8,"if endmix &gt; 5.80, pH- may be needed","if endmix &gt; 6.00 and outside desired band, pH- may be needed")</x:f>
        <x:v>if endmix &gt; 5.80, pH- may be needed</x:v>
      </x:c>
      <x:c r="J9" s="60" t="str">
        <x:f>IF(F9=5.8,"Eazy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0">
      <x:c r="A10" s="60" t="n">
        <x:f>'02_Daily_Master'!A4</x:f>
        <x:v>2</x:v>
      </x:c>
      <x:c r="B10" s="2475" t="n">
        <x:f>'02_Daily_Master'!B4</x:f>
        <x:v>46257</x:v>
      </x:c>
      <x:c r="C10" s="60" t="n">
        <x:f>'02_Daily_Master'!BI4</x:f>
        <x:v>0</x:v>
      </x:c>
      <x:c r="D10" s="60" t="str">
        <x:f>'02_Daily_Master'!E4</x:f>
        <x:v>Keimung</x:v>
      </x:c>
      <x:c r="E10" s="60" t="str">
        <x:f>'02_Daily_Master'!BO4</x:f>
        <x:v>Eazy Plug/Block: Herstellerziel 5.80</x:v>
      </x:c>
      <x:c r="F10" s="2482" t="n">
        <x:f>'02_Daily_Master'!BM4</x:f>
        <x:v>5.8</x:v>
      </x:c>
      <x:c r="G10" s="60" t="str">
        <x:f>IF(F10=5.8,"Target 5.80 while Eazy Plug/Block","HESI Coco/Hydro 5.8–6.2; UKD target 6.00")</x:f>
        <x:v>Target 5.80 while Eazy Plug/Block</x:v>
      </x:c>
      <x:c r="H10" s="60" t="str">
        <x:f>IF(A10&lt;2,"normally not needed before emergence","available only if COMPLETE endmix &lt; target")</x:f>
        <x:v>available only if COMPLETE endmix &lt; target</x:v>
      </x:c>
      <x:c r="I10" s="60" t="str">
        <x:f>IF(F10=5.8,"if endmix &gt; 5.80, pH- may be needed","if endmix &gt; 6.00 and outside desired band, pH- may be needed")</x:f>
        <x:v>if endmix &gt; 5.80, pH- may be needed</x:v>
      </x:c>
      <x:c r="J10" s="60" t="str">
        <x:f>IF(F10=5.8,"Eazy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1">
      <x:c r="A11" s="60" t="n">
        <x:f>'02_Daily_Master'!A5</x:f>
        <x:v>3</x:v>
      </x:c>
      <x:c r="B11" s="2475" t="n">
        <x:f>'02_Daily_Master'!B5</x:f>
        <x:v>46258</x:v>
      </x:c>
      <x:c r="C11" s="60" t="n">
        <x:f>'02_Daily_Master'!BI5</x:f>
        <x:v>1</x:v>
      </x:c>
      <x:c r="D11" s="60" t="str">
        <x:f>'02_Daily_Master'!E5</x:f>
        <x:v>Keimung</x:v>
      </x:c>
      <x:c r="E11" s="60" t="str">
        <x:f>'02_Daily_Master'!BO5</x:f>
        <x:v>Eazy Plug/Block: Herstellerziel 5.80</x:v>
      </x:c>
      <x:c r="F11" s="2482" t="n">
        <x:f>'02_Daily_Master'!BM5</x:f>
        <x:v>5.8</x:v>
      </x:c>
      <x:c r="G11" s="60" t="str">
        <x:f>IF(F11=5.8,"Target 5.80 while Eazy Plug/Block","HESI Coco/Hydro 5.8–6.2; UKD target 6.00")</x:f>
        <x:v>Target 5.80 while Eazy Plug/Block</x:v>
      </x:c>
      <x:c r="H11" s="60" t="str">
        <x:f>IF(A11&lt;2,"normally not needed before emergence","available only if COMPLETE endmix &lt; target")</x:f>
        <x:v>available only if COMPLETE endmix &lt; target</x:v>
      </x:c>
      <x:c r="I11" s="60" t="str">
        <x:f>IF(F11=5.8,"if endmix &gt; 5.80, pH- may be needed","if endmix &gt; 6.00 and outside desired band, pH- may be needed")</x:f>
        <x:v>if endmix &gt; 5.80, pH- may be needed</x:v>
      </x:c>
      <x:c r="J11" s="60" t="str">
        <x:f>IF(F11=5.8,"Eazy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2">
      <x:c r="A12" s="60" t="n">
        <x:f>'02_Daily_Master'!A6</x:f>
        <x:v>4</x:v>
      </x:c>
      <x:c r="B12" s="2475" t="n">
        <x:f>'02_Daily_Master'!B6</x:f>
        <x:v>46259</x:v>
      </x:c>
      <x:c r="C12" s="60" t="n">
        <x:f>'02_Daily_Master'!BI6</x:f>
        <x:v>2</x:v>
      </x:c>
      <x:c r="D12" s="60" t="str">
        <x:f>'02_Daily_Master'!E6</x:f>
        <x:v>Etablierung</x:v>
      </x:c>
      <x:c r="E12" s="60" t="str">
        <x:f>'02_Daily_Master'!BO6</x:f>
        <x:v>Eazy Plug/Block: Herstellerziel 5.80</x:v>
      </x:c>
      <x:c r="F12" s="2482" t="n">
        <x:f>'02_Daily_Master'!BM6</x:f>
        <x:v>5.8</x:v>
      </x:c>
      <x:c r="G12" s="60" t="str">
        <x:f>IF(F12=5.8,"Target 5.80 while Eazy Plug/Block","HESI Coco/Hydro 5.8–6.2; UKD target 6.00")</x:f>
        <x:v>Target 5.80 while Eazy Plug/Block</x:v>
      </x:c>
      <x:c r="H12" s="60" t="str">
        <x:f>IF(A12&lt;2,"normally not needed before emergence","available only if COMPLETE endmix &lt; target")</x:f>
        <x:v>available only if COMPLETE endmix &lt; target</x:v>
      </x:c>
      <x:c r="I12" s="60" t="str">
        <x:f>IF(F12=5.8,"if endmix &gt; 5.80, pH- may be needed","if endmix &gt; 6.00 and outside desired band, pH- may be needed")</x:f>
        <x:v>if endmix &gt; 5.80, pH- may be needed</x:v>
      </x:c>
      <x:c r="J12" s="60" t="str">
        <x:f>IF(F12=5.8,"Eazy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3">
      <x:c r="A13" s="60" t="n">
        <x:f>'02_Daily_Master'!A7</x:f>
        <x:v>5</x:v>
      </x:c>
      <x:c r="B13" s="2475" t="n">
        <x:f>'02_Daily_Master'!B7</x:f>
        <x:v>46260</x:v>
      </x:c>
      <x:c r="C13" s="60" t="n">
        <x:f>'02_Daily_Master'!BI7</x:f>
        <x:v>3</x:v>
      </x:c>
      <x:c r="D13" s="60" t="str">
        <x:f>'02_Daily_Master'!E7</x:f>
        <x:v>Etablierung</x:v>
      </x:c>
      <x:c r="E13" s="60" t="str">
        <x:f>'02_Daily_Master'!BO7</x:f>
        <x:v>Eazy Plug/Block: Herstellerziel 5.80</x:v>
      </x:c>
      <x:c r="F13" s="2482" t="n">
        <x:f>'02_Daily_Master'!BM7</x:f>
        <x:v>5.8</x:v>
      </x:c>
      <x:c r="G13" s="60" t="str">
        <x:f>IF(F13=5.8,"Target 5.80 while Eazy Plug/Block","HESI Coco/Hydro 5.8–6.2; UKD target 6.00")</x:f>
        <x:v>Target 5.80 while Eazy Plug/Block</x:v>
      </x:c>
      <x:c r="H13" s="60" t="str">
        <x:f>IF(A13&lt;2,"normally not needed before emergence","available only if COMPLETE endmix &lt; target")</x:f>
        <x:v>available only if COMPLETE endmix &lt; target</x:v>
      </x:c>
      <x:c r="I13" s="60" t="str">
        <x:f>IF(F13=5.8,"if endmix &gt; 5.80, pH- may be needed","if endmix &gt; 6.00 and outside desired band, pH- may be needed")</x:f>
        <x:v>if endmix &gt; 5.80, pH- may be needed</x:v>
      </x:c>
      <x:c r="J13" s="60" t="str">
        <x:f>IF(F13=5.8,"Eazy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4">
      <x:c r="A14" s="60" t="n">
        <x:f>'02_Daily_Master'!A8</x:f>
        <x:v>6</x:v>
      </x:c>
      <x:c r="B14" s="2475" t="n">
        <x:f>'02_Daily_Master'!B8</x:f>
        <x:v>46261</x:v>
      </x:c>
      <x:c r="C14" s="60" t="n">
        <x:f>'02_Daily_Master'!BI8</x:f>
        <x:v>4</x:v>
      </x:c>
      <x:c r="D14" s="60" t="str">
        <x:f>'02_Daily_Master'!E8</x:f>
        <x:v>Etablierung</x:v>
      </x:c>
      <x:c r="E14" s="60" t="str">
        <x:f>'02_Daily_Master'!BO8</x:f>
        <x:v>Eazy Plug/Block: Herstellerziel 5.80</x:v>
      </x:c>
      <x:c r="F14" s="2482" t="n">
        <x:f>'02_Daily_Master'!BM8</x:f>
        <x:v>5.8</x:v>
      </x:c>
      <x:c r="G14" s="60" t="str">
        <x:f>IF(F14=5.8,"Target 5.80 while Eazy Plug/Block","HESI Coco/Hydro 5.8–6.2; UKD target 6.00")</x:f>
        <x:v>Target 5.80 while Eazy Plug/Block</x:v>
      </x:c>
      <x:c r="H14" s="60" t="str">
        <x:f>IF(A14&lt;2,"normally not needed before emergence","available only if COMPLETE endmix &lt; target")</x:f>
        <x:v>available only if COMPLETE endmix &lt; target</x:v>
      </x:c>
      <x:c r="I14" s="60" t="str">
        <x:f>IF(F14=5.8,"if endmix &gt; 5.80, pH- may be needed","if endmix &gt; 6.00 and outside desired band, pH- may be needed")</x:f>
        <x:v>if endmix &gt; 5.80, pH- may be needed</x:v>
      </x:c>
      <x:c r="J14" s="60" t="str">
        <x:f>IF(F14=5.8,"Eazy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5">
      <x:c r="A15" s="60" t="n">
        <x:f>'02_Daily_Master'!A9</x:f>
        <x:v>7</x:v>
      </x:c>
      <x:c r="B15" s="2475" t="n">
        <x:f>'02_Daily_Master'!B9</x:f>
        <x:v>46262</x:v>
      </x:c>
      <x:c r="C15" s="60" t="n">
        <x:f>'02_Daily_Master'!BI9</x:f>
        <x:v>5</x:v>
      </x:c>
      <x:c r="D15" s="60" t="str">
        <x:f>'02_Daily_Master'!E9</x:f>
        <x:v>Etablierung</x:v>
      </x:c>
      <x:c r="E15" s="60" t="str">
        <x:f>'02_Daily_Master'!BO9</x:f>
        <x:v>Eazy Plug/Block: Herstellerziel 5.80</x:v>
      </x:c>
      <x:c r="F15" s="2482" t="n">
        <x:f>'02_Daily_Master'!BM9</x:f>
        <x:v>5.8</x:v>
      </x:c>
      <x:c r="G15" s="60" t="str">
        <x:f>IF(F15=5.8,"Target 5.80 while Eazy Plug/Block","HESI Coco/Hydro 5.8–6.2; UKD target 6.00")</x:f>
        <x:v>Target 5.80 while Eazy Plug/Block</x:v>
      </x:c>
      <x:c r="H15" s="60" t="str">
        <x:f>IF(A15&lt;2,"normally not needed before emergence","available only if COMPLETE endmix &lt; target")</x:f>
        <x:v>available only if COMPLETE endmix &lt; target</x:v>
      </x:c>
      <x:c r="I15" s="60" t="str">
        <x:f>IF(F15=5.8,"if endmix &gt; 5.80, pH- may be needed","if endmix &gt; 6.00 and outside desired band, pH- may be needed")</x:f>
        <x:v>if endmix &gt; 5.80, pH- may be needed</x:v>
      </x:c>
      <x:c r="J15" s="60" t="str">
        <x:f>IF(F15=5.8,"Eazy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6">
      <x:c r="A16" s="60" t="n">
        <x:f>'02_Daily_Master'!A10</x:f>
        <x:v>8</x:v>
      </x:c>
      <x:c r="B16" s="2475" t="n">
        <x:f>'02_Daily_Master'!B10</x:f>
        <x:v>46263</x:v>
      </x:c>
      <x:c r="C16" s="60" t="n">
        <x:f>'02_Daily_Master'!BI10</x:f>
        <x:v>6</x:v>
      </x:c>
      <x:c r="D16" s="60" t="str">
        <x:f>'02_Daily_Master'!E10</x:f>
        <x:v>Early Veg</x:v>
      </x:c>
      <x:c r="E16" s="60" t="str">
        <x:f>'02_Daily_Master'!BO10</x:f>
        <x:v>Eazy Plug/Block: Herstellerziel 5.80</x:v>
      </x:c>
      <x:c r="F16" s="2482" t="n">
        <x:f>'02_Daily_Master'!BM10</x:f>
        <x:v>5.8</x:v>
      </x:c>
      <x:c r="G16" s="60" t="str">
        <x:f>IF(F16=5.8,"Target 5.80 while Eazy Plug/Block","HESI Coco/Hydro 5.8–6.2; UKD target 6.00")</x:f>
        <x:v>Target 5.80 while Eazy Plug/Block</x:v>
      </x:c>
      <x:c r="H16" s="60" t="str">
        <x:f>IF(A16&lt;2,"normally not needed before emergence","available only if COMPLETE endmix &lt; target")</x:f>
        <x:v>available only if COMPLETE endmix &lt; target</x:v>
      </x:c>
      <x:c r="I16" s="60" t="str">
        <x:f>IF(F16=5.8,"if endmix &gt; 5.80, pH- may be needed","if endmix &gt; 6.00 and outside desired band, pH- may be needed")</x:f>
        <x:v>if endmix &gt; 5.80, pH- may be needed</x:v>
      </x:c>
      <x:c r="J16" s="60" t="str">
        <x:f>IF(F16=5.8,"Eazy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7">
      <x:c r="A17" s="60" t="n">
        <x:f>'02_Daily_Master'!A11</x:f>
        <x:v>9</x:v>
      </x:c>
      <x:c r="B17" s="2475" t="n">
        <x:f>'02_Daily_Master'!B11</x:f>
        <x:v>46264</x:v>
      </x:c>
      <x:c r="C17" s="60" t="n">
        <x:f>'02_Daily_Master'!BI11</x:f>
        <x:v>7</x:v>
      </x:c>
      <x:c r="D17" s="60" t="str">
        <x:f>'02_Daily_Master'!E11</x:f>
        <x:v>Early Veg</x:v>
      </x:c>
      <x:c r="E17" s="60" t="str">
        <x:f>'02_Daily_Master'!BO11</x:f>
        <x:v>Eazy Plug/Block: Herstellerziel 5.80</x:v>
      </x:c>
      <x:c r="F17" s="2482" t="n">
        <x:f>'02_Daily_Master'!BM11</x:f>
        <x:v>5.8</x:v>
      </x:c>
      <x:c r="G17" s="60" t="str">
        <x:f>IF(F17=5.8,"Target 5.80 while Eazy Plug/Block","HESI Coco/Hydro 5.8–6.2; UKD target 6.00")</x:f>
        <x:v>Target 5.80 while Eazy Plug/Block</x:v>
      </x:c>
      <x:c r="H17" s="60" t="str">
        <x:f>IF(A17&lt;2,"normally not needed before emergence","available only if COMPLETE endmix &lt; target")</x:f>
        <x:v>available only if COMPLETE endmix &lt; target</x:v>
      </x:c>
      <x:c r="I17" s="60" t="str">
        <x:f>IF(F17=5.8,"if endmix &gt; 5.80, pH- may be needed","if endmix &gt; 6.00 and outside desired band, pH- may be needed")</x:f>
        <x:v>if endmix &gt; 5.80, pH- may be needed</x:v>
      </x:c>
      <x:c r="J17" s="60" t="str">
        <x:f>IF(F17=5.8,"Eazy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8">
      <x:c r="A18" s="60" t="n">
        <x:f>'02_Daily_Master'!A12</x:f>
        <x:v>10</x:v>
      </x:c>
      <x:c r="B18" s="2475" t="n">
        <x:f>'02_Daily_Master'!B12</x:f>
        <x:v>46265</x:v>
      </x:c>
      <x:c r="C18" s="60" t="n">
        <x:f>'02_Daily_Master'!BI12</x:f>
        <x:v>8</x:v>
      </x:c>
      <x:c r="D18" s="60" t="str">
        <x:f>'02_Daily_Master'!E12</x:f>
        <x:v>Early Veg</x:v>
      </x:c>
      <x:c r="E18" s="60" t="str">
        <x:f>'02_Daily_Master'!BO12</x:f>
        <x:v>Eazy Plug/Block: Herstellerziel 5.80</x:v>
      </x:c>
      <x:c r="F18" s="2482" t="n">
        <x:f>'02_Daily_Master'!BM12</x:f>
        <x:v>5.8</x:v>
      </x:c>
      <x:c r="G18" s="60" t="str">
        <x:f>IF(F18=5.8,"Target 5.80 while Eazy Plug/Block","HESI Coco/Hydro 5.8–6.2; UKD target 6.00")</x:f>
        <x:v>Target 5.80 while Eazy Plug/Block</x:v>
      </x:c>
      <x:c r="H18" s="60" t="str">
        <x:f>IF(A18&lt;2,"normally not needed before emergence","available only if COMPLETE endmix &lt; target")</x:f>
        <x:v>available only if COMPLETE endmix &lt; target</x:v>
      </x:c>
      <x:c r="I18" s="60" t="str">
        <x:f>IF(F18=5.8,"if endmix &gt; 5.80, pH- may be needed","if endmix &gt; 6.00 and outside desired band, pH- may be needed")</x:f>
        <x:v>if endmix &gt; 5.80, pH- may be needed</x:v>
      </x:c>
      <x:c r="J18" s="60" t="str">
        <x:f>IF(F18=5.8,"Eazy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19">
      <x:c r="A19" s="60" t="n">
        <x:f>'02_Daily_Master'!A13</x:f>
        <x:v>11</x:v>
      </x:c>
      <x:c r="B19" s="2475" t="n">
        <x:f>'02_Daily_Master'!B13</x:f>
        <x:v>46266</x:v>
      </x:c>
      <x:c r="C19" s="60" t="n">
        <x:f>'02_Daily_Master'!BI13</x:f>
        <x:v>9</x:v>
      </x:c>
      <x:c r="D19" s="60" t="str">
        <x:f>'02_Daily_Master'!E13</x:f>
        <x:v>Early Veg</x:v>
      </x:c>
      <x:c r="E19" s="60" t="str">
        <x:f>'02_Daily_Master'!BO13</x:f>
        <x:v>Eazy Plug/Block: Herstellerziel 5.80</x:v>
      </x:c>
      <x:c r="F19" s="2482" t="n">
        <x:f>'02_Daily_Master'!BM13</x:f>
        <x:v>5.8</x:v>
      </x:c>
      <x:c r="G19" s="60" t="str">
        <x:f>IF(F19=5.8,"Target 5.80 while Eazy Plug/Block","HESI Coco/Hydro 5.8–6.2; UKD target 6.00")</x:f>
        <x:v>Target 5.80 while Eazy Plug/Block</x:v>
      </x:c>
      <x:c r="H19" s="60" t="str">
        <x:f>IF(A19&lt;2,"normally not needed before emergence","available only if COMPLETE endmix &lt; target")</x:f>
        <x:v>available only if COMPLETE endmix &lt; target</x:v>
      </x:c>
      <x:c r="I19" s="60" t="str">
        <x:f>IF(F19=5.8,"if endmix &gt; 5.80, pH- may be needed","if endmix &gt; 6.00 and outside desired band, pH- may be needed")</x:f>
        <x:v>if endmix &gt; 5.80, pH- may be needed</x:v>
      </x:c>
      <x:c r="J19" s="60" t="str">
        <x:f>IF(F19=5.8,"Eazy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0">
      <x:c r="A20" s="60" t="n">
        <x:f>'02_Daily_Master'!A14</x:f>
        <x:v>12</x:v>
      </x:c>
      <x:c r="B20" s="2475" t="n">
        <x:f>'02_Daily_Master'!B14</x:f>
        <x:v>46267</x:v>
      </x:c>
      <x:c r="C20" s="60" t="n">
        <x:f>'02_Daily_Master'!BI14</x:f>
        <x:v>10</x:v>
      </x:c>
      <x:c r="D20" s="60" t="str">
        <x:f>'02_Daily_Master'!E14</x:f>
        <x:v>Early Veg</x:v>
      </x:c>
      <x:c r="E20" s="60" t="str">
        <x:f>'02_Daily_Master'!BO14</x:f>
        <x:v>Eazy Plug/Block: Herstellerziel 5.80</x:v>
      </x:c>
      <x:c r="F20" s="2482" t="n">
        <x:f>'02_Daily_Master'!BM14</x:f>
        <x:v>5.8</x:v>
      </x:c>
      <x:c r="G20" s="60" t="str">
        <x:f>IF(F20=5.8,"Target 5.80 while Eazy Plug/Block","HESI Coco/Hydro 5.8–6.2; UKD target 6.00")</x:f>
        <x:v>Target 5.80 while Eazy Plug/Block</x:v>
      </x:c>
      <x:c r="H20" s="60" t="str">
        <x:f>IF(A20&lt;2,"normally not needed before emergence","available only if COMPLETE endmix &lt; target")</x:f>
        <x:v>available only if COMPLETE endmix &lt; target</x:v>
      </x:c>
      <x:c r="I20" s="60" t="str">
        <x:f>IF(F20=5.8,"if endmix &gt; 5.80, pH- may be needed","if endmix &gt; 6.00 and outside desired band, pH- may be needed")</x:f>
        <x:v>if endmix &gt; 5.80, pH- may be needed</x:v>
      </x:c>
      <x:c r="J20" s="60" t="str">
        <x:f>IF(F20=5.8,"Eazy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1">
      <x:c r="A21" s="60" t="n">
        <x:f>'02_Daily_Master'!A15</x:f>
        <x:v>13</x:v>
      </x:c>
      <x:c r="B21" s="2475" t="n">
        <x:f>'02_Daily_Master'!B15</x:f>
        <x:v>46268</x:v>
      </x:c>
      <x:c r="C21" s="60" t="n">
        <x:f>'02_Daily_Master'!BI15</x:f>
        <x:v>11</x:v>
      </x:c>
      <x:c r="D21" s="60" t="str">
        <x:f>'02_Daily_Master'!E15</x:f>
        <x:v>Early Veg</x:v>
      </x:c>
      <x:c r="E21" s="60" t="str">
        <x:f>'02_Daily_Master'!BO15</x:f>
        <x:v>Eazy Plug/Block: Herstellerziel 5.80</x:v>
      </x:c>
      <x:c r="F21" s="2482" t="n">
        <x:f>'02_Daily_Master'!BM15</x:f>
        <x:v>5.8</x:v>
      </x:c>
      <x:c r="G21" s="60" t="str">
        <x:f>IF(F21=5.8,"Target 5.80 while Eazy Plug/Block","HESI Coco/Hydro 5.8–6.2; UKD target 6.00")</x:f>
        <x:v>Target 5.80 while Eazy Plug/Block</x:v>
      </x:c>
      <x:c r="H21" s="60" t="str">
        <x:f>IF(A21&lt;2,"normally not needed before emergence","available only if COMPLETE endmix &lt; target")</x:f>
        <x:v>available only if COMPLETE endmix &lt; target</x:v>
      </x:c>
      <x:c r="I21" s="60" t="str">
        <x:f>IF(F21=5.8,"if endmix &gt; 5.80, pH- may be needed","if endmix &gt; 6.00 and outside desired band, pH- may be needed")</x:f>
        <x:v>if endmix &gt; 5.80, pH- may be needed</x:v>
      </x:c>
      <x:c r="J21" s="60" t="str">
        <x:f>IF(F21=5.8,"Eazy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2">
      <x:c r="A22" s="60" t="n">
        <x:f>'02_Daily_Master'!A16</x:f>
        <x:v>14</x:v>
      </x:c>
      <x:c r="B22" s="2475" t="n">
        <x:f>'02_Daily_Master'!B16</x:f>
        <x:v>46269</x:v>
      </x:c>
      <x:c r="C22" s="60" t="n">
        <x:f>'02_Daily_Master'!BI16</x:f>
        <x:v>12</x:v>
      </x:c>
      <x:c r="D22" s="60" t="str">
        <x:f>'02_Daily_Master'!E16</x:f>
        <x:v>Early Veg</x:v>
      </x:c>
      <x:c r="E22" s="60" t="str">
        <x:f>'02_Daily_Master'!BO16</x:f>
        <x:v>Eazy Plug/Block: Herstellerziel 5.80</x:v>
      </x:c>
      <x:c r="F22" s="2482" t="n">
        <x:f>'02_Daily_Master'!BM16</x:f>
        <x:v>5.8</x:v>
      </x:c>
      <x:c r="G22" s="60" t="str">
        <x:f>IF(F22=5.8,"Target 5.80 while Eazy Plug/Block","HESI Coco/Hydro 5.8–6.2; UKD target 6.00")</x:f>
        <x:v>Target 5.80 while Eazy Plug/Block</x:v>
      </x:c>
      <x:c r="H22" s="60" t="str">
        <x:f>IF(A22&lt;2,"normally not needed before emergence","available only if COMPLETE endmix &lt; target")</x:f>
        <x:v>available only if COMPLETE endmix &lt; target</x:v>
      </x:c>
      <x:c r="I22" s="60" t="str">
        <x:f>IF(F22=5.8,"if endmix &gt; 5.80, pH- may be needed","if endmix &gt; 6.00 and outside desired band, pH- may be needed")</x:f>
        <x:v>if endmix &gt; 5.80, pH- may be needed</x:v>
      </x:c>
      <x:c r="J22" s="60" t="str">
        <x:f>IF(F22=5.8,"Eazy Plug/Block pH 5.8 manufacturer reference; root-state overrides day","HESI 5.8–6.2 + UKD midpoint 6.00; actual root state overrides projection")</x:f>
        <x:v>Eazy Plug/Block pH 5.8 manufacturer reference; root-state overrides day</x:v>
      </x:c>
    </x:row>
    <x:row r="23">
      <x:c r="A23" s="60" t="n">
        <x:f>'02_Daily_Master'!A17</x:f>
        <x:v>15</x:v>
      </x:c>
      <x:c r="B23" s="2475" t="n">
        <x:f>'02_Daily_Master'!B17</x:f>
        <x:v>46270</x:v>
      </x:c>
      <x:c r="C23" s="60" t="n">
        <x:f>'02_Daily_Master'!BI17</x:f>
        <x:v>13</x:v>
      </x:c>
      <x:c r="D23" s="60" t="str">
        <x:f>'02_Daily_Master'!E17</x:f>
        <x:v>Veg / LST</x:v>
      </x:c>
      <x:c r="E23" s="60" t="str">
        <x:f>'02_Daily_Master'!BO17</x:f>
        <x:v>Final Coco: UKD 6.00 = Mitte HESI 5.8–6.2</x:v>
      </x:c>
      <x:c r="F23" s="2482" t="n">
        <x:f>'02_Daily_Master'!BM17</x:f>
        <x:v>6</x:v>
      </x:c>
      <x:c r="G23" s="60" t="str">
        <x:f>IF(F23=5.8,"Target 5.80 while Eazy Plug/Block","HESI Coco/Hydro 5.8–6.2; UKD target 6.00")</x:f>
        <x:v>HESI Coco/Hydro 5.8–6.2; UKD target 6.00</x:v>
      </x:c>
      <x:c r="H23" s="60" t="str">
        <x:f>IF(A23&lt;2,"normally not needed before emergence","available only if COMPLETE endmix &lt; target")</x:f>
        <x:v>available only if COMPLETE endmix &lt; target</x:v>
      </x:c>
      <x:c r="I23" s="60" t="str">
        <x:f>IF(F23=5.8,"if endmix &gt; 5.80, pH- may be needed","if endmix &gt; 6.00 and outside desired band, pH- may be needed")</x:f>
        <x:v>if endmix &gt; 6.00 and outside desired band, pH- may be needed</x:v>
      </x:c>
      <x:c r="J23" s="60" t="str">
        <x:f>IF(F23=5.8,"Eazy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4">
      <x:c r="A24" s="60" t="n">
        <x:f>'02_Daily_Master'!A18</x:f>
        <x:v>16</x:v>
      </x:c>
      <x:c r="B24" s="2475" t="n">
        <x:f>'02_Daily_Master'!B18</x:f>
        <x:v>46271</x:v>
      </x:c>
      <x:c r="C24" s="60" t="n">
        <x:f>'02_Daily_Master'!BI18</x:f>
        <x:v>14</x:v>
      </x:c>
      <x:c r="D24" s="60" t="str">
        <x:f>'02_Daily_Master'!E18</x:f>
        <x:v>Veg / LST</x:v>
      </x:c>
      <x:c r="E24" s="60" t="str">
        <x:f>'02_Daily_Master'!BO18</x:f>
        <x:v>Final Coco: UKD 6.00 = Mitte HESI 5.8–6.2</x:v>
      </x:c>
      <x:c r="F24" s="2482" t="n">
        <x:f>'02_Daily_Master'!BM18</x:f>
        <x:v>6</x:v>
      </x:c>
      <x:c r="G24" s="60" t="str">
        <x:f>IF(F24=5.8,"Target 5.80 while Eazy Plug/Block","HESI Coco/Hydro 5.8–6.2; UKD target 6.00")</x:f>
        <x:v>HESI Coco/Hydro 5.8–6.2; UKD target 6.00</x:v>
      </x:c>
      <x:c r="H24" s="60" t="str">
        <x:f>IF(A24&lt;2,"normally not needed before emergence","available only if COMPLETE endmix &lt; target")</x:f>
        <x:v>available only if COMPLETE endmix &lt; target</x:v>
      </x:c>
      <x:c r="I24" s="60" t="str">
        <x:f>IF(F24=5.8,"if endmix &gt; 5.80, pH- may be needed","if endmix &gt; 6.00 and outside desired band, pH- may be needed")</x:f>
        <x:v>if endmix &gt; 6.00 and outside desired band, pH- may be needed</x:v>
      </x:c>
      <x:c r="J24" s="60" t="str">
        <x:f>IF(F24=5.8,"Eazy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5">
      <x:c r="A25" s="60" t="n">
        <x:f>'02_Daily_Master'!A19</x:f>
        <x:v>17</x:v>
      </x:c>
      <x:c r="B25" s="2475" t="n">
        <x:f>'02_Daily_Master'!B19</x:f>
        <x:v>46272</x:v>
      </x:c>
      <x:c r="C25" s="60" t="n">
        <x:f>'02_Daily_Master'!BI19</x:f>
        <x:v>15</x:v>
      </x:c>
      <x:c r="D25" s="60" t="str">
        <x:f>'02_Daily_Master'!E19</x:f>
        <x:v>Veg / LST</x:v>
      </x:c>
      <x:c r="E25" s="60" t="str">
        <x:f>'02_Daily_Master'!BO19</x:f>
        <x:v>Final Coco: UKD 6.00 = Mitte HESI 5.8–6.2</x:v>
      </x:c>
      <x:c r="F25" s="2482" t="n">
        <x:f>'02_Daily_Master'!BM19</x:f>
        <x:v>6</x:v>
      </x:c>
      <x:c r="G25" s="60" t="str">
        <x:f>IF(F25=5.8,"Target 5.80 while Eazy Plug/Block","HESI Coco/Hydro 5.8–6.2; UKD target 6.00")</x:f>
        <x:v>HESI Coco/Hydro 5.8–6.2; UKD target 6.00</x:v>
      </x:c>
      <x:c r="H25" s="60" t="str">
        <x:f>IF(A25&lt;2,"normally not needed before emergence","available only if COMPLETE endmix &lt; target")</x:f>
        <x:v>available only if COMPLETE endmix &lt; target</x:v>
      </x:c>
      <x:c r="I25" s="60" t="str">
        <x:f>IF(F25=5.8,"if endmix &gt; 5.80, pH- may be needed","if endmix &gt; 6.00 and outside desired band, pH- may be needed")</x:f>
        <x:v>if endmix &gt; 6.00 and outside desired band, pH- may be needed</x:v>
      </x:c>
      <x:c r="J25" s="60" t="str">
        <x:f>IF(F25=5.8,"Eazy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6">
      <x:c r="A26" s="60" t="n">
        <x:f>'02_Daily_Master'!A20</x:f>
        <x:v>18</x:v>
      </x:c>
      <x:c r="B26" s="2475" t="n">
        <x:f>'02_Daily_Master'!B20</x:f>
        <x:v>46273</x:v>
      </x:c>
      <x:c r="C26" s="60" t="n">
        <x:f>'02_Daily_Master'!BI20</x:f>
        <x:v>16</x:v>
      </x:c>
      <x:c r="D26" s="60" t="str">
        <x:f>'02_Daily_Master'!E20</x:f>
        <x:v>Veg / LST</x:v>
      </x:c>
      <x:c r="E26" s="60" t="str">
        <x:f>'02_Daily_Master'!BO20</x:f>
        <x:v>Final Coco: UKD 6.00 = Mitte HESI 5.8–6.2</x:v>
      </x:c>
      <x:c r="F26" s="2482" t="n">
        <x:f>'02_Daily_Master'!BM20</x:f>
        <x:v>6</x:v>
      </x:c>
      <x:c r="G26" s="60" t="str">
        <x:f>IF(F26=5.8,"Target 5.80 while Eazy Plug/Block","HESI Coco/Hydro 5.8–6.2; UKD target 6.00")</x:f>
        <x:v>HESI Coco/Hydro 5.8–6.2; UKD target 6.00</x:v>
      </x:c>
      <x:c r="H26" s="60" t="str">
        <x:f>IF(A26&lt;2,"normally not needed before emergence","available only if COMPLETE endmix &lt; target")</x:f>
        <x:v>available only if COMPLETE endmix &lt; target</x:v>
      </x:c>
      <x:c r="I26" s="60" t="str">
        <x:f>IF(F26=5.8,"if endmix &gt; 5.80, pH- may be needed","if endmix &gt; 6.00 and outside desired band, pH- may be needed")</x:f>
        <x:v>if endmix &gt; 6.00 and outside desired band, pH- may be needed</x:v>
      </x:c>
      <x:c r="J26" s="60" t="str">
        <x:f>IF(F26=5.8,"Eazy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7">
      <x:c r="A27" s="60" t="n">
        <x:f>'02_Daily_Master'!A21</x:f>
        <x:v>19</x:v>
      </x:c>
      <x:c r="B27" s="2475" t="n">
        <x:f>'02_Daily_Master'!B21</x:f>
        <x:v>46274</x:v>
      </x:c>
      <x:c r="C27" s="60" t="n">
        <x:f>'02_Daily_Master'!BI21</x:f>
        <x:v>17</x:v>
      </x:c>
      <x:c r="D27" s="60" t="str">
        <x:f>'02_Daily_Master'!E21</x:f>
        <x:v>Veg / LST</x:v>
      </x:c>
      <x:c r="E27" s="60" t="str">
        <x:f>'02_Daily_Master'!BO21</x:f>
        <x:v>Final Coco: UKD 6.00 = Mitte HESI 5.8–6.2</x:v>
      </x:c>
      <x:c r="F27" s="2482" t="n">
        <x:f>'02_Daily_Master'!BM21</x:f>
        <x:v>6</x:v>
      </x:c>
      <x:c r="G27" s="60" t="str">
        <x:f>IF(F27=5.8,"Target 5.80 while Eazy Plug/Block","HESI Coco/Hydro 5.8–6.2; UKD target 6.00")</x:f>
        <x:v>HESI Coco/Hydro 5.8–6.2; UKD target 6.00</x:v>
      </x:c>
      <x:c r="H27" s="60" t="str">
        <x:f>IF(A27&lt;2,"normally not needed before emergence","available only if COMPLETE endmix &lt; target")</x:f>
        <x:v>available only if COMPLETE endmix &lt; target</x:v>
      </x:c>
      <x:c r="I27" s="60" t="str">
        <x:f>IF(F27=5.8,"if endmix &gt; 5.80, pH- may be needed","if endmix &gt; 6.00 and outside desired band, pH- may be needed")</x:f>
        <x:v>if endmix &gt; 6.00 and outside desired band, pH- may be needed</x:v>
      </x:c>
      <x:c r="J27" s="60" t="str">
        <x:f>IF(F27=5.8,"Eazy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8">
      <x:c r="A28" s="60" t="n">
        <x:f>'02_Daily_Master'!A22</x:f>
        <x:v>20</x:v>
      </x:c>
      <x:c r="B28" s="2475" t="n">
        <x:f>'02_Daily_Master'!B22</x:f>
        <x:v>46275</x:v>
      </x:c>
      <x:c r="C28" s="60" t="n">
        <x:f>'02_Daily_Master'!BI22</x:f>
        <x:v>18</x:v>
      </x:c>
      <x:c r="D28" s="60" t="str">
        <x:f>'02_Daily_Master'!E22</x:f>
        <x:v>Veg / LST</x:v>
      </x:c>
      <x:c r="E28" s="60" t="str">
        <x:f>'02_Daily_Master'!BO22</x:f>
        <x:v>Final Coco: UKD 6.00 = Mitte HESI 5.8–6.2</x:v>
      </x:c>
      <x:c r="F28" s="2482" t="n">
        <x:f>'02_Daily_Master'!BM22</x:f>
        <x:v>6</x:v>
      </x:c>
      <x:c r="G28" s="60" t="str">
        <x:f>IF(F28=5.8,"Target 5.80 while Eazy Plug/Block","HESI Coco/Hydro 5.8–6.2; UKD target 6.00")</x:f>
        <x:v>HESI Coco/Hydro 5.8–6.2; UKD target 6.00</x:v>
      </x:c>
      <x:c r="H28" s="60" t="str">
        <x:f>IF(A28&lt;2,"normally not needed before emergence","available only if COMPLETE endmix &lt; target")</x:f>
        <x:v>available only if COMPLETE endmix &lt; target</x:v>
      </x:c>
      <x:c r="I28" s="60" t="str">
        <x:f>IF(F28=5.8,"if endmix &gt; 5.80, pH- may be needed","if endmix &gt; 6.00 and outside desired band, pH- may be needed")</x:f>
        <x:v>if endmix &gt; 6.00 and outside desired band, pH- may be needed</x:v>
      </x:c>
      <x:c r="J28" s="60" t="str">
        <x:f>IF(F28=5.8,"Eazy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29">
      <x:c r="A29" s="60" t="n">
        <x:f>'02_Daily_Master'!A23</x:f>
        <x:v>21</x:v>
      </x:c>
      <x:c r="B29" s="2475" t="n">
        <x:f>'02_Daily_Master'!B23</x:f>
        <x:v>46276</x:v>
      </x:c>
      <x:c r="C29" s="60" t="n">
        <x:f>'02_Daily_Master'!BI23</x:f>
        <x:v>19</x:v>
      </x:c>
      <x:c r="D29" s="60" t="str">
        <x:f>'02_Daily_Master'!E23</x:f>
        <x:v>Veg / LST</x:v>
      </x:c>
      <x:c r="E29" s="60" t="str">
        <x:f>'02_Daily_Master'!BO23</x:f>
        <x:v>Final Coco: UKD 6.00 = Mitte HESI 5.8–6.2</x:v>
      </x:c>
      <x:c r="F29" s="2482" t="n">
        <x:f>'02_Daily_Master'!BM23</x:f>
        <x:v>6</x:v>
      </x:c>
      <x:c r="G29" s="60" t="str">
        <x:f>IF(F29=5.8,"Target 5.80 while Eazy Plug/Block","HESI Coco/Hydro 5.8–6.2; UKD target 6.00")</x:f>
        <x:v>HESI Coco/Hydro 5.8–6.2; UKD target 6.00</x:v>
      </x:c>
      <x:c r="H29" s="60" t="str">
        <x:f>IF(A29&lt;2,"normally not needed before emergence","available only if COMPLETE endmix &lt; target")</x:f>
        <x:v>available only if COMPLETE endmix &lt; target</x:v>
      </x:c>
      <x:c r="I29" s="60" t="str">
        <x:f>IF(F29=5.8,"if endmix &gt; 5.80, pH- may be needed","if endmix &gt; 6.00 and outside desired band, pH- may be needed")</x:f>
        <x:v>if endmix &gt; 6.00 and outside desired band, pH- may be needed</x:v>
      </x:c>
      <x:c r="J29" s="60" t="str">
        <x:f>IF(F29=5.8,"Eazy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0">
      <x:c r="A30" s="60" t="n">
        <x:f>'02_Daily_Master'!A24</x:f>
        <x:v>22</x:v>
      </x:c>
      <x:c r="B30" s="2475" t="n">
        <x:f>'02_Daily_Master'!B24</x:f>
        <x:v>46277</x:v>
      </x:c>
      <x:c r="C30" s="60" t="n">
        <x:f>'02_Daily_Master'!BI24</x:f>
        <x:v>20</x:v>
      </x:c>
      <x:c r="D30" s="60" t="str">
        <x:f>'02_Daily_Master'!E24</x:f>
        <x:v>Preflower-Watch</x:v>
      </x:c>
      <x:c r="E30" s="60" t="str">
        <x:f>'02_Daily_Master'!BO24</x:f>
        <x:v>Final Coco: UKD 6.00 = Mitte HESI 5.8–6.2</x:v>
      </x:c>
      <x:c r="F30" s="2482" t="n">
        <x:f>'02_Daily_Master'!BM24</x:f>
        <x:v>6</x:v>
      </x:c>
      <x:c r="G30" s="60" t="str">
        <x:f>IF(F30=5.8,"Target 5.80 while Eazy Plug/Block","HESI Coco/Hydro 5.8–6.2; UKD target 6.00")</x:f>
        <x:v>HESI Coco/Hydro 5.8–6.2; UKD target 6.00</x:v>
      </x:c>
      <x:c r="H30" s="60" t="str">
        <x:f>IF(A30&lt;2,"normally not needed before emergence","available only if COMPLETE endmix &lt; target")</x:f>
        <x:v>available only if COMPLETE endmix &lt; target</x:v>
      </x:c>
      <x:c r="I30" s="60" t="str">
        <x:f>IF(F30=5.8,"if endmix &gt; 5.80, pH- may be needed","if endmix &gt; 6.00 and outside desired band, pH- may be needed")</x:f>
        <x:v>if endmix &gt; 6.00 and outside desired band, pH- may be needed</x:v>
      </x:c>
      <x:c r="J30" s="60" t="str">
        <x:f>IF(F30=5.8,"Eazy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1">
      <x:c r="A31" s="60" t="n">
        <x:f>'02_Daily_Master'!A25</x:f>
        <x:v>23</x:v>
      </x:c>
      <x:c r="B31" s="2475" t="n">
        <x:f>'02_Daily_Master'!B25</x:f>
        <x:v>46278</x:v>
      </x:c>
      <x:c r="C31" s="60" t="n">
        <x:f>'02_Daily_Master'!BI25</x:f>
        <x:v>21</x:v>
      </x:c>
      <x:c r="D31" s="60" t="str">
        <x:f>'02_Daily_Master'!E25</x:f>
        <x:v>Preflower-Watch</x:v>
      </x:c>
      <x:c r="E31" s="60" t="str">
        <x:f>'02_Daily_Master'!BO25</x:f>
        <x:v>Final Coco: UKD 6.00 = Mitte HESI 5.8–6.2</x:v>
      </x:c>
      <x:c r="F31" s="2482" t="n">
        <x:f>'02_Daily_Master'!BM25</x:f>
        <x:v>6</x:v>
      </x:c>
      <x:c r="G31" s="60" t="str">
        <x:f>IF(F31=5.8,"Target 5.80 while Eazy Plug/Block","HESI Coco/Hydro 5.8–6.2; UKD target 6.00")</x:f>
        <x:v>HESI Coco/Hydro 5.8–6.2; UKD target 6.00</x:v>
      </x:c>
      <x:c r="H31" s="60" t="str">
        <x:f>IF(A31&lt;2,"normally not needed before emergence","available only if COMPLETE endmix &lt; target")</x:f>
        <x:v>available only if COMPLETE endmix &lt; target</x:v>
      </x:c>
      <x:c r="I31" s="60" t="str">
        <x:f>IF(F31=5.8,"if endmix &gt; 5.80, pH- may be needed","if endmix &gt; 6.00 and outside desired band, pH- may be needed")</x:f>
        <x:v>if endmix &gt; 6.00 and outside desired band, pH- may be needed</x:v>
      </x:c>
      <x:c r="J31" s="60" t="str">
        <x:f>IF(F31=5.8,"Eazy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2">
      <x:c r="A32" s="60" t="n">
        <x:f>'02_Daily_Master'!A26</x:f>
        <x:v>24</x:v>
      </x:c>
      <x:c r="B32" s="2475" t="n">
        <x:f>'02_Daily_Master'!B26</x:f>
        <x:v>46279</x:v>
      </x:c>
      <x:c r="C32" s="60" t="n">
        <x:f>'02_Daily_Master'!BI26</x:f>
        <x:v>22</x:v>
      </x:c>
      <x:c r="D32" s="60" t="str">
        <x:f>'02_Daily_Master'!E26</x:f>
        <x:v>Preflower-Watch</x:v>
      </x:c>
      <x:c r="E32" s="60" t="str">
        <x:f>'02_Daily_Master'!BO26</x:f>
        <x:v>Final Coco: UKD 6.00 = Mitte HESI 5.8–6.2</x:v>
      </x:c>
      <x:c r="F32" s="2482" t="n">
        <x:f>'02_Daily_Master'!BM26</x:f>
        <x:v>6</x:v>
      </x:c>
      <x:c r="G32" s="60" t="str">
        <x:f>IF(F32=5.8,"Target 5.80 while Eazy Plug/Block","HESI Coco/Hydro 5.8–6.2; UKD target 6.00")</x:f>
        <x:v>HESI Coco/Hydro 5.8–6.2; UKD target 6.00</x:v>
      </x:c>
      <x:c r="H32" s="60" t="str">
        <x:f>IF(A32&lt;2,"normally not needed before emergence","available only if COMPLETE endmix &lt; target")</x:f>
        <x:v>available only if COMPLETE endmix &lt; target</x:v>
      </x:c>
      <x:c r="I32" s="60" t="str">
        <x:f>IF(F32=5.8,"if endmix &gt; 5.80, pH- may be needed","if endmix &gt; 6.00 and outside desired band, pH- may be needed")</x:f>
        <x:v>if endmix &gt; 6.00 and outside desired band, pH- may be needed</x:v>
      </x:c>
      <x:c r="J32" s="60" t="str">
        <x:f>IF(F32=5.8,"Eazy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3">
      <x:c r="A33" s="60" t="n">
        <x:f>'02_Daily_Master'!A27</x:f>
        <x:v>25</x:v>
      </x:c>
      <x:c r="B33" s="2475" t="n">
        <x:f>'02_Daily_Master'!B27</x:f>
        <x:v>46280</x:v>
      </x:c>
      <x:c r="C33" s="60" t="n">
        <x:f>'02_Daily_Master'!BI27</x:f>
        <x:v>23</x:v>
      </x:c>
      <x:c r="D33" s="60" t="str">
        <x:f>'02_Daily_Master'!E27</x:f>
        <x:v>Preflower-Watch</x:v>
      </x:c>
      <x:c r="E33" s="60" t="str">
        <x:f>'02_Daily_Master'!BO27</x:f>
        <x:v>Final Coco: UKD 6.00 = Mitte HESI 5.8–6.2</x:v>
      </x:c>
      <x:c r="F33" s="2482" t="n">
        <x:f>'02_Daily_Master'!BM27</x:f>
        <x:v>6</x:v>
      </x:c>
      <x:c r="G33" s="60" t="str">
        <x:f>IF(F33=5.8,"Target 5.80 while Eazy Plug/Block","HESI Coco/Hydro 5.8–6.2; UKD target 6.00")</x:f>
        <x:v>HESI Coco/Hydro 5.8–6.2; UKD target 6.00</x:v>
      </x:c>
      <x:c r="H33" s="60" t="str">
        <x:f>IF(A33&lt;2,"normally not needed before emergence","available only if COMPLETE endmix &lt; target")</x:f>
        <x:v>available only if COMPLETE endmix &lt; target</x:v>
      </x:c>
      <x:c r="I33" s="60" t="str">
        <x:f>IF(F33=5.8,"if endmix &gt; 5.80, pH- may be needed","if endmix &gt; 6.00 and outside desired band, pH- may be needed")</x:f>
        <x:v>if endmix &gt; 6.00 and outside desired band, pH- may be needed</x:v>
      </x:c>
      <x:c r="J33" s="60" t="str">
        <x:f>IF(F33=5.8,"Eazy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4">
      <x:c r="A34" s="60" t="n">
        <x:f>'02_Daily_Master'!A28</x:f>
        <x:v>26</x:v>
      </x:c>
      <x:c r="B34" s="2475" t="n">
        <x:f>'02_Daily_Master'!B28</x:f>
        <x:v>46281</x:v>
      </x:c>
      <x:c r="C34" s="60" t="n">
        <x:f>'02_Daily_Master'!BI28</x:f>
        <x:v>24</x:v>
      </x:c>
      <x:c r="D34" s="60" t="str">
        <x:f>'02_Daily_Master'!E28</x:f>
        <x:v>Preflower-Watch</x:v>
      </x:c>
      <x:c r="E34" s="60" t="str">
        <x:f>'02_Daily_Master'!BO28</x:f>
        <x:v>Final Coco: UKD 6.00 = Mitte HESI 5.8–6.2</x:v>
      </x:c>
      <x:c r="F34" s="2482" t="n">
        <x:f>'02_Daily_Master'!BM28</x:f>
        <x:v>6</x:v>
      </x:c>
      <x:c r="G34" s="60" t="str">
        <x:f>IF(F34=5.8,"Target 5.80 while Eazy Plug/Block","HESI Coco/Hydro 5.8–6.2; UKD target 6.00")</x:f>
        <x:v>HESI Coco/Hydro 5.8–6.2; UKD target 6.00</x:v>
      </x:c>
      <x:c r="H34" s="60" t="str">
        <x:f>IF(A34&lt;2,"normally not needed before emergence","available only if COMPLETE endmix &lt; target")</x:f>
        <x:v>available only if COMPLETE endmix &lt; target</x:v>
      </x:c>
      <x:c r="I34" s="60" t="str">
        <x:f>IF(F34=5.8,"if endmix &gt; 5.80, pH- may be needed","if endmix &gt; 6.00 and outside desired band, pH- may be needed")</x:f>
        <x:v>if endmix &gt; 6.00 and outside desired band, pH- may be needed</x:v>
      </x:c>
      <x:c r="J34" s="60" t="str">
        <x:f>IF(F34=5.8,"Eazy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5">
      <x:c r="A35" s="60" t="n">
        <x:f>'02_Daily_Master'!A29</x:f>
        <x:v>27</x:v>
      </x:c>
      <x:c r="B35" s="2475" t="n">
        <x:f>'02_Daily_Master'!B29</x:f>
        <x:v>46282</x:v>
      </x:c>
      <x:c r="C35" s="60" t="n">
        <x:f>'02_Daily_Master'!BI29</x:f>
        <x:v>25</x:v>
      </x:c>
      <x:c r="D35" s="60" t="str">
        <x:f>'02_Daily_Master'!E29</x:f>
        <x:v>Preflower-Watch</x:v>
      </x:c>
      <x:c r="E35" s="60" t="str">
        <x:f>'02_Daily_Master'!BO29</x:f>
        <x:v>Final Coco: UKD 6.00 = Mitte HESI 5.8–6.2</x:v>
      </x:c>
      <x:c r="F35" s="2482" t="n">
        <x:f>'02_Daily_Master'!BM29</x:f>
        <x:v>6</x:v>
      </x:c>
      <x:c r="G35" s="60" t="str">
        <x:f>IF(F35=5.8,"Target 5.80 while Eazy Plug/Block","HESI Coco/Hydro 5.8–6.2; UKD target 6.00")</x:f>
        <x:v>HESI Coco/Hydro 5.8–6.2; UKD target 6.00</x:v>
      </x:c>
      <x:c r="H35" s="60" t="str">
        <x:f>IF(A35&lt;2,"normally not needed before emergence","available only if COMPLETE endmix &lt; target")</x:f>
        <x:v>available only if COMPLETE endmix &lt; target</x:v>
      </x:c>
      <x:c r="I35" s="60" t="str">
        <x:f>IF(F35=5.8,"if endmix &gt; 5.80, pH- may be needed","if endmix &gt; 6.00 and outside desired band, pH- may be needed")</x:f>
        <x:v>if endmix &gt; 6.00 and outside desired band, pH- may be needed</x:v>
      </x:c>
      <x:c r="J35" s="60" t="str">
        <x:f>IF(F35=5.8,"Eazy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6">
      <x:c r="A36" s="60" t="n">
        <x:f>'02_Daily_Master'!A30</x:f>
        <x:v>28</x:v>
      </x:c>
      <x:c r="B36" s="2475" t="n">
        <x:f>'02_Daily_Master'!B30</x:f>
        <x:v>46283</x:v>
      </x:c>
      <x:c r="C36" s="60" t="n">
        <x:f>'02_Daily_Master'!BI30</x:f>
        <x:v>26</x:v>
      </x:c>
      <x:c r="D36" s="60" t="str">
        <x:f>'02_Daily_Master'!E30</x:f>
        <x:v>Transition / Stretch (B1)</x:v>
      </x:c>
      <x:c r="E36" s="60" t="str">
        <x:f>'02_Daily_Master'!BO30</x:f>
        <x:v>Final Coco: UKD 6.00 = Mitte HESI 5.8–6.2</x:v>
      </x:c>
      <x:c r="F36" s="2482" t="n">
        <x:f>'02_Daily_Master'!BM30</x:f>
        <x:v>6</x:v>
      </x:c>
      <x:c r="G36" s="60" t="str">
        <x:f>IF(F36=5.8,"Target 5.80 while Eazy Plug/Block","HESI Coco/Hydro 5.8–6.2; UKD target 6.00")</x:f>
        <x:v>HESI Coco/Hydro 5.8–6.2; UKD target 6.00</x:v>
      </x:c>
      <x:c r="H36" s="60" t="str">
        <x:f>IF(A36&lt;2,"normally not needed before emergence","available only if COMPLETE endmix &lt; target")</x:f>
        <x:v>available only if COMPLETE endmix &lt; target</x:v>
      </x:c>
      <x:c r="I36" s="60" t="str">
        <x:f>IF(F36=5.8,"if endmix &gt; 5.80, pH- may be needed","if endmix &gt; 6.00 and outside desired band, pH- may be needed")</x:f>
        <x:v>if endmix &gt; 6.00 and outside desired band, pH- may be needed</x:v>
      </x:c>
      <x:c r="J36" s="60" t="str">
        <x:f>IF(F36=5.8,"Eazy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7">
      <x:c r="A37" s="60" t="n">
        <x:f>'02_Daily_Master'!A31</x:f>
        <x:v>29</x:v>
      </x:c>
      <x:c r="B37" s="2475" t="n">
        <x:f>'02_Daily_Master'!B31</x:f>
        <x:v>46284</x:v>
      </x:c>
      <x:c r="C37" s="60" t="n">
        <x:f>'02_Daily_Master'!BI31</x:f>
        <x:v>27</x:v>
      </x:c>
      <x:c r="D37" s="60" t="str">
        <x:f>'02_Daily_Master'!E31</x:f>
        <x:v>Transition / Stretch (B1)</x:v>
      </x:c>
      <x:c r="E37" s="60" t="str">
        <x:f>'02_Daily_Master'!BO31</x:f>
        <x:v>Final Coco: UKD 6.00 = Mitte HESI 5.8–6.2</x:v>
      </x:c>
      <x:c r="F37" s="2482" t="n">
        <x:f>'02_Daily_Master'!BM31</x:f>
        <x:v>6</x:v>
      </x:c>
      <x:c r="G37" s="60" t="str">
        <x:f>IF(F37=5.8,"Target 5.80 while Eazy Plug/Block","HESI Coco/Hydro 5.8–6.2; UKD target 6.00")</x:f>
        <x:v>HESI Coco/Hydro 5.8–6.2; UKD target 6.00</x:v>
      </x:c>
      <x:c r="H37" s="60" t="str">
        <x:f>IF(A37&lt;2,"normally not needed before emergence","available only if COMPLETE endmix &lt; target")</x:f>
        <x:v>available only if COMPLETE endmix &lt; target</x:v>
      </x:c>
      <x:c r="I37" s="60" t="str">
        <x:f>IF(F37=5.8,"if endmix &gt; 5.80, pH- may be needed","if endmix &gt; 6.00 and outside desired band, pH- may be needed")</x:f>
        <x:v>if endmix &gt; 6.00 and outside desired band, pH- may be needed</x:v>
      </x:c>
      <x:c r="J37" s="60" t="str">
        <x:f>IF(F37=5.8,"Eazy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8">
      <x:c r="A38" s="60" t="n">
        <x:f>'02_Daily_Master'!A32</x:f>
        <x:v>30</x:v>
      </x:c>
      <x:c r="B38" s="2475" t="n">
        <x:f>'02_Daily_Master'!B32</x:f>
        <x:v>46285</x:v>
      </x:c>
      <x:c r="C38" s="60" t="n">
        <x:f>'02_Daily_Master'!BI32</x:f>
        <x:v>28</x:v>
      </x:c>
      <x:c r="D38" s="60" t="str">
        <x:f>'02_Daily_Master'!E32</x:f>
        <x:v>Transition / Stretch (B1)</x:v>
      </x:c>
      <x:c r="E38" s="60" t="str">
        <x:f>'02_Daily_Master'!BO32</x:f>
        <x:v>Final Coco: UKD 6.00 = Mitte HESI 5.8–6.2</x:v>
      </x:c>
      <x:c r="F38" s="2482" t="n">
        <x:f>'02_Daily_Master'!BM32</x:f>
        <x:v>6</x:v>
      </x:c>
      <x:c r="G38" s="60" t="str">
        <x:f>IF(F38=5.8,"Target 5.80 while Eazy Plug/Block","HESI Coco/Hydro 5.8–6.2; UKD target 6.00")</x:f>
        <x:v>HESI Coco/Hydro 5.8–6.2; UKD target 6.00</x:v>
      </x:c>
      <x:c r="H38" s="60" t="str">
        <x:f>IF(A38&lt;2,"normally not needed before emergence","available only if COMPLETE endmix &lt; target")</x:f>
        <x:v>available only if COMPLETE endmix &lt; target</x:v>
      </x:c>
      <x:c r="I38" s="60" t="str">
        <x:f>IF(F38=5.8,"if endmix &gt; 5.80, pH- may be needed","if endmix &gt; 6.00 and outside desired band, pH- may be needed")</x:f>
        <x:v>if endmix &gt; 6.00 and outside desired band, pH- may be needed</x:v>
      </x:c>
      <x:c r="J38" s="60" t="str">
        <x:f>IF(F38=5.8,"Eazy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39">
      <x:c r="A39" s="60" t="n">
        <x:f>'02_Daily_Master'!A33</x:f>
        <x:v>31</x:v>
      </x:c>
      <x:c r="B39" s="2475" t="n">
        <x:f>'02_Daily_Master'!B33</x:f>
        <x:v>46286</x:v>
      </x:c>
      <x:c r="C39" s="60" t="n">
        <x:f>'02_Daily_Master'!BI33</x:f>
        <x:v>29</x:v>
      </x:c>
      <x:c r="D39" s="60" t="str">
        <x:f>'02_Daily_Master'!E33</x:f>
        <x:v>Transition / Stretch (B1)</x:v>
      </x:c>
      <x:c r="E39" s="60" t="str">
        <x:f>'02_Daily_Master'!BO33</x:f>
        <x:v>Final Coco: UKD 6.00 = Mitte HESI 5.8–6.2</x:v>
      </x:c>
      <x:c r="F39" s="2482" t="n">
        <x:f>'02_Daily_Master'!BM33</x:f>
        <x:v>6</x:v>
      </x:c>
      <x:c r="G39" s="60" t="str">
        <x:f>IF(F39=5.8,"Target 5.80 while Eazy Plug/Block","HESI Coco/Hydro 5.8–6.2; UKD target 6.00")</x:f>
        <x:v>HESI Coco/Hydro 5.8–6.2; UKD target 6.00</x:v>
      </x:c>
      <x:c r="H39" s="60" t="str">
        <x:f>IF(A39&lt;2,"normally not needed before emergence","available only if COMPLETE endmix &lt; target")</x:f>
        <x:v>available only if COMPLETE endmix &lt; target</x:v>
      </x:c>
      <x:c r="I39" s="60" t="str">
        <x:f>IF(F39=5.8,"if endmix &gt; 5.80, pH- may be needed","if endmix &gt; 6.00 and outside desired band, pH- may be needed")</x:f>
        <x:v>if endmix &gt; 6.00 and outside desired band, pH- may be needed</x:v>
      </x:c>
      <x:c r="J39" s="60" t="str">
        <x:f>IF(F39=5.8,"Eazy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0">
      <x:c r="A40" s="60" t="n">
        <x:f>'02_Daily_Master'!A34</x:f>
        <x:v>32</x:v>
      </x:c>
      <x:c r="B40" s="2475" t="n">
        <x:f>'02_Daily_Master'!B34</x:f>
        <x:v>46287</x:v>
      </x:c>
      <x:c r="C40" s="60" t="n">
        <x:f>'02_Daily_Master'!BI34</x:f>
        <x:v>30</x:v>
      </x:c>
      <x:c r="D40" s="60" t="str">
        <x:f>'02_Daily_Master'!E34</x:f>
        <x:v>Transition / Stretch (B1)</x:v>
      </x:c>
      <x:c r="E40" s="60" t="str">
        <x:f>'02_Daily_Master'!BO34</x:f>
        <x:v>Final Coco: UKD 6.00 = Mitte HESI 5.8–6.2</x:v>
      </x:c>
      <x:c r="F40" s="2482" t="n">
        <x:f>'02_Daily_Master'!BM34</x:f>
        <x:v>6</x:v>
      </x:c>
      <x:c r="G40" s="60" t="str">
        <x:f>IF(F40=5.8,"Target 5.80 while Eazy Plug/Block","HESI Coco/Hydro 5.8–6.2; UKD target 6.00")</x:f>
        <x:v>HESI Coco/Hydro 5.8–6.2; UKD target 6.00</x:v>
      </x:c>
      <x:c r="H40" s="60" t="str">
        <x:f>IF(A40&lt;2,"normally not needed before emergence","available only if COMPLETE endmix &lt; target")</x:f>
        <x:v>available only if COMPLETE endmix &lt; target</x:v>
      </x:c>
      <x:c r="I40" s="60" t="str">
        <x:f>IF(F40=5.8,"if endmix &gt; 5.80, pH- may be needed","if endmix &gt; 6.00 and outside desired band, pH- may be needed")</x:f>
        <x:v>if endmix &gt; 6.00 and outside desired band, pH- may be needed</x:v>
      </x:c>
      <x:c r="J40" s="60" t="str">
        <x:f>IF(F40=5.8,"Eazy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1">
      <x:c r="A41" s="60" t="n">
        <x:f>'02_Daily_Master'!A35</x:f>
        <x:v>33</x:v>
      </x:c>
      <x:c r="B41" s="2475" t="n">
        <x:f>'02_Daily_Master'!B35</x:f>
        <x:v>46288</x:v>
      </x:c>
      <x:c r="C41" s="60" t="n">
        <x:f>'02_Daily_Master'!BI35</x:f>
        <x:v>31</x:v>
      </x:c>
      <x:c r="D41" s="60" t="str">
        <x:f>'02_Daily_Master'!E35</x:f>
        <x:v>Transition / Stretch (B1)</x:v>
      </x:c>
      <x:c r="E41" s="60" t="str">
        <x:f>'02_Daily_Master'!BO35</x:f>
        <x:v>Final Coco: UKD 6.00 = Mitte HESI 5.8–6.2</x:v>
      </x:c>
      <x:c r="F41" s="2482" t="n">
        <x:f>'02_Daily_Master'!BM35</x:f>
        <x:v>6</x:v>
      </x:c>
      <x:c r="G41" s="60" t="str">
        <x:f>IF(F41=5.8,"Target 5.80 while Eazy Plug/Block","HESI Coco/Hydro 5.8–6.2; UKD target 6.00")</x:f>
        <x:v>HESI Coco/Hydro 5.8–6.2; UKD target 6.00</x:v>
      </x:c>
      <x:c r="H41" s="60" t="str">
        <x:f>IF(A41&lt;2,"normally not needed before emergence","available only if COMPLETE endmix &lt; target")</x:f>
        <x:v>available only if COMPLETE endmix &lt; target</x:v>
      </x:c>
      <x:c r="I41" s="60" t="str">
        <x:f>IF(F41=5.8,"if endmix &gt; 5.80, pH- may be needed","if endmix &gt; 6.00 and outside desired band, pH- may be needed")</x:f>
        <x:v>if endmix &gt; 6.00 and outside desired band, pH- may be needed</x:v>
      </x:c>
      <x:c r="J41" s="60" t="str">
        <x:f>IF(F41=5.8,"Eazy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2">
      <x:c r="A42" s="60" t="n">
        <x:f>'02_Daily_Master'!A36</x:f>
        <x:v>34</x:v>
      </x:c>
      <x:c r="B42" s="2475" t="n">
        <x:f>'02_Daily_Master'!B36</x:f>
        <x:v>46289</x:v>
      </x:c>
      <x:c r="C42" s="60" t="n">
        <x:f>'02_Daily_Master'!BI36</x:f>
        <x:v>32</x:v>
      </x:c>
      <x:c r="D42" s="60" t="str">
        <x:f>'02_Daily_Master'!E36</x:f>
        <x:v>Transition / Stretch (B1)</x:v>
      </x:c>
      <x:c r="E42" s="60" t="str">
        <x:f>'02_Daily_Master'!BO36</x:f>
        <x:v>Final Coco: UKD 6.00 = Mitte HESI 5.8–6.2</x:v>
      </x:c>
      <x:c r="F42" s="2482" t="n">
        <x:f>'02_Daily_Master'!BM36</x:f>
        <x:v>6</x:v>
      </x:c>
      <x:c r="G42" s="60" t="str">
        <x:f>IF(F42=5.8,"Target 5.80 while Eazy Plug/Block","HESI Coco/Hydro 5.8–6.2; UKD target 6.00")</x:f>
        <x:v>HESI Coco/Hydro 5.8–6.2; UKD target 6.00</x:v>
      </x:c>
      <x:c r="H42" s="60" t="str">
        <x:f>IF(A42&lt;2,"normally not needed before emergence","available only if COMPLETE endmix &lt; target")</x:f>
        <x:v>available only if COMPLETE endmix &lt; target</x:v>
      </x:c>
      <x:c r="I42" s="60" t="str">
        <x:f>IF(F42=5.8,"if endmix &gt; 5.80, pH- may be needed","if endmix &gt; 6.00 and outside desired band, pH- may be needed")</x:f>
        <x:v>if endmix &gt; 6.00 and outside desired band, pH- may be needed</x:v>
      </x:c>
      <x:c r="J42" s="60" t="str">
        <x:f>IF(F42=5.8,"Eazy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3">
      <x:c r="A43" s="60" t="n">
        <x:f>'02_Daily_Master'!A37</x:f>
        <x:v>35</x:v>
      </x:c>
      <x:c r="B43" s="2475" t="n">
        <x:f>'02_Daily_Master'!B37</x:f>
        <x:v>46290</x:v>
      </x:c>
      <x:c r="C43" s="60" t="n">
        <x:f>'02_Daily_Master'!BI37</x:f>
        <x:v>33</x:v>
      </x:c>
      <x:c r="D43" s="60" t="str">
        <x:f>'02_Daily_Master'!E37</x:f>
        <x:v>Early Flower (B2)</x:v>
      </x:c>
      <x:c r="E43" s="60" t="str">
        <x:f>'02_Daily_Master'!BO37</x:f>
        <x:v>Final Coco: UKD 6.00 = Mitte HESI 5.8–6.2</x:v>
      </x:c>
      <x:c r="F43" s="2482" t="n">
        <x:f>'02_Daily_Master'!BM37</x:f>
        <x:v>6</x:v>
      </x:c>
      <x:c r="G43" s="60" t="str">
        <x:f>IF(F43=5.8,"Target 5.80 while Eazy Plug/Block","HESI Coco/Hydro 5.8–6.2; UKD target 6.00")</x:f>
        <x:v>HESI Coco/Hydro 5.8–6.2; UKD target 6.00</x:v>
      </x:c>
      <x:c r="H43" s="60" t="str">
        <x:f>IF(A43&lt;2,"normally not needed before emergence","available only if COMPLETE endmix &lt; target")</x:f>
        <x:v>available only if COMPLETE endmix &lt; target</x:v>
      </x:c>
      <x:c r="I43" s="60" t="str">
        <x:f>IF(F43=5.8,"if endmix &gt; 5.80, pH- may be needed","if endmix &gt; 6.00 and outside desired band, pH- may be needed")</x:f>
        <x:v>if endmix &gt; 6.00 and outside desired band, pH- may be needed</x:v>
      </x:c>
      <x:c r="J43" s="60" t="str">
        <x:f>IF(F43=5.8,"Eazy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4">
      <x:c r="A44" s="60" t="n">
        <x:f>'02_Daily_Master'!A38</x:f>
        <x:v>36</x:v>
      </x:c>
      <x:c r="B44" s="2475" t="n">
        <x:f>'02_Daily_Master'!B38</x:f>
        <x:v>46291</x:v>
      </x:c>
      <x:c r="C44" s="60" t="n">
        <x:f>'02_Daily_Master'!BI38</x:f>
        <x:v>34</x:v>
      </x:c>
      <x:c r="D44" s="60" t="str">
        <x:f>'02_Daily_Master'!E38</x:f>
        <x:v>Early Flower (B2)</x:v>
      </x:c>
      <x:c r="E44" s="60" t="str">
        <x:f>'02_Daily_Master'!BO38</x:f>
        <x:v>Final Coco: UKD 6.00 = Mitte HESI 5.8–6.2</x:v>
      </x:c>
      <x:c r="F44" s="2482" t="n">
        <x:f>'02_Daily_Master'!BM38</x:f>
        <x:v>6</x:v>
      </x:c>
      <x:c r="G44" s="60" t="str">
        <x:f>IF(F44=5.8,"Target 5.80 while Eazy Plug/Block","HESI Coco/Hydro 5.8–6.2; UKD target 6.00")</x:f>
        <x:v>HESI Coco/Hydro 5.8–6.2; UKD target 6.00</x:v>
      </x:c>
      <x:c r="H44" s="60" t="str">
        <x:f>IF(A44&lt;2,"normally not needed before emergence","available only if COMPLETE endmix &lt; target")</x:f>
        <x:v>available only if COMPLETE endmix &lt; target</x:v>
      </x:c>
      <x:c r="I44" s="60" t="str">
        <x:f>IF(F44=5.8,"if endmix &gt; 5.80, pH- may be needed","if endmix &gt; 6.00 and outside desired band, pH- may be needed")</x:f>
        <x:v>if endmix &gt; 6.00 and outside desired band, pH- may be needed</x:v>
      </x:c>
      <x:c r="J44" s="60" t="str">
        <x:f>IF(F44=5.8,"Eazy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5">
      <x:c r="A45" s="60" t="n">
        <x:f>'02_Daily_Master'!A39</x:f>
        <x:v>37</x:v>
      </x:c>
      <x:c r="B45" s="2475" t="n">
        <x:f>'02_Daily_Master'!B39</x:f>
        <x:v>46292</x:v>
      </x:c>
      <x:c r="C45" s="60" t="n">
        <x:f>'02_Daily_Master'!BI39</x:f>
        <x:v>35</x:v>
      </x:c>
      <x:c r="D45" s="60" t="str">
        <x:f>'02_Daily_Master'!E39</x:f>
        <x:v>Early Flower (B2)</x:v>
      </x:c>
      <x:c r="E45" s="60" t="str">
        <x:f>'02_Daily_Master'!BO39</x:f>
        <x:v>Final Coco: UKD 6.00 = Mitte HESI 5.8–6.2</x:v>
      </x:c>
      <x:c r="F45" s="2482" t="n">
        <x:f>'02_Daily_Master'!BM39</x:f>
        <x:v>6</x:v>
      </x:c>
      <x:c r="G45" s="60" t="str">
        <x:f>IF(F45=5.8,"Target 5.80 while Eazy Plug/Block","HESI Coco/Hydro 5.8–6.2; UKD target 6.00")</x:f>
        <x:v>HESI Coco/Hydro 5.8–6.2; UKD target 6.00</x:v>
      </x:c>
      <x:c r="H45" s="60" t="str">
        <x:f>IF(A45&lt;2,"normally not needed before emergence","available only if COMPLETE endmix &lt; target")</x:f>
        <x:v>available only if COMPLETE endmix &lt; target</x:v>
      </x:c>
      <x:c r="I45" s="60" t="str">
        <x:f>IF(F45=5.8,"if endmix &gt; 5.80, pH- may be needed","if endmix &gt; 6.00 and outside desired band, pH- may be needed")</x:f>
        <x:v>if endmix &gt; 6.00 and outside desired band, pH- may be needed</x:v>
      </x:c>
      <x:c r="J45" s="60" t="str">
        <x:f>IF(F45=5.8,"Eazy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6">
      <x:c r="A46" s="60" t="n">
        <x:f>'02_Daily_Master'!A40</x:f>
        <x:v>38</x:v>
      </x:c>
      <x:c r="B46" s="2475" t="n">
        <x:f>'02_Daily_Master'!B40</x:f>
        <x:v>46293</x:v>
      </x:c>
      <x:c r="C46" s="60" t="n">
        <x:f>'02_Daily_Master'!BI40</x:f>
        <x:v>36</x:v>
      </x:c>
      <x:c r="D46" s="60" t="str">
        <x:f>'02_Daily_Master'!E40</x:f>
        <x:v>Early Flower (B2)</x:v>
      </x:c>
      <x:c r="E46" s="60" t="str">
        <x:f>'02_Daily_Master'!BO40</x:f>
        <x:v>Final Coco: UKD 6.00 = Mitte HESI 5.8–6.2</x:v>
      </x:c>
      <x:c r="F46" s="2482" t="n">
        <x:f>'02_Daily_Master'!BM40</x:f>
        <x:v>6</x:v>
      </x:c>
      <x:c r="G46" s="60" t="str">
        <x:f>IF(F46=5.8,"Target 5.80 while Eazy Plug/Block","HESI Coco/Hydro 5.8–6.2; UKD target 6.00")</x:f>
        <x:v>HESI Coco/Hydro 5.8–6.2; UKD target 6.00</x:v>
      </x:c>
      <x:c r="H46" s="60" t="str">
        <x:f>IF(A46&lt;2,"normally not needed before emergence","available only if COMPLETE endmix &lt; target")</x:f>
        <x:v>available only if COMPLETE endmix &lt; target</x:v>
      </x:c>
      <x:c r="I46" s="60" t="str">
        <x:f>IF(F46=5.8,"if endmix &gt; 5.80, pH- may be needed","if endmix &gt; 6.00 and outside desired band, pH- may be needed")</x:f>
        <x:v>if endmix &gt; 6.00 and outside desired band, pH- may be needed</x:v>
      </x:c>
      <x:c r="J46" s="60" t="str">
        <x:f>IF(F46=5.8,"Eazy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7">
      <x:c r="A47" s="60" t="n">
        <x:f>'02_Daily_Master'!A41</x:f>
        <x:v>39</x:v>
      </x:c>
      <x:c r="B47" s="2475" t="n">
        <x:f>'02_Daily_Master'!B41</x:f>
        <x:v>46294</x:v>
      </x:c>
      <x:c r="C47" s="60" t="n">
        <x:f>'02_Daily_Master'!BI41</x:f>
        <x:v>37</x:v>
      </x:c>
      <x:c r="D47" s="60" t="str">
        <x:f>'02_Daily_Master'!E41</x:f>
        <x:v>Early Flower (B2)</x:v>
      </x:c>
      <x:c r="E47" s="60" t="str">
        <x:f>'02_Daily_Master'!BO41</x:f>
        <x:v>Final Coco: UKD 6.00 = Mitte HESI 5.8–6.2</x:v>
      </x:c>
      <x:c r="F47" s="2482" t="n">
        <x:f>'02_Daily_Master'!BM41</x:f>
        <x:v>6</x:v>
      </x:c>
      <x:c r="G47" s="60" t="str">
        <x:f>IF(F47=5.8,"Target 5.80 while Eazy Plug/Block","HESI Coco/Hydro 5.8–6.2; UKD target 6.00")</x:f>
        <x:v>HESI Coco/Hydro 5.8–6.2; UKD target 6.00</x:v>
      </x:c>
      <x:c r="H47" s="60" t="str">
        <x:f>IF(A47&lt;2,"normally not needed before emergence","available only if COMPLETE endmix &lt; target")</x:f>
        <x:v>available only if COMPLETE endmix &lt; target</x:v>
      </x:c>
      <x:c r="I47" s="60" t="str">
        <x:f>IF(F47=5.8,"if endmix &gt; 5.80, pH- may be needed","if endmix &gt; 6.00 and outside desired band, pH- may be needed")</x:f>
        <x:v>if endmix &gt; 6.00 and outside desired band, pH- may be needed</x:v>
      </x:c>
      <x:c r="J47" s="60" t="str">
        <x:f>IF(F47=5.8,"Eazy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8">
      <x:c r="A48" s="60" t="n">
        <x:f>'02_Daily_Master'!A42</x:f>
        <x:v>40</x:v>
      </x:c>
      <x:c r="B48" s="2475" t="n">
        <x:f>'02_Daily_Master'!B42</x:f>
        <x:v>46295</x:v>
      </x:c>
      <x:c r="C48" s="60" t="n">
        <x:f>'02_Daily_Master'!BI42</x:f>
        <x:v>38</x:v>
      </x:c>
      <x:c r="D48" s="60" t="str">
        <x:f>'02_Daily_Master'!E42</x:f>
        <x:v>Early Flower (B2)</x:v>
      </x:c>
      <x:c r="E48" s="60" t="str">
        <x:f>'02_Daily_Master'!BO42</x:f>
        <x:v>Final Coco: UKD 6.00 = Mitte HESI 5.8–6.2</x:v>
      </x:c>
      <x:c r="F48" s="2482" t="n">
        <x:f>'02_Daily_Master'!BM42</x:f>
        <x:v>6</x:v>
      </x:c>
      <x:c r="G48" s="60" t="str">
        <x:f>IF(F48=5.8,"Target 5.80 while Eazy Plug/Block","HESI Coco/Hydro 5.8–6.2; UKD target 6.00")</x:f>
        <x:v>HESI Coco/Hydro 5.8–6.2; UKD target 6.00</x:v>
      </x:c>
      <x:c r="H48" s="60" t="str">
        <x:f>IF(A48&lt;2,"normally not needed before emergence","available only if COMPLETE endmix &lt; target")</x:f>
        <x:v>available only if COMPLETE endmix &lt; target</x:v>
      </x:c>
      <x:c r="I48" s="60" t="str">
        <x:f>IF(F48=5.8,"if endmix &gt; 5.80, pH- may be needed","if endmix &gt; 6.00 and outside desired band, pH- may be needed")</x:f>
        <x:v>if endmix &gt; 6.00 and outside desired band, pH- may be needed</x:v>
      </x:c>
      <x:c r="J48" s="60" t="str">
        <x:f>IF(F48=5.8,"Eazy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49">
      <x:c r="A49" s="60" t="n">
        <x:f>'02_Daily_Master'!A43</x:f>
        <x:v>41</x:v>
      </x:c>
      <x:c r="B49" s="2475" t="n">
        <x:f>'02_Daily_Master'!B43</x:f>
        <x:v>46296</x:v>
      </x:c>
      <x:c r="C49" s="60" t="n">
        <x:f>'02_Daily_Master'!BI43</x:f>
        <x:v>39</x:v>
      </x:c>
      <x:c r="D49" s="60" t="str">
        <x:f>'02_Daily_Master'!E43</x:f>
        <x:v>Early Flower (B2)</x:v>
      </x:c>
      <x:c r="E49" s="60" t="str">
        <x:f>'02_Daily_Master'!BO43</x:f>
        <x:v>Final Coco: UKD 6.00 = Mitte HESI 5.8–6.2</x:v>
      </x:c>
      <x:c r="F49" s="2482" t="n">
        <x:f>'02_Daily_Master'!BM43</x:f>
        <x:v>6</x:v>
      </x:c>
      <x:c r="G49" s="60" t="str">
        <x:f>IF(F49=5.8,"Target 5.80 while Eazy Plug/Block","HESI Coco/Hydro 5.8–6.2; UKD target 6.00")</x:f>
        <x:v>HESI Coco/Hydro 5.8–6.2; UKD target 6.00</x:v>
      </x:c>
      <x:c r="H49" s="60" t="str">
        <x:f>IF(A49&lt;2,"normally not needed before emergence","available only if COMPLETE endmix &lt; target")</x:f>
        <x:v>available only if COMPLETE endmix &lt; target</x:v>
      </x:c>
      <x:c r="I49" s="60" t="str">
        <x:f>IF(F49=5.8,"if endmix &gt; 5.80, pH- may be needed","if endmix &gt; 6.00 and outside desired band, pH- may be needed")</x:f>
        <x:v>if endmix &gt; 6.00 and outside desired band, pH- may be needed</x:v>
      </x:c>
      <x:c r="J49" s="60" t="str">
        <x:f>IF(F49=5.8,"Eazy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0">
      <x:c r="A50" s="60" t="n">
        <x:f>'02_Daily_Master'!A44</x:f>
        <x:v>42</x:v>
      </x:c>
      <x:c r="B50" s="2475" t="n">
        <x:f>'02_Daily_Master'!B44</x:f>
        <x:v>46297</x:v>
      </x:c>
      <x:c r="C50" s="60" t="n">
        <x:f>'02_Daily_Master'!BI44</x:f>
        <x:v>40</x:v>
      </x:c>
      <x:c r="D50" s="60" t="str">
        <x:f>'02_Daily_Master'!E44</x:f>
        <x:v>Flower I (B3)</x:v>
      </x:c>
      <x:c r="E50" s="60" t="str">
        <x:f>'02_Daily_Master'!BO44</x:f>
        <x:v>Final Coco: UKD 6.00 = Mitte HESI 5.8–6.2</x:v>
      </x:c>
      <x:c r="F50" s="2482" t="n">
        <x:f>'02_Daily_Master'!BM44</x:f>
        <x:v>6</x:v>
      </x:c>
      <x:c r="G50" s="60" t="str">
        <x:f>IF(F50=5.8,"Target 5.80 while Eazy Plug/Block","HESI Coco/Hydro 5.8–6.2; UKD target 6.00")</x:f>
        <x:v>HESI Coco/Hydro 5.8–6.2; UKD target 6.00</x:v>
      </x:c>
      <x:c r="H50" s="60" t="str">
        <x:f>IF(A50&lt;2,"normally not needed before emergence","available only if COMPLETE endmix &lt; target")</x:f>
        <x:v>available only if COMPLETE endmix &lt; target</x:v>
      </x:c>
      <x:c r="I50" s="60" t="str">
        <x:f>IF(F50=5.8,"if endmix &gt; 5.80, pH- may be needed","if endmix &gt; 6.00 and outside desired band, pH- may be needed")</x:f>
        <x:v>if endmix &gt; 6.00 and outside desired band, pH- may be needed</x:v>
      </x:c>
      <x:c r="J50" s="60" t="str">
        <x:f>IF(F50=5.8,"Eazy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1">
      <x:c r="A51" s="60" t="n">
        <x:f>'02_Daily_Master'!A45</x:f>
        <x:v>43</x:v>
      </x:c>
      <x:c r="B51" s="2475" t="n">
        <x:f>'02_Daily_Master'!B45</x:f>
        <x:v>46298</x:v>
      </x:c>
      <x:c r="C51" s="60" t="n">
        <x:f>'02_Daily_Master'!BI45</x:f>
        <x:v>41</x:v>
      </x:c>
      <x:c r="D51" s="60" t="str">
        <x:f>'02_Daily_Master'!E45</x:f>
        <x:v>Flower I (B3)</x:v>
      </x:c>
      <x:c r="E51" s="60" t="str">
        <x:f>'02_Daily_Master'!BO45</x:f>
        <x:v>Final Coco: UKD 6.00 = Mitte HESI 5.8–6.2</x:v>
      </x:c>
      <x:c r="F51" s="2482" t="n">
        <x:f>'02_Daily_Master'!BM45</x:f>
        <x:v>6</x:v>
      </x:c>
      <x:c r="G51" s="60" t="str">
        <x:f>IF(F51=5.8,"Target 5.80 while Eazy Plug/Block","HESI Coco/Hydro 5.8–6.2; UKD target 6.00")</x:f>
        <x:v>HESI Coco/Hydro 5.8–6.2; UKD target 6.00</x:v>
      </x:c>
      <x:c r="H51" s="60" t="str">
        <x:f>IF(A51&lt;2,"normally not needed before emergence","available only if COMPLETE endmix &lt; target")</x:f>
        <x:v>available only if COMPLETE endmix &lt; target</x:v>
      </x:c>
      <x:c r="I51" s="60" t="str">
        <x:f>IF(F51=5.8,"if endmix &gt; 5.80, pH- may be needed","if endmix &gt; 6.00 and outside desired band, pH- may be needed")</x:f>
        <x:v>if endmix &gt; 6.00 and outside desired band, pH- may be needed</x:v>
      </x:c>
      <x:c r="J51" s="60" t="str">
        <x:f>IF(F51=5.8,"Eazy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2">
      <x:c r="A52" s="60" t="n">
        <x:f>'02_Daily_Master'!A46</x:f>
        <x:v>44</x:v>
      </x:c>
      <x:c r="B52" s="2475" t="n">
        <x:f>'02_Daily_Master'!B46</x:f>
        <x:v>46299</x:v>
      </x:c>
      <x:c r="C52" s="60" t="n">
        <x:f>'02_Daily_Master'!BI46</x:f>
        <x:v>42</x:v>
      </x:c>
      <x:c r="D52" s="60" t="str">
        <x:f>'02_Daily_Master'!E46</x:f>
        <x:v>Flower I (B3)</x:v>
      </x:c>
      <x:c r="E52" s="60" t="str">
        <x:f>'02_Daily_Master'!BO46</x:f>
        <x:v>Final Coco: UKD 6.00 = Mitte HESI 5.8–6.2</x:v>
      </x:c>
      <x:c r="F52" s="2482" t="n">
        <x:f>'02_Daily_Master'!BM46</x:f>
        <x:v>6</x:v>
      </x:c>
      <x:c r="G52" s="60" t="str">
        <x:f>IF(F52=5.8,"Target 5.80 while Eazy Plug/Block","HESI Coco/Hydro 5.8–6.2; UKD target 6.00")</x:f>
        <x:v>HESI Coco/Hydro 5.8–6.2; UKD target 6.00</x:v>
      </x:c>
      <x:c r="H52" s="60" t="str">
        <x:f>IF(A52&lt;2,"normally not needed before emergence","available only if COMPLETE endmix &lt; target")</x:f>
        <x:v>available only if COMPLETE endmix &lt; target</x:v>
      </x:c>
      <x:c r="I52" s="60" t="str">
        <x:f>IF(F52=5.8,"if endmix &gt; 5.80, pH- may be needed","if endmix &gt; 6.00 and outside desired band, pH- may be needed")</x:f>
        <x:v>if endmix &gt; 6.00 and outside desired band, pH- may be needed</x:v>
      </x:c>
      <x:c r="J52" s="60" t="str">
        <x:f>IF(F52=5.8,"Eazy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3">
      <x:c r="A53" s="60" t="n">
        <x:f>'02_Daily_Master'!A47</x:f>
        <x:v>45</x:v>
      </x:c>
      <x:c r="B53" s="2475" t="n">
        <x:f>'02_Daily_Master'!B47</x:f>
        <x:v>46300</x:v>
      </x:c>
      <x:c r="C53" s="60" t="n">
        <x:f>'02_Daily_Master'!BI47</x:f>
        <x:v>43</x:v>
      </x:c>
      <x:c r="D53" s="60" t="str">
        <x:f>'02_Daily_Master'!E47</x:f>
        <x:v>Flower I (B3)</x:v>
      </x:c>
      <x:c r="E53" s="60" t="str">
        <x:f>'02_Daily_Master'!BO47</x:f>
        <x:v>Final Coco: UKD 6.00 = Mitte HESI 5.8–6.2</x:v>
      </x:c>
      <x:c r="F53" s="2482" t="n">
        <x:f>'02_Daily_Master'!BM47</x:f>
        <x:v>6</x:v>
      </x:c>
      <x:c r="G53" s="60" t="str">
        <x:f>IF(F53=5.8,"Target 5.80 while Eazy Plug/Block","HESI Coco/Hydro 5.8–6.2; UKD target 6.00")</x:f>
        <x:v>HESI Coco/Hydro 5.8–6.2; UKD target 6.00</x:v>
      </x:c>
      <x:c r="H53" s="60" t="str">
        <x:f>IF(A53&lt;2,"normally not needed before emergence","available only if COMPLETE endmix &lt; target")</x:f>
        <x:v>available only if COMPLETE endmix &lt; target</x:v>
      </x:c>
      <x:c r="I53" s="60" t="str">
        <x:f>IF(F53=5.8,"if endmix &gt; 5.80, pH- may be needed","if endmix &gt; 6.00 and outside desired band, pH- may be needed")</x:f>
        <x:v>if endmix &gt; 6.00 and outside desired band, pH- may be needed</x:v>
      </x:c>
      <x:c r="J53" s="60" t="str">
        <x:f>IF(F53=5.8,"Eazy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4">
      <x:c r="A54" s="60" t="n">
        <x:f>'02_Daily_Master'!A48</x:f>
        <x:v>46</x:v>
      </x:c>
      <x:c r="B54" s="2475" t="n">
        <x:f>'02_Daily_Master'!B48</x:f>
        <x:v>46301</x:v>
      </x:c>
      <x:c r="C54" s="60" t="n">
        <x:f>'02_Daily_Master'!BI48</x:f>
        <x:v>44</x:v>
      </x:c>
      <x:c r="D54" s="60" t="str">
        <x:f>'02_Daily_Master'!E48</x:f>
        <x:v>Flower I (B3)</x:v>
      </x:c>
      <x:c r="E54" s="60" t="str">
        <x:f>'02_Daily_Master'!BO48</x:f>
        <x:v>Final Coco: UKD 6.00 = Mitte HESI 5.8–6.2</x:v>
      </x:c>
      <x:c r="F54" s="2482" t="n">
        <x:f>'02_Daily_Master'!BM48</x:f>
        <x:v>6</x:v>
      </x:c>
      <x:c r="G54" s="60" t="str">
        <x:f>IF(F54=5.8,"Target 5.80 while Eazy Plug/Block","HESI Coco/Hydro 5.8–6.2; UKD target 6.00")</x:f>
        <x:v>HESI Coco/Hydro 5.8–6.2; UKD target 6.00</x:v>
      </x:c>
      <x:c r="H54" s="60" t="str">
        <x:f>IF(A54&lt;2,"normally not needed before emergence","available only if COMPLETE endmix &lt; target")</x:f>
        <x:v>available only if COMPLETE endmix &lt; target</x:v>
      </x:c>
      <x:c r="I54" s="60" t="str">
        <x:f>IF(F54=5.8,"if endmix &gt; 5.80, pH- may be needed","if endmix &gt; 6.00 and outside desired band, pH- may be needed")</x:f>
        <x:v>if endmix &gt; 6.00 and outside desired band, pH- may be needed</x:v>
      </x:c>
      <x:c r="J54" s="60" t="str">
        <x:f>IF(F54=5.8,"Eazy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5">
      <x:c r="A55" s="60" t="n">
        <x:f>'02_Daily_Master'!A49</x:f>
        <x:v>47</x:v>
      </x:c>
      <x:c r="B55" s="2475" t="n">
        <x:f>'02_Daily_Master'!B49</x:f>
        <x:v>46302</x:v>
      </x:c>
      <x:c r="C55" s="60" t="n">
        <x:f>'02_Daily_Master'!BI49</x:f>
        <x:v>45</x:v>
      </x:c>
      <x:c r="D55" s="60" t="str">
        <x:f>'02_Daily_Master'!E49</x:f>
        <x:v>Flower I (B3)</x:v>
      </x:c>
      <x:c r="E55" s="60" t="str">
        <x:f>'02_Daily_Master'!BO49</x:f>
        <x:v>Final Coco: UKD 6.00 = Mitte HESI 5.8–6.2</x:v>
      </x:c>
      <x:c r="F55" s="2482" t="n">
        <x:f>'02_Daily_Master'!BM49</x:f>
        <x:v>6</x:v>
      </x:c>
      <x:c r="G55" s="60" t="str">
        <x:f>IF(F55=5.8,"Target 5.80 while Eazy Plug/Block","HESI Coco/Hydro 5.8–6.2; UKD target 6.00")</x:f>
        <x:v>HESI Coco/Hydro 5.8–6.2; UKD target 6.00</x:v>
      </x:c>
      <x:c r="H55" s="60" t="str">
        <x:f>IF(A55&lt;2,"normally not needed before emergence","available only if COMPLETE endmix &lt; target")</x:f>
        <x:v>available only if COMPLETE endmix &lt; target</x:v>
      </x:c>
      <x:c r="I55" s="60" t="str">
        <x:f>IF(F55=5.8,"if endmix &gt; 5.80, pH- may be needed","if endmix &gt; 6.00 and outside desired band, pH- may be needed")</x:f>
        <x:v>if endmix &gt; 6.00 and outside desired band, pH- may be needed</x:v>
      </x:c>
      <x:c r="J55" s="60" t="str">
        <x:f>IF(F55=5.8,"Eazy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6">
      <x:c r="A56" s="60" t="n">
        <x:f>'02_Daily_Master'!A50</x:f>
        <x:v>48</x:v>
      </x:c>
      <x:c r="B56" s="2475" t="n">
        <x:f>'02_Daily_Master'!B50</x:f>
        <x:v>46303</x:v>
      </x:c>
      <x:c r="C56" s="60" t="n">
        <x:f>'02_Daily_Master'!BI50</x:f>
        <x:v>46</x:v>
      </x:c>
      <x:c r="D56" s="60" t="str">
        <x:f>'02_Daily_Master'!E50</x:f>
        <x:v>Flower I (B3)</x:v>
      </x:c>
      <x:c r="E56" s="60" t="str">
        <x:f>'02_Daily_Master'!BO50</x:f>
        <x:v>Final Coco: UKD 6.00 = Mitte HESI 5.8–6.2</x:v>
      </x:c>
      <x:c r="F56" s="2482" t="n">
        <x:f>'02_Daily_Master'!BM50</x:f>
        <x:v>6</x:v>
      </x:c>
      <x:c r="G56" s="60" t="str">
        <x:f>IF(F56=5.8,"Target 5.80 while Eazy Plug/Block","HESI Coco/Hydro 5.8–6.2; UKD target 6.00")</x:f>
        <x:v>HESI Coco/Hydro 5.8–6.2; UKD target 6.00</x:v>
      </x:c>
      <x:c r="H56" s="60" t="str">
        <x:f>IF(A56&lt;2,"normally not needed before emergence","available only if COMPLETE endmix &lt; target")</x:f>
        <x:v>available only if COMPLETE endmix &lt; target</x:v>
      </x:c>
      <x:c r="I56" s="60" t="str">
        <x:f>IF(F56=5.8,"if endmix &gt; 5.80, pH- may be needed","if endmix &gt; 6.00 and outside desired band, pH- may be needed")</x:f>
        <x:v>if endmix &gt; 6.00 and outside desired band, pH- may be needed</x:v>
      </x:c>
      <x:c r="J56" s="60" t="str">
        <x:f>IF(F56=5.8,"Eazy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7">
      <x:c r="A57" s="60" t="n">
        <x:f>'02_Daily_Master'!A51</x:f>
        <x:v>49</x:v>
      </x:c>
      <x:c r="B57" s="2475" t="n">
        <x:f>'02_Daily_Master'!B51</x:f>
        <x:v>46304</x:v>
      </x:c>
      <x:c r="C57" s="60" t="n">
        <x:f>'02_Daily_Master'!BI51</x:f>
        <x:v>47</x:v>
      </x:c>
      <x:c r="D57" s="60" t="str">
        <x:f>'02_Daily_Master'!E51</x:f>
        <x:v>Peak Flower (B4)</x:v>
      </x:c>
      <x:c r="E57" s="60" t="str">
        <x:f>'02_Daily_Master'!BO51</x:f>
        <x:v>Final Coco: UKD 6.00 = Mitte HESI 5.8–6.2</x:v>
      </x:c>
      <x:c r="F57" s="2482" t="n">
        <x:f>'02_Daily_Master'!BM51</x:f>
        <x:v>6</x:v>
      </x:c>
      <x:c r="G57" s="60" t="str">
        <x:f>IF(F57=5.8,"Target 5.80 while Eazy Plug/Block","HESI Coco/Hydro 5.8–6.2; UKD target 6.00")</x:f>
        <x:v>HESI Coco/Hydro 5.8–6.2; UKD target 6.00</x:v>
      </x:c>
      <x:c r="H57" s="60" t="str">
        <x:f>IF(A57&lt;2,"normally not needed before emergence","available only if COMPLETE endmix &lt; target")</x:f>
        <x:v>available only if COMPLETE endmix &lt; target</x:v>
      </x:c>
      <x:c r="I57" s="60" t="str">
        <x:f>IF(F57=5.8,"if endmix &gt; 5.80, pH- may be needed","if endmix &gt; 6.00 and outside desired band, pH- may be needed")</x:f>
        <x:v>if endmix &gt; 6.00 and outside desired band, pH- may be needed</x:v>
      </x:c>
      <x:c r="J57" s="60" t="str">
        <x:f>IF(F57=5.8,"Eazy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8">
      <x:c r="A58" s="60" t="n">
        <x:f>'02_Daily_Master'!A52</x:f>
        <x:v>50</x:v>
      </x:c>
      <x:c r="B58" s="2475" t="n">
        <x:f>'02_Daily_Master'!B52</x:f>
        <x:v>46305</x:v>
      </x:c>
      <x:c r="C58" s="60" t="n">
        <x:f>'02_Daily_Master'!BI52</x:f>
        <x:v>48</x:v>
      </x:c>
      <x:c r="D58" s="60" t="str">
        <x:f>'02_Daily_Master'!E52</x:f>
        <x:v>Peak Flower (B4)</x:v>
      </x:c>
      <x:c r="E58" s="60" t="str">
        <x:f>'02_Daily_Master'!BO52</x:f>
        <x:v>Final Coco: UKD 6.00 = Mitte HESI 5.8–6.2</x:v>
      </x:c>
      <x:c r="F58" s="2482" t="n">
        <x:f>'02_Daily_Master'!BM52</x:f>
        <x:v>6</x:v>
      </x:c>
      <x:c r="G58" s="60" t="str">
        <x:f>IF(F58=5.8,"Target 5.80 while Eazy Plug/Block","HESI Coco/Hydro 5.8–6.2; UKD target 6.00")</x:f>
        <x:v>HESI Coco/Hydro 5.8–6.2; UKD target 6.00</x:v>
      </x:c>
      <x:c r="H58" s="60" t="str">
        <x:f>IF(A58&lt;2,"normally not needed before emergence","available only if COMPLETE endmix &lt; target")</x:f>
        <x:v>available only if COMPLETE endmix &lt; target</x:v>
      </x:c>
      <x:c r="I58" s="60" t="str">
        <x:f>IF(F58=5.8,"if endmix &gt; 5.80, pH- may be needed","if endmix &gt; 6.00 and outside desired band, pH- may be needed")</x:f>
        <x:v>if endmix &gt; 6.00 and outside desired band, pH- may be needed</x:v>
      </x:c>
      <x:c r="J58" s="60" t="str">
        <x:f>IF(F58=5.8,"Eazy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59">
      <x:c r="A59" s="60" t="n">
        <x:f>'02_Daily_Master'!A53</x:f>
        <x:v>51</x:v>
      </x:c>
      <x:c r="B59" s="2475" t="n">
        <x:f>'02_Daily_Master'!B53</x:f>
        <x:v>46306</x:v>
      </x:c>
      <x:c r="C59" s="60" t="n">
        <x:f>'02_Daily_Master'!BI53</x:f>
        <x:v>49</x:v>
      </x:c>
      <x:c r="D59" s="60" t="str">
        <x:f>'02_Daily_Master'!E53</x:f>
        <x:v>Peak Flower (B4)</x:v>
      </x:c>
      <x:c r="E59" s="60" t="str">
        <x:f>'02_Daily_Master'!BO53</x:f>
        <x:v>Final Coco: UKD 6.00 = Mitte HESI 5.8–6.2</x:v>
      </x:c>
      <x:c r="F59" s="2482" t="n">
        <x:f>'02_Daily_Master'!BM53</x:f>
        <x:v>6</x:v>
      </x:c>
      <x:c r="G59" s="60" t="str">
        <x:f>IF(F59=5.8,"Target 5.80 while Eazy Plug/Block","HESI Coco/Hydro 5.8–6.2; UKD target 6.00")</x:f>
        <x:v>HESI Coco/Hydro 5.8–6.2; UKD target 6.00</x:v>
      </x:c>
      <x:c r="H59" s="60" t="str">
        <x:f>IF(A59&lt;2,"normally not needed before emergence","available only if COMPLETE endmix &lt; target")</x:f>
        <x:v>available only if COMPLETE endmix &lt; target</x:v>
      </x:c>
      <x:c r="I59" s="60" t="str">
        <x:f>IF(F59=5.8,"if endmix &gt; 5.80, pH- may be needed","if endmix &gt; 6.00 and outside desired band, pH- may be needed")</x:f>
        <x:v>if endmix &gt; 6.00 and outside desired band, pH- may be needed</x:v>
      </x:c>
      <x:c r="J59" s="60" t="str">
        <x:f>IF(F59=5.8,"Eazy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0">
      <x:c r="A60" s="60" t="n">
        <x:f>'02_Daily_Master'!A54</x:f>
        <x:v>52</x:v>
      </x:c>
      <x:c r="B60" s="2475" t="n">
        <x:f>'02_Daily_Master'!B54</x:f>
        <x:v>46307</x:v>
      </x:c>
      <x:c r="C60" s="60" t="n">
        <x:f>'02_Daily_Master'!BI54</x:f>
        <x:v>50</x:v>
      </x:c>
      <x:c r="D60" s="60" t="str">
        <x:f>'02_Daily_Master'!E54</x:f>
        <x:v>Peak Flower (B4)</x:v>
      </x:c>
      <x:c r="E60" s="60" t="str">
        <x:f>'02_Daily_Master'!BO54</x:f>
        <x:v>Final Coco: UKD 6.00 = Mitte HESI 5.8–6.2</x:v>
      </x:c>
      <x:c r="F60" s="2482" t="n">
        <x:f>'02_Daily_Master'!BM54</x:f>
        <x:v>6</x:v>
      </x:c>
      <x:c r="G60" s="60" t="str">
        <x:f>IF(F60=5.8,"Target 5.80 while Eazy Plug/Block","HESI Coco/Hydro 5.8–6.2; UKD target 6.00")</x:f>
        <x:v>HESI Coco/Hydro 5.8–6.2; UKD target 6.00</x:v>
      </x:c>
      <x:c r="H60" s="60" t="str">
        <x:f>IF(A60&lt;2,"normally not needed before emergence","available only if COMPLETE endmix &lt; target")</x:f>
        <x:v>available only if COMPLETE endmix &lt; target</x:v>
      </x:c>
      <x:c r="I60" s="60" t="str">
        <x:f>IF(F60=5.8,"if endmix &gt; 5.80, pH- may be needed","if endmix &gt; 6.00 and outside desired band, pH- may be needed")</x:f>
        <x:v>if endmix &gt; 6.00 and outside desired band, pH- may be needed</x:v>
      </x:c>
      <x:c r="J60" s="60" t="str">
        <x:f>IF(F60=5.8,"Eazy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1">
      <x:c r="A61" s="60" t="n">
        <x:f>'02_Daily_Master'!A55</x:f>
        <x:v>53</x:v>
      </x:c>
      <x:c r="B61" s="2475" t="n">
        <x:f>'02_Daily_Master'!B55</x:f>
        <x:v>46308</x:v>
      </x:c>
      <x:c r="C61" s="60" t="n">
        <x:f>'02_Daily_Master'!BI55</x:f>
        <x:v>51</x:v>
      </x:c>
      <x:c r="D61" s="60" t="str">
        <x:f>'02_Daily_Master'!E55</x:f>
        <x:v>Peak Flower (B4)</x:v>
      </x:c>
      <x:c r="E61" s="60" t="str">
        <x:f>'02_Daily_Master'!BO55</x:f>
        <x:v>Final Coco: UKD 6.00 = Mitte HESI 5.8–6.2</x:v>
      </x:c>
      <x:c r="F61" s="2482" t="n">
        <x:f>'02_Daily_Master'!BM55</x:f>
        <x:v>6</x:v>
      </x:c>
      <x:c r="G61" s="60" t="str">
        <x:f>IF(F61=5.8,"Target 5.80 while Eazy Plug/Block","HESI Coco/Hydro 5.8–6.2; UKD target 6.00")</x:f>
        <x:v>HESI Coco/Hydro 5.8–6.2; UKD target 6.00</x:v>
      </x:c>
      <x:c r="H61" s="60" t="str">
        <x:f>IF(A61&lt;2,"normally not needed before emergence","available only if COMPLETE endmix &lt; target")</x:f>
        <x:v>available only if COMPLETE endmix &lt; target</x:v>
      </x:c>
      <x:c r="I61" s="60" t="str">
        <x:f>IF(F61=5.8,"if endmix &gt; 5.80, pH- may be needed","if endmix &gt; 6.00 and outside desired band, pH- may be needed")</x:f>
        <x:v>if endmix &gt; 6.00 and outside desired band, pH- may be needed</x:v>
      </x:c>
      <x:c r="J61" s="60" t="str">
        <x:f>IF(F61=5.8,"Eazy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2">
      <x:c r="A62" s="60" t="n">
        <x:f>'02_Daily_Master'!A56</x:f>
        <x:v>54</x:v>
      </x:c>
      <x:c r="B62" s="2475" t="n">
        <x:f>'02_Daily_Master'!B56</x:f>
        <x:v>46309</x:v>
      </x:c>
      <x:c r="C62" s="60" t="n">
        <x:f>'02_Daily_Master'!BI56</x:f>
        <x:v>52</x:v>
      </x:c>
      <x:c r="D62" s="60" t="str">
        <x:f>'02_Daily_Master'!E56</x:f>
        <x:v>Peak Flower (B4)</x:v>
      </x:c>
      <x:c r="E62" s="60" t="str">
        <x:f>'02_Daily_Master'!BO56</x:f>
        <x:v>Final Coco: UKD 6.00 = Mitte HESI 5.8–6.2</x:v>
      </x:c>
      <x:c r="F62" s="2482" t="n">
        <x:f>'02_Daily_Master'!BM56</x:f>
        <x:v>6</x:v>
      </x:c>
      <x:c r="G62" s="60" t="str">
        <x:f>IF(F62=5.8,"Target 5.80 while Eazy Plug/Block","HESI Coco/Hydro 5.8–6.2; UKD target 6.00")</x:f>
        <x:v>HESI Coco/Hydro 5.8–6.2; UKD target 6.00</x:v>
      </x:c>
      <x:c r="H62" s="60" t="str">
        <x:f>IF(A62&lt;2,"normally not needed before emergence","available only if COMPLETE endmix &lt; target")</x:f>
        <x:v>available only if COMPLETE endmix &lt; target</x:v>
      </x:c>
      <x:c r="I62" s="60" t="str">
        <x:f>IF(F62=5.8,"if endmix &gt; 5.80, pH- may be needed","if endmix &gt; 6.00 and outside desired band, pH- may be needed")</x:f>
        <x:v>if endmix &gt; 6.00 and outside desired band, pH- may be needed</x:v>
      </x:c>
      <x:c r="J62" s="60" t="str">
        <x:f>IF(F62=5.8,"Eazy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3">
      <x:c r="A63" s="60" t="n">
        <x:f>'02_Daily_Master'!A57</x:f>
        <x:v>55</x:v>
      </x:c>
      <x:c r="B63" s="2475" t="n">
        <x:f>'02_Daily_Master'!B57</x:f>
        <x:v>46310</x:v>
      </x:c>
      <x:c r="C63" s="60" t="n">
        <x:f>'02_Daily_Master'!BI57</x:f>
        <x:v>53</x:v>
      </x:c>
      <x:c r="D63" s="60" t="str">
        <x:f>'02_Daily_Master'!E57</x:f>
        <x:v>Peak Flower (B4)</x:v>
      </x:c>
      <x:c r="E63" s="60" t="str">
        <x:f>'02_Daily_Master'!BO57</x:f>
        <x:v>Final Coco: UKD 6.00 = Mitte HESI 5.8–6.2</x:v>
      </x:c>
      <x:c r="F63" s="2482" t="n">
        <x:f>'02_Daily_Master'!BM57</x:f>
        <x:v>6</x:v>
      </x:c>
      <x:c r="G63" s="60" t="str">
        <x:f>IF(F63=5.8,"Target 5.80 while Eazy Plug/Block","HESI Coco/Hydro 5.8–6.2; UKD target 6.00")</x:f>
        <x:v>HESI Coco/Hydro 5.8–6.2; UKD target 6.00</x:v>
      </x:c>
      <x:c r="H63" s="60" t="str">
        <x:f>IF(A63&lt;2,"normally not needed before emergence","available only if COMPLETE endmix &lt; target")</x:f>
        <x:v>available only if COMPLETE endmix &lt; target</x:v>
      </x:c>
      <x:c r="I63" s="60" t="str">
        <x:f>IF(F63=5.8,"if endmix &gt; 5.80, pH- may be needed","if endmix &gt; 6.00 and outside desired band, pH- may be needed")</x:f>
        <x:v>if endmix &gt; 6.00 and outside desired band, pH- may be needed</x:v>
      </x:c>
      <x:c r="J63" s="60" t="str">
        <x:f>IF(F63=5.8,"Eazy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4">
      <x:c r="A64" s="60" t="n">
        <x:f>'02_Daily_Master'!A58</x:f>
        <x:v>56</x:v>
      </x:c>
      <x:c r="B64" s="2475" t="n">
        <x:f>'02_Daily_Master'!B58</x:f>
        <x:v>46311</x:v>
      </x:c>
      <x:c r="C64" s="60" t="n">
        <x:f>'02_Daily_Master'!BI58</x:f>
        <x:v>54</x:v>
      </x:c>
      <x:c r="D64" s="60" t="str">
        <x:f>'02_Daily_Master'!E58</x:f>
        <x:v>Peak Flower (B5)</x:v>
      </x:c>
      <x:c r="E64" s="60" t="str">
        <x:f>'02_Daily_Master'!BO58</x:f>
        <x:v>Final Coco: UKD 6.00 = Mitte HESI 5.8–6.2</x:v>
      </x:c>
      <x:c r="F64" s="2482" t="n">
        <x:f>'02_Daily_Master'!BM58</x:f>
        <x:v>6</x:v>
      </x:c>
      <x:c r="G64" s="60" t="str">
        <x:f>IF(F64=5.8,"Target 5.80 while Eazy Plug/Block","HESI Coco/Hydro 5.8–6.2; UKD target 6.00")</x:f>
        <x:v>HESI Coco/Hydro 5.8–6.2; UKD target 6.00</x:v>
      </x:c>
      <x:c r="H64" s="60" t="str">
        <x:f>IF(A64&lt;2,"normally not needed before emergence","available only if COMPLETE endmix &lt; target")</x:f>
        <x:v>available only if COMPLETE endmix &lt; target</x:v>
      </x:c>
      <x:c r="I64" s="60" t="str">
        <x:f>IF(F64=5.8,"if endmix &gt; 5.80, pH- may be needed","if endmix &gt; 6.00 and outside desired band, pH- may be needed")</x:f>
        <x:v>if endmix &gt; 6.00 and outside desired band, pH- may be needed</x:v>
      </x:c>
      <x:c r="J64" s="60" t="str">
        <x:f>IF(F64=5.8,"Eazy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5">
      <x:c r="A65" s="60" t="n">
        <x:f>'02_Daily_Master'!A59</x:f>
        <x:v>57</x:v>
      </x:c>
      <x:c r="B65" s="2475" t="n">
        <x:f>'02_Daily_Master'!B59</x:f>
        <x:v>46312</x:v>
      </x:c>
      <x:c r="C65" s="60" t="n">
        <x:f>'02_Daily_Master'!BI59</x:f>
        <x:v>55</x:v>
      </x:c>
      <x:c r="D65" s="60" t="str">
        <x:f>'02_Daily_Master'!E59</x:f>
        <x:v>Peak Flower (B5)</x:v>
      </x:c>
      <x:c r="E65" s="60" t="str">
        <x:f>'02_Daily_Master'!BO59</x:f>
        <x:v>Final Coco: UKD 6.00 = Mitte HESI 5.8–6.2</x:v>
      </x:c>
      <x:c r="F65" s="2482" t="n">
        <x:f>'02_Daily_Master'!BM59</x:f>
        <x:v>6</x:v>
      </x:c>
      <x:c r="G65" s="60" t="str">
        <x:f>IF(F65=5.8,"Target 5.80 while Eazy Plug/Block","HESI Coco/Hydro 5.8–6.2; UKD target 6.00")</x:f>
        <x:v>HESI Coco/Hydro 5.8–6.2; UKD target 6.00</x:v>
      </x:c>
      <x:c r="H65" s="60" t="str">
        <x:f>IF(A65&lt;2,"normally not needed before emergence","available only if COMPLETE endmix &lt; target")</x:f>
        <x:v>available only if COMPLETE endmix &lt; target</x:v>
      </x:c>
      <x:c r="I65" s="60" t="str">
        <x:f>IF(F65=5.8,"if endmix &gt; 5.80, pH- may be needed","if endmix &gt; 6.00 and outside desired band, pH- may be needed")</x:f>
        <x:v>if endmix &gt; 6.00 and outside desired band, pH- may be needed</x:v>
      </x:c>
      <x:c r="J65" s="60" t="str">
        <x:f>IF(F65=5.8,"Eazy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6">
      <x:c r="A66" s="60" t="n">
        <x:f>'02_Daily_Master'!A60</x:f>
        <x:v>58</x:v>
      </x:c>
      <x:c r="B66" s="2475" t="n">
        <x:f>'02_Daily_Master'!B60</x:f>
        <x:v>46313</x:v>
      </x:c>
      <x:c r="C66" s="60" t="n">
        <x:f>'02_Daily_Master'!BI60</x:f>
        <x:v>56</x:v>
      </x:c>
      <x:c r="D66" s="60" t="str">
        <x:f>'02_Daily_Master'!E60</x:f>
        <x:v>Peak Flower (B5)</x:v>
      </x:c>
      <x:c r="E66" s="60" t="str">
        <x:f>'02_Daily_Master'!BO60</x:f>
        <x:v>Final Coco: UKD 6.00 = Mitte HESI 5.8–6.2</x:v>
      </x:c>
      <x:c r="F66" s="2482" t="n">
        <x:f>'02_Daily_Master'!BM60</x:f>
        <x:v>6</x:v>
      </x:c>
      <x:c r="G66" s="60" t="str">
        <x:f>IF(F66=5.8,"Target 5.80 while Eazy Plug/Block","HESI Coco/Hydro 5.8–6.2; UKD target 6.00")</x:f>
        <x:v>HESI Coco/Hydro 5.8–6.2; UKD target 6.00</x:v>
      </x:c>
      <x:c r="H66" s="60" t="str">
        <x:f>IF(A66&lt;2,"normally not needed before emergence","available only if COMPLETE endmix &lt; target")</x:f>
        <x:v>available only if COMPLETE endmix &lt; target</x:v>
      </x:c>
      <x:c r="I66" s="60" t="str">
        <x:f>IF(F66=5.8,"if endmix &gt; 5.80, pH- may be needed","if endmix &gt; 6.00 and outside desired band, pH- may be needed")</x:f>
        <x:v>if endmix &gt; 6.00 and outside desired band, pH- may be needed</x:v>
      </x:c>
      <x:c r="J66" s="60" t="str">
        <x:f>IF(F66=5.8,"Eazy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7">
      <x:c r="A67" s="60" t="n">
        <x:f>'02_Daily_Master'!A61</x:f>
        <x:v>59</x:v>
      </x:c>
      <x:c r="B67" s="2475" t="n">
        <x:f>'02_Daily_Master'!B61</x:f>
        <x:v>46314</x:v>
      </x:c>
      <x:c r="C67" s="60" t="n">
        <x:f>'02_Daily_Master'!BI61</x:f>
        <x:v>57</x:v>
      </x:c>
      <x:c r="D67" s="60" t="str">
        <x:f>'02_Daily_Master'!E61</x:f>
        <x:v>Peak Flower (B5)</x:v>
      </x:c>
      <x:c r="E67" s="60" t="str">
        <x:f>'02_Daily_Master'!BO61</x:f>
        <x:v>Final Coco: UKD 6.00 = Mitte HESI 5.8–6.2</x:v>
      </x:c>
      <x:c r="F67" s="2482" t="n">
        <x:f>'02_Daily_Master'!BM61</x:f>
        <x:v>6</x:v>
      </x:c>
      <x:c r="G67" s="60" t="str">
        <x:f>IF(F67=5.8,"Target 5.80 while Eazy Plug/Block","HESI Coco/Hydro 5.8–6.2; UKD target 6.00")</x:f>
        <x:v>HESI Coco/Hydro 5.8–6.2; UKD target 6.00</x:v>
      </x:c>
      <x:c r="H67" s="60" t="str">
        <x:f>IF(A67&lt;2,"normally not needed before emergence","available only if COMPLETE endmix &lt; target")</x:f>
        <x:v>available only if COMPLETE endmix &lt; target</x:v>
      </x:c>
      <x:c r="I67" s="60" t="str">
        <x:f>IF(F67=5.8,"if endmix &gt; 5.80, pH- may be needed","if endmix &gt; 6.00 and outside desired band, pH- may be needed")</x:f>
        <x:v>if endmix &gt; 6.00 and outside desired band, pH- may be needed</x:v>
      </x:c>
      <x:c r="J67" s="60" t="str">
        <x:f>IF(F67=5.8,"Eazy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8">
      <x:c r="A68" s="60" t="n">
        <x:f>'02_Daily_Master'!A62</x:f>
        <x:v>60</x:v>
      </x:c>
      <x:c r="B68" s="2475" t="n">
        <x:f>'02_Daily_Master'!B62</x:f>
        <x:v>46315</x:v>
      </x:c>
      <x:c r="C68" s="60" t="n">
        <x:f>'02_Daily_Master'!BI62</x:f>
        <x:v>58</x:v>
      </x:c>
      <x:c r="D68" s="60" t="str">
        <x:f>'02_Daily_Master'!E62</x:f>
        <x:v>Peak Flower (B5)</x:v>
      </x:c>
      <x:c r="E68" s="60" t="str">
        <x:f>'02_Daily_Master'!BO62</x:f>
        <x:v>Final Coco: UKD 6.00 = Mitte HESI 5.8–6.2</x:v>
      </x:c>
      <x:c r="F68" s="2482" t="n">
        <x:f>'02_Daily_Master'!BM62</x:f>
        <x:v>6</x:v>
      </x:c>
      <x:c r="G68" s="60" t="str">
        <x:f>IF(F68=5.8,"Target 5.80 while Eazy Plug/Block","HESI Coco/Hydro 5.8–6.2; UKD target 6.00")</x:f>
        <x:v>HESI Coco/Hydro 5.8–6.2; UKD target 6.00</x:v>
      </x:c>
      <x:c r="H68" s="60" t="str">
        <x:f>IF(A68&lt;2,"normally not needed before emergence","available only if COMPLETE endmix &lt; target")</x:f>
        <x:v>available only if COMPLETE endmix &lt; target</x:v>
      </x:c>
      <x:c r="I68" s="60" t="str">
        <x:f>IF(F68=5.8,"if endmix &gt; 5.80, pH- may be needed","if endmix &gt; 6.00 and outside desired band, pH- may be needed")</x:f>
        <x:v>if endmix &gt; 6.00 and outside desired band, pH- may be needed</x:v>
      </x:c>
      <x:c r="J68" s="60" t="str">
        <x:f>IF(F68=5.8,"Eazy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69">
      <x:c r="A69" s="60" t="n">
        <x:f>'02_Daily_Master'!A63</x:f>
        <x:v>61</x:v>
      </x:c>
      <x:c r="B69" s="2475" t="n">
        <x:f>'02_Daily_Master'!B63</x:f>
        <x:v>46316</x:v>
      </x:c>
      <x:c r="C69" s="60" t="n">
        <x:f>'02_Daily_Master'!BI63</x:f>
        <x:v>59</x:v>
      </x:c>
      <x:c r="D69" s="60" t="str">
        <x:f>'02_Daily_Master'!E63</x:f>
        <x:v>Peak Flower (B5)</x:v>
      </x:c>
      <x:c r="E69" s="60" t="str">
        <x:f>'02_Daily_Master'!BO63</x:f>
        <x:v>Final Coco: UKD 6.00 = Mitte HESI 5.8–6.2</x:v>
      </x:c>
      <x:c r="F69" s="2482" t="n">
        <x:f>'02_Daily_Master'!BM63</x:f>
        <x:v>6</x:v>
      </x:c>
      <x:c r="G69" s="60" t="str">
        <x:f>IF(F69=5.8,"Target 5.80 while Eazy Plug/Block","HESI Coco/Hydro 5.8–6.2; UKD target 6.00")</x:f>
        <x:v>HESI Coco/Hydro 5.8–6.2; UKD target 6.00</x:v>
      </x:c>
      <x:c r="H69" s="60" t="str">
        <x:f>IF(A69&lt;2,"normally not needed before emergence","available only if COMPLETE endmix &lt; target")</x:f>
        <x:v>available only if COMPLETE endmix &lt; target</x:v>
      </x:c>
      <x:c r="I69" s="60" t="str">
        <x:f>IF(F69=5.8,"if endmix &gt; 5.80, pH- may be needed","if endmix &gt; 6.00 and outside desired band, pH- may be needed")</x:f>
        <x:v>if endmix &gt; 6.00 and outside desired band, pH- may be needed</x:v>
      </x:c>
      <x:c r="J69" s="60" t="str">
        <x:f>IF(F69=5.8,"Eazy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0">
      <x:c r="A70" s="60" t="n">
        <x:f>'02_Daily_Master'!A64</x:f>
        <x:v>62</x:v>
      </x:c>
      <x:c r="B70" s="2475" t="n">
        <x:f>'02_Daily_Master'!B64</x:f>
        <x:v>46317</x:v>
      </x:c>
      <x:c r="C70" s="60" t="n">
        <x:f>'02_Daily_Master'!BI64</x:f>
        <x:v>60</x:v>
      </x:c>
      <x:c r="D70" s="60" t="str">
        <x:f>'02_Daily_Master'!E64</x:f>
        <x:v>Peak Flower (B5)</x:v>
      </x:c>
      <x:c r="E70" s="60" t="str">
        <x:f>'02_Daily_Master'!BO64</x:f>
        <x:v>Final Coco: UKD 6.00 = Mitte HESI 5.8–6.2</x:v>
      </x:c>
      <x:c r="F70" s="2482" t="n">
        <x:f>'02_Daily_Master'!BM64</x:f>
        <x:v>6</x:v>
      </x:c>
      <x:c r="G70" s="60" t="str">
        <x:f>IF(F70=5.8,"Target 5.80 while Eazy Plug/Block","HESI Coco/Hydro 5.8–6.2; UKD target 6.00")</x:f>
        <x:v>HESI Coco/Hydro 5.8–6.2; UKD target 6.00</x:v>
      </x:c>
      <x:c r="H70" s="60" t="str">
        <x:f>IF(A70&lt;2,"normally not needed before emergence","available only if COMPLETE endmix &lt; target")</x:f>
        <x:v>available only if COMPLETE endmix &lt; target</x:v>
      </x:c>
      <x:c r="I70" s="60" t="str">
        <x:f>IF(F70=5.8,"if endmix &gt; 5.80, pH- may be needed","if endmix &gt; 6.00 and outside desired band, pH- may be needed")</x:f>
        <x:v>if endmix &gt; 6.00 and outside desired band, pH- may be needed</x:v>
      </x:c>
      <x:c r="J70" s="60" t="str">
        <x:f>IF(F70=5.8,"Eazy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1">
      <x:c r="A71" s="60" t="n">
        <x:f>'02_Daily_Master'!A65</x:f>
        <x:v>63</x:v>
      </x:c>
      <x:c r="B71" s="2475" t="n">
        <x:f>'02_Daily_Master'!B65</x:f>
        <x:v>46318</x:v>
      </x:c>
      <x:c r="C71" s="60" t="n">
        <x:f>'02_Daily_Master'!BI65</x:f>
        <x:v>61</x:v>
      </x:c>
      <x:c r="D71" s="60" t="str">
        <x:f>'02_Daily_Master'!E65</x:f>
        <x:v>Late Flower (B6)</x:v>
      </x:c>
      <x:c r="E71" s="60" t="str">
        <x:f>'02_Daily_Master'!BO65</x:f>
        <x:v>Final Coco: UKD 6.00 = Mitte HESI 5.8–6.2</x:v>
      </x:c>
      <x:c r="F71" s="2482" t="n">
        <x:f>'02_Daily_Master'!BM65</x:f>
        <x:v>6</x:v>
      </x:c>
      <x:c r="G71" s="60" t="str">
        <x:f>IF(F71=5.8,"Target 5.80 while Eazy Plug/Block","HESI Coco/Hydro 5.8–6.2; UKD target 6.00")</x:f>
        <x:v>HESI Coco/Hydro 5.8–6.2; UKD target 6.00</x:v>
      </x:c>
      <x:c r="H71" s="60" t="str">
        <x:f>IF(A71&lt;2,"normally not needed before emergence","available only if COMPLETE endmix &lt; target")</x:f>
        <x:v>available only if COMPLETE endmix &lt; target</x:v>
      </x:c>
      <x:c r="I71" s="60" t="str">
        <x:f>IF(F71=5.8,"if endmix &gt; 5.80, pH- may be needed","if endmix &gt; 6.00 and outside desired band, pH- may be needed")</x:f>
        <x:v>if endmix &gt; 6.00 and outside desired band, pH- may be needed</x:v>
      </x:c>
      <x:c r="J71" s="60" t="str">
        <x:f>IF(F71=5.8,"Eazy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2">
      <x:c r="A72" s="60" t="n">
        <x:f>'02_Daily_Master'!A66</x:f>
        <x:v>64</x:v>
      </x:c>
      <x:c r="B72" s="2475" t="n">
        <x:f>'02_Daily_Master'!B66</x:f>
        <x:v>46319</x:v>
      </x:c>
      <x:c r="C72" s="60" t="n">
        <x:f>'02_Daily_Master'!BI66</x:f>
        <x:v>62</x:v>
      </x:c>
      <x:c r="D72" s="60" t="str">
        <x:f>'02_Daily_Master'!E66</x:f>
        <x:v>Late Flower (B6)</x:v>
      </x:c>
      <x:c r="E72" s="60" t="str">
        <x:f>'02_Daily_Master'!BO66</x:f>
        <x:v>Final Coco: UKD 6.00 = Mitte HESI 5.8–6.2</x:v>
      </x:c>
      <x:c r="F72" s="2482" t="n">
        <x:f>'02_Daily_Master'!BM66</x:f>
        <x:v>6</x:v>
      </x:c>
      <x:c r="G72" s="60" t="str">
        <x:f>IF(F72=5.8,"Target 5.80 while Eazy Plug/Block","HESI Coco/Hydro 5.8–6.2; UKD target 6.00")</x:f>
        <x:v>HESI Coco/Hydro 5.8–6.2; UKD target 6.00</x:v>
      </x:c>
      <x:c r="H72" s="60" t="str">
        <x:f>IF(A72&lt;2,"normally not needed before emergence","available only if COMPLETE endmix &lt; target")</x:f>
        <x:v>available only if COMPLETE endmix &lt; target</x:v>
      </x:c>
      <x:c r="I72" s="60" t="str">
        <x:f>IF(F72=5.8,"if endmix &gt; 5.80, pH- may be needed","if endmix &gt; 6.00 and outside desired band, pH- may be needed")</x:f>
        <x:v>if endmix &gt; 6.00 and outside desired band, pH- may be needed</x:v>
      </x:c>
      <x:c r="J72" s="60" t="str">
        <x:f>IF(F72=5.8,"Eazy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3">
      <x:c r="A73" s="60" t="n">
        <x:f>'02_Daily_Master'!A67</x:f>
        <x:v>65</x:v>
      </x:c>
      <x:c r="B73" s="2475" t="n">
        <x:f>'02_Daily_Master'!B67</x:f>
        <x:v>46320</x:v>
      </x:c>
      <x:c r="C73" s="60" t="n">
        <x:f>'02_Daily_Master'!BI67</x:f>
        <x:v>63</x:v>
      </x:c>
      <x:c r="D73" s="60" t="str">
        <x:f>'02_Daily_Master'!E67</x:f>
        <x:v>Late Flower (B6)</x:v>
      </x:c>
      <x:c r="E73" s="60" t="str">
        <x:f>'02_Daily_Master'!BO67</x:f>
        <x:v>Final Coco: UKD 6.00 = Mitte HESI 5.8–6.2</x:v>
      </x:c>
      <x:c r="F73" s="2482" t="n">
        <x:f>'02_Daily_Master'!BM67</x:f>
        <x:v>6</x:v>
      </x:c>
      <x:c r="G73" s="60" t="str">
        <x:f>IF(F73=5.8,"Target 5.80 while Eazy Plug/Block","HESI Coco/Hydro 5.8–6.2; UKD target 6.00")</x:f>
        <x:v>HESI Coco/Hydro 5.8–6.2; UKD target 6.00</x:v>
      </x:c>
      <x:c r="H73" s="60" t="str">
        <x:f>IF(A73&lt;2,"normally not needed before emergence","available only if COMPLETE endmix &lt; target")</x:f>
        <x:v>available only if COMPLETE endmix &lt; target</x:v>
      </x:c>
      <x:c r="I73" s="60" t="str">
        <x:f>IF(F73=5.8,"if endmix &gt; 5.80, pH- may be needed","if endmix &gt; 6.00 and outside desired band, pH- may be needed")</x:f>
        <x:v>if endmix &gt; 6.00 and outside desired band, pH- may be needed</x:v>
      </x:c>
      <x:c r="J73" s="60" t="str">
        <x:f>IF(F73=5.8,"Eazy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4">
      <x:c r="A74" s="60" t="n">
        <x:f>'02_Daily_Master'!A68</x:f>
        <x:v>66</x:v>
      </x:c>
      <x:c r="B74" s="2475" t="n">
        <x:f>'02_Daily_Master'!B68</x:f>
        <x:v>46321</x:v>
      </x:c>
      <x:c r="C74" s="60" t="n">
        <x:f>'02_Daily_Master'!BI68</x:f>
        <x:v>64</x:v>
      </x:c>
      <x:c r="D74" s="60" t="str">
        <x:f>'02_Daily_Master'!E68</x:f>
        <x:v>Late Flower (B6)</x:v>
      </x:c>
      <x:c r="E74" s="60" t="str">
        <x:f>'02_Daily_Master'!BO68</x:f>
        <x:v>Final Coco: UKD 6.00 = Mitte HESI 5.8–6.2</x:v>
      </x:c>
      <x:c r="F74" s="2482" t="n">
        <x:f>'02_Daily_Master'!BM68</x:f>
        <x:v>6</x:v>
      </x:c>
      <x:c r="G74" s="60" t="str">
        <x:f>IF(F74=5.8,"Target 5.80 while Eazy Plug/Block","HESI Coco/Hydro 5.8–6.2; UKD target 6.00")</x:f>
        <x:v>HESI Coco/Hydro 5.8–6.2; UKD target 6.00</x:v>
      </x:c>
      <x:c r="H74" s="60" t="str">
        <x:f>IF(A74&lt;2,"normally not needed before emergence","available only if COMPLETE endmix &lt; target")</x:f>
        <x:v>available only if COMPLETE endmix &lt; target</x:v>
      </x:c>
      <x:c r="I74" s="60" t="str">
        <x:f>IF(F74=5.8,"if endmix &gt; 5.80, pH- may be needed","if endmix &gt; 6.00 and outside desired band, pH- may be needed")</x:f>
        <x:v>if endmix &gt; 6.00 and outside desired band, pH- may be needed</x:v>
      </x:c>
      <x:c r="J74" s="60" t="str">
        <x:f>IF(F74=5.8,"Eazy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5">
      <x:c r="A75" s="60" t="n">
        <x:f>'02_Daily_Master'!A69</x:f>
        <x:v>67</x:v>
      </x:c>
      <x:c r="B75" s="2475" t="n">
        <x:f>'02_Daily_Master'!B69</x:f>
        <x:v>46322</x:v>
      </x:c>
      <x:c r="C75" s="60" t="n">
        <x:f>'02_Daily_Master'!BI69</x:f>
        <x:v>65</x:v>
      </x:c>
      <x:c r="D75" s="60" t="str">
        <x:f>'02_Daily_Master'!E69</x:f>
        <x:v>Late Flower (B6)</x:v>
      </x:c>
      <x:c r="E75" s="60" t="str">
        <x:f>'02_Daily_Master'!BO69</x:f>
        <x:v>Final Coco: UKD 6.00 = Mitte HESI 5.8–6.2</x:v>
      </x:c>
      <x:c r="F75" s="2482" t="n">
        <x:f>'02_Daily_Master'!BM69</x:f>
        <x:v>6</x:v>
      </x:c>
      <x:c r="G75" s="60" t="str">
        <x:f>IF(F75=5.8,"Target 5.80 while Eazy Plug/Block","HESI Coco/Hydro 5.8–6.2; UKD target 6.00")</x:f>
        <x:v>HESI Coco/Hydro 5.8–6.2; UKD target 6.00</x:v>
      </x:c>
      <x:c r="H75" s="60" t="str">
        <x:f>IF(A75&lt;2,"normally not needed before emergence","available only if COMPLETE endmix &lt; target")</x:f>
        <x:v>available only if COMPLETE endmix &lt; target</x:v>
      </x:c>
      <x:c r="I75" s="60" t="str">
        <x:f>IF(F75=5.8,"if endmix &gt; 5.80, pH- may be needed","if endmix &gt; 6.00 and outside desired band, pH- may be needed")</x:f>
        <x:v>if endmix &gt; 6.00 and outside desired band, pH- may be needed</x:v>
      </x:c>
      <x:c r="J75" s="60" t="str">
        <x:f>IF(F75=5.8,"Eazy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6">
      <x:c r="A76" s="60" t="n">
        <x:f>'02_Daily_Master'!A70</x:f>
        <x:v>68</x:v>
      </x:c>
      <x:c r="B76" s="2475" t="n">
        <x:f>'02_Daily_Master'!B70</x:f>
        <x:v>46323</x:v>
      </x:c>
      <x:c r="C76" s="60" t="n">
        <x:f>'02_Daily_Master'!BI70</x:f>
        <x:v>66</x:v>
      </x:c>
      <x:c r="D76" s="60" t="str">
        <x:f>'02_Daily_Master'!E70</x:f>
        <x:v>Late Flower (B6)</x:v>
      </x:c>
      <x:c r="E76" s="60" t="str">
        <x:f>'02_Daily_Master'!BO70</x:f>
        <x:v>Final Coco: UKD 6.00 = Mitte HESI 5.8–6.2</x:v>
      </x:c>
      <x:c r="F76" s="2482" t="n">
        <x:f>'02_Daily_Master'!BM70</x:f>
        <x:v>6</x:v>
      </x:c>
      <x:c r="G76" s="60" t="str">
        <x:f>IF(F76=5.8,"Target 5.80 while Eazy Plug/Block","HESI Coco/Hydro 5.8–6.2; UKD target 6.00")</x:f>
        <x:v>HESI Coco/Hydro 5.8–6.2; UKD target 6.00</x:v>
      </x:c>
      <x:c r="H76" s="60" t="str">
        <x:f>IF(A76&lt;2,"normally not needed before emergence","available only if COMPLETE endmix &lt; target")</x:f>
        <x:v>available only if COMPLETE endmix &lt; target</x:v>
      </x:c>
      <x:c r="I76" s="60" t="str">
        <x:f>IF(F76=5.8,"if endmix &gt; 5.80, pH- may be needed","if endmix &gt; 6.00 and outside desired band, pH- may be needed")</x:f>
        <x:v>if endmix &gt; 6.00 and outside desired band, pH- may be needed</x:v>
      </x:c>
      <x:c r="J76" s="60" t="str">
        <x:f>IF(F76=5.8,"Eazy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7">
      <x:c r="A77" s="60" t="n">
        <x:f>'02_Daily_Master'!A71</x:f>
        <x:v>69</x:v>
      </x:c>
      <x:c r="B77" s="2475" t="n">
        <x:f>'02_Daily_Master'!B71</x:f>
        <x:v>46324</x:v>
      </x:c>
      <x:c r="C77" s="60" t="n">
        <x:f>'02_Daily_Master'!BI71</x:f>
        <x:v>67</x:v>
      </x:c>
      <x:c r="D77" s="60" t="str">
        <x:f>'02_Daily_Master'!E71</x:f>
        <x:v>Late Flower (B6)</x:v>
      </x:c>
      <x:c r="E77" s="60" t="str">
        <x:f>'02_Daily_Master'!BO71</x:f>
        <x:v>Final Coco: UKD 6.00 = Mitte HESI 5.8–6.2</x:v>
      </x:c>
      <x:c r="F77" s="2482" t="n">
        <x:f>'02_Daily_Master'!BM71</x:f>
        <x:v>6</x:v>
      </x:c>
      <x:c r="G77" s="60" t="str">
        <x:f>IF(F77=5.8,"Target 5.80 while Eazy Plug/Block","HESI Coco/Hydro 5.8–6.2; UKD target 6.00")</x:f>
        <x:v>HESI Coco/Hydro 5.8–6.2; UKD target 6.00</x:v>
      </x:c>
      <x:c r="H77" s="60" t="str">
        <x:f>IF(A77&lt;2,"normally not needed before emergence","available only if COMPLETE endmix &lt; target")</x:f>
        <x:v>available only if COMPLETE endmix &lt; target</x:v>
      </x:c>
      <x:c r="I77" s="60" t="str">
        <x:f>IF(F77=5.8,"if endmix &gt; 5.80, pH- may be needed","if endmix &gt; 6.00 and outside desired band, pH- may be needed")</x:f>
        <x:v>if endmix &gt; 6.00 and outside desired band, pH- may be needed</x:v>
      </x:c>
      <x:c r="J77" s="60" t="str">
        <x:f>IF(F77=5.8,"Eazy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8">
      <x:c r="A78" s="60" t="n">
        <x:f>'02_Daily_Master'!A72</x:f>
        <x:v>70</x:v>
      </x:c>
      <x:c r="B78" s="2475" t="n">
        <x:f>'02_Daily_Master'!B72</x:f>
        <x:v>46325</x:v>
      </x:c>
      <x:c r="C78" s="60" t="n">
        <x:f>'02_Daily_Master'!BI72</x:f>
        <x:v>68</x:v>
      </x:c>
      <x:c r="D78" s="60" t="str">
        <x:f>'02_Daily_Master'!E72</x:f>
        <x:v>Ripening (B7)</x:v>
      </x:c>
      <x:c r="E78" s="60" t="str">
        <x:f>'02_Daily_Master'!BO72</x:f>
        <x:v>Final Coco: UKD 6.00 = Mitte HESI 5.8–6.2</x:v>
      </x:c>
      <x:c r="F78" s="2482" t="n">
        <x:f>'02_Daily_Master'!BM72</x:f>
        <x:v>6</x:v>
      </x:c>
      <x:c r="G78" s="60" t="str">
        <x:f>IF(F78=5.8,"Target 5.80 while Eazy Plug/Block","HESI Coco/Hydro 5.8–6.2; UKD target 6.00")</x:f>
        <x:v>HESI Coco/Hydro 5.8–6.2; UKD target 6.00</x:v>
      </x:c>
      <x:c r="H78" s="60" t="str">
        <x:f>IF(A78&lt;2,"normally not needed before emergence","available only if COMPLETE endmix &lt; target")</x:f>
        <x:v>available only if COMPLETE endmix &lt; target</x:v>
      </x:c>
      <x:c r="I78" s="60" t="str">
        <x:f>IF(F78=5.8,"if endmix &gt; 5.80, pH- may be needed","if endmix &gt; 6.00 and outside desired band, pH- may be needed")</x:f>
        <x:v>if endmix &gt; 6.00 and outside desired band, pH- may be needed</x:v>
      </x:c>
      <x:c r="J78" s="60" t="str">
        <x:f>IF(F78=5.8,"Eazy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79">
      <x:c r="A79" s="60" t="n">
        <x:f>'02_Daily_Master'!A73</x:f>
        <x:v>71</x:v>
      </x:c>
      <x:c r="B79" s="2475" t="n">
        <x:f>'02_Daily_Master'!B73</x:f>
        <x:v>46326</x:v>
      </x:c>
      <x:c r="C79" s="60" t="n">
        <x:f>'02_Daily_Master'!BI73</x:f>
        <x:v>69</x:v>
      </x:c>
      <x:c r="D79" s="60" t="str">
        <x:f>'02_Daily_Master'!E73</x:f>
        <x:v>Ripening (B7)</x:v>
      </x:c>
      <x:c r="E79" s="60" t="str">
        <x:f>'02_Daily_Master'!BO73</x:f>
        <x:v>Final Coco: UKD 6.00 = Mitte HESI 5.8–6.2</x:v>
      </x:c>
      <x:c r="F79" s="2482" t="n">
        <x:f>'02_Daily_Master'!BM73</x:f>
        <x:v>6</x:v>
      </x:c>
      <x:c r="G79" s="60" t="str">
        <x:f>IF(F79=5.8,"Target 5.80 while Eazy Plug/Block","HESI Coco/Hydro 5.8–6.2; UKD target 6.00")</x:f>
        <x:v>HESI Coco/Hydro 5.8–6.2; UKD target 6.00</x:v>
      </x:c>
      <x:c r="H79" s="60" t="str">
        <x:f>IF(A79&lt;2,"normally not needed before emergence","available only if COMPLETE endmix &lt; target")</x:f>
        <x:v>available only if COMPLETE endmix &lt; target</x:v>
      </x:c>
      <x:c r="I79" s="60" t="str">
        <x:f>IF(F79=5.8,"if endmix &gt; 5.80, pH- may be needed","if endmix &gt; 6.00 and outside desired band, pH- may be needed")</x:f>
        <x:v>if endmix &gt; 6.00 and outside desired band, pH- may be needed</x:v>
      </x:c>
      <x:c r="J79" s="60" t="str">
        <x:f>IF(F79=5.8,"Eazy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0">
      <x:c r="A80" s="60" t="n">
        <x:f>'02_Daily_Master'!A74</x:f>
        <x:v>72</x:v>
      </x:c>
      <x:c r="B80" s="2475" t="n">
        <x:f>'02_Daily_Master'!B74</x:f>
        <x:v>46327</x:v>
      </x:c>
      <x:c r="C80" s="60" t="n">
        <x:f>'02_Daily_Master'!BI74</x:f>
        <x:v>70</x:v>
      </x:c>
      <x:c r="D80" s="60" t="str">
        <x:f>'02_Daily_Master'!E74</x:f>
        <x:v>Ripening (B7)</x:v>
      </x:c>
      <x:c r="E80" s="60" t="str">
        <x:f>'02_Daily_Master'!BO74</x:f>
        <x:v>Final Coco: UKD 6.00 = Mitte HESI 5.8–6.2</x:v>
      </x:c>
      <x:c r="F80" s="2482" t="n">
        <x:f>'02_Daily_Master'!BM74</x:f>
        <x:v>6</x:v>
      </x:c>
      <x:c r="G80" s="60" t="str">
        <x:f>IF(F80=5.8,"Target 5.80 while Eazy Plug/Block","HESI Coco/Hydro 5.8–6.2; UKD target 6.00")</x:f>
        <x:v>HESI Coco/Hydro 5.8–6.2; UKD target 6.00</x:v>
      </x:c>
      <x:c r="H80" s="60" t="str">
        <x:f>IF(A80&lt;2,"normally not needed before emergence","available only if COMPLETE endmix &lt; target")</x:f>
        <x:v>available only if COMPLETE endmix &lt; target</x:v>
      </x:c>
      <x:c r="I80" s="60" t="str">
        <x:f>IF(F80=5.8,"if endmix &gt; 5.80, pH- may be needed","if endmix &gt; 6.00 and outside desired band, pH- may be needed")</x:f>
        <x:v>if endmix &gt; 6.00 and outside desired band, pH- may be needed</x:v>
      </x:c>
      <x:c r="J80" s="60" t="str">
        <x:f>IF(F80=5.8,"Eazy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1">
      <x:c r="A81" s="60" t="n">
        <x:f>'02_Daily_Master'!A75</x:f>
        <x:v>73</x:v>
      </x:c>
      <x:c r="B81" s="2475" t="n">
        <x:f>'02_Daily_Master'!B75</x:f>
        <x:v>46328</x:v>
      </x:c>
      <x:c r="C81" s="60" t="n">
        <x:f>'02_Daily_Master'!BI75</x:f>
        <x:v>71</x:v>
      </x:c>
      <x:c r="D81" s="60" t="str">
        <x:f>'02_Daily_Master'!E75</x:f>
        <x:v>Ripening (B7)</x:v>
      </x:c>
      <x:c r="E81" s="60" t="str">
        <x:f>'02_Daily_Master'!BO75</x:f>
        <x:v>Final Coco: UKD 6.00 = Mitte HESI 5.8–6.2</x:v>
      </x:c>
      <x:c r="F81" s="2482" t="n">
        <x:f>'02_Daily_Master'!BM75</x:f>
        <x:v>6</x:v>
      </x:c>
      <x:c r="G81" s="60" t="str">
        <x:f>IF(F81=5.8,"Target 5.80 while Eazy Plug/Block","HESI Coco/Hydro 5.8–6.2; UKD target 6.00")</x:f>
        <x:v>HESI Coco/Hydro 5.8–6.2; UKD target 6.00</x:v>
      </x:c>
      <x:c r="H81" s="60" t="str">
        <x:f>IF(A81&lt;2,"normally not needed before emergence","available only if COMPLETE endmix &lt; target")</x:f>
        <x:v>available only if COMPLETE endmix &lt; target</x:v>
      </x:c>
      <x:c r="I81" s="60" t="str">
        <x:f>IF(F81=5.8,"if endmix &gt; 5.80, pH- may be needed","if endmix &gt; 6.00 and outside desired band, pH- may be needed")</x:f>
        <x:v>if endmix &gt; 6.00 and outside desired band, pH- may be needed</x:v>
      </x:c>
      <x:c r="J81" s="60" t="str">
        <x:f>IF(F81=5.8,"Eazy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2">
      <x:c r="A82" s="60" t="n">
        <x:f>'02_Daily_Master'!A76</x:f>
        <x:v>74</x:v>
      </x:c>
      <x:c r="B82" s="2475" t="n">
        <x:f>'02_Daily_Master'!B76</x:f>
        <x:v>46329</x:v>
      </x:c>
      <x:c r="C82" s="60" t="n">
        <x:f>'02_Daily_Master'!BI76</x:f>
        <x:v>72</x:v>
      </x:c>
      <x:c r="D82" s="60" t="str">
        <x:f>'02_Daily_Master'!E76</x:f>
        <x:v>Ripening (B7)</x:v>
      </x:c>
      <x:c r="E82" s="60" t="str">
        <x:f>'02_Daily_Master'!BO76</x:f>
        <x:v>Final Coco: UKD 6.00 = Mitte HESI 5.8–6.2</x:v>
      </x:c>
      <x:c r="F82" s="2482" t="n">
        <x:f>'02_Daily_Master'!BM76</x:f>
        <x:v>6</x:v>
      </x:c>
      <x:c r="G82" s="60" t="str">
        <x:f>IF(F82=5.8,"Target 5.80 while Eazy Plug/Block","HESI Coco/Hydro 5.8–6.2; UKD target 6.00")</x:f>
        <x:v>HESI Coco/Hydro 5.8–6.2; UKD target 6.00</x:v>
      </x:c>
      <x:c r="H82" s="60" t="str">
        <x:f>IF(A82&lt;2,"normally not needed before emergence","available only if COMPLETE endmix &lt; target")</x:f>
        <x:v>available only if COMPLETE endmix &lt; target</x:v>
      </x:c>
      <x:c r="I82" s="60" t="str">
        <x:f>IF(F82=5.8,"if endmix &gt; 5.80, pH- may be needed","if endmix &gt; 6.00 and outside desired band, pH- may be needed")</x:f>
        <x:v>if endmix &gt; 6.00 and outside desired band, pH- may be needed</x:v>
      </x:c>
      <x:c r="J82" s="60" t="str">
        <x:f>IF(F82=5.8,"Eazy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3">
      <x:c r="A83" s="60" t="n">
        <x:f>'02_Daily_Master'!A77</x:f>
        <x:v>75</x:v>
      </x:c>
      <x:c r="B83" s="2475" t="n">
        <x:f>'02_Daily_Master'!B77</x:f>
        <x:v>46330</x:v>
      </x:c>
      <x:c r="C83" s="60" t="n">
        <x:f>'02_Daily_Master'!BI77</x:f>
        <x:v>73</x:v>
      </x:c>
      <x:c r="D83" s="60" t="str">
        <x:f>'02_Daily_Master'!E77</x:f>
        <x:v>Ripening (B7)</x:v>
      </x:c>
      <x:c r="E83" s="60" t="str">
        <x:f>'02_Daily_Master'!BO77</x:f>
        <x:v>Final Coco: UKD 6.00 = Mitte HESI 5.8–6.2</x:v>
      </x:c>
      <x:c r="F83" s="2482" t="n">
        <x:f>'02_Daily_Master'!BM77</x:f>
        <x:v>6</x:v>
      </x:c>
      <x:c r="G83" s="60" t="str">
        <x:f>IF(F83=5.8,"Target 5.80 while Eazy Plug/Block","HESI Coco/Hydro 5.8–6.2; UKD target 6.00")</x:f>
        <x:v>HESI Coco/Hydro 5.8–6.2; UKD target 6.00</x:v>
      </x:c>
      <x:c r="H83" s="60" t="str">
        <x:f>IF(A83&lt;2,"normally not needed before emergence","available only if COMPLETE endmix &lt; target")</x:f>
        <x:v>available only if COMPLETE endmix &lt; target</x:v>
      </x:c>
      <x:c r="I83" s="60" t="str">
        <x:f>IF(F83=5.8,"if endmix &gt; 5.80, pH- may be needed","if endmix &gt; 6.00 and outside desired band, pH- may be needed")</x:f>
        <x:v>if endmix &gt; 6.00 and outside desired band, pH- may be needed</x:v>
      </x:c>
      <x:c r="J83" s="60" t="str">
        <x:f>IF(F83=5.8,"Eazy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4">
      <x:c r="A84" s="60" t="n">
        <x:f>'02_Daily_Master'!A78</x:f>
        <x:v>76</x:v>
      </x:c>
      <x:c r="B84" s="2475" t="n">
        <x:f>'02_Daily_Master'!B78</x:f>
        <x:v>46331</x:v>
      </x:c>
      <x:c r="C84" s="60" t="n">
        <x:f>'02_Daily_Master'!BI78</x:f>
        <x:v>74</x:v>
      </x:c>
      <x:c r="D84" s="60" t="str">
        <x:f>'02_Daily_Master'!E78</x:f>
        <x:v>Ripening (B7)</x:v>
      </x:c>
      <x:c r="E84" s="60" t="str">
        <x:f>'02_Daily_Master'!BO78</x:f>
        <x:v>Final Coco: UKD 6.00 = Mitte HESI 5.8–6.2</x:v>
      </x:c>
      <x:c r="F84" s="2482" t="n">
        <x:f>'02_Daily_Master'!BM78</x:f>
        <x:v>6</x:v>
      </x:c>
      <x:c r="G84" s="60" t="str">
        <x:f>IF(F84=5.8,"Target 5.80 while Eazy Plug/Block","HESI Coco/Hydro 5.8–6.2; UKD target 6.00")</x:f>
        <x:v>HESI Coco/Hydro 5.8–6.2; UKD target 6.00</x:v>
      </x:c>
      <x:c r="H84" s="60" t="str">
        <x:f>IF(A84&lt;2,"normally not needed before emergence","available only if COMPLETE endmix &lt; target")</x:f>
        <x:v>available only if COMPLETE endmix &lt; target</x:v>
      </x:c>
      <x:c r="I84" s="60" t="str">
        <x:f>IF(F84=5.8,"if endmix &gt; 5.80, pH- may be needed","if endmix &gt; 6.00 and outside desired band, pH- may be needed")</x:f>
        <x:v>if endmix &gt; 6.00 and outside desired band, pH- may be needed</x:v>
      </x:c>
      <x:c r="J84" s="60" t="str">
        <x:f>IF(F84=5.8,"Eazy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5">
      <x:c r="A85" s="60" t="n">
        <x:f>'02_Daily_Master'!A79</x:f>
        <x:v>77</x:v>
      </x:c>
      <x:c r="B85" s="2475" t="n">
        <x:f>'02_Daily_Master'!B79</x:f>
        <x:v>46332</x:v>
      </x:c>
      <x:c r="C85" s="60" t="n">
        <x:f>'02_Daily_Master'!BI79</x:f>
        <x:v>75</x:v>
      </x:c>
      <x:c r="D85" s="60" t="str">
        <x:f>'02_Daily_Master'!E79</x:f>
        <x:v>Harvest / Extension (B7+)</x:v>
      </x:c>
      <x:c r="E85" s="60" t="str">
        <x:f>'02_Daily_Master'!BO79</x:f>
        <x:v>Final Coco: UKD 6.00 = Mitte HESI 5.8–6.2</x:v>
      </x:c>
      <x:c r="F85" s="2482" t="n">
        <x:f>'02_Daily_Master'!BM79</x:f>
        <x:v>6</x:v>
      </x:c>
      <x:c r="G85" s="60" t="str">
        <x:f>IF(F85=5.8,"Target 5.80 while Eazy Plug/Block","HESI Coco/Hydro 5.8–6.2; UKD target 6.00")</x:f>
        <x:v>HESI Coco/Hydro 5.8–6.2; UKD target 6.00</x:v>
      </x:c>
      <x:c r="H85" s="60" t="str">
        <x:f>IF(A85&lt;2,"normally not needed before emergence","available only if COMPLETE endmix &lt; target")</x:f>
        <x:v>available only if COMPLETE endmix &lt; target</x:v>
      </x:c>
      <x:c r="I85" s="60" t="str">
        <x:f>IF(F85=5.8,"if endmix &gt; 5.80, pH- may be needed","if endmix &gt; 6.00 and outside desired band, pH- may be needed")</x:f>
        <x:v>if endmix &gt; 6.00 and outside desired band, pH- may be needed</x:v>
      </x:c>
      <x:c r="J85" s="60" t="str">
        <x:f>IF(F85=5.8,"Eazy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6">
      <x:c r="A86" s="60" t="n">
        <x:f>'02_Daily_Master'!A80</x:f>
        <x:v>78</x:v>
      </x:c>
      <x:c r="B86" s="2475" t="n">
        <x:f>'02_Daily_Master'!B80</x:f>
        <x:v>46333</x:v>
      </x:c>
      <x:c r="C86" s="60" t="n">
        <x:f>'02_Daily_Master'!BI80</x:f>
        <x:v>76</x:v>
      </x:c>
      <x:c r="D86" s="60" t="str">
        <x:f>'02_Daily_Master'!E80</x:f>
        <x:v>Harvest / Extension (B7+)</x:v>
      </x:c>
      <x:c r="E86" s="60" t="str">
        <x:f>'02_Daily_Master'!BO80</x:f>
        <x:v>Final Coco: UKD 6.00 = Mitte HESI 5.8–6.2</x:v>
      </x:c>
      <x:c r="F86" s="2482" t="n">
        <x:f>'02_Daily_Master'!BM80</x:f>
        <x:v>6</x:v>
      </x:c>
      <x:c r="G86" s="60" t="str">
        <x:f>IF(F86=5.8,"Target 5.80 while Eazy Plug/Block","HESI Coco/Hydro 5.8–6.2; UKD target 6.00")</x:f>
        <x:v>HESI Coco/Hydro 5.8–6.2; UKD target 6.00</x:v>
      </x:c>
      <x:c r="H86" s="60" t="str">
        <x:f>IF(A86&lt;2,"normally not needed before emergence","available only if COMPLETE endmix &lt; target")</x:f>
        <x:v>available only if COMPLETE endmix &lt; target</x:v>
      </x:c>
      <x:c r="I86" s="60" t="str">
        <x:f>IF(F86=5.8,"if endmix &gt; 5.80, pH- may be needed","if endmix &gt; 6.00 and outside desired band, pH- may be needed")</x:f>
        <x:v>if endmix &gt; 6.00 and outside desired band, pH- may be needed</x:v>
      </x:c>
      <x:c r="J86" s="60" t="str">
        <x:f>IF(F86=5.8,"Eazy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7">
      <x:c r="A87" s="60" t="n">
        <x:f>'02_Daily_Master'!A81</x:f>
        <x:v>79</x:v>
      </x:c>
      <x:c r="B87" s="2475" t="n">
        <x:f>'02_Daily_Master'!B81</x:f>
        <x:v>46334</x:v>
      </x:c>
      <x:c r="C87" s="60" t="n">
        <x:f>'02_Daily_Master'!BI81</x:f>
        <x:v>77</x:v>
      </x:c>
      <x:c r="D87" s="60" t="str">
        <x:f>'02_Daily_Master'!E81</x:f>
        <x:v>Harvest / Extension (B7+)</x:v>
      </x:c>
      <x:c r="E87" s="60" t="str">
        <x:f>'02_Daily_Master'!BO81</x:f>
        <x:v>Final Coco: UKD 6.00 = Mitte HESI 5.8–6.2</x:v>
      </x:c>
      <x:c r="F87" s="2482" t="n">
        <x:f>'02_Daily_Master'!BM81</x:f>
        <x:v>6</x:v>
      </x:c>
      <x:c r="G87" s="60" t="str">
        <x:f>IF(F87=5.8,"Target 5.80 while Eazy Plug/Block","HESI Coco/Hydro 5.8–6.2; UKD target 6.00")</x:f>
        <x:v>HESI Coco/Hydro 5.8–6.2; UKD target 6.00</x:v>
      </x:c>
      <x:c r="H87" s="60" t="str">
        <x:f>IF(A87&lt;2,"normally not needed before emergence","available only if COMPLETE endmix &lt; target")</x:f>
        <x:v>available only if COMPLETE endmix &lt; target</x:v>
      </x:c>
      <x:c r="I87" s="60" t="str">
        <x:f>IF(F87=5.8,"if endmix &gt; 5.80, pH- may be needed","if endmix &gt; 6.00 and outside desired band, pH- may be needed")</x:f>
        <x:v>if endmix &gt; 6.00 and outside desired band, pH- may be needed</x:v>
      </x:c>
      <x:c r="J87" s="60" t="str">
        <x:f>IF(F87=5.8,"Eazy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88">
      <x:c r="A88" s="60" t="n">
        <x:f>'02_Daily_Master'!A82</x:f>
        <x:v>80</x:v>
      </x:c>
      <x:c r="B88" s="2475" t="n">
        <x:f>'02_Daily_Master'!B82</x:f>
        <x:v>46335</x:v>
      </x:c>
      <x:c r="C88" s="60" t="n">
        <x:f>'02_Daily_Master'!BI82</x:f>
        <x:v>78</x:v>
      </x:c>
      <x:c r="D88" s="60" t="str">
        <x:f>'02_Daily_Master'!E82</x:f>
        <x:v>Harvest / Extension (B7+)</x:v>
      </x:c>
      <x:c r="E88" s="60" t="str">
        <x:f>'02_Daily_Master'!BO82</x:f>
        <x:v>Final Coco: UKD 6.00 = Mitte HESI 5.8–6.2</x:v>
      </x:c>
      <x:c r="F88" s="2482" t="n">
        <x:f>'02_Daily_Master'!BM82</x:f>
        <x:v>6</x:v>
      </x:c>
      <x:c r="G88" s="60" t="str">
        <x:f>IF(F88=5.8,"Target 5.80 while Eazy Plug/Block","HESI Coco/Hydro 5.8–6.2; UKD target 6.00")</x:f>
        <x:v>HESI Coco/Hydro 5.8–6.2; UKD target 6.00</x:v>
      </x:c>
      <x:c r="H88" s="60" t="str">
        <x:f>IF(A88&lt;2,"normally not needed before emergence","available only if COMPLETE endmix &lt; target")</x:f>
        <x:v>available only if COMPLETE endmix &lt; target</x:v>
      </x:c>
      <x:c r="I88" s="60" t="str">
        <x:f>IF(F88=5.8,"if endmix &gt; 5.80, pH- may be needed","if endmix &gt; 6.00 and outside desired band, pH- may be needed")</x:f>
        <x:v>if endmix &gt; 6.00 and outside desired band, pH- may be needed</x:v>
      </x:c>
      <x:c r="J88" s="60" t="str">
        <x:f>IF(F88=5.8,"Eazy Plug/Block pH 5.8 manufacturer reference; root-state overrides day","HESI 5.8–6.2 + UKD midpoint 6.00; actual root state overrides projection")</x:f>
        <x:v>HESI 5.8–6.2 + UKD midpoint 6.00; actual root state overrides projection</x:v>
      </x:c>
    </x:row>
    <x:row r="91">
      <x:c r="A91" s="2473" t="str">
        <x:v>SOURCE / CLAIM</x:v>
      </x:c>
      <x:c r="B91" s="2473" t="str">
        <x:v>CLASS</x:v>
      </x:c>
      <x:c r="C91" s="2473" t="str">
        <x:v>WHAT IT SUPPORTS</x:v>
      </x:c>
      <x:c r="D91" s="2473" t="str">
        <x:v>BOUNDARY</x:v>
      </x:c>
      <x:c r="E91" s="2473" t="str">
        <x:v>URL</x:v>
      </x:c>
      <x:c r="F91" s="2473"/>
      <x:c r="G91" s="2473"/>
      <x:c r="H91" s="2473"/>
      <x:c r="I91" s="2473"/>
      <x:c r="J91" s="2473"/>
    </x:row>
    <x:row r="92" ht="60" customHeight="1">
      <x:c r="A92" s="60" t="str">
        <x:v>Eazy Plug / Block</x:v>
      </x:c>
      <x:c r="B92" s="60" t="str">
        <x:v>MANUFACTURER</x:v>
      </x:c>
      <x:c r="C92" s="60" t="str">
        <x:v>pH 5.8 water for Plug/Block; Block light feed after ~5d; root-through ~8–10d</x:v>
      </x:c>
      <x:c r="D92" s="60" t="str">
        <x:v>Does not prove cannabis day-specific optimum</x:v>
      </x:c>
      <x:c r="E92" s="60" t="str">
        <x:v>https://www.eazy-plug.com/how-to-use.html</x:v>
      </x:c>
      <x:c r="F92" s="60"/>
      <x:c r="G92" s="60"/>
      <x:c r="H92" s="60"/>
      <x:c r="I92" s="60"/>
      <x:c r="J92" s="60"/>
    </x:row>
    <x:row r="93" ht="60" customHeight="1">
      <x:c r="A93" s="60" t="str">
        <x:v>HESI Coco</x:v>
      </x:c>
      <x:c r="B93" s="60" t="str">
        <x:v>MANUFACTURER</x:v>
      </x:c>
      <x:c r="C93" s="60" t="str">
        <x:v>Check pH after fertilizer; ideal flowering conditions pH 5.8–6.2</x:v>
      </x:c>
      <x:c r="D93" s="60" t="str">
        <x:v>Band, not exact day-specific optimum</x:v>
      </x:c>
      <x:c r="E93" s="60" t="str">
        <x:v>https://hesi.nl/de/COCO</x:v>
      </x:c>
      <x:c r="F93" s="60"/>
      <x:c r="G93" s="60"/>
      <x:c r="H93" s="60"/>
      <x:c r="I93" s="60"/>
      <x:c r="J93" s="60"/>
    </x:row>
    <x:row r="94" ht="60" customHeight="1">
      <x:c r="A94" s="60" t="str">
        <x:v>HESI Hydro Growth</x:v>
      </x:c>
      <x:c r="B94" s="60" t="str">
        <x:v>MANUFACTURER</x:v>
      </x:c>
      <x:c r="C94" s="60" t="str">
        <x:v>Growth pH 5.8–6.2</x:v>
      </x:c>
      <x:c r="D94" s="60" t="str">
        <x:v>Band, water quality may vary</x:v>
      </x:c>
      <x:c r="E94" s="60" t="str">
        <x:v>https://hesi.nl/de/Hydro-Wuchs</x:v>
      </x:c>
      <x:c r="F94" s="60"/>
      <x:c r="G94" s="60"/>
      <x:c r="H94" s="60"/>
      <x:c r="I94" s="60"/>
      <x:c r="J94" s="60"/>
    </x:row>
    <x:row r="95" ht="60" customHeight="1">
      <x:c r="A95" s="60" t="str">
        <x:v>Cannabis root-zone study 2025</x:v>
      </x:c>
      <x:c r="B95" s="60" t="str">
        <x:v>PEER-REVIEWED</x:v>
      </x:c>
      <x:c r="C95" s="60" t="str">
        <x:v>Experiment maintained root-zone solution at pH 5.8–6.2</x:v>
      </x:c>
      <x:c r="D95" s="60" t="str">
        <x:v>Method range, not proof that 6.00 is universal optimum</x:v>
      </x:c>
      <x:c r="E95" s="60" t="str">
        <x:v>https://www.frontiersin.org/journals/plant-science/articles/10.3389/fpls.2025.1433985/full</x:v>
      </x:c>
      <x:c r="F95" s="60"/>
      <x:c r="G95" s="60"/>
      <x:c r="H95" s="60"/>
      <x:c r="I95" s="60"/>
      <x:c r="J95" s="60"/>
    </x:row>
    <x:row r="96" ht="60" customHeight="1">
      <x:c r="A96" s="60" t="str">
        <x:v>Athena Balance</x:v>
      </x:c>
      <x:c r="B96" s="60" t="str">
        <x:v>MANUFACTURER</x:v>
      </x:c>
      <x:c r="C96" s="60" t="str">
        <x:v>Rate depends on source water + feed recipe; titrate to target pH; alkaline water requires less</x:v>
      </x:c>
      <x:c r="D96" s="60" t="str">
        <x:v>Not a calendar dose</x:v>
      </x:c>
      <x:c r="E96" s="60" t="str">
        <x:v>https://store.athenaag.com/SSP%20Applications/NetSuite%20Inc.%20-%20SCS/SuiteCommerce%20Standard/athena/assets/athena_balance_application_rate.pdf</x:v>
      </x:c>
      <x:c r="F96" s="60"/>
      <x:c r="G96" s="60"/>
      <x:c r="H96" s="60"/>
      <x:c r="I96" s="60"/>
      <x:c r="J96" s="60"/>
    </x:row>
  </x:sheetData>
  <x:mergeCells>
    <x:mergeCell ref="A1:J1"/>
    <x:mergeCell ref="A3:J5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48" hidden="0" customWidth="1"/>
    <x:col min="4" max="4" width="44" hidden="0" customWidth="1"/>
    <x:col min="5" max="5" width="42" hidden="0" customWidth="1"/>
    <x:col min="6" max="6" width="34" hidden="0" customWidth="1"/>
    <x:col min="7" max="7" width="32" hidden="0" customWidth="1"/>
    <x:col min="8" max="8" width="10" hidden="0" customWidth="1"/>
  </x:cols>
  <x:sheetData>
    <x:row r="1" ht="34" customHeight="1">
      <x:c r="A1" s="2488" t="str">
        <x:v>UKD v11.6 · App-aligned Masterclass Audit</x:v>
      </x:c>
      <x:c r="B1" s="2488" t="str"/>
      <x:c r="C1" s="2488" t="str"/>
      <x:c r="D1" s="2488" t="str"/>
      <x:c r="E1" s="2488" t="str"/>
      <x:c r="F1" s="2488" t="str"/>
      <x:c r="G1" s="2488" t="str"/>
      <x:c r="H1" s="2488" t="str"/>
    </x:row>
    <x:row r="2" ht="30" customHeight="1">
      <x:c r="A2" s="2493" t="str">
        <x:v>Status</x:v>
      </x:c>
      <x:c r="B2" s="2493" t="str">
        <x:v>Scope</x:v>
      </x:c>
      <x:c r="C2" s="2493" t="str">
        <x:v>Entscheidung / Befund</x:v>
      </x:c>
      <x:c r="D2" s="2493" t="str">
        <x:v>App-Umsetzung</x:v>
      </x:c>
      <x:c r="E2" s="2493" t="str">
        <x:v>Guided-Modus</x:v>
      </x:c>
      <x:c r="F2" s="2493" t="str">
        <x:v>Evidenz / Quelle</x:v>
      </x:c>
      <x:c r="G2" s="2493" t="str">
        <x:v>Release-Gate</x:v>
      </x:c>
      <x:c r="H2" s="2493" t="str">
        <x:v>Priorität</x:v>
      </x:c>
    </x:row>
    <x:row r="3" ht="64" customHeight="1">
      <x:c r="A3" s="2509" t="str">
        <x:v>IMPLEMENTIERT</x:v>
      </x:c>
      <x:c r="B3" s="2507" t="str">
        <x:v>Kanonische Quelle</x:v>
      </x:c>
      <x:c r="C3" s="2507" t="str">
        <x:v>v11.5 ist operative Arbeitsmappe; v11.3 bleibt forensische Referenz.</x:v>
      </x:c>
      <x:c r="D3" s="2507" t="str">
        <x:v>Generierter Snapshot mit 56 Sheets und Manifest-Hash.</x:v>
      </x:c>
      <x:c r="E3" s="2507" t="str">
        <x:v>Quelle und Aktualität sichtbar machen.</x:v>
      </x:c>
      <x:c r="F3" s="2507" t="str">
        <x:v>Workbook v11.5 + data-manifest.json</x:v>
      </x:c>
      <x:c r="G3" s="2507" t="str">
        <x:v>Hash-, Schema- und Content-Gate</x:v>
      </x:c>
      <x:c r="H3" s="2510" t="str">
        <x:v>P0</x:v>
      </x:c>
    </x:row>
    <x:row r="4" ht="64" customHeight="1">
      <x:c r="A4" s="2514" t="str">
        <x:v>IMPLEMENTIERT</x:v>
      </x:c>
      <x:c r="B4" s="2512" t="str">
        <x:v>Mischkultur</x:v>
      </x:c>
      <x:c r="C4" s="2512" t="str">
        <x:v>Drei Pflanzen dürfen nicht über Alterstage auf denselben Batch gezwungen werden.</x:v>
      </x:c>
      <x:c r="D4" s="2512" t="str">
        <x:v>Event-gated Batch Resolver; gemeinsame Charge nur bei kompatiblen Phasen.</x:v>
      </x:c>
      <x:c r="E4" s="2512" t="str">
        <x:v>Blocker und nächste Mess-/Bestätigungsaktion anzeigen.</x:v>
      </x:c>
      <x:c r="F4" s="2512" t="str">
        <x:v>50_PLANT_STATE_MODEL; 52_MIXED_BATCH_RESOLVER</x:v>
      </x:c>
      <x:c r="G4" s="2512" t="str">
        <x:v>Golden- und State-Machine-Test</x:v>
      </x:c>
      <x:c r="H4" s="2515" t="str">
        <x:v>P0</x:v>
      </x:c>
    </x:row>
    <x:row r="5" ht="64" customHeight="1">
      <x:c r="A5" s="2514" t="str">
        <x:v>IMPLEMENTIERT</x:v>
      </x:c>
      <x:c r="B5" s="2512" t="str">
        <x:v>Nährstoffstart</x:v>
      </x:c>
      <x:c r="C5" s="2512" t="str">
        <x:v>Kein Kalender-Autostart ohne bestätigte Emergence und Aufnahmebereitschaft.</x:v>
      </x:c>
      <x:c r="D5" s="2512" t="str">
        <x:v>Fail-closed bei fehlenden Pflanzenereignissen.</x:v>
      </x:c>
      <x:c r="E5" s="2512" t="str">
        <x:v>Zuerst Ereignis bestätigen; keine erfundene Dosis.</x:v>
      </x:c>
      <x:c r="F5" s="2512" t="str">
        <x:v>HESI TNT Label + UKD Evidence Guard</x:v>
      </x:c>
      <x:c r="G5" s="2512" t="str">
        <x:v>Blockierte Charge bei fehlendem Event</x:v>
      </x:c>
      <x:c r="H5" s="2515" t="str">
        <x:v>P0</x:v>
      </x:c>
    </x:row>
    <x:row r="6" ht="64" customHeight="1">
      <x:c r="A6" s="2514" t="str">
        <x:v>IMPLEMENTIERT</x:v>
      </x:c>
      <x:c r="B6" s="2512" t="str">
        <x:v>Wurzelzone / pH</x:v>
      </x:c>
      <x:c r="C6" s="2512" t="str">
        <x:v>Plug/Block/Final-Coco werden getrennt; pH-Arbeitspunkt folgt dem bestätigten Root-Zone-Event.</x:v>
      </x:c>
      <x:c r="D6" s="2512" t="str">
        <x:v>Arbeitswert 5,8 für Plug/Block und 6,0 für Final Coco; Event-Herkunft sichtbar.</x:v>
      </x:c>
      <x:c r="E6" s="2512" t="str">
        <x:v>Messmethode, Status und Übernehmen-Pfad anzeigen.</x:v>
      </x:c>
      <x:c r="F6" s="2512" t="str">
        <x:v>55_PH_DAILY_POLICY; Eazy Plug Workbook</x:v>
      </x:c>
      <x:c r="G6" s="2512" t="str">
        <x:v>Kein pH-Wert ohne Root-Zone-Kontext</x:v>
      </x:c>
      <x:c r="H6" s="2515" t="str">
        <x:v>P0</x:v>
      </x:c>
    </x:row>
    <x:row r="7" ht="64" customHeight="1">
      <x:c r="A7" s="2514" t="str">
        <x:v>IMPLEMENTIERT</x:v>
      </x:c>
      <x:c r="B7" s="2512" t="str">
        <x:v>Titration</x:v>
      </x:c>
      <x:c r="C7" s="2512" t="str">
        <x:v>Ohne eigene Kalibrierkurve keine generischen ml-Empfehlungen für EC- oder pH-Korrektur.</x:v>
      </x:c>
      <x:c r="D7" s="2512" t="str">
        <x:v>Richtungshinweis; ml = 0 bis Kalibrierung vorliegt.</x:v>
      </x:c>
      <x:c r="E7" s="2512" t="str">
        <x:v>Kalibrierung erfassen statt Schätzwert übernehmen.</x:v>
      </x:c>
      <x:c r="F7" s="2512" t="str">
        <x:v>Athena Balance Application Rate; UKD Guardrail</x:v>
      </x:c>
      <x:c r="G7" s="2512" t="str">
        <x:v>Property-/Golden-Test</x:v>
      </x:c>
      <x:c r="H7" s="2515" t="str">
        <x:v>P0</x:v>
      </x:c>
    </x:row>
    <x:row r="8" ht="64" customHeight="1">
      <x:c r="A8" s="2514" t="str">
        <x:v>IMPLEMENTIERT</x:v>
      </x:c>
      <x:c r="B8" s="2512" t="str">
        <x:v>Plan vs. Anwendung</x:v>
      </x:c>
      <x:c r="C8" s="2512" t="str">
        <x:v>Schemawerte kennzeichnen Berechtigung/Plan und sind keine blind zu applizierende Dosis.</x:v>
      </x:c>
      <x:c r="D8" s="2512" t="str">
        <x:v>Feed-Schema wird direkt aus 31_FEED_SCHEMA gerendert.</x:v>
      </x:c>
      <x:c r="E8" s="2512" t="str">
        <x:v>Nur relevante aktive Optionen; OFF/Alternativen ausgeblendet.</x:v>
      </x:c>
      <x:c r="F8" s="2512" t="str">
        <x:v>31_FEED_SCHEMA</x:v>
      </x:c>
      <x:c r="G8" s="2512" t="str">
        <x:v>Guided/Advanced/Expert identische Daten</x:v>
      </x:c>
      <x:c r="H8" s="2515" t="str">
        <x:v>P0</x:v>
      </x:c>
    </x:row>
    <x:row r="9" ht="64" customHeight="1">
      <x:c r="A9" s="2519" t="str">
        <x:v>VALIDIERT</x:v>
      </x:c>
      <x:c r="B9" s="2517" t="str">
        <x:v>HESI TNT</x:v>
      </x:c>
      <x:c r="C9" s="2517" t="str">
        <x:v>UKD 1,25–2,5 ml/L liegt unter dem Label 5 ml/L und im Jungpflanzen-Halbwert.</x:v>
      </x:c>
      <x:c r="D9" s="2517" t="str">
        <x:v>Als UKD-Adaption, nicht als Herstellerlabel, darstellen.</x:v>
      </x:c>
      <x:c r="E9" s="2517" t="str">
        <x:v>Konservativen Start erklären; Pflanzenreaktion priorisieren.</x:v>
      </x:c>
      <x:c r="F9" s="2517" t="str">
        <x:v>HESI TNT Complex Produktseite</x:v>
      </x:c>
      <x:c r="G9" s="2517" t="str">
        <x:v>Claim-/Source-Verknüpfung</x:v>
      </x:c>
      <x:c r="H9" s="2520" t="str">
        <x:v>P0</x:v>
      </x:c>
    </x:row>
    <x:row r="10" ht="64" customHeight="1">
      <x:c r="A10" s="2519" t="str">
        <x:v>VALIDIERT</x:v>
      </x:c>
      <x:c r="B10" s="2517" t="str">
        <x:v>HESI Coco</x:v>
      </x:c>
      <x:c r="C10" s="2517" t="str">
        <x:v>UKD 2,5–4,0 ml/L liegt unter dem aktuellen Label 5 ml/L bei jeder Bewässerung.</x:v>
      </x:c>
      <x:c r="D10" s="2517" t="str">
        <x:v>Label und UKD-Band getrennt anzeigen.</x:v>
      </x:c>
      <x:c r="E10" s="2517" t="str">
        <x:v>Keine Erhöhung ohne Mess- und Pflanzenkontext.</x:v>
      </x:c>
      <x:c r="F10" s="2517" t="str">
        <x:v>HESI Coco Produktseite</x:v>
      </x:c>
      <x:c r="G10" s="2517" t="str">
        <x:v>Evidence-Class sichtbar</x:v>
      </x:c>
      <x:c r="H10" s="2520" t="str">
        <x:v>P0</x:v>
      </x:c>
    </x:row>
    <x:row r="11" ht="64" customHeight="1">
      <x:c r="A11" s="2519" t="str">
        <x:v>VALIDIERT</x:v>
      </x:c>
      <x:c r="B11" s="2517" t="str">
        <x:v>HESI Boost</x:v>
      </x:c>
      <x:c r="C11" s="2517" t="str">
        <x:v>2 ml/L entspricht dem Label; UKD nutzt jedoch selektive Wochen statt kontinuierliche Anwendung.</x:v>
      </x:c>
      <x:c r="D11" s="2517" t="str">
        <x:v>Cadence als UKD-Adaption markieren.</x:v>
      </x:c>
      <x:c r="E11" s="2517" t="str">
        <x:v>Zeitpunkt und Ausschlussbedingungen erklären.</x:v>
      </x:c>
      <x:c r="F11" s="2517" t="str">
        <x:v>HESI Boost Produktseite</x:v>
      </x:c>
      <x:c r="G11" s="2517" t="str">
        <x:v>Kein Label/UKD-Merging</x:v>
      </x:c>
      <x:c r="H11" s="2520" t="str">
        <x:v>P0</x:v>
      </x:c>
    </x:row>
    <x:row r="12" ht="64" customHeight="1">
      <x:c r="A12" s="2519" t="str">
        <x:v>VALIDIERT</x:v>
      </x:c>
      <x:c r="B12" s="2517" t="str">
        <x:v>HESI PK 13/14</x:v>
      </x:c>
      <x:c r="C12" s="2517" t="str">
        <x:v>UKD 0,30–0,45 ml/L liegt im offiziellen progressiven 0,25–1,5-ml/L-Korridor.</x:v>
      </x:c>
      <x:c r="D12" s="2517" t="str">
        <x:v>Big Bud/Overdrive bleiben gegenseitig ausgeschlossen.</x:v>
      </x:c>
      <x:c r="E12" s="2517" t="str">
        <x:v>PK nur nach bestätigter Blüte und Sicherheitsprüfung anbieten.</x:v>
      </x:c>
      <x:c r="F12" s="2517" t="str">
        <x:v>HESI PK 13/14 Produktseite</x:v>
      </x:c>
      <x:c r="G12" s="2517" t="str">
        <x:v>Do-not-stack-Test</x:v>
      </x:c>
      <x:c r="H12" s="2520" t="str">
        <x:v>P0</x:v>
      </x:c>
    </x:row>
    <x:row r="13" ht="64" customHeight="1">
      <x:c r="A13" s="2519" t="str">
        <x:v>VALIDIERT</x:v>
      </x:c>
      <x:c r="B13" s="2517" t="str">
        <x:v>Voodoo / Tarantula</x:v>
      </x:c>
      <x:c r="C13" s="2517" t="str">
        <x:v>2 ml/L stimmt mit dem Label überein; Fenster ist Woche 1–2 Wachstum und 1–2 Blüte.</x:v>
      </x:c>
      <x:c r="D13" s="2517" t="str">
        <x:v>Tarantula-Spalte und Fenster im Snapshot enthalten.</x:v>
      </x:c>
      <x:c r="E13" s="2517" t="str">
        <x:v>Nur im bestätigten Zeitfenster als Option zeigen.</x:v>
      </x:c>
      <x:c r="F13" s="2517" t="str">
        <x:v>Advanced Nutrients Produktseiten</x:v>
      </x:c>
      <x:c r="G13" s="2517" t="str">
        <x:v>Fenster-/Phasentest</x:v>
      </x:c>
      <x:c r="H13" s="2520" t="str">
        <x:v>P0</x:v>
      </x:c>
    </x:row>
    <x:row r="14" ht="64" customHeight="1">
      <x:c r="A14" s="2524" t="str">
        <x:v>OFFEN</x:v>
      </x:c>
      <x:c r="B14" s="2522" t="str">
        <x:v>Pflanzenereignis-Editor</x:v>
      </x:c>
      <x:c r="C14" s="2522" t="str">
        <x:v>Resolver ist fachlich vorhanden, aber alle Events müssen pro Pflanze bequem erfassbar und korrigierbar sein.</x:v>
      </x:c>
      <x:c r="D14" s="2522" t="str">
        <x:v>Plant-targeted Event Editor mit Append-only-Korrektur ergänzen.</x:v>
      </x:c>
      <x:c r="E14" s="2522" t="str">
        <x:v>Geführte Checkliste: Emergence → Aufnahmebereit → Root Zone → Blüte.</x:v>
      </x:c>
      <x:c r="F14" s="2522" t="str">
        <x:v>Domain Event Model</x:v>
      </x:c>
      <x:c r="G14" s="2522" t="str">
        <x:v>E2E für drei versetzte Pflanzen</x:v>
      </x:c>
      <x:c r="H14" s="2525" t="str">
        <x:v>P0</x:v>
      </x:c>
    </x:row>
    <x:row r="15" ht="64" customHeight="1">
      <x:c r="A15" s="2524" t="str">
        <x:v>OFFEN</x:v>
      </x:c>
      <x:c r="B15" s="2522" t="str">
        <x:v>Plant-targeted Mix</x:v>
      </x:c>
      <x:c r="C15" s="2522" t="str">
        <x:v>Globaler Recorder blockiert inkompatible Mischkultur korrekt; separater Batch-/Application-Editor fehlt noch.</x:v>
      </x:c>
      <x:c r="D15" s="2522" t="str">
        <x:v>Charge pro kompatibler Gruppe/Pflanze und tatsächliche Anwendung erfassen.</x:v>
      </x:c>
      <x:c r="E15" s="2522" t="str">
        <x:v>Blocker direkt in sichere Teilchargen auflösen.</x:v>
      </x:c>
      <x:c r="F15" s="2522" t="str">
        <x:v>52_MIXED_BATCH_RESOLVER</x:v>
      </x:c>
      <x:c r="G15" s="2522" t="str">
        <x:v>Plan ≠ Ist ≠ Ergebnis</x:v>
      </x:c>
      <x:c r="H15" s="2525" t="str">
        <x:v>P0</x:v>
      </x:c>
    </x:row>
    <x:row r="16" ht="64" customHeight="1">
      <x:c r="A16" s="2524" t="str">
        <x:v>OFFEN</x:v>
      </x:c>
      <x:c r="B16" s="2522" t="str">
        <x:v>Wasserchemie</x:v>
      </x:c>
      <x:c r="C16" s="2522" t="str">
        <x:v>Source-pH, EC, Ca, Mg und Alkalinität müssen gemessen und datiert werden.</x:v>
      </x:c>
      <x:c r="D16" s="2522" t="str">
        <x:v>WaterProfile + Messmethode + Confidence vollständig machen.</x:v>
      </x:c>
      <x:c r="E16" s="2522" t="str">
        <x:v>Beste Option bei Lücke: zuerst messen.</x:v>
      </x:c>
      <x:c r="F16" s="2522" t="str">
        <x:v>UKD Water Chemistry Gate</x:v>
      </x:c>
      <x:c r="G16" s="2522" t="str">
        <x:v>Keine CalMag-/Balance-Erfindung</x:v>
      </x:c>
      <x:c r="H16" s="2525" t="str">
        <x:v>P0</x:v>
      </x:c>
    </x:row>
    <x:row r="17" ht="64" customHeight="1">
      <x:c r="A17" s="2524" t="str">
        <x:v>OFFEN</x:v>
      </x:c>
      <x:c r="B17" s="2522" t="str">
        <x:v>Dryback / Drain</x:v>
      </x:c>
      <x:c r="C17" s="2522" t="str">
        <x:v>Topfmasse vor/nach Bewässerung, Zeit, Drainvolumen und Drain-% fehlen als geschlossener Guided-Flow.</x:v>
      </x:c>
      <x:c r="D17" s="2522" t="str">
        <x:v>Messworkflow und Verlauf ergänzen.</x:v>
      </x:c>
      <x:c r="E17" s="2522" t="str">
        <x:v>Waage/Behälter erklären, Plausibilität prüfen.</x:v>
      </x:c>
      <x:c r="F17" s="2522" t="str">
        <x:v>Irrigation decision model</x:v>
      </x:c>
      <x:c r="G17" s="2522" t="str">
        <x:v>Messwertgestützte Bewässerung</x:v>
      </x:c>
      <x:c r="H17" s="2525" t="str">
        <x:v>P0</x:v>
      </x:c>
    </x:row>
    <x:row r="18" ht="64" customHeight="1">
      <x:c r="A18" s="2524" t="str">
        <x:v>OFFEN</x:v>
      </x:c>
      <x:c r="B18" s="2522" t="str">
        <x:v>Actual Mix / Application</x:v>
      </x:c>
      <x:c r="C18" s="2522" t="str">
        <x:v>Geplante ml/L ersetzen keinen unveränderlichen Chargen- und Applikationsnachweis.</x:v>
      </x:c>
      <x:c r="D18" s="2522" t="str">
        <x:v>Batch, Temperatur, EC/pH vorher/nachher, Rest und Zielpflanze speichern.</x:v>
      </x:c>
      <x:c r="E18" s="2522" t="str">
        <x:v>Schrittfolge mit Mix-Reihenfolge und Bestätigung.</x:v>
      </x:c>
      <x:c r="F18" s="2522" t="str">
        <x:v>Scientific operations model</x:v>
      </x:c>
      <x:c r="G18" s="2522" t="str">
        <x:v>Append-only + Supersession</x:v>
      </x:c>
      <x:c r="H18" s="2525" t="str">
        <x:v>P0</x:v>
      </x:c>
    </x:row>
    <x:row r="19" ht="64" customHeight="1">
      <x:c r="A19" s="2524" t="str">
        <x:v>OFFEN</x:v>
      </x:c>
      <x:c r="B19" s="2522" t="str">
        <x:v>Licht-Inbetriebnahme</x:v>
      </x:c>
      <x:c r="C19" s="2522" t="str">
        <x:v>Watt/Abstand bleiben Startwerte, bis reale 9-Punkt-PPFD-Karte und Messgerät vorliegen.</x:v>
      </x:c>
      <x:c r="D19" s="2522" t="str">
        <x:v>Commissioning Session + Fixture-/Instrumentprofil ergänzen.</x:v>
      </x:c>
      <x:c r="E19" s="2522" t="str">
        <x:v>Geführte 9-Punkt-Messung mit Uniformität.</x:v>
      </x:c>
      <x:c r="F19" s="2522" t="str">
        <x:v>10_Climate_Light</x:v>
      </x:c>
      <x:c r="G19" s="2522" t="str">
        <x:v>Keine PPFD-Wahrheit aus Watt</x:v>
      </x:c>
      <x:c r="H19" s="2525" t="str">
        <x:v>P1</x:v>
      </x:c>
    </x:row>
    <x:row r="20" ht="64" customHeight="1">
      <x:c r="A20" s="2524" t="str">
        <x:v>OFFEN</x:v>
      </x:c>
      <x:c r="B20" s="2522" t="str">
        <x:v>Messgeräte / Kalibrierung</x:v>
      </x:c>
      <x:c r="C20" s="2522" t="str">
        <x:v>pH-, EC-, PPFD- und IR-Geräte benötigen Identität, Lösungschargen, Abweichung und Fälligkeit.</x:v>
      </x:c>
      <x:c r="D20" s="2522" t="str">
        <x:v>Trust Gate vollständig in operative Formulare ziehen.</x:v>
      </x:c>
      <x:c r="E20" s="2522" t="str">
        <x:v>Kalibrierung vor Interpretation verlangen.</x:v>
      </x:c>
      <x:c r="F20" s="2522" t="str">
        <x:v>Metrology model</x:v>
      </x:c>
      <x:c r="G20" s="2522" t="str">
        <x:v>Failed calibration blocks interpretation</x:v>
      </x:c>
      <x:c r="H20" s="2525" t="str">
        <x:v>P1</x:v>
      </x:c>
    </x:row>
    <x:row r="21" ht="64" customHeight="1">
      <x:c r="A21" s="2524" t="str">
        <x:v>OFFEN</x:v>
      </x:c>
      <x:c r="B21" s="2522" t="str">
        <x:v>IPM / Incident</x:v>
      </x:c>
      <x:c r="C21" s="2522" t="str">
        <x:v>Diagnosewissen ist vorhanden; strukturierte Inspektion, Incident und Recovery sind noch nicht vollständig bedienbar.</x:v>
      </x:c>
      <x:c r="D21" s="2522" t="str">
        <x:v>State-Machine-Editor, Follow-up und Outcome ergänzen.</x:v>
      </x:c>
      <x:c r="E21" s="2522" t="str">
        <x:v>Symptom → Messung → sichere nächste Aktion.</x:v>
      </x:c>
      <x:c r="F21" s="2522" t="str">
        <x:v>Platform quality hazards</x:v>
      </x:c>
      <x:c r="G21" s="2522" t="str">
        <x:v>State-/Failure-UX-E2E</x:v>
      </x:c>
      <x:c r="H21" s="2525" t="str">
        <x:v>P1</x:v>
      </x:c>
    </x:row>
    <x:row r="22" ht="64" customHeight="1">
      <x:c r="A22" s="2524" t="str">
        <x:v>OFFEN</x:v>
      </x:c>
      <x:c r="B22" s="2522" t="str">
        <x:v>Nachernte</x:v>
      </x:c>
      <x:c r="C22" s="2522" t="str">
        <x:v>Dry/Cure-Anleitung braucht einen echten Sub-Run mit Gewicht, Klima, aw und Container-RH.</x:v>
      </x:c>
      <x:c r="D22" s="2522" t="str">
        <x:v>Post-Harvest Timeline und Batch-ID ergänzen.</x:v>
      </x:c>
      <x:c r="E22" s="2522" t="str">
        <x:v>Tägliche sichere Checkliste.</x:v>
      </x:c>
      <x:c r="F22" s="2522" t="str">
        <x:v>Harvest/Dry model</x:v>
      </x:c>
      <x:c r="G22" s="2522" t="str">
        <x:v>Langzeitverlauf exportierbar</x:v>
      </x:c>
      <x:c r="H22" s="2525" t="str">
        <x:v>P1</x:v>
      </x:c>
    </x:row>
    <x:row r="23" ht="64" customHeight="1">
      <x:c r="A23" s="2524" t="str">
        <x:v>OFFEN</x:v>
      </x:c>
      <x:c r="B23" s="2522" t="str">
        <x:v>Human Factors</x:v>
      </x:c>
      <x:c r="C23" s="2522" t="str">
        <x:v>Masterclass ist erst belegt, wenn Guided-Aufgaben real verstanden werden.</x:v>
      </x:c>
      <x:c r="D23" s="2522" t="str">
        <x:v>Usability- und AT-Tests durchführen.</x:v>
      </x:c>
      <x:c r="E23" s="2522" t="str">
        <x:v>≥90 % richtige Aktion in 90 Sekunden.</x:v>
      </x:c>
      <x:c r="F23" s="2522" t="str">
        <x:v>Product Science</x:v>
      </x:c>
      <x:c r="G23" s="2522" t="str">
        <x:v>5 Personen je Lens; NVDA/VoiceOver/Touch</x:v>
      </x:c>
      <x:c r="H23" s="2525" t="str">
        <x:v>P1</x:v>
      </x:c>
    </x:row>
    <x:row r="24" ht="64" customHeight="1">
      <x:c r="A24" s="2529" t="str">
        <x:v>REGEL</x:v>
      </x:c>
      <x:c r="B24" s="2527" t="str">
        <x:v>Unverändert</x:v>
      </x:c>
      <x:c r="C24" s="2527" t="str">
        <x:v>Sollwert, Messwert, Simulation, tatsächliche Aktion und Ergebnis bleiben getrennte Typen.</x:v>
      </x:c>
      <x:c r="D24" s="2527" t="str">
        <x:v>Keine UI-Abkürzung darf diese Provenienz verschmelzen.</x:v>
      </x:c>
      <x:c r="E24" s="2527" t="str">
        <x:v>Guided vereinfacht Erklärung, nie Fachlogik.</x:v>
      </x:c>
      <x:c r="F24" s="2527" t="str">
        <x:v>AGENTS.md Invariants</x:v>
      </x:c>
      <x:c r="G24" s="2527" t="str">
        <x:v>Release blocker</x:v>
      </x:c>
      <x:c r="H24" s="2530" t="str">
        <x:v>P0</x:v>
      </x:c>
    </x:row>
    <x:row r="25" ht="64" customHeight="1">
      <x:c r="A25" s="2534" t="str">
        <x:v>REGEL</x:v>
      </x:c>
      <x:c r="B25" s="2532" t="str">
        <x:v>Recht / Safety</x:v>
      </x:c>
      <x:c r="C25" s="2532" t="str">
        <x:v>Technischen Bruttoertrag nicht künstlich begrenzen; Besitz, Bezug und Vernichtung getrennt rechtlich prüfen.</x:v>
      </x:c>
      <x:c r="D25" s="2532" t="str">
        <x:v>Keine persönlichen Genehmigungsdaten in Git, Backup, Sync oder AI.</x:v>
      </x:c>
      <x:c r="E25" s="2532" t="str">
        <x:v>Rechtsprofil nur sessionbezogen und dokumentengeprüft.</x:v>
      </x:c>
      <x:c r="F25" s="2532" t="str">
        <x:v>Legal Profile Schema</x:v>
      </x:c>
      <x:c r="G25" s="2532" t="str">
        <x:v>Privacy-/Safety-Gate</x:v>
      </x:c>
      <x:c r="H25" s="2535" t="str">
        <x:v>P0</x:v>
      </x:c>
    </x:row>
    <x:row r="26">
      <x:c r="A26" s="2496" t="str"/>
      <x:c r="B26" s="2496" t="str"/>
      <x:c r="C26" s="2496" t="str"/>
      <x:c r="D26" s="2496" t="str"/>
      <x:c r="E26" s="2496" t="str"/>
      <x:c r="F26" s="2496" t="str"/>
      <x:c r="G26" s="2496" t="str"/>
      <x:c r="H26" s="2496" t="str"/>
    </x:row>
    <x:row r="27" ht="44" customHeight="1">
      <x:c r="A27" s="2538" t="str">
        <x:v>Release-Definition v11.6</x:v>
      </x:c>
      <x:c r="B27" s="2538" t="str">
        <x:v>Die Mappe dokumentiert die App-Integration und korrigiert keine kanonischen Tagesformeln der v11.5. Fachliche Änderungen erfordern weiterhin Evidence Review, reproduzierbaren Export und Golden Tests.</x:v>
      </x:c>
      <x:c r="C27" s="2538" t="str"/>
      <x:c r="D27" s="2538" t="str"/>
      <x:c r="E27" s="2538" t="str"/>
      <x:c r="F27" s="2538" t="str"/>
      <x:c r="G27" s="2538" t="str"/>
      <x:c r="H27" s="2538" t="str"/>
    </x:row>
    <x:row r="28" ht="38" customHeight="1">
      <x:c r="A28" s="2541" t="str">
        <x:v>Erstellt</x:v>
      </x:c>
      <x:c r="B28" s="2541" t="str">
        <x:v>2026-08-23</x:v>
      </x:c>
      <x:c r="C28" s="2541" t="str">
        <x:v>Quellmappe</x:v>
      </x:c>
      <x:c r="D28" s="2541" t="str">
        <x:v>UKD_Grow_Masterplan_2026_v11_5_CLOCKS_PH_BALANCE_MIXED_AUTO_3x9L.xlsx</x:v>
      </x:c>
      <x:c r="E28" s="2541" t="str">
        <x:v>App-Snapshot</x:v>
      </x:c>
      <x:c r="F28" s="2541" t="str">
        <x:v>evidence-guarded-workbook-v11_5.json</x:v>
      </x:c>
      <x:c r="G28" s="2541" t="str">
        <x:v>Status</x:v>
      </x:c>
      <x:c r="H28" s="2541" t="str">
        <x:v>APP-ALIGNED REVIEW</x:v>
      </x:c>
    </x:row>
  </x:sheetData>
  <x:mergeCells>
    <x:mergeCell ref="A1:H1"/>
    <x:mergeCell ref="B27:H27"/>
  </x:mergeCells>
  <x:pageMargins left="0.7" right="0.7" top="0.75" bottom="0.75" header="0.3" footer="0.3"/>
</x:worksheet>
</file>