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drawings/charts/chart3.xml" ContentType="application/vnd.openxmlformats-officedocument.drawingml.chart+xml"/>
  <Override PartName="/xl/drawings/charts/chart4.xml" ContentType="application/vnd.openxmlformats-officedocument.drawingml.chart+xml"/>
  <Override PartName="/xl/drawings/charts/chart5.xml" ContentType="application/vnd.openxmlformats-officedocument.drawingml.char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3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4.xml" ContentType="application/vnd.openxmlformats-officedocument.spreadsheetml.table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ables/table5.xml" ContentType="application/vnd.openxmlformats-officedocument.spreadsheetml.table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4ca46839e314a3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Dashboard" sheetId="1" r:id="Rc1328b1b9598446b"/>
    <x:sheet xmlns:r="http://schemas.openxmlformats.org/officeDocument/2006/relationships" name="01_Run_Config" sheetId="2" r:id="R5caab7fd55314c83"/>
    <x:sheet xmlns:r="http://schemas.openxmlformats.org/officeDocument/2006/relationships" name="02_Daily_Master" sheetId="3" r:id="Rd31a84be5c2d4460"/>
    <x:sheet xmlns:r="http://schemas.openxmlformats.org/officeDocument/2006/relationships" name="03_Weekly_Master" sheetId="4" r:id="Rfe66b8e7bacd46fb"/>
    <x:sheet xmlns:r="http://schemas.openxmlformats.org/officeDocument/2006/relationships" name="04_Monthly_Master" sheetId="5" r:id="R6a358819108040c3"/>
    <x:sheet xmlns:r="http://schemas.openxmlformats.org/officeDocument/2006/relationships" name="05_Mix_Calculator" sheetId="6" r:id="R973918be77294e59"/>
    <x:sheet xmlns:r="http://schemas.openxmlformats.org/officeDocument/2006/relationships" name="06_HESI_Reference" sheetId="7" r:id="R360b52c75e5d44db"/>
    <x:sheet xmlns:r="http://schemas.openxmlformats.org/officeDocument/2006/relationships" name="07_AN_pHPerfect" sheetId="8" r:id="R9515fb641217409a"/>
    <x:sheet xmlns:r="http://schemas.openxmlformats.org/officeDocument/2006/relationships" name="08_Hybrid_AB" sheetId="9" r:id="Rc7cd63fdd5314eb2"/>
    <x:sheet xmlns:r="http://schemas.openxmlformats.org/officeDocument/2006/relationships" name="09_Irrigation_Blumat" sheetId="10" r:id="Rf5f6f382c69349e7"/>
    <x:sheet xmlns:r="http://schemas.openxmlformats.org/officeDocument/2006/relationships" name="10_Climate_Light" sheetId="11" r:id="R234b47093edc498f"/>
    <x:sheet xmlns:r="http://schemas.openxmlformats.org/officeDocument/2006/relationships" name="11_Training_Canopy" sheetId="12" r:id="R77344e2974224de7"/>
    <x:sheet xmlns:r="http://schemas.openxmlformats.org/officeDocument/2006/relationships" name="12_Daily_Log" sheetId="13" r:id="R6de448a0c20546ce"/>
    <x:sheet xmlns:r="http://schemas.openxmlformats.org/officeDocument/2006/relationships" name="13_Diagnostics" sheetId="14" r:id="Rdda21ab018b74276"/>
    <x:sheet xmlns:r="http://schemas.openxmlformats.org/officeDocument/2006/relationships" name="14_Harvest_Dry" sheetId="15" r:id="Rbf1e7baa17ba4749"/>
    <x:sheet xmlns:r="http://schemas.openxmlformats.org/officeDocument/2006/relationships" name="15_Strains" sheetId="16" r:id="R356dea0542a343e8"/>
    <x:sheet xmlns:r="http://schemas.openxmlformats.org/officeDocument/2006/relationships" name="16_Compatibility" sheetId="17" r:id="Re7d415e7aca84fb2"/>
    <x:sheet xmlns:r="http://schemas.openxmlformats.org/officeDocument/2006/relationships" name="17_All_Products" sheetId="18" r:id="R99ac971a3d3f4636"/>
    <x:sheet xmlns:r="http://schemas.openxmlformats.org/officeDocument/2006/relationships" name="18_Mineral_Interactions" sheetId="19" r:id="R58cc8333fe204c2b"/>
    <x:sheet xmlns:r="http://schemas.openxmlformats.org/officeDocument/2006/relationships" name="19_Do_Not_Stack" sheetId="20" r:id="Rb5d96fb169c948d7"/>
    <x:sheet xmlns:r="http://schemas.openxmlformats.org/officeDocument/2006/relationships" name="20_Practice_Evidence" sheetId="21" r:id="Red6cbe65dcd948ee"/>
    <x:sheet xmlns:r="http://schemas.openxmlformats.org/officeDocument/2006/relationships" name="21_Legal_Safety" sheetId="22" r:id="Rdc530b9d05e640b0"/>
    <x:sheet xmlns:r="http://schemas.openxmlformats.org/officeDocument/2006/relationships" name="22_Sources" sheetId="23" r:id="R9755481f41f14240"/>
    <x:sheet xmlns:r="http://schemas.openxmlformats.org/officeDocument/2006/relationships" name="23_README" sheetId="24" r:id="R8822dcaa2719413c"/>
    <x:sheet xmlns:r="http://schemas.openxmlformats.org/officeDocument/2006/relationships" name="24_Athena_Balance" sheetId="25" r:id="Re16b9a81c7994e70"/>
    <x:sheet xmlns:r="http://schemas.openxmlformats.org/officeDocument/2006/relationships" name="25_AN_GrandMaster" sheetId="26" r:id="Rbed138d0b96746cd"/>
    <x:sheet xmlns:r="http://schemas.openxmlformats.org/officeDocument/2006/relationships" name="26_Audit_Report" sheetId="27" r:id="R282a3706a60c4c24"/>
    <x:sheet xmlns:r="http://schemas.openxmlformats.org/officeDocument/2006/relationships" name="27_HESI_AN_Hybrid" sheetId="28" r:id="R3634318bdd3e4e7b"/>
    <x:sheet xmlns:r="http://schemas.openxmlformats.org/officeDocument/2006/relationships" name="28_Current_Inventory" sheetId="29" r:id="R4bc793198beb4b74"/>
    <x:sheet xmlns:r="http://schemas.openxmlformats.org/officeDocument/2006/relationships" name="29_GOAL_PROBLEM" sheetId="30" r:id="Rab29fbfd4a194727"/>
    <x:sheet xmlns:r="http://schemas.openxmlformats.org/officeDocument/2006/relationships" name="30_APP_UX_PLAN" sheetId="31" r:id="R25299aa8bbf64a3a"/>
    <x:sheet xmlns:r="http://schemas.openxmlformats.org/officeDocument/2006/relationships" name="31_FEED_SCHEMA" sheetId="32" r:id="R050fa2bf76dd4216"/>
    <x:sheet xmlns:r="http://schemas.openxmlformats.org/officeDocument/2006/relationships" name="32_GLOSSARY_STATES" sheetId="33" r:id="Rbd121832b9fe4c07"/>
    <x:sheet xmlns:r="http://schemas.openxmlformats.org/officeDocument/2006/relationships" name="33_RELEASE_GATES" sheetId="34" r:id="Rece67474560e4b4b"/>
    <x:sheet xmlns:r="http://schemas.openxmlformats.org/officeDocument/2006/relationships" name="34_CONTEXT_HELP_MAP" sheetId="35" r:id="Rcb4f37c710e949e6"/>
    <x:sheet xmlns:r="http://schemas.openxmlformats.org/officeDocument/2006/relationships" name="35_SECTION_GUIDE" sheetId="36" r:id="R4d237203867a4bce"/>
    <x:sheet xmlns:r="http://schemas.openxmlformats.org/officeDocument/2006/relationships" name="36_TODAY_OPERATOR" sheetId="37" r:id="Rd19c837d325f48d8"/>
    <x:sheet xmlns:r="http://schemas.openxmlformats.org/officeDocument/2006/relationships" name="37_SETUP_OPERATOR" sheetId="38" r:id="Rf642ecddce824cf9"/>
    <x:sheet xmlns:r="http://schemas.openxmlformats.org/officeDocument/2006/relationships" name="38_MIX_OPERATOR" sheetId="39" r:id="R4905dedee491465d"/>
    <x:sheet xmlns:r="http://schemas.openxmlformats.org/officeDocument/2006/relationships" name="39_LOG_GUIDE" sheetId="40" r:id="R534bf5620b9e48da"/>
    <x:sheet xmlns:r="http://schemas.openxmlformats.org/officeDocument/2006/relationships" name="40_VISUAL_INDEX_DE" sheetId="41" r:id="R6577486e6fa249d4"/>
    <x:sheet xmlns:r="http://schemas.openxmlformats.org/officeDocument/2006/relationships" name="41_AUTO_STAGE_AUDIT" sheetId="42" r:id="Rd819409e2d194527"/>
    <x:sheet xmlns:r="http://schemas.openxmlformats.org/officeDocument/2006/relationships" name="42_AUTO_VARIANTS" sheetId="43" r:id="R4d4f6a36c7dc4c57"/>
    <x:sheet xmlns:r="http://schemas.openxmlformats.org/officeDocument/2006/relationships" name="43_AUTO_EVENT_PLAN" sheetId="44" r:id="R0861956a33574214"/>
    <x:sheet xmlns:r="http://schemas.openxmlformats.org/officeDocument/2006/relationships" name="44_DOUBLE_GRAPE_AUTO" sheetId="45" r:id="R72ad05363f9e4646"/>
    <x:sheet xmlns:r="http://schemas.openxmlformats.org/officeDocument/2006/relationships" name="45_AUTO_LIGHT_PROFILES" sheetId="46" r:id="R66253019a9654f8f"/>
    <x:sheet xmlns:r="http://schemas.openxmlformats.org/officeDocument/2006/relationships" name="46_AUTO_ROOT_ZONE" sheetId="47" r:id="R032ebac681bf49c5"/>
    <x:sheet xmlns:r="http://schemas.openxmlformats.org/officeDocument/2006/relationships" name="47_AUTO_SOURCES" sheetId="48" r:id="R9c0fa3a0494e4468"/>
    <x:sheet xmlns:r="http://schemas.openxmlformats.org/officeDocument/2006/relationships" name="48_AUTO_EXTENSION" sheetId="49" r:id="R6cfa0f2dd353424e"/>
    <x:sheet xmlns:r="http://schemas.openxmlformats.org/officeDocument/2006/relationships" name="49_MIXED_CULTIVAR_PROFILE" sheetId="50" r:id="Rf6cc4f8d32cb4235"/>
    <x:sheet xmlns:r="http://schemas.openxmlformats.org/officeDocument/2006/relationships" name="50_PLANT_STATE_MODEL" sheetId="51" r:id="R6514809e49494cda"/>
    <x:sheet xmlns:r="http://schemas.openxmlformats.org/officeDocument/2006/relationships" name="51_CANOPY_BALANCE" sheetId="52" r:id="Re1a6812a2ceb4b49"/>
    <x:sheet xmlns:r="http://schemas.openxmlformats.org/officeDocument/2006/relationships" name="52_MIXED_BATCH_RESOLVER" sheetId="53" r:id="R7743b5e297864b70"/>
    <x:sheet xmlns:r="http://schemas.openxmlformats.org/officeDocument/2006/relationships" name="53_MIXED_CULTIVAR_SOURCES" sheetId="54" r:id="Rcdb529970e4743f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yyyy-mm-dd"/>
    <x:numFmt numFmtId="201" formatCode="0.00"/>
    <x:numFmt numFmtId="202" formatCode="0 &quot; / &quot;&amp;0"/>
    <x:numFmt numFmtId="203" formatCode="@"/>
    <x:numFmt numFmtId="204" formatCode="0.0%"/>
  </x:numFmts>
  <x:fonts count="55">
    <x:font>
      <x:sz val="11"/>
      <x:name val="Carlito"/>
    </x:font>
    <x:font>
      <x:b/>
      <x:sz val="17"/>
      <x:color rgb="FFFFFFFF"/>
      <x:name val="Carlito"/>
    </x:font>
    <x:font>
      <x:b/>
      <x:sz val="10"/>
      <x:color rgb="FFFFFFFF"/>
      <x:name val="Carlito"/>
    </x:font>
    <x:font>
      <x:b/>
      <x:sz val="11"/>
      <x:color rgb="FF14213D"/>
      <x:name val="Carlito"/>
    </x:font>
    <x:font>
      <x:sz val="11"/>
      <x:color rgb="FF202124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9"/>
      <x:color rgb="FFFFFFFF"/>
      <x:name val="Carlito"/>
    </x:font>
    <x:font>
      <x:i/>
      <x:sz val="10"/>
      <x:color rgb="FF52606D"/>
      <x:name val="Carlito"/>
    </x:font>
    <x:font>
      <x:b/>
      <x:sz val="9"/>
      <x:color rgb="FFFFFFFF"/>
      <x:name val="Carlito"/>
    </x:font>
    <x:font>
      <x:b/>
      <x:sz val="13"/>
      <x:color rgb="FF172B4D"/>
      <x:name val="Carlito"/>
    </x:font>
    <x:font>
      <x:sz val="9"/>
      <x:color rgb="FF52606D"/>
      <x:name val="Carlito"/>
    </x:font>
    <x:font>
      <x:sz val="10"/>
      <x:color rgb="FF172B4D"/>
      <x:name val="Carlito"/>
    </x:font>
    <x:font>
      <x:b/>
      <x:sz val="9"/>
      <x:color rgb="FFC62828"/>
      <x:name val="Carlito"/>
    </x:font>
    <x:font>
      <x:b/>
      <x:sz val="11"/>
      <x:color rgb="FF1565C0"/>
      <x:name val="Carlito"/>
    </x:font>
    <x:font>
      <x:b/>
      <x:sz val="11"/>
      <x:color rgb="FFE65100"/>
      <x:name val="Carlito"/>
    </x:font>
    <x:font>
      <x:b/>
      <x:sz val="11"/>
      <x:color rgb="FF2E7D32"/>
      <x:name val="Carlito"/>
    </x:font>
    <x:font>
      <x:b/>
      <x:sz val="11"/>
      <x:color rgb="FF6A1B9A"/>
      <x:name val="Carlito"/>
    </x:font>
    <x:font>
      <x:b/>
      <x:sz val="11"/>
      <x:color rgb="FFC62828"/>
      <x:name val="Carlito"/>
    </x:font>
    <x:font>
      <x:sz val="11"/>
      <x:color rgb="FF172B4D"/>
      <x:name val="Carlito"/>
    </x:font>
    <x:font>
      <x:b/>
      <x:sz val="14"/>
      <x:color rgb="FF102A43"/>
      <x:name val="Carlito"/>
    </x:font>
    <x:font>
      <x:b/>
      <x:sz val="11"/>
      <x:color rgb="FF172B4D"/>
      <x:name val="Carlito"/>
    </x:font>
    <x:font>
      <x:b/>
      <x:sz val="14"/>
      <x:color rgb="FFFFFFFF"/>
      <x:name val="Carlito"/>
    </x:font>
    <x:font>
      <x:b/>
      <x:sz val="11"/>
      <x:color rgb="FFA66A00"/>
      <x:name val="Carlito"/>
    </x:font>
    <x:font>
      <x:b/>
      <x:sz val="11"/>
      <x:color rgb="FF52606D"/>
      <x:name val="Carlito"/>
    </x:font>
    <x:font>
      <x:b/>
      <x:sz val="11"/>
      <x:color rgb="FF102A43"/>
      <x:name val="Carlito"/>
    </x:font>
    <x:font>
      <x:b/>
      <x:sz val="11"/>
      <x:name val="Carlito"/>
    </x:font>
    <x:font>
      <x:b/>
      <x:sz val="11"/>
      <x:color rgb="FF7F6000"/>
      <x:name val="Carlito"/>
    </x:font>
    <x:font>
      <x:b/>
      <x:sz val="11"/>
      <x:color rgb="FF8E1B1B"/>
      <x:name val="Carlito"/>
    </x:font>
    <x:font>
      <x:b/>
      <x:sz val="11"/>
      <x:color rgb="FF17365D"/>
      <x:name val="Carlito"/>
    </x:font>
    <x:font>
      <x:b/>
      <x:sz val="10"/>
      <x:color rgb="FF30213D"/>
      <x:name val="Carlito"/>
    </x:font>
    <x:font>
      <x:b/>
      <x:sz val="11"/>
      <x:color rgb="FF173C30"/>
      <x:name val="Carlito"/>
    </x:font>
    <x:font>
      <x:b/>
      <x:i/>
      <x:sz val="11"/>
      <x:color rgb="FF17324D"/>
      <x:name val="Carlito"/>
    </x:font>
    <x:font>
      <x:sz val="11"/>
      <x:color rgb="FF173C30"/>
      <x:name val="Carlito"/>
    </x:font>
    <x:font>
      <x:b/>
      <x:sz val="11"/>
      <x:color rgb="FF6D1F1F"/>
      <x:name val="Carlito"/>
    </x:font>
    <x:font>
      <x:sz val="11"/>
      <x:color rgb="FF6D1F1F"/>
      <x:name val="Carlito"/>
    </x:font>
    <x:font>
      <x:b/>
      <x:sz val="12"/>
      <x:color rgb="FFFFFFFF"/>
      <x:name val="Carlito"/>
    </x:font>
    <x:font>
      <x:b/>
      <x:sz val="11"/>
      <x:color rgb="FF163E5A"/>
      <x:name val="Carlito"/>
    </x:font>
    <x:font>
      <x:sz val="11"/>
      <x:color rgb="FF163E5A"/>
      <x:name val="Carlito"/>
    </x:font>
    <x:font>
      <x:b/>
      <x:sz val="11"/>
      <x:color rgb="FF664400"/>
      <x:name val="Carlito"/>
    </x:font>
    <x:font>
      <x:sz val="11"/>
      <x:color rgb="FF664400"/>
      <x:name val="Carlito"/>
    </x:font>
    <x:font>
      <x:b/>
      <x:sz val="11"/>
      <x:color rgb="FF37424B"/>
      <x:name val="Carlito"/>
    </x:font>
    <x:font>
      <x:sz val="11"/>
      <x:color rgb="FF37424B"/>
      <x:name val="Carlito"/>
    </x:font>
    <x:font>
      <x:b/>
      <x:sz val="11"/>
      <x:color rgb="FF4B2369"/>
      <x:name val="Carlito"/>
    </x:font>
    <x:font>
      <x:sz val="11"/>
      <x:color rgb="FF4B2369"/>
      <x:name val="Carlito"/>
    </x:font>
    <x:font>
      <x:b/>
      <x:sz val="11"/>
      <x:color rgb="FF17324D"/>
      <x:name val="Carlito"/>
    </x:font>
    <x:font>
      <x:sz val="11"/>
      <x:color rgb="FF5A4300"/>
      <x:name val="Carlito"/>
    </x:font>
    <x:font>
      <x:b/>
      <x:sz val="15"/>
      <x:color rgb="FFFFFFFF"/>
      <x:name val="Carlito"/>
    </x:font>
    <x:font>
      <x:sz val="11"/>
      <x:color rgb="FF214A3B"/>
      <x:name val="Carlito"/>
    </x:font>
    <x:font>
      <x:sz val="11"/>
      <x:color rgb="FF8A5A00"/>
      <x:name val="Carlito"/>
    </x:font>
    <x:font>
      <x:sz val="11"/>
      <x:color rgb="FF1F5E8C"/>
      <x:name val="Carlito"/>
    </x:font>
    <x:font>
      <x:sz val="11"/>
      <x:color rgb="FF5D2D83"/>
      <x:name val="Carlito"/>
    </x:font>
    <x:font>
      <x:sz val="10"/>
      <x:color rgb="FF173C30"/>
      <x:name val="Carlito"/>
    </x:font>
    <x:font>
      <x:sz val="10"/>
      <x:color rgb="FF163E5A"/>
      <x:name val="Carlito"/>
    </x:font>
    <x:font>
      <x:sz val="10"/>
      <x:color rgb="FF6D1F1F"/>
      <x:name val="Carlito"/>
    </x:font>
  </x:fonts>
  <x:fills count="86">
    <x:fill>
      <x:patternFill patternType="none"/>
    </x:fill>
    <x:fill>
      <x:patternFill patternType="gray125"/>
    </x:fill>
    <x:fill>
      <x:patternFill patternType="solid">
        <x:fgColor rgb="FF14213D"/>
      </x:patternFill>
    </x:fill>
    <x:fill>
      <x:patternFill patternType="solid">
        <x:fgColor rgb="FF2F5597"/>
      </x:patternFill>
    </x:fill>
    <x:fill>
      <x:patternFill patternType="solid">
        <x:fgColor rgb="FFEAF2F8"/>
      </x:patternFill>
    </x:fill>
    <x:fill>
      <x:patternFill patternType="solid">
        <x:fgColor rgb="FFFFF2CC"/>
      </x:patternFill>
    </x:fill>
    <x:fill>
      <x:patternFill patternType="solid">
        <x:fgColor rgb="FF2F5597"/>
      </x:patternFill>
    </x:fill>
    <x:fill>
      <x:patternFill patternType="solid">
        <x:fgColor rgb="FF2F5597"/>
      </x:patternFill>
    </x:fill>
    <x:fill>
      <x:patternFill patternType="solid">
        <x:fgColor rgb="FFFFF2CC"/>
      </x:patternFill>
    </x:fill>
    <x:fill>
      <x:patternFill patternType="solid">
        <x:fgColor rgb="FF14213D"/>
      </x:patternFill>
    </x:fill>
    <x:fill>
      <x:patternFill patternType="solid">
        <x:fgColor rgb="FF102A43"/>
      </x:patternFill>
    </x:fill>
    <x:fill>
      <x:patternFill patternType="solid">
        <x:fgColor rgb="FFEEF2F6"/>
      </x:patternFill>
    </x:fill>
    <x:fill>
      <x:patternFill patternType="solid">
        <x:fgColor rgb="FF1565C0"/>
      </x:patternFill>
    </x:fill>
    <x:fill>
      <x:patternFill patternType="solid">
        <x:fgColor rgb="FFDCEEFF"/>
      </x:patternFill>
    </x:fill>
    <x:fill>
      <x:patternFill patternType="solid">
        <x:fgColor rgb="FFFFFFFF"/>
      </x:patternFill>
    </x:fill>
    <x:fill>
      <x:patternFill patternType="solid">
        <x:fgColor rgb="FF0B7285"/>
      </x:patternFill>
    </x:fill>
    <x:fill>
      <x:patternFill patternType="solid">
        <x:fgColor rgb="FFDFF5F7"/>
      </x:patternFill>
    </x:fill>
    <x:fill>
      <x:patternFill patternType="solid">
        <x:fgColor rgb="FF2E7D32"/>
      </x:patternFill>
    </x:fill>
    <x:fill>
      <x:patternFill patternType="solid">
        <x:fgColor rgb="FFE7F4E8"/>
      </x:patternFill>
    </x:fill>
    <x:fill>
      <x:patternFill patternType="solid">
        <x:fgColor rgb="FF6A1B9A"/>
      </x:patternFill>
    </x:fill>
    <x:fill>
      <x:patternFill patternType="solid">
        <x:fgColor rgb="FFF1E6F7"/>
      </x:patternFill>
    </x:fill>
    <x:fill>
      <x:patternFill patternType="solid">
        <x:fgColor rgb="FFA66A00"/>
      </x:patternFill>
    </x:fill>
    <x:fill>
      <x:patternFill patternType="solid">
        <x:fgColor rgb="FFFFF6D9"/>
      </x:patternFill>
    </x:fill>
    <x:fill>
      <x:patternFill patternType="solid">
        <x:fgColor rgb="FFE65100"/>
      </x:patternFill>
    </x:fill>
    <x:fill>
      <x:patternFill patternType="solid">
        <x:fgColor rgb="FFFFF0E6"/>
      </x:patternFill>
    </x:fill>
    <x:fill>
      <x:patternFill patternType="solid">
        <x:fgColor rgb="FFFDECEC"/>
      </x:patternFill>
    </x:fill>
    <x:fill>
      <x:patternFill patternType="solid">
        <x:fgColor rgb="FFC62828"/>
      </x:patternFill>
    </x:fill>
    <x:fill>
      <x:patternFill patternType="solid">
        <x:fgColor rgb="FF52606D"/>
      </x:patternFill>
    </x:fill>
    <x:fill>
      <x:patternFill patternType="solid">
        <x:fgColor rgb="FFFFE082"/>
      </x:patternFill>
    </x:fill>
    <x:fill>
      <x:patternFill patternType="solid">
        <x:fgColor rgb="FFC62828"/>
      </x:patternFill>
    </x:fill>
    <x:fill>
      <x:patternFill patternType="solid">
        <x:fgColor rgb="FFFFF6D9"/>
      </x:patternFill>
    </x:fill>
    <x:fill>
      <x:patternFill patternType="solid">
        <x:fgColor rgb="FFFDECEC"/>
      </x:patternFill>
    </x:fill>
    <x:fill>
      <x:patternFill patternType="solid">
        <x:fgColor rgb="FF0B7285"/>
      </x:patternFill>
    </x:fill>
    <x:fill>
      <x:patternFill patternType="solid">
        <x:fgColor rgb="FFE7F4E8"/>
      </x:patternFill>
    </x:fill>
    <x:fill>
      <x:patternFill patternType="solid">
        <x:fgColor rgb="FFDCEEFF"/>
      </x:patternFill>
    </x:fill>
    <x:fill>
      <x:patternFill patternType="solid">
        <x:fgColor rgb="FFEEF2F6"/>
      </x:patternFill>
    </x:fill>
    <x:fill>
      <x:patternFill patternType="solid">
        <x:fgColor rgb="FF102A43"/>
      </x:patternFill>
    </x:fill>
    <x:fill>
      <x:patternFill patternType="solid">
        <x:fgColor rgb="FF1565C0"/>
      </x:patternFill>
    </x:fill>
    <x:fill>
      <x:patternFill patternType="solid">
        <x:fgColor rgb="FF2E7D32"/>
      </x:patternFill>
    </x:fill>
    <x:fill>
      <x:patternFill patternType="solid">
        <x:fgColor rgb="FFFFF6D9"/>
      </x:patternFill>
    </x:fill>
    <x:fill>
      <x:patternFill patternType="solid">
        <x:fgColor rgb="FFFFFFFF"/>
      </x:patternFill>
    </x:fill>
    <x:fill>
      <x:patternFill patternType="solid">
        <x:fgColor rgb="FF0B7285"/>
      </x:patternFill>
    </x:fill>
    <x:fill>
      <x:patternFill patternType="solid">
        <x:fgColor rgb="FF102A43"/>
      </x:patternFill>
    </x:fill>
    <x:fill>
      <x:patternFill patternType="solid">
        <x:fgColor rgb="FFFFF6D9"/>
      </x:patternFill>
    </x:fill>
    <x:fill>
      <x:patternFill patternType="solid">
        <x:fgColor rgb="FF0B7285"/>
      </x:patternFill>
    </x:fill>
    <x:fill>
      <x:patternFill patternType="solid">
        <x:fgColor rgb="FF102A43"/>
      </x:patternFill>
    </x:fill>
    <x:fill>
      <x:patternFill patternType="solid">
        <x:fgColor rgb="FF102A43"/>
      </x:patternFill>
    </x:fill>
    <x:fill>
      <x:patternFill patternType="solid">
        <x:fgColor rgb="FFDDEBF7"/>
      </x:patternFill>
    </x:fill>
    <x:fill>
      <x:patternFill patternType="solid">
        <x:fgColor rgb="FFFFF2CC"/>
      </x:patternFill>
    </x:fill>
    <x:fill>
      <x:patternFill patternType="solid">
        <x:fgColor rgb="FFFDECEC"/>
      </x:patternFill>
    </x:fill>
    <x:fill>
      <x:patternFill patternType="solid">
        <x:fgColor rgb="FF5B2C83"/>
      </x:patternFill>
    </x:fill>
    <x:fill>
      <x:patternFill patternType="solid">
        <x:fgColor rgb="FFD9EAF7"/>
      </x:patternFill>
    </x:fill>
    <x:fill>
      <x:patternFill patternType="solid">
        <x:fgColor rgb="FFF3EAF8"/>
      </x:patternFill>
    </x:fill>
    <x:fill>
      <x:patternFill patternType="solid">
        <x:fgColor rgb="FF3E6B5B"/>
      </x:patternFill>
    </x:fill>
    <x:fill>
      <x:patternFill patternType="solid">
        <x:fgColor rgb="FFD9EAF7"/>
      </x:patternFill>
    </x:fill>
    <x:fill>
      <x:patternFill patternType="solid">
        <x:fgColor rgb="FF214A3B"/>
      </x:patternFill>
    </x:fill>
    <x:fill>
      <x:patternFill patternType="solid">
        <x:fgColor rgb="FFDDEFE7"/>
      </x:patternFill>
    </x:fill>
    <x:fill>
      <x:patternFill patternType="solid">
        <x:fgColor rgb="FF17324D"/>
      </x:patternFill>
    </x:fill>
    <x:fill>
      <x:patternFill patternType="solid">
        <x:fgColor rgb="FFDCE7F0"/>
      </x:patternFill>
    </x:fill>
    <x:fill>
      <x:patternFill patternType="solid">
        <x:fgColor rgb="FFFBE4E4"/>
      </x:patternFill>
    </x:fill>
    <x:fill>
      <x:patternFill patternType="solid">
        <x:fgColor rgb="FFE3F0F8"/>
      </x:patternFill>
    </x:fill>
    <x:fill>
      <x:patternFill patternType="solid">
        <x:fgColor rgb="FFFFF1CC"/>
      </x:patternFill>
    </x:fill>
    <x:fill>
      <x:patternFill patternType="solid">
        <x:fgColor rgb="FFEEF1F3"/>
      </x:patternFill>
    </x:fill>
    <x:fill>
      <x:patternFill patternType="solid">
        <x:fgColor rgb="FFF0E6F7"/>
      </x:patternFill>
    </x:fill>
    <x:fill>
      <x:patternFill patternType="solid">
        <x:fgColor rgb="FFF7F9FB"/>
      </x:patternFill>
    </x:fill>
    <x:fill>
      <x:patternFill patternType="solid">
        <x:fgColor rgb="FFFFF7DF"/>
      </x:patternFill>
    </x:fill>
    <x:fill>
      <x:patternFill patternType="solid">
        <x:fgColor rgb="FF17324D"/>
      </x:patternFill>
    </x:fill>
    <x:fill>
      <x:patternFill patternType="solid">
        <x:fgColor rgb="FFE3F0F8"/>
      </x:patternFill>
    </x:fill>
    <x:fill>
      <x:patternFill patternType="solid">
        <x:fgColor rgb="FFDDEFE7"/>
      </x:patternFill>
    </x:fill>
    <x:fill>
      <x:patternFill patternType="solid">
        <x:fgColor rgb="FFFFF1CC"/>
      </x:patternFill>
    </x:fill>
    <x:fill>
      <x:patternFill patternType="solid">
        <x:fgColor rgb="FFF0E6F7"/>
      </x:patternFill>
    </x:fill>
    <x:fill>
      <x:patternFill patternType="solid">
        <x:fgColor rgb="FFFBE4E4"/>
      </x:patternFill>
    </x:fill>
    <x:fill>
      <x:patternFill patternType="solid">
        <x:fgColor rgb="FFEEF1F3"/>
      </x:patternFill>
    </x:fill>
    <x:fill>
      <x:patternFill patternType="solid">
        <x:fgColor rgb="FF214A3B"/>
      </x:patternFill>
    </x:fill>
    <x:fill>
      <x:patternFill patternType="solid">
        <x:fgColor rgb="FF1F5E8C"/>
      </x:patternFill>
    </x:fill>
    <x:fill>
      <x:patternFill patternType="solid">
        <x:fgColor rgb="FF5D2D83"/>
      </x:patternFill>
    </x:fill>
    <x:fill>
      <x:patternFill patternType="solid">
        <x:fgColor rgb="FF8A5A00"/>
      </x:patternFill>
    </x:fill>
    <x:fill>
      <x:patternFill patternType="solid">
        <x:fgColor rgb="FFDCE7F0"/>
      </x:patternFill>
    </x:fill>
    <x:fill>
      <x:patternFill patternType="solid">
        <x:fgColor rgb="FF17324D"/>
      </x:patternFill>
    </x:fill>
    <x:fill>
      <x:patternFill patternType="solid">
        <x:fgColor rgb="FF17324D"/>
      </x:patternFill>
    </x:fill>
    <x:fill>
      <x:patternFill patternType="solid">
        <x:fgColor rgb="FFDDEFE7"/>
      </x:patternFill>
    </x:fill>
    <x:fill>
      <x:patternFill patternType="solid">
        <x:fgColor rgb="FFE3F0F8"/>
      </x:patternFill>
    </x:fill>
    <x:fill>
      <x:patternFill patternType="solid">
        <x:fgColor rgb="FF17324D"/>
      </x:patternFill>
    </x:fill>
    <x:fill>
      <x:patternFill patternType="solid">
        <x:fgColor rgb="FF17324D"/>
      </x:patternFill>
    </x:fill>
    <x:fill>
      <x:patternFill patternType="solid">
        <x:fgColor rgb="FFFBE4E4"/>
      </x:patternFill>
    </x:fill>
    <x:fill>
      <x:patternFill patternType="solid">
        <x:fgColor rgb="FFE3F0F8"/>
      </x:patternFill>
    </x:fill>
  </x:fills>
  <x:borders count="81">
    <x:border/>
    <x:border/>
    <x:border>
      <x:left style="thin">
        <x:color rgb="FFD0D7DE"/>
      </x:left>
      <x:top style="thin">
        <x:color rgb="FFD0D7DE"/>
      </x:top>
    </x:border>
    <x:border>
      <x:right style="thin">
        <x:color rgb="FFD0D7DE"/>
      </x:right>
      <x:top style="thin">
        <x:color rgb="FFD0D7DE"/>
      </x:top>
    </x:border>
    <x:border>
      <x:left style="thin">
        <x:color rgb="FFD0D7DE"/>
      </x:left>
    </x:border>
    <x:border>
      <x:right style="thin">
        <x:color rgb="FFD0D7DE"/>
      </x:right>
    </x:border>
    <x:border>
      <x:left style="thin">
        <x:color rgb="FFD0D7DE"/>
      </x:left>
      <x:bottom style="thin">
        <x:color rgb="FFD0D7DE"/>
      </x:bottom>
    </x:border>
    <x:border>
      <x:right style="thin">
        <x:color rgb="FFD0D7DE"/>
      </x:right>
      <x:bottom style="thin">
        <x:color rgb="FFD0D7DE"/>
      </x:bottom>
    </x:border>
    <x:border>
      <x:left style="thin">
        <x:color rgb="FFD0D7DE"/>
      </x:left>
      <x:top style="thin">
        <x:color rgb="FFD0D7DE"/>
      </x:top>
    </x:border>
    <x:border>
      <x:right style="thin">
        <x:color rgb="FFD0D7DE"/>
      </x:right>
      <x:top style="thin">
        <x:color rgb="FFD0D7DE"/>
      </x:top>
    </x:border>
    <x:border>
      <x:left style="thin">
        <x:color rgb="FFD0D7DE"/>
      </x:left>
    </x:border>
    <x:border>
      <x:right style="thin">
        <x:color rgb="FFD0D7DE"/>
      </x:right>
    </x:border>
    <x:border>
      <x:left style="thin">
        <x:color rgb="FFD0D7DE"/>
      </x:left>
      <x:bottom style="thin">
        <x:color rgb="FFD0D7DE"/>
      </x:bottom>
    </x:border>
    <x:border>
      <x:right style="thin">
        <x:color rgb="FFD0D7DE"/>
      </x:right>
      <x:bottom style="thin">
        <x:color rgb="FFD0D7DE"/>
      </x:bottom>
    </x:border>
    <x:border>
      <x:top style="thin">
        <x:color rgb="FFD0D7DE"/>
      </x:top>
    </x:border>
    <x:border>
      <x:bottom style="thin">
        <x:color rgb="FFD0D7DE"/>
      </x:bottom>
    </x:border>
    <x:border>
      <x:top style="thin">
        <x:color rgb="FFD0D7DE"/>
      </x:top>
    </x:border>
    <x:border>
      <x:bottom style="thin">
        <x:color rgb="FFD0D7DE"/>
      </x:bottom>
    </x:border>
    <x:border>
      <x:left style="thin">
        <x:color rgb="FFC9B458"/>
      </x:left>
      <x:right style="thin">
        <x:color rgb="FFC9B458"/>
      </x:right>
      <x:top style="thin">
        <x:color rgb="FFC9B458"/>
      </x:top>
    </x:border>
    <x:border>
      <x:left style="thin">
        <x:color rgb="FFC9B458"/>
      </x:left>
      <x:right style="thin">
        <x:color rgb="FFC9B458"/>
      </x:right>
    </x:border>
    <x:border>
      <x:left style="thin">
        <x:color rgb="FFC9B458"/>
      </x:left>
      <x:right style="thin">
        <x:color rgb="FFC9B458"/>
      </x:right>
      <x:bottom style="thin">
        <x:color rgb="FFC9B458"/>
      </x:bottom>
    </x:border>
    <x:border>
      <x:left style="thin">
        <x:color rgb="FFC9B458"/>
      </x:left>
      <x:right style="thin">
        <x:color rgb="FFC9B458"/>
      </x:right>
      <x:top style="thin">
        <x:color rgb="FFC9B458"/>
      </x:top>
    </x:border>
    <x:border>
      <x:left style="thin">
        <x:color rgb="FFC9B458"/>
      </x:left>
      <x:right style="thin">
        <x:color rgb="FFC9B458"/>
      </x:right>
    </x:border>
    <x:border>
      <x:left style="thin">
        <x:color rgb="FFC9B458"/>
      </x:left>
      <x:right style="thin">
        <x:color rgb="FFC9B458"/>
      </x:right>
      <x:bottom style="thin">
        <x:color rgb="FFC9B458"/>
      </x:bottom>
    </x:border>
    <x:border>
      <x:left style="thin">
        <x:color rgb="FFD0D7DE"/>
      </x:left>
      <x:right style="thin">
        <x:color rgb="FFD0D7DE"/>
      </x:right>
      <x:top style="thin">
        <x:color rgb="FFD0D7DE"/>
      </x:top>
    </x:border>
    <x:border>
      <x:left style="thin">
        <x:color rgb="FFD0D7DE"/>
      </x:left>
      <x:right style="thin">
        <x:color rgb="FFD0D7DE"/>
      </x:right>
    </x:border>
    <x:border>
      <x:left style="thin">
        <x:color rgb="FFD0D7DE"/>
      </x:left>
      <x:right style="thin">
        <x:color rgb="FFD0D7DE"/>
      </x:right>
      <x:bottom style="thin">
        <x:color rgb="FFD0D7DE"/>
      </x:bottom>
    </x:border>
    <x:border>
      <x:left style="thin">
        <x:color rgb="FFD0D7DE"/>
      </x:left>
      <x:right style="thin">
        <x:color rgb="FFD0D7DE"/>
      </x:right>
      <x:bottom style="thin">
        <x:color rgb="FFC9B458"/>
      </x:bottom>
    </x:border>
    <x:border>
      <x:left style="thin">
        <x:color rgb="FFD0D7DE"/>
      </x:left>
      <x:top style="thin">
        <x:color rgb="FFD0D7DE"/>
      </x:top>
      <x:bottom style="thin">
        <x:color rgb="FFD0D7DE"/>
      </x:bottom>
    </x:border>
    <x:border>
      <x:top style="thin">
        <x:color rgb="FFD0D7DE"/>
      </x:top>
      <x:bottom style="thin">
        <x:color rgb="FFD0D7DE"/>
      </x:bottom>
    </x:border>
    <x:border>
      <x:right style="thin">
        <x:color rgb="FFD0D7DE"/>
      </x:right>
      <x:top style="thin">
        <x:color rgb="FFD0D7DE"/>
      </x:top>
      <x:bottom style="thin">
        <x:color rgb="FFD0D7DE"/>
      </x:bottom>
    </x:border>
    <x:border>
      <x:left style="thin">
        <x:color rgb="FFD0D7DE"/>
      </x:left>
      <x:right style="thin">
        <x:color rgb="FFD0D7DE"/>
      </x:right>
      <x:top style="thin">
        <x:color rgb="FFD0D7DE"/>
      </x:top>
      <x:bottom style="thin">
        <x:color rgb="FFD0D7DE"/>
      </x:bottom>
    </x:border>
    <x:border>
      <x:left style="thin">
        <x:color rgb="FFD7DEE7"/>
      </x:left>
      <x:top style="thin">
        <x:color rgb="FFD7DEE7"/>
      </x:top>
      <x:bottom style="thin">
        <x:color rgb="FFD7DEE7"/>
      </x:bottom>
    </x:border>
    <x:border>
      <x:right style="thin">
        <x:color rgb="FFD0D7DE"/>
      </x:right>
      <x:top style="thin">
        <x:color rgb="FFD7DEE7"/>
      </x:top>
      <x:bottom style="thin">
        <x:color rgb="FFD7DEE7"/>
      </x:bottom>
    </x:border>
    <x:border>
      <x:right style="thin">
        <x:color rgb="FFD7DEE7"/>
      </x:right>
      <x:top style="thin">
        <x:color rgb="FFD7DEE7"/>
      </x:top>
      <x:bottom style="thin">
        <x:color rgb="FFD7DEE7"/>
      </x:bottom>
    </x:border>
    <x:border>
      <x:left style="thin">
        <x:color rgb="FFD7DEE7"/>
      </x:left>
      <x:top style="thin">
        <x:color rgb="FFD7DEE7"/>
      </x:top>
    </x:border>
    <x:border>
      <x:right style="thin">
        <x:color rgb="FFD0D7DE"/>
      </x:right>
      <x:top style="thin">
        <x:color rgb="FFD7DEE7"/>
      </x:top>
    </x:border>
    <x:border>
      <x:right style="thin">
        <x:color rgb="FFD7DEE7"/>
      </x:right>
      <x:top style="thin">
        <x:color rgb="FFD7DEE7"/>
      </x:top>
    </x:border>
    <x:border>
      <x:left style="thin">
        <x:color rgb="FFD7DEE7"/>
      </x:left>
      <x:bottom style="thin">
        <x:color rgb="FFD7DEE7"/>
      </x:bottom>
    </x:border>
    <x:border>
      <x:right style="thin">
        <x:color rgb="FFD0D7DE"/>
      </x:right>
      <x:bottom style="thin">
        <x:color rgb="FFD7DEE7"/>
      </x:bottom>
    </x:border>
    <x:border>
      <x:right style="thin">
        <x:color rgb="FFD7DEE7"/>
      </x:right>
      <x:bottom style="thin">
        <x:color rgb="FFD7DEE7"/>
      </x:bottom>
    </x:border>
    <x:border>
      <x:top style="thin">
        <x:color rgb="FFD7DEE7"/>
      </x:top>
      <x:bottom style="thin">
        <x:color rgb="FFD7DEE7"/>
      </x:bottom>
    </x:border>
    <x:border>
      <x:top style="thin">
        <x:color rgb="FFD7DEE7"/>
      </x:top>
    </x:border>
    <x:border>
      <x:left style="thin">
        <x:color rgb="FFD7DEE7"/>
      </x:left>
    </x:border>
    <x:border>
      <x:right style="thin">
        <x:color rgb="FFD7DEE7"/>
      </x:right>
    </x:border>
    <x:border>
      <x:bottom style="thin">
        <x:color rgb="FFD7DEE7"/>
      </x:bottom>
    </x:border>
    <x:border>
      <x:left style="thin">
        <x:color rgb="FFD7DEE7"/>
      </x:left>
      <x:right style="thin">
        <x:color rgb="FFD0D7DE"/>
      </x:right>
      <x:top style="thin">
        <x:color rgb="FFD7DEE7"/>
      </x:top>
      <x:bottom style="thin">
        <x:color rgb="FFD7DEE7"/>
      </x:bottom>
    </x:border>
    <x:border>
      <x:left style="thin">
        <x:color rgb="FFD0D7DE"/>
      </x:left>
      <x:right style="thin">
        <x:color rgb="FFD7DEE7"/>
      </x:right>
      <x:top style="thin">
        <x:color rgb="FFD7DEE7"/>
      </x:top>
      <x:bottom style="thin">
        <x:color rgb="FFD7DEE7"/>
      </x:bottom>
    </x:border>
    <x:border>
      <x:left style="thin">
        <x:color rgb="FFD7DEE7"/>
      </x:left>
      <x:right style="thin">
        <x:color rgb="FFD0D7DE"/>
      </x:right>
      <x:top style="thin">
        <x:color rgb="FFD7DEE7"/>
      </x:top>
    </x:border>
    <x:border>
      <x:left style="thin">
        <x:color rgb="FFD0D7DE"/>
      </x:left>
      <x:right style="thin">
        <x:color rgb="FFD7DEE7"/>
      </x:right>
      <x:top style="thin">
        <x:color rgb="FFD7DEE7"/>
      </x:top>
    </x:border>
    <x:border>
      <x:left style="thin">
        <x:color rgb="FFD7DEE7"/>
      </x:left>
      <x:right style="thin">
        <x:color rgb="FFD0D7DE"/>
      </x:right>
    </x:border>
    <x:border>
      <x:left style="thin">
        <x:color rgb="FFD0D7DE"/>
      </x:left>
      <x:right style="thin">
        <x:color rgb="FFD7DEE7"/>
      </x:right>
    </x:border>
    <x:border>
      <x:left style="thin">
        <x:color rgb="FFD7DEE7"/>
      </x:left>
      <x:right style="thin">
        <x:color rgb="FFD0D7DE"/>
      </x:right>
      <x:bottom style="thin">
        <x:color rgb="FFD7DEE7"/>
      </x:bottom>
    </x:border>
    <x:border>
      <x:left style="thin">
        <x:color rgb="FFD0D7DE"/>
      </x:left>
      <x:right style="thin">
        <x:color rgb="FFD7DEE7"/>
      </x:right>
      <x:bottom style="thin">
        <x:color rgb="FFD7DEE7"/>
      </x:bottom>
    </x:border>
    <x:border>
      <x:left style="thin">
        <x:color rgb="FFD0D7DE"/>
      </x:left>
      <x:right style="thin">
        <x:color rgb="FFD7DEE7"/>
      </x:right>
      <x:top style="thin">
        <x:color rgb="FFD7DEE7"/>
      </x:top>
      <x:bottom style="thin">
        <x:color rgb="FFD0D7DE"/>
      </x:bottom>
    </x:border>
    <x:border>
      <x:left style="thin">
        <x:color rgb="FFD7DEE7"/>
      </x:left>
      <x:top style="thin">
        <x:color rgb="FFD7DEE7"/>
      </x:top>
      <x:bottom style="thin">
        <x:color rgb="FFD0D7DE"/>
      </x:bottom>
    </x:border>
    <x:border>
      <x:right style="thin">
        <x:color rgb="FFD7DEE7"/>
      </x:right>
      <x:top style="thin">
        <x:color rgb="FFD7DEE7"/>
      </x:top>
      <x:bottom style="thin">
        <x:color rgb="FFD0D7DE"/>
      </x:bottom>
    </x:border>
    <x:border>
      <x:left style="thin">
        <x:color rgb="FFD7DEE7"/>
      </x:left>
      <x:right style="thin">
        <x:color rgb="FFD0D7DE"/>
      </x:right>
      <x:top style="thin">
        <x:color rgb="FFD7DEE7"/>
      </x:top>
      <x:bottom style="thin">
        <x:color rgb="FFD0D7DE"/>
      </x:bottom>
    </x:border>
    <x:border>
      <x:top style="thin">
        <x:color rgb="FFD7DEE7"/>
      </x:top>
      <x:bottom style="thin">
        <x:color rgb="FFD0D7DE"/>
      </x:bottom>
    </x:border>
    <x:border>
      <x:left style="thin">
        <x:color rgb="FFC9B458"/>
      </x:left>
      <x:right style="thin">
        <x:color rgb="FFD7DEE7"/>
      </x:right>
      <x:top style="thin">
        <x:color rgb="FFD7DEE7"/>
      </x:top>
    </x:border>
    <x:border>
      <x:left style="thin">
        <x:color rgb="FFC9B458"/>
      </x:left>
      <x:right style="thin">
        <x:color rgb="FFD7DEE7"/>
      </x:right>
    </x:border>
    <x:border>
      <x:left style="thin">
        <x:color rgb="FFC9B458"/>
      </x:left>
      <x:right style="thin">
        <x:color rgb="FFD7DEE7"/>
      </x:right>
      <x:bottom style="thin">
        <x:color rgb="FFD7DEE7"/>
      </x:bottom>
    </x:border>
    <x:border>
      <x:left style="thin">
        <x:color rgb="FFD7DEE7"/>
      </x:left>
      <x:right style="thin">
        <x:color rgb="FFD7DEE7"/>
      </x:right>
      <x:top style="thin">
        <x:color rgb="FFD7DEE7"/>
      </x:top>
    </x:border>
    <x:border>
      <x:left style="thin">
        <x:color rgb="FFD7DEE7"/>
      </x:left>
      <x:right style="thin">
        <x:color rgb="FFD7DEE7"/>
      </x:right>
    </x:border>
    <x:border>
      <x:left style="thin">
        <x:color rgb="FFD7DEE7"/>
      </x:left>
      <x:right style="thin">
        <x:color rgb="FFD7DEE7"/>
      </x:right>
      <x:bottom style="thin">
        <x:color rgb="FFD7DEE7"/>
      </x:bottom>
    </x:border>
    <x:border>
      <x:left style="medium">
        <x:color rgb="FFA66A00"/>
      </x:left>
      <x:right style="medium">
        <x:color rgb="FFA66A00"/>
      </x:right>
      <x:top style="medium">
        <x:color rgb="FFA66A00"/>
      </x:top>
      <x:bottom style="medium">
        <x:color rgb="FFA66A00"/>
      </x:bottom>
    </x:border>
    <x:border>
      <x:left style="thin">
        <x:color rgb="FFD7DEE7"/>
      </x:left>
      <x:top style="thin">
        <x:color rgb="FFD0D7DE"/>
      </x:top>
    </x:border>
    <x:border>
      <x:right style="thin">
        <x:color rgb="FFD7DEE7"/>
      </x:right>
      <x:top style="thin">
        <x:color rgb="FFD0D7DE"/>
      </x:top>
    </x:border>
    <x:border>
      <x:left style="thin">
        <x:color rgb="FFD7DEE7"/>
      </x:left>
      <x:right style="thin">
        <x:color rgb="FFD7DEE7"/>
      </x:right>
      <x:bottom style="thin">
        <x:color rgb="FFC9B458"/>
      </x:bottom>
    </x:border>
    <x:border>
      <x:left style="thin">
        <x:color rgb="FFD7DEE7"/>
      </x:left>
      <x:bottom style="thin">
        <x:color rgb="FFD0D7DE"/>
      </x:bottom>
    </x:border>
    <x:border>
      <x:right style="thin">
        <x:color rgb="FFD7DEE7"/>
      </x:right>
      <x:bottom style="thin">
        <x:color rgb="FFD0D7DE"/>
      </x:bottom>
    </x:border>
    <x:border>
      <x:left style="thin">
        <x:color rgb="FFD7DEE7"/>
      </x:left>
      <x:right style="thin">
        <x:color rgb="FFD7DEE7"/>
      </x:right>
      <x:top style="thin">
        <x:color rgb="FFD7DEE7"/>
      </x:top>
      <x:bottom style="thin">
        <x:color rgb="FFD7DEE7"/>
      </x:bottom>
    </x:border>
    <x:border/>
    <x:border/>
    <x:border/>
    <x:border/>
    <x:border/>
    <x:border/>
    <x:border/>
    <x:border/>
    <x:border/>
  </x:borders>
  <x:cellStyleXfs count="1">
    <x:xf numFmtId="0" fontId="0" fillId="0" borderId="0"/>
  </x:cellStyleXfs>
  <x:cellXfs count="246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  <x:xf numFmtId="0" fontId="0" fillId="0" borderId="14" xfId="0" applyNumberFormat="1" applyFont="1" applyFill="1" applyBorder="1"/>
    <x:xf numFmtId="0" fontId="0" fillId="0" borderId="0" xfId="0" applyNumberFormat="1" applyFont="1" applyFill="1" applyBorder="1"/>
    <x:xf numFmtId="0" fontId="0" fillId="0" borderId="15" xfId="0" applyNumberFormat="1" applyFont="1" applyFill="1" applyBorder="1"/>
    <x:xf numFmtId="0" fontId="0" fillId="0" borderId="14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6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17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horizontal="center"/>
    </x:xf>
    <x:xf numFmtId="0" fontId="0" fillId="0" borderId="14" xfId="0" applyNumberFormat="1" applyFont="1" applyFill="1" applyBorder="1" applyAlignment="1">
      <x:alignment horizontal="center"/>
    </x:xf>
    <x:xf numFmtId="0" fontId="0" fillId="0" borderId="3" xfId="0" applyNumberFormat="1" applyFont="1" applyFill="1" applyBorder="1" applyAlignment="1">
      <x:alignment horizontal="center"/>
    </x:xf>
    <x:xf numFmtId="0" fontId="0" fillId="0" borderId="4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horizontal="center"/>
    </x:xf>
    <x:xf numFmtId="0" fontId="0" fillId="0" borderId="5" xfId="0" applyNumberFormat="1" applyFont="1" applyFill="1" applyBorder="1" applyAlignment="1">
      <x:alignment horizontal="center"/>
    </x:xf>
    <x:xf numFmtId="0" fontId="0" fillId="0" borderId="6" xfId="0" applyNumberFormat="1" applyFont="1" applyFill="1" applyBorder="1" applyAlignment="1">
      <x:alignment horizontal="center"/>
    </x:xf>
    <x:xf numFmtId="0" fontId="0" fillId="0" borderId="15" xfId="0" applyNumberFormat="1" applyFont="1" applyFill="1" applyBorder="1" applyAlignment="1">
      <x:alignment horizontal="center"/>
    </x:xf>
    <x:xf numFmtId="0" fontId="0" fillId="0" borderId="7" xfId="0" applyNumberFormat="1" applyFont="1" applyFill="1" applyBorder="1" applyAlignment="1">
      <x:alignment horizontal="center"/>
    </x:xf>
    <x:xf numFmtId="0" fontId="0" fillId="0" borderId="8" xfId="0" applyNumberFormat="1" applyFont="1" applyFill="1" applyBorder="1" applyAlignment="1">
      <x:alignment horizontal="center"/>
    </x:xf>
    <x:xf numFmtId="0" fontId="0" fillId="0" borderId="16" xfId="0" applyNumberFormat="1" applyFont="1" applyFill="1" applyBorder="1" applyAlignment="1">
      <x:alignment horizontal="center"/>
    </x:xf>
    <x:xf numFmtId="0" fontId="0" fillId="0" borderId="9" xfId="0" applyNumberFormat="1" applyFont="1" applyFill="1" applyBorder="1" applyAlignment="1">
      <x:alignment horizontal="center"/>
    </x:xf>
    <x:xf numFmtId="0" fontId="0" fillId="0" borderId="10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 applyAlignment="1">
      <x:alignment horizontal="center"/>
    </x:xf>
    <x:xf numFmtId="0" fontId="0" fillId="0" borderId="11" xfId="0" applyNumberFormat="1" applyFont="1" applyFill="1" applyBorder="1" applyAlignment="1">
      <x:alignment horizontal="center"/>
    </x:xf>
    <x:xf numFmtId="0" fontId="0" fillId="0" borderId="12" xfId="0" applyNumberFormat="1" applyFont="1" applyFill="1" applyBorder="1" applyAlignment="1">
      <x:alignment horizontal="center"/>
    </x:xf>
    <x:xf numFmtId="0" fontId="0" fillId="0" borderId="17" xfId="0" applyNumberFormat="1" applyFont="1" applyFill="1" applyBorder="1" applyAlignment="1">
      <x:alignment horizontal="center"/>
    </x:xf>
    <x:xf numFmtId="0" fontId="0" fillId="0" borderId="13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0" fillId="5" borderId="3" xfId="0" applyNumberFormat="1" applyFont="1" applyFill="1" applyBorder="1" applyAlignment="1">
      <x:alignment vertical="top" wrapText="1"/>
    </x:xf>
    <x:xf numFmtId="0" fontId="0" fillId="5" borderId="5" xfId="0" applyNumberFormat="1" applyFont="1" applyFill="1" applyBorder="1" applyAlignment="1">
      <x:alignment vertical="top" wrapText="1"/>
    </x:xf>
    <x:xf numFmtId="0" fontId="0" fillId="5" borderId="7" xfId="0" applyNumberFormat="1" applyFont="1" applyFill="1" applyBorder="1" applyAlignment="1">
      <x:alignment vertical="top" wrapText="1"/>
    </x:xf>
    <x:xf numFmtId="0" fontId="4" fillId="5" borderId="3" xfId="0" applyNumberFormat="1" applyFont="1" applyFill="1" applyBorder="1" applyAlignment="1">
      <x:alignment vertical="top" wrapText="1"/>
    </x:xf>
    <x:xf numFmtId="0" fontId="4" fillId="5" borderId="5" xfId="0" applyNumberFormat="1" applyFont="1" applyFill="1" applyBorder="1" applyAlignment="1">
      <x:alignment vertical="top" wrapText="1"/>
    </x:xf>
    <x:xf numFmtId="0" fontId="4" fillId="5" borderId="7" xfId="0" applyNumberFormat="1" applyFont="1" applyFill="1" applyBorder="1" applyAlignment="1">
      <x:alignment vertical="top" wrapText="1"/>
    </x:xf>
    <x:xf numFmtId="0" fontId="4" fillId="5" borderId="18" xfId="0" applyNumberFormat="1" applyFont="1" applyFill="1" applyBorder="1" applyAlignment="1">
      <x:alignment vertical="top" wrapText="1"/>
    </x:xf>
    <x:xf numFmtId="0" fontId="4" fillId="5" borderId="19" xfId="0" applyNumberFormat="1" applyFont="1" applyFill="1" applyBorder="1" applyAlignment="1">
      <x:alignment vertical="top" wrapText="1"/>
    </x:xf>
    <x:xf numFmtId="0" fontId="4" fillId="5" borderId="20" xfId="0" applyNumberFormat="1" applyFont="1" applyFill="1" applyBorder="1" applyAlignment="1">
      <x:alignment vertical="top" wrapText="1"/>
    </x:xf>
    <x:xf numFmtId="0" fontId="0" fillId="5" borderId="9" xfId="0" applyNumberFormat="1" applyFont="1" applyFill="1" applyBorder="1" applyAlignment="1">
      <x:alignment vertical="top" wrapText="1"/>
    </x:xf>
    <x:xf numFmtId="0" fontId="0" fillId="5" borderId="11" xfId="0" applyNumberFormat="1" applyFont="1" applyFill="1" applyBorder="1" applyAlignment="1">
      <x:alignment vertical="top" wrapText="1"/>
    </x:xf>
    <x:xf numFmtId="0" fontId="0" fillId="5" borderId="13" xfId="0" applyNumberFormat="1" applyFont="1" applyFill="1" applyBorder="1" applyAlignment="1">
      <x:alignment vertical="top" wrapText="1"/>
    </x:xf>
    <x:xf numFmtId="0" fontId="4" fillId="5" borderId="9" xfId="0" applyNumberFormat="1" applyFont="1" applyFill="1" applyBorder="1" applyAlignment="1">
      <x:alignment vertical="top" wrapText="1"/>
    </x:xf>
    <x:xf numFmtId="0" fontId="4" fillId="5" borderId="11" xfId="0" applyNumberFormat="1" applyFont="1" applyFill="1" applyBorder="1" applyAlignment="1">
      <x:alignment vertical="top" wrapText="1"/>
    </x:xf>
    <x:xf numFmtId="0" fontId="4" fillId="5" borderId="13" xfId="0" applyNumberFormat="1" applyFont="1" applyFill="1" applyBorder="1" applyAlignment="1">
      <x:alignment vertical="top" wrapText="1"/>
    </x:xf>
    <x:xf numFmtId="0" fontId="4" fillId="5" borderId="21" xfId="0" applyNumberFormat="1" applyFont="1" applyFill="1" applyBorder="1" applyAlignment="1">
      <x:alignment vertical="top" wrapText="1"/>
    </x:xf>
    <x:xf numFmtId="0" fontId="4" fillId="5" borderId="22" xfId="0" applyNumberFormat="1" applyFont="1" applyFill="1" applyBorder="1" applyAlignment="1">
      <x:alignment vertical="top" wrapText="1"/>
    </x:xf>
    <x:xf numFmtId="0" fontId="4" fillId="5" borderId="23" xfId="0" applyNumberFormat="1" applyFont="1" applyFill="1" applyBorder="1" applyAlignment="1">
      <x:alignment vertical="top" wrapText="1"/>
    </x:xf>
    <x:xf numFmtId="200" fontId="4" fillId="5" borderId="18" xfId="0" applyNumberFormat="1" applyFont="1" applyFill="1" applyBorder="1" applyAlignment="1">
      <x:alignment vertical="top" wrapText="1"/>
    </x:xf>
    <x:xf numFmtId="200" fontId="4" fillId="5" borderId="21" xfId="0" applyNumberFormat="1" applyFont="1" applyFill="1" applyBorder="1" applyAlignment="1">
      <x:alignment vertical="top" wrapText="1"/>
    </x:xf>
    <x:xf numFmtId="201" fontId="0" fillId="0" borderId="14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 wrapText="1"/>
    </x:xf>
    <x:xf numFmtId="201" fontId="0" fillId="0" borderId="16" xfId="0" applyNumberFormat="1" applyFont="1" applyFill="1" applyBorder="1" applyAlignment="1">
      <x:alignment vertical="top" wrapText="1"/>
    </x:xf>
    <x:xf numFmtId="201" fontId="0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0" fontId="0" fillId="0" borderId="14" xfId="0" applyNumberFormat="1" applyFont="1" applyFill="1" applyBorder="1"/>
    <x:xf numFmtId="200" fontId="0" fillId="0" borderId="15" xfId="0" applyNumberFormat="1" applyFont="1" applyFill="1" applyBorder="1"/>
    <x:xf numFmtId="200" fontId="0" fillId="0" borderId="14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5" xfId="0" applyNumberFormat="1" applyFont="1" applyFill="1" applyBorder="1" applyAlignment="1">
      <x:alignment wrapText="1"/>
    </x:xf>
    <x:xf numFmtId="200" fontId="0" fillId="0" borderId="14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5" xfId="0" applyNumberFormat="1" applyFont="1" applyFill="1" applyBorder="1" applyAlignment="1">
      <x:alignment vertical="top" wrapText="1"/>
    </x:xf>
    <x:xf numFmtId="200" fontId="0" fillId="0" borderId="16" xfId="0" applyNumberFormat="1" applyFont="1" applyFill="1" applyBorder="1"/>
    <x:xf numFmtId="200" fontId="0" fillId="0" borderId="17" xfId="0" applyNumberFormat="1" applyFont="1" applyFill="1" applyBorder="1"/>
    <x:xf numFmtId="200" fontId="0" fillId="0" borderId="16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0" fontId="0" fillId="0" borderId="17" xfId="0" applyNumberFormat="1" applyFont="1" applyFill="1" applyBorder="1" applyAlignment="1">
      <x:alignment wrapText="1"/>
    </x:xf>
    <x:xf numFmtId="200" fontId="0" fillId="0" borderId="16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200" fontId="0" fillId="0" borderId="17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8" xfId="0" applyNumberFormat="1" applyFont="1" applyFill="1" applyBorder="1"/>
    <x:xf numFmtId="0" fontId="4" fillId="5" borderId="19" xfId="0" applyNumberFormat="1" applyFont="1" applyFill="1" applyBorder="1"/>
    <x:xf numFmtId="0" fontId="4" fillId="5" borderId="20" xfId="0" applyNumberFormat="1" applyFont="1" applyFill="1" applyBorder="1"/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21" xfId="0" applyNumberFormat="1" applyFont="1" applyFill="1" applyBorder="1"/>
    <x:xf numFmtId="0" fontId="4" fillId="5" borderId="22" xfId="0" applyNumberFormat="1" applyFont="1" applyFill="1" applyBorder="1"/>
    <x:xf numFmtId="0" fontId="4" fillId="5" borderId="23" xfId="0" applyNumberFormat="1" applyFont="1" applyFill="1" applyBorder="1"/>
    <x:xf numFmtId="201" fontId="0" fillId="0" borderId="15" xfId="0" applyNumberFormat="1" applyFont="1" applyFill="1" applyBorder="1" applyAlignment="1">
      <x:alignment vertical="top" wrapText="1"/>
    </x:xf>
    <x:xf numFmtId="201" fontId="0" fillId="0" borderId="17" xfId="0" applyNumberFormat="1" applyFont="1" applyFill="1" applyBorder="1" applyAlignment="1">
      <x:alignment vertical="top" wrapText="1"/>
    </x:xf>
    <x:xf numFmtId="0" fontId="0" fillId="2" borderId="2" xfId="0" applyNumberFormat="1" applyFont="1" applyFill="1" applyBorder="1" applyAlignment="1">
      <x:alignment wrapText="1"/>
    </x:xf>
    <x:xf numFmtId="0" fontId="0" fillId="2" borderId="14" xfId="0" applyNumberFormat="1" applyFont="1" applyFill="1" applyBorder="1" applyAlignment="1">
      <x:alignment wrapText="1"/>
    </x:xf>
    <x:xf numFmtId="0" fontId="0" fillId="2" borderId="3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14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horizontal="left" wrapText="1"/>
    </x:xf>
    <x:xf numFmtId="0" fontId="1" fillId="2" borderId="14" xfId="0" applyNumberFormat="1" applyFont="1" applyFill="1" applyBorder="1" applyAlignment="1">
      <x:alignment horizontal="left" wrapText="1"/>
    </x:xf>
    <x:xf numFmtId="0" fontId="1" fillId="2" borderId="3" xfId="0" applyNumberFormat="1" applyFont="1" applyFill="1" applyBorder="1" applyAlignment="1">
      <x:alignment horizontal="left" wrapText="1"/>
    </x:xf>
    <x:xf numFmtId="0" fontId="1" fillId="2" borderId="2" xfId="0" applyNumberFormat="1" applyFont="1" applyFill="1" applyBorder="1" applyAlignment="1">
      <x:alignment horizontal="left" vertical="center" wrapText="1"/>
    </x:xf>
    <x:xf numFmtId="0" fontId="1" fillId="2" borderId="14" xfId="0" applyNumberFormat="1" applyFont="1" applyFill="1" applyBorder="1" applyAlignment="1">
      <x:alignment horizontal="left" vertical="center" wrapText="1"/>
    </x:xf>
    <x:xf numFmtId="0" fontId="1" fillId="2" borderId="3" xfId="0" applyNumberFormat="1" applyFont="1" applyFill="1" applyBorder="1" applyAlignment="1">
      <x:alignment horizontal="left" vertical="center" wrapText="1"/>
    </x:xf>
    <x:xf numFmtId="0" fontId="0" fillId="2" borderId="8" xfId="0" applyNumberFormat="1" applyFont="1" applyFill="1" applyBorder="1" applyAlignment="1">
      <x:alignment wrapText="1"/>
    </x:xf>
    <x:xf numFmtId="0" fontId="0" fillId="2" borderId="16" xfId="0" applyNumberFormat="1" applyFont="1" applyFill="1" applyBorder="1" applyAlignment="1">
      <x:alignment wrapText="1"/>
    </x:xf>
    <x:xf numFmtId="0" fontId="0" fillId="2" borderId="9" xfId="0" applyNumberFormat="1" applyFont="1" applyFill="1" applyBorder="1" applyAlignment="1">
      <x:alignment wrapText="1"/>
    </x:xf>
    <x:xf numFmtId="0" fontId="1" fillId="2" borderId="8" xfId="0" applyNumberFormat="1" applyFont="1" applyFill="1" applyBorder="1" applyAlignment="1">
      <x:alignment wrapText="1"/>
    </x:xf>
    <x:xf numFmtId="0" fontId="1" fillId="2" borderId="16" xfId="0" applyNumberFormat="1" applyFont="1" applyFill="1" applyBorder="1" applyAlignment="1">
      <x:alignment wrapText="1"/>
    </x:xf>
    <x:xf numFmtId="0" fontId="1" fillId="2" borderId="9" xfId="0" applyNumberFormat="1" applyFont="1" applyFill="1" applyBorder="1" applyAlignment="1">
      <x:alignment wrapText="1"/>
    </x:xf>
    <x:xf numFmtId="0" fontId="1" fillId="2" borderId="8" xfId="0" applyNumberFormat="1" applyFont="1" applyFill="1" applyBorder="1" applyAlignment="1">
      <x:alignment horizontal="left" wrapText="1"/>
    </x:xf>
    <x:xf numFmtId="0" fontId="1" fillId="2" borderId="16" xfId="0" applyNumberFormat="1" applyFont="1" applyFill="1" applyBorder="1" applyAlignment="1">
      <x:alignment horizontal="left" wrapText="1"/>
    </x:xf>
    <x:xf numFmtId="0" fontId="1" fillId="2" borderId="9" xfId="0" applyNumberFormat="1" applyFont="1" applyFill="1" applyBorder="1" applyAlignment="1">
      <x:alignment horizontal="left" wrapText="1"/>
    </x:xf>
    <x:xf numFmtId="0" fontId="1" fillId="2" borderId="8" xfId="0" applyNumberFormat="1" applyFont="1" applyFill="1" applyBorder="1" applyAlignment="1">
      <x:alignment horizontal="left" vertical="center" wrapText="1"/>
    </x:xf>
    <x:xf numFmtId="0" fontId="1" fillId="2" borderId="16" xfId="0" applyNumberFormat="1" applyFont="1" applyFill="1" applyBorder="1" applyAlignment="1">
      <x:alignment horizontal="left" vertical="center" wrapText="1"/>
    </x:xf>
    <x:xf numFmtId="0" fontId="1" fillId="2" borderId="9" xfId="0" applyNumberFormat="1" applyFont="1" applyFill="1" applyBorder="1" applyAlignment="1">
      <x:alignment horizontal="left" vertical="center" wrapText="1"/>
    </x:xf>
    <x:xf numFmtId="0" fontId="0" fillId="3" borderId="4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wrapText="1"/>
    </x:xf>
    <x:xf numFmtId="0" fontId="0" fillId="3" borderId="5" xfId="0" applyNumberFormat="1" applyFont="1" applyFill="1" applyBorder="1" applyAlignment="1">
      <x:alignment wrapText="1"/>
    </x:xf>
    <x:xf numFmtId="0" fontId="2" fillId="3" borderId="4" xfId="0" applyNumberFormat="1" applyFont="1" applyFill="1" applyBorder="1" applyAlignment="1">
      <x:alignment wrapText="1"/>
    </x:xf>
    <x:xf numFmtId="0" fontId="2" fillId="3" borderId="5" xfId="0" applyNumberFormat="1" applyFont="1" applyFill="1" applyBorder="1" applyAlignment="1">
      <x:alignment wrapText="1"/>
    </x:xf>
    <x:xf numFmtId="0" fontId="2" fillId="3" borderId="4" xfId="0" applyNumberFormat="1" applyFont="1" applyFill="1" applyBorder="1" applyAlignment="1">
      <x:alignment horizontal="center" wrapText="1"/>
    </x:xf>
    <x:xf numFmtId="0" fontId="2" fillId="3" borderId="5" xfId="0" applyNumberFormat="1" applyFont="1" applyFill="1" applyBorder="1" applyAlignment="1">
      <x:alignment horizontal="center" wrapText="1"/>
    </x:xf>
    <x:xf numFmtId="0" fontId="2" fillId="3" borderId="4" xfId="0" applyNumberFormat="1" applyFont="1" applyFill="1" applyBorder="1" applyAlignment="1">
      <x:alignment horizontal="center" vertical="center" wrapText="1"/>
    </x:xf>
    <x:xf numFmtId="0" fontId="2" fillId="3" borderId="5" xfId="0" applyNumberFormat="1" applyFont="1" applyFill="1" applyBorder="1" applyAlignment="1">
      <x:alignment horizontal="center" vertical="center" wrapText="1"/>
    </x:xf>
    <x:xf numFmtId="0" fontId="0" fillId="3" borderId="10" xfId="0" applyNumberFormat="1" applyFont="1" applyFill="1" applyBorder="1" applyAlignment="1">
      <x:alignment wrapText="1"/>
    </x:xf>
    <x:xf numFmtId="0" fontId="0" fillId="3" borderId="1" xfId="0" applyNumberFormat="1" applyFont="1" applyFill="1" applyBorder="1" applyAlignment="1">
      <x:alignment wrapText="1"/>
    </x:xf>
    <x:xf numFmtId="0" fontId="0" fillId="3" borderId="11" xfId="0" applyNumberFormat="1" applyFont="1" applyFill="1" applyBorder="1" applyAlignment="1">
      <x:alignment wrapText="1"/>
    </x:xf>
    <x:xf numFmtId="0" fontId="2" fillId="3" borderId="10" xfId="0" applyNumberFormat="1" applyFont="1" applyFill="1" applyBorder="1" applyAlignment="1">
      <x:alignment wrapText="1"/>
    </x:xf>
    <x:xf numFmtId="0" fontId="2" fillId="3" borderId="11" xfId="0" applyNumberFormat="1" applyFont="1" applyFill="1" applyBorder="1" applyAlignment="1">
      <x:alignment wrapText="1"/>
    </x:xf>
    <x:xf numFmtId="0" fontId="2" fillId="3" borderId="10" xfId="0" applyNumberFormat="1" applyFont="1" applyFill="1" applyBorder="1" applyAlignment="1">
      <x:alignment horizontal="center" wrapText="1"/>
    </x:xf>
    <x:xf numFmtId="0" fontId="2" fillId="3" borderId="11" xfId="0" applyNumberFormat="1" applyFont="1" applyFill="1" applyBorder="1" applyAlignment="1">
      <x:alignment horizontal="center" wrapText="1"/>
    </x:xf>
    <x:xf numFmtId="0" fontId="2" fillId="3" borderId="10" xfId="0" applyNumberFormat="1" applyFont="1" applyFill="1" applyBorder="1" applyAlignment="1">
      <x:alignment horizontal="center" vertical="center" wrapText="1"/>
    </x:xf>
    <x:xf numFmtId="0" fontId="2" fillId="3" borderId="11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horizontal="center" wrapText="1"/>
    </x:xf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wrapText="1"/>
    </x:xf>
    <x:xf numFmtId="0" fontId="5" fillId="3" borderId="0" xfId="0" applyNumberFormat="1" applyFont="1" applyFill="1" applyBorder="1" applyAlignment="1">
      <x:alignment horizontal="center" wrapText="1"/>
    </x:xf>
    <x:xf numFmtId="0" fontId="2" fillId="7" borderId="0" xfId="0" applyNumberFormat="1" applyFont="1" applyFill="1" applyBorder="1" applyAlignment="1">
      <x:alignment horizontal="center" vertical="center" wrapText="1"/>
    </x:xf>
    <x:xf numFmtId="0" fontId="0" fillId="0" xfId="0" applyNumberFormat="1" applyFont="1" applyFill="1" applyBorder="0" applyAlignment="1">
      <x:alignment vertical="top" wrapText="1"/>
    </x:xf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0" xfId="0" applyNumberFormat="1" applyFont="1" applyFill="1" applyBorder="1" applyAlignment="1">
      <x:alignment wrapText="1"/>
    </x:xf>
    <x:xf numFmtId="0" fontId="5" fillId="7" borderId="0" xfId="0" applyNumberFormat="1" applyFont="1" applyFill="1" applyBorder="1" applyAlignment="1">
      <x:alignment horizontal="center" wrapText="1"/>
    </x:xf>
    <x:xf numFmtId="0" fontId="5" fillId="7" borderId="0" xfId="0" applyNumberFormat="1" applyFont="1" applyFill="1" applyBorder="1" applyAlignment="1">
      <x:alignment horizontal="center" vertical="center" wrapText="1"/>
    </x:xf>
    <x:xf numFmtId="0" fontId="0" fillId="8" borderId="3" xfId="0" applyNumberFormat="1" applyFont="1" applyFill="1" applyBorder="1" applyAlignment="1">
      <x:alignment vertical="top" wrapText="1"/>
    </x:xf>
    <x:xf numFmtId="0" fontId="0" fillId="8" borderId="5" xfId="0" applyNumberFormat="1" applyFont="1" applyFill="1" applyBorder="1" applyAlignment="1">
      <x:alignment vertical="top" wrapText="1"/>
    </x:xf>
    <x:xf numFmtId="0" fontId="0" fillId="8" borderId="24" xfId="0" applyNumberFormat="1" applyFont="1" applyFill="1" applyBorder="1" applyAlignment="1">
      <x:alignment vertical="top" wrapText="1"/>
    </x:xf>
    <x:xf numFmtId="0" fontId="0" fillId="8" borderId="25" xfId="0" applyNumberFormat="1" applyFont="1" applyFill="1" applyBorder="1" applyAlignment="1">
      <x:alignment vertical="top" wrapText="1"/>
    </x:xf>
    <x:xf numFmtId="0" fontId="0" fillId="8" borderId="26" xfId="0" applyNumberFormat="1" applyFont="1" applyFill="1" applyBorder="1" applyAlignment="1">
      <x:alignment vertical="top" wrapText="1"/>
    </x:xf>
    <x:xf numFmtId="0" fontId="0" fillId="0" xfId="0" applyNumberFormat="1" applyFont="1" applyFill="1" applyBorder="0"/>
    <x:xf numFmtId="0" fontId="0" fillId="0" xfId="0" applyNumberFormat="1" applyFont="1" applyFill="1" applyBorder="0" applyAlignment="1">
      <x:alignment wrapText="1"/>
    </x:xf>
    <x:xf numFmtId="0" fontId="4" fillId="8" borderId="18" xfId="0" applyNumberFormat="1" applyFont="1" applyFill="1" applyBorder="1"/>
    <x:xf numFmtId="0" fontId="4" fillId="8" borderId="19" xfId="0" applyNumberFormat="1" applyFont="1" applyFill="1" applyBorder="1"/>
    <x:xf numFmtId="0" fontId="4" fillId="8" borderId="20" xfId="0" applyNumberFormat="1" applyFont="1" applyFill="1" applyBorder="1"/>
    <x:xf numFmtId="0" fontId="0" fillId="8" borderId="0" xfId="0" applyNumberFormat="1" applyFont="1" applyFill="1" applyBorder="1"/>
    <x:xf numFmtId="0" fontId="4" fillId="8" borderId="24" xfId="0" applyNumberFormat="1" applyFont="1" applyFill="1" applyBorder="1"/>
    <x:xf numFmtId="0" fontId="4" fillId="8" borderId="25" xfId="0" applyNumberFormat="1" applyFont="1" applyFill="1" applyBorder="1"/>
    <x:xf numFmtId="0" fontId="4" fillId="8" borderId="27" xfId="0" applyNumberFormat="1" applyFont="1" applyFill="1" applyBorder="1"/>
    <x:xf numFmtId="0" fontId="0" fillId="8" borderId="25" xfId="0" applyNumberFormat="1" applyFont="1" applyFill="1" applyBorder="1"/>
    <x:xf numFmtId="0" fontId="0" fillId="8" borderId="26" xfId="0" applyNumberFormat="1" applyFont="1" applyFill="1" applyBorder="1"/>
    <x:xf numFmtId="0" fontId="4" fillId="8" borderId="24" xfId="0" applyNumberFormat="1" applyFont="1" applyFill="1" applyBorder="1" applyAlignment="1">
      <x:alignment wrapText="1"/>
    </x:xf>
    <x:xf numFmtId="0" fontId="4" fillId="8" borderId="25" xfId="0" applyNumberFormat="1" applyFont="1" applyFill="1" applyBorder="1" applyAlignment="1">
      <x:alignment wrapText="1"/>
    </x:xf>
    <x:xf numFmtId="0" fontId="4" fillId="8" borderId="27" xfId="0" applyNumberFormat="1" applyFont="1" applyFill="1" applyBorder="1" applyAlignment="1">
      <x:alignment wrapText="1"/>
    </x:xf>
    <x:xf numFmtId="0" fontId="0" fillId="8" borderId="25" xfId="0" applyNumberFormat="1" applyFont="1" applyFill="1" applyBorder="1" applyAlignment="1">
      <x:alignment wrapText="1"/>
    </x:xf>
    <x:xf numFmtId="0" fontId="0" fillId="8" borderId="26" xfId="0" applyNumberFormat="1" applyFont="1" applyFill="1" applyBorder="1" applyAlignment="1">
      <x:alignment wrapText="1"/>
    </x:xf>
    <x:xf numFmtId="201" fontId="0" fillId="0" xfId="0" applyNumberFormat="1" applyFont="1" applyFill="1" applyBorder="0" applyAlignment="1">
      <x:alignment vertical="top" wrapText="1"/>
    </x:xf>
    <x:xf numFmtId="0" fontId="0" fillId="7" borderId="2" xfId="0" applyNumberFormat="1" applyFont="1" applyFill="1" applyBorder="1" applyAlignment="1">
      <x:alignment vertical="top" wrapText="1"/>
    </x:xf>
    <x:xf numFmtId="0" fontId="0" fillId="7" borderId="3" xfId="0" applyNumberFormat="1" applyFont="1" applyFill="1" applyBorder="1" applyAlignment="1">
      <x:alignment vertical="top" wrapText="1"/>
    </x:xf>
    <x:xf numFmtId="0" fontId="5" fillId="7" borderId="2" xfId="0" applyNumberFormat="1" applyFont="1" applyFill="1" applyBorder="1" applyAlignment="1">
      <x:alignment vertical="top" wrapText="1"/>
    </x:xf>
    <x:xf numFmtId="0" fontId="5" fillId="7" borderId="3" xfId="0" applyNumberFormat="1" applyFont="1" applyFill="1" applyBorder="1" applyAlignment="1">
      <x:alignment vertical="top" wrapText="1"/>
    </x:xf>
    <x:xf numFmtId="0" fontId="5" fillId="7" borderId="2" xfId="0" applyNumberFormat="1" applyFont="1" applyFill="1" applyBorder="1" applyAlignment="1">
      <x:alignment horizontal="center" vertical="top" wrapText="1"/>
    </x:xf>
    <x:xf numFmtId="0" fontId="5" fillId="7" borderId="3" xfId="0" applyNumberFormat="1" applyFont="1" applyFill="1" applyBorder="1" applyAlignment="1">
      <x:alignment horizontal="center" vertical="top" wrapText="1"/>
    </x:xf>
    <x:xf numFmtId="0" fontId="5" fillId="7" borderId="2" xfId="0" applyNumberFormat="1" applyFont="1" applyFill="1" applyBorder="1" applyAlignment="1">
      <x:alignment horizontal="center" vertical="center" wrapText="1"/>
    </x:xf>
    <x:xf numFmtId="0" fontId="5" fillId="7" borderId="3" xfId="0" applyNumberFormat="1" applyFont="1" applyFill="1" applyBorder="1" applyAlignment="1">
      <x:alignment horizontal="center" vertical="center" wrapText="1"/>
    </x:xf>
    <x:xf numFmtId="0" fontId="2" fillId="3" borderId="4" xfId="0" applyNumberFormat="1" applyFont="1" applyFill="1" applyBorder="1" applyAlignment="1">
      <x:alignment horizontal="center" vertical="top" wrapText="1"/>
    </x:xf>
    <x:xf numFmtId="0" fontId="2" fillId="3" borderId="5" xfId="0" applyNumberFormat="1" applyFont="1" applyFill="1" applyBorder="1" applyAlignment="1">
      <x:alignment horizontal="center" vertical="top" wrapText="1"/>
    </x:xf>
    <x:xf numFmtId="0" fontId="2" fillId="9" borderId="0" xfId="0" applyNumberFormat="1" applyFont="1" applyFill="1" applyBorder="1" applyAlignment="1">
      <x:alignment horizontal="center" vertical="center" wrapText="1"/>
    </x:xf>
    <x:xf numFmtId="0" fontId="6" fillId="9" borderId="0" xfId="0" applyNumberFormat="1" applyFont="1" applyFill="1" applyBorder="1" applyAlignment="1">
      <x:alignment horizontal="center" vertical="center" wrapText="1"/>
    </x:xf>
    <x:xf numFmtId="0" fontId="6" fillId="9" borderId="0" xfId="0" applyNumberFormat="1" applyFont="1" applyFill="1" applyBorder="1" applyAlignment="1">
      <x:alignment horizontal="left" vertical="center" wrapText="1"/>
    </x:xf>
    <x:xf numFmtId="0" fontId="0" fillId="7" borderId="4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 applyAlignment="1">
      <x:alignment vertical="top" wrapText="1"/>
    </x:xf>
    <x:xf numFmtId="0" fontId="0" fillId="7" borderId="5" xfId="0" applyNumberFormat="1" applyFont="1" applyFill="1" applyBorder="1" applyAlignment="1">
      <x:alignment vertical="top" wrapText="1"/>
    </x:xf>
    <x:xf numFmtId="0" fontId="5" fillId="7" borderId="4" xfId="0" applyNumberFormat="1" applyFont="1" applyFill="1" applyBorder="1" applyAlignment="1">
      <x:alignment vertical="top" wrapText="1"/>
    </x:xf>
    <x:xf numFmtId="0" fontId="5" fillId="7" borderId="0" xfId="0" applyNumberFormat="1" applyFont="1" applyFill="1" applyBorder="1" applyAlignment="1">
      <x:alignment vertical="top" wrapText="1"/>
    </x:xf>
    <x:xf numFmtId="0" fontId="5" fillId="7" borderId="5" xfId="0" applyNumberFormat="1" applyFont="1" applyFill="1" applyBorder="1" applyAlignment="1">
      <x:alignment vertical="top" wrapText="1"/>
    </x:xf>
    <x:xf numFmtId="0" fontId="5" fillId="7" borderId="4" xfId="0" applyNumberFormat="1" applyFont="1" applyFill="1" applyBorder="1" applyAlignment="1">
      <x:alignment horizontal="center" vertical="top" wrapText="1"/>
    </x:xf>
    <x:xf numFmtId="0" fontId="5" fillId="7" borderId="0" xfId="0" applyNumberFormat="1" applyFont="1" applyFill="1" applyBorder="1" applyAlignment="1">
      <x:alignment horizontal="center" vertical="top" wrapText="1"/>
    </x:xf>
    <x:xf numFmtId="0" fontId="5" fillId="7" borderId="5" xfId="0" applyNumberFormat="1" applyFont="1" applyFill="1" applyBorder="1" applyAlignment="1">
      <x:alignment horizontal="center" vertical="top" wrapText="1"/>
    </x:xf>
    <x:xf numFmtId="0" fontId="5" fillId="7" borderId="4" xfId="0" applyNumberFormat="1" applyFont="1" applyFill="1" applyBorder="1" applyAlignment="1">
      <x:alignment horizontal="center" vertical="center" wrapText="1"/>
    </x:xf>
    <x:xf numFmtId="0" fontId="5" fillId="7" borderId="5" xfId="0" applyNumberFormat="1" applyFont="1" applyFill="1" applyBorder="1" applyAlignment="1">
      <x:alignment horizontal="center" vertical="center" wrapText="1"/>
    </x:xf>
    <x:xf numFmtId="0" fontId="0" fillId="0" borderId="28" xfId="0" applyNumberFormat="1" applyFont="1" applyFill="1" applyBorder="1" applyAlignment="1">
      <x:alignment vertical="top" wrapText="1"/>
    </x:xf>
    <x:xf numFmtId="0" fontId="0" fillId="0" borderId="29" xfId="0" applyNumberFormat="1" applyFont="1" applyFill="1" applyBorder="1" applyAlignment="1">
      <x:alignment vertical="top" wrapText="1"/>
    </x:xf>
    <x:xf numFmtId="0" fontId="0" fillId="0" borderId="30" xfId="0" applyNumberFormat="1" applyFont="1" applyFill="1" applyBorder="1" applyAlignment="1">
      <x:alignment vertical="top" wrapText="1"/>
    </x:xf>
    <x:xf numFmtId="0" fontId="2" fillId="3" borderId="6" xfId="0" applyNumberFormat="1" applyFont="1" applyFill="1" applyBorder="1" applyAlignment="1">
      <x:alignment horizontal="center" vertical="center" wrapText="1"/>
    </x:xf>
    <x:xf numFmtId="0" fontId="2" fillId="3" borderId="15" xfId="0" applyNumberFormat="1" applyFont="1" applyFill="1" applyBorder="1" applyAlignment="1">
      <x:alignment horizontal="center" vertical="center" wrapText="1"/>
    </x:xf>
    <x:xf numFmtId="0" fontId="2" fillId="3" borderId="7" xfId="0" applyNumberFormat="1" applyFont="1" applyFill="1" applyBorder="1" applyAlignment="1">
      <x:alignment horizontal="center" vertical="center" wrapText="1"/>
    </x:xf>
    <x:xf numFmtId="0" fontId="2" fillId="3" borderId="6" xfId="0" applyNumberFormat="1" applyFont="1" applyFill="1" applyBorder="1" applyAlignment="1">
      <x:alignment horizontal="center" vertical="top" wrapText="1"/>
    </x:xf>
    <x:xf numFmtId="0" fontId="2" fillId="3" borderId="15" xfId="0" applyNumberFormat="1" applyFont="1" applyFill="1" applyBorder="1" applyAlignment="1">
      <x:alignment horizontal="center" vertical="top" wrapText="1"/>
    </x:xf>
    <x:xf numFmtId="0" fontId="2" fillId="3" borderId="7" xfId="0" applyNumberFormat="1" applyFont="1" applyFill="1" applyBorder="1" applyAlignment="1">
      <x:alignment horizontal="center" vertical="top" wrapText="1"/>
    </x:xf>
    <x:xf numFmtId="0" fontId="0" fillId="9" borderId="0" xfId="0" applyNumberFormat="1" applyFont="1" applyFill="1" applyBorder="1"/>
    <x:xf numFmtId="0" fontId="6" fillId="9" borderId="0" xfId="0" applyNumberFormat="1" applyFont="1" applyFill="1" applyBorder="1"/>
    <x:xf numFmtId="0" fontId="6" fillId="9" borderId="0" xfId="0" applyNumberFormat="1" applyFont="1" applyFill="1" applyBorder="1" applyAlignment="1">
      <x:alignment horizontal="left"/>
    </x:xf>
    <x:xf numFmtId="0" fontId="6" fillId="9" borderId="0" xfId="0" applyNumberFormat="1" applyFont="1" applyFill="1" applyBorder="1" applyAlignment="1">
      <x:alignment horizontal="left" vertical="center"/>
    </x:xf>
    <x:xf numFmtId="0" fontId="0" fillId="0" borderId="14" xfId="0" applyNumberFormat="1" applyFont="1" applyFill="1" applyBorder="1" applyAlignment="1">
      <x:alignment horizontal="center" vertical="top" wrapText="1"/>
    </x:xf>
    <x:xf numFmtId="0" fontId="0" fillId="0" xfId="0" applyNumberFormat="1" applyFont="1" applyFill="1" applyBorder="0" applyAlignment="1">
      <x:alignment horizontal="center" vertical="top" wrapText="1"/>
    </x:xf>
    <x:xf numFmtId="0" fontId="0" fillId="0" borderId="15" xfId="0" applyNumberFormat="1" applyFont="1" applyFill="1" applyBorder="1" applyAlignment="1">
      <x:alignment horizontal="center" vertical="top" wrapText="1"/>
    </x:xf>
    <x:xf numFmtId="0" fontId="0" fillId="7" borderId="4" xfId="0" applyNumberFormat="1" applyFont="1" applyFill="1" applyBorder="1" applyAlignment="1">
      <x:alignment wrapText="1"/>
    </x:xf>
    <x:xf numFmtId="0" fontId="5" fillId="7" borderId="4" xfId="0" applyNumberFormat="1" applyFont="1" applyFill="1" applyBorder="1" applyAlignment="1">
      <x:alignment wrapText="1"/>
    </x:xf>
    <x:xf numFmtId="0" fontId="5" fillId="7" borderId="4" xfId="0" applyNumberFormat="1" applyFont="1" applyFill="1" applyBorder="1" applyAlignment="1">
      <x:alignment horizontal="center" wrapText="1"/>
    </x:xf>
    <x:xf numFmtId="0" fontId="0" fillId="0" borderId="24" xfId="0" applyNumberFormat="1" applyFont="1" applyFill="1" applyBorder="1"/>
    <x:xf numFmtId="0" fontId="0" fillId="0" borderId="25" xfId="0" applyNumberFormat="1" applyFont="1" applyFill="1" applyBorder="1"/>
    <x:xf numFmtId="0" fontId="0" fillId="0" borderId="26" xfId="0" applyNumberFormat="1" applyFont="1" applyFill="1" applyBorder="1"/>
    <x:xf numFmtId="0" fontId="0" fillId="0" borderId="24" xfId="0" applyNumberFormat="1" applyFont="1" applyFill="1" applyBorder="1" applyAlignment="1">
      <x:alignment horizontal="center"/>
    </x:xf>
    <x:xf numFmtId="0" fontId="0" fillId="0" borderId="25" xfId="0" applyNumberFormat="1" applyFont="1" applyFill="1" applyBorder="1" applyAlignment="1">
      <x:alignment horizontal="center"/>
    </x:xf>
    <x:xf numFmtId="0" fontId="0" fillId="0" borderId="26" xfId="0" applyNumberFormat="1" applyFont="1" applyFill="1" applyBorder="1" applyAlignment="1">
      <x:alignment horizontal="center"/>
    </x:xf>
    <x:xf numFmtId="0" fontId="0" fillId="0" borderId="24" xfId="0" applyNumberFormat="1" applyFont="1" applyFill="1" applyBorder="1" applyAlignment="1">
      <x:alignment horizontal="center" vertical="center"/>
    </x:xf>
    <x:xf numFmtId="0" fontId="0" fillId="0" borderId="25" xfId="0" applyNumberFormat="1" applyFont="1" applyFill="1" applyBorder="1" applyAlignment="1">
      <x:alignment horizontal="center" vertical="center"/>
    </x:xf>
    <x:xf numFmtId="0" fontId="0" fillId="0" borderId="26" xfId="0" applyNumberFormat="1" applyFont="1" applyFill="1" applyBorder="1" applyAlignment="1">
      <x:alignment horizontal="center" vertical="center"/>
    </x:xf>
    <x:xf numFmtId="0" fontId="0" fillId="0" borderId="28" xfId="0" applyNumberFormat="1" applyFont="1" applyFill="1" applyBorder="1" applyAlignment="1">
      <x:alignment wrapText="1"/>
    </x:xf>
    <x:xf numFmtId="0" fontId="0" fillId="0" borderId="29" xfId="0" applyNumberFormat="1" applyFont="1" applyFill="1" applyBorder="1" applyAlignment="1">
      <x:alignment wrapText="1"/>
    </x:xf>
    <x:xf numFmtId="0" fontId="0" fillId="0" borderId="30" xfId="0" applyNumberFormat="1" applyFont="1" applyFill="1" applyBorder="1" applyAlignment="1">
      <x:alignment wrapText="1"/>
    </x:xf>
    <x:xf numFmtId="0" fontId="0" fillId="0" borderId="31" xfId="0" applyNumberFormat="1" applyFont="1" applyFill="1" applyBorder="1" applyAlignment="1">
      <x:alignment horizontal="center" vertical="center"/>
    </x:xf>
    <x:xf numFmtId="0" fontId="0" fillId="0" borderId="28" xfId="0" applyNumberFormat="1" applyFont="1" applyFill="1" applyBorder="1" applyAlignment="1">
      <x:alignment horizontal="center" wrapText="1"/>
    </x:xf>
    <x:xf numFmtId="0" fontId="0" fillId="0" borderId="29" xfId="0" applyNumberFormat="1" applyFont="1" applyFill="1" applyBorder="1" applyAlignment="1">
      <x:alignment horizontal="center" wrapText="1"/>
    </x:xf>
    <x:xf numFmtId="0" fontId="0" fillId="0" borderId="30" xfId="0" applyNumberFormat="1" applyFont="1" applyFill="1" applyBorder="1" applyAlignment="1">
      <x:alignment horizontal="center" wrapText="1"/>
    </x:xf>
    <x:xf numFmtId="0" fontId="0" fillId="0" borderId="28" xfId="0" applyNumberFormat="1" applyFont="1" applyFill="1" applyBorder="1" applyAlignment="1">
      <x:alignment horizontal="center" vertical="center" wrapText="1"/>
    </x:xf>
    <x:xf numFmtId="0" fontId="0" fillId="0" borderId="29" xfId="0" applyNumberFormat="1" applyFont="1" applyFill="1" applyBorder="1" applyAlignment="1">
      <x:alignment horizontal="center" vertical="center" wrapText="1"/>
    </x:xf>
    <x:xf numFmtId="0" fontId="0" fillId="0" borderId="30" xfId="0" applyNumberFormat="1" applyFont="1" applyFill="1" applyBorder="1" applyAlignment="1">
      <x:alignment horizontal="center" vertical="center" wrapText="1"/>
    </x:xf>
    <x:xf numFmtId="0" fontId="0" fillId="0" borderId="28" xfId="0" applyNumberFormat="1" applyFont="1" applyFill="1" applyBorder="1"/>
    <x:xf numFmtId="0" fontId="0" fillId="0" borderId="29" xfId="0" applyNumberFormat="1" applyFont="1" applyFill="1" applyBorder="1"/>
    <x:xf numFmtId="0" fontId="0" fillId="0" borderId="30" xfId="0" applyNumberFormat="1" applyFont="1" applyFill="1" applyBorder="1"/>
    <x:xf numFmtId="0" fontId="5" fillId="3" borderId="0" xfId="0" applyNumberFormat="1" applyFont="1" applyFill="1" applyBorder="1" applyAlignment="1">
      <x:alignment horizontal="center" vertical="center" wrapText="1"/>
    </x:xf>
    <x:xf numFmtId="0" fontId="0" fillId="5" borderId="24" xfId="0" applyNumberFormat="1" applyFont="1" applyFill="1" applyBorder="1" applyAlignment="1">
      <x:alignment vertical="top" wrapText="1"/>
    </x:xf>
    <x:xf numFmtId="0" fontId="0" fillId="5" borderId="25" xfId="0" applyNumberFormat="1" applyFont="1" applyFill="1" applyBorder="1" applyAlignment="1">
      <x:alignment vertical="top" wrapText="1"/>
    </x:xf>
    <x:xf numFmtId="0" fontId="0" fillId="5" borderId="26" xfId="0" applyNumberFormat="1" applyFont="1" applyFill="1" applyBorder="1" applyAlignment="1">
      <x:alignment vertical="top" wrapText="1"/>
    </x:xf>
    <x:xf numFmtId="0" fontId="4" fillId="5" borderId="24" xfId="0" applyNumberFormat="1" applyFont="1" applyFill="1" applyBorder="1"/>
    <x:xf numFmtId="0" fontId="4" fillId="5" borderId="25" xfId="0" applyNumberFormat="1" applyFont="1" applyFill="1" applyBorder="1"/>
    <x:xf numFmtId="0" fontId="4" fillId="5" borderId="27" xfId="0" applyNumberFormat="1" applyFont="1" applyFill="1" applyBorder="1"/>
    <x:xf numFmtId="0" fontId="0" fillId="5" borderId="25" xfId="0" applyNumberFormat="1" applyFont="1" applyFill="1" applyBorder="1"/>
    <x:xf numFmtId="0" fontId="0" fillId="5" borderId="26" xfId="0" applyNumberFormat="1" applyFont="1" applyFill="1" applyBorder="1"/>
    <x:xf numFmtId="0" fontId="4" fillId="5" borderId="24" xfId="0" applyNumberFormat="1" applyFont="1" applyFill="1" applyBorder="1" applyAlignment="1">
      <x:alignment wrapText="1"/>
    </x:xf>
    <x:xf numFmtId="0" fontId="4" fillId="5" borderId="25" xfId="0" applyNumberFormat="1" applyFont="1" applyFill="1" applyBorder="1" applyAlignment="1">
      <x:alignment wrapText="1"/>
    </x:xf>
    <x:xf numFmtId="0" fontId="4" fillId="5" borderId="27" xfId="0" applyNumberFormat="1" applyFont="1" applyFill="1" applyBorder="1" applyAlignment="1">
      <x:alignment wrapText="1"/>
    </x:xf>
    <x:xf numFmtId="0" fontId="0" fillId="5" borderId="25" xfId="0" applyNumberFormat="1" applyFont="1" applyFill="1" applyBorder="1" applyAlignment="1">
      <x:alignment wrapText="1"/>
    </x:xf>
    <x:xf numFmtId="0" fontId="0" fillId="5" borderId="26" xfId="0" applyNumberFormat="1" applyFont="1" applyFill="1" applyBorder="1" applyAlignment="1">
      <x:alignment wrapText="1"/>
    </x:xf>
    <x:xf numFmtId="0" fontId="0" fillId="3" borderId="2" xfId="0" applyNumberFormat="1" applyFont="1" applyFill="1" applyBorder="1" applyAlignment="1">
      <x:alignment vertical="top" wrapText="1"/>
    </x:xf>
    <x:xf numFmtId="0" fontId="0" fillId="3" borderId="3" xfId="0" applyNumberFormat="1" applyFont="1" applyFill="1" applyBorder="1" applyAlignment="1">
      <x:alignment vertical="top" wrapText="1"/>
    </x:xf>
    <x:xf numFmtId="0" fontId="5" fillId="3" borderId="2" xfId="0" applyNumberFormat="1" applyFont="1" applyFill="1" applyBorder="1" applyAlignment="1">
      <x:alignment vertical="top" wrapText="1"/>
    </x:xf>
    <x:xf numFmtId="0" fontId="5" fillId="3" borderId="3" xfId="0" applyNumberFormat="1" applyFont="1" applyFill="1" applyBorder="1" applyAlignment="1">
      <x:alignment vertical="top" wrapText="1"/>
    </x:xf>
    <x:xf numFmtId="0" fontId="5" fillId="3" borderId="2" xfId="0" applyNumberFormat="1" applyFont="1" applyFill="1" applyBorder="1" applyAlignment="1">
      <x:alignment horizontal="center" vertical="top" wrapText="1"/>
    </x:xf>
    <x:xf numFmtId="0" fontId="5" fillId="3" borderId="3" xfId="0" applyNumberFormat="1" applyFont="1" applyFill="1" applyBorder="1" applyAlignment="1">
      <x:alignment horizontal="center" vertical="top" wrapText="1"/>
    </x:xf>
    <x:xf numFmtId="0" fontId="5" fillId="3" borderId="2" xfId="0" applyNumberFormat="1" applyFont="1" applyFill="1" applyBorder="1" applyAlignment="1">
      <x:alignment horizontal="center" vertical="center" wrapText="1"/>
    </x:xf>
    <x:xf numFmtId="0" fontId="5" fillId="3" borderId="3" xfId="0" applyNumberFormat="1" applyFont="1" applyFill="1" applyBorder="1" applyAlignment="1">
      <x:alignment horizontal="center"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6" fillId="2" borderId="0" xfId="0" applyNumberFormat="1" applyFont="1" applyFill="1" applyBorder="1" applyAlignment="1">
      <x:alignment horizontal="center" vertical="center" wrapText="1"/>
    </x:xf>
    <x:xf numFmtId="0" fontId="6" fillId="2" borderId="0" xfId="0" applyNumberFormat="1" applyFont="1" applyFill="1" applyBorder="1" applyAlignment="1">
      <x:alignment horizontal="left" vertical="center" wrapText="1"/>
    </x:xf>
    <x:xf numFmtId="0" fontId="0" fillId="3" borderId="4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 applyAlignment="1">
      <x:alignment vertical="top" wrapText="1"/>
    </x:xf>
    <x:xf numFmtId="0" fontId="0" fillId="3" borderId="5" xfId="0" applyNumberFormat="1" applyFont="1" applyFill="1" applyBorder="1" applyAlignment="1">
      <x:alignment vertical="top" wrapText="1"/>
    </x:xf>
    <x:xf numFmtId="0" fontId="5" fillId="3" borderId="4" xfId="0" applyNumberFormat="1" applyFont="1" applyFill="1" applyBorder="1" applyAlignment="1">
      <x:alignment vertical="top" wrapText="1"/>
    </x:xf>
    <x:xf numFmtId="0" fontId="5" fillId="3" borderId="0" xfId="0" applyNumberFormat="1" applyFont="1" applyFill="1" applyBorder="1" applyAlignment="1">
      <x:alignment vertical="top" wrapText="1"/>
    </x:xf>
    <x:xf numFmtId="0" fontId="5" fillId="3" borderId="5" xfId="0" applyNumberFormat="1" applyFont="1" applyFill="1" applyBorder="1" applyAlignment="1">
      <x:alignment vertical="top" wrapText="1"/>
    </x:xf>
    <x:xf numFmtId="0" fontId="5" fillId="3" borderId="4" xfId="0" applyNumberFormat="1" applyFont="1" applyFill="1" applyBorder="1" applyAlignment="1">
      <x:alignment horizontal="center" vertical="top" wrapText="1"/>
    </x:xf>
    <x:xf numFmtId="0" fontId="5" fillId="3" borderId="0" xfId="0" applyNumberFormat="1" applyFont="1" applyFill="1" applyBorder="1" applyAlignment="1">
      <x:alignment horizontal="center" vertical="top" wrapText="1"/>
    </x:xf>
    <x:xf numFmtId="0" fontId="5" fillId="3" borderId="5" xfId="0" applyNumberFormat="1" applyFont="1" applyFill="1" applyBorder="1" applyAlignment="1">
      <x:alignment horizontal="center" vertical="top" wrapText="1"/>
    </x:xf>
    <x:xf numFmtId="0" fontId="5" fillId="3" borderId="4" xfId="0" applyNumberFormat="1" applyFont="1" applyFill="1" applyBorder="1" applyAlignment="1">
      <x:alignment horizontal="center" vertical="center" wrapText="1"/>
    </x:xf>
    <x:xf numFmtId="0" fontId="5" fillId="3" borderId="5" xfId="0" applyNumberFormat="1" applyFont="1" applyFill="1" applyBorder="1" applyAlignment="1">
      <x:alignment horizontal="center" vertical="center" wrapText="1"/>
    </x:xf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horizontal="left"/>
    </x:xf>
    <x:xf numFmtId="0" fontId="6" fillId="2" borderId="0" xfId="0" applyNumberFormat="1" applyFont="1" applyFill="1" applyBorder="1" applyAlignment="1">
      <x:alignment horizontal="left" vertical="center"/>
    </x:xf>
    <x:xf numFmtId="0" fontId="5" fillId="3" borderId="4" xfId="0" applyNumberFormat="1" applyFont="1" applyFill="1" applyBorder="1" applyAlignment="1">
      <x:alignment wrapText="1"/>
    </x:xf>
    <x:xf numFmtId="0" fontId="5" fillId="3" borderId="4" xfId="0" applyNumberFormat="1" applyFont="1" applyFill="1" applyBorder="1" applyAlignment="1">
      <x:alignment horizontal="center" wrapText="1"/>
    </x:xf>
    <x:xf numFmtId="0" fontId="1" fillId="10" borderId="0" xfId="0" applyNumberFormat="1" applyFont="1" applyFill="1" applyBorder="1" applyAlignment="1">
      <x:alignment horizontal="left" vertical="center"/>
    </x:xf>
    <x:xf numFmtId="0" fontId="0" fillId="10" borderId="0" xfId="0" applyNumberFormat="1" applyFont="1" applyFill="1" applyBorder="1"/>
    <x:xf numFmtId="0" fontId="7" fillId="10" borderId="0" xfId="0" applyNumberFormat="1" applyFont="1" applyFill="1" applyBorder="1" applyAlignment="1">
      <x:alignment horizontal="left" vertical="center"/>
    </x:xf>
    <x:xf numFmtId="0" fontId="7" fillId="10" borderId="0" xfId="0" applyNumberFormat="1" applyFont="1" applyFill="1" applyBorder="1"/>
    <x:xf numFmtId="0" fontId="7" fillId="10" borderId="0" xfId="0" applyNumberFormat="1" applyFont="1" applyFill="1" applyBorder="1" applyAlignment="1">
      <x:alignment horizontal="left"/>
    </x:xf>
    <x:xf numFmtId="0" fontId="0" fillId="11" borderId="0" xfId="0" applyNumberFormat="1" applyFont="1" applyFill="1" applyBorder="1"/>
    <x:xf numFmtId="0" fontId="8" fillId="11" borderId="0" xfId="0" applyNumberFormat="1" applyFont="1" applyFill="1" applyBorder="1"/>
    <x:xf numFmtId="0" fontId="8" fillId="11" borderId="0" xfId="0" applyNumberFormat="1" applyFont="1" applyFill="1" applyBorder="1" applyAlignment="1">
      <x:alignment horizontal="left"/>
    </x:xf>
    <x:xf numFmtId="0" fontId="8" fillId="11" borderId="0" xfId="0" applyNumberFormat="1" applyFont="1" applyFill="1" applyBorder="1" applyAlignment="1">
      <x:alignment horizontal="left" vertical="center"/>
    </x:xf>
    <x:xf numFmtId="0" fontId="0" fillId="12" borderId="2" xfId="0" applyNumberFormat="1" applyFont="1" applyFill="1" applyBorder="1" applyAlignment="1">
      <x:alignment vertical="top" wrapText="1"/>
    </x:xf>
    <x:xf numFmtId="0" fontId="0" fillId="12" borderId="3" xfId="0" applyNumberFormat="1" applyFont="1" applyFill="1" applyBorder="1" applyAlignment="1">
      <x:alignment vertical="top" wrapText="1"/>
    </x:xf>
    <x:xf numFmtId="0" fontId="0" fillId="12" borderId="0" xfId="0" applyNumberFormat="1" applyFont="1" applyFill="1" applyBorder="1"/>
    <x:xf numFmtId="0" fontId="9" fillId="12" borderId="2" xfId="0" applyNumberFormat="1" applyFont="1" applyFill="1" applyBorder="1" applyAlignment="1">
      <x:alignment vertical="top" wrapText="1"/>
    </x:xf>
    <x:xf numFmtId="0" fontId="9" fillId="12" borderId="3" xfId="0" applyNumberFormat="1" applyFont="1" applyFill="1" applyBorder="1" applyAlignment="1">
      <x:alignment vertical="top" wrapText="1"/>
    </x:xf>
    <x:xf numFmtId="0" fontId="9" fillId="12" borderId="0" xfId="0" applyNumberFormat="1" applyFont="1" applyFill="1" applyBorder="1"/>
    <x:xf numFmtId="0" fontId="9" fillId="12" borderId="32" xfId="0" applyNumberFormat="1" applyFont="1" applyFill="1" applyBorder="1" applyAlignment="1">
      <x:alignment vertical="top" wrapText="1"/>
    </x:xf>
    <x:xf numFmtId="0" fontId="9" fillId="12" borderId="33" xfId="0" applyNumberFormat="1" applyFont="1" applyFill="1" applyBorder="1" applyAlignment="1">
      <x:alignment vertical="top" wrapText="1"/>
    </x:xf>
    <x:xf numFmtId="0" fontId="9" fillId="12" borderId="34" xfId="0" applyNumberFormat="1" applyFont="1" applyFill="1" applyBorder="1"/>
    <x:xf numFmtId="0" fontId="9" fillId="12" borderId="32" xfId="0" applyNumberFormat="1" applyFont="1" applyFill="1" applyBorder="1" applyAlignment="1">
      <x:alignment horizontal="center" vertical="top" wrapText="1"/>
    </x:xf>
    <x:xf numFmtId="0" fontId="9" fillId="12" borderId="33" xfId="0" applyNumberFormat="1" applyFont="1" applyFill="1" applyBorder="1" applyAlignment="1">
      <x:alignment horizontal="center" vertical="top" wrapText="1"/>
    </x:xf>
    <x:xf numFmtId="0" fontId="9" fillId="12" borderId="34" xfId="0" applyNumberFormat="1" applyFont="1" applyFill="1" applyBorder="1" applyAlignment="1">
      <x:alignment horizontal="center"/>
    </x:xf>
    <x:xf numFmtId="0" fontId="9" fillId="12" borderId="32" xfId="0" applyNumberFormat="1" applyFont="1" applyFill="1" applyBorder="1" applyAlignment="1">
      <x:alignment horizontal="center" vertical="center" wrapText="1"/>
    </x:xf>
    <x:xf numFmtId="0" fontId="9" fillId="12" borderId="33" xfId="0" applyNumberFormat="1" applyFont="1" applyFill="1" applyBorder="1" applyAlignment="1">
      <x:alignment horizontal="center" vertical="center" wrapText="1"/>
    </x:xf>
    <x:xf numFmtId="0" fontId="9" fillId="12" borderId="34" xfId="0" applyNumberFormat="1" applyFont="1" applyFill="1" applyBorder="1" applyAlignment="1">
      <x:alignment horizontal="center" vertical="center"/>
    </x:xf>
    <x:xf numFmtId="0" fontId="0" fillId="13" borderId="4" xfId="0" applyNumberFormat="1" applyFont="1" applyFill="1" applyBorder="1" applyAlignment="1">
      <x:alignment vertical="top" wrapText="1"/>
    </x:xf>
    <x:xf numFmtId="0" fontId="0" fillId="13" borderId="5" xfId="0" applyNumberFormat="1" applyFont="1" applyFill="1" applyBorder="1" applyAlignment="1">
      <x:alignment vertical="top" wrapText="1"/>
    </x:xf>
    <x:xf numFmtId="0" fontId="0" fillId="13" borderId="0" xfId="0" applyNumberFormat="1" applyFont="1" applyFill="1" applyBorder="1"/>
    <x:xf numFmtId="0" fontId="10" fillId="13" borderId="4" xfId="0" applyNumberFormat="1" applyFont="1" applyFill="1" applyBorder="1" applyAlignment="1">
      <x:alignment vertical="top" wrapText="1"/>
    </x:xf>
    <x:xf numFmtId="0" fontId="10" fillId="13" borderId="5" xfId="0" applyNumberFormat="1" applyFont="1" applyFill="1" applyBorder="1" applyAlignment="1">
      <x:alignment vertical="top" wrapText="1"/>
    </x:xf>
    <x:xf numFmtId="0" fontId="10" fillId="13" borderId="0" xfId="0" applyNumberFormat="1" applyFont="1" applyFill="1" applyBorder="1"/>
    <x:xf numFmtId="0" fontId="10" fillId="13" borderId="35" xfId="0" applyNumberFormat="1" applyFont="1" applyFill="1" applyBorder="1" applyAlignment="1">
      <x:alignment vertical="top" wrapText="1"/>
    </x:xf>
    <x:xf numFmtId="0" fontId="10" fillId="13" borderId="36" xfId="0" applyNumberFormat="1" applyFont="1" applyFill="1" applyBorder="1" applyAlignment="1">
      <x:alignment vertical="top" wrapText="1"/>
    </x:xf>
    <x:xf numFmtId="0" fontId="10" fillId="13" borderId="37" xfId="0" applyNumberFormat="1" applyFont="1" applyFill="1" applyBorder="1"/>
    <x:xf numFmtId="0" fontId="10" fillId="13" borderId="38" xfId="0" applyNumberFormat="1" applyFont="1" applyFill="1" applyBorder="1" applyAlignment="1">
      <x:alignment vertical="top" wrapText="1"/>
    </x:xf>
    <x:xf numFmtId="0" fontId="10" fillId="13" borderId="39" xfId="0" applyNumberFormat="1" applyFont="1" applyFill="1" applyBorder="1" applyAlignment="1">
      <x:alignment vertical="top" wrapText="1"/>
    </x:xf>
    <x:xf numFmtId="0" fontId="10" fillId="13" borderId="40" xfId="0" applyNumberFormat="1" applyFont="1" applyFill="1" applyBorder="1"/>
    <x:xf numFmtId="0" fontId="10" fillId="13" borderId="37" xfId="0" applyNumberFormat="1" applyFont="1" applyFill="1" applyBorder="1" applyAlignment="1">
      <x:alignment wrapText="1"/>
    </x:xf>
    <x:xf numFmtId="0" fontId="10" fillId="13" borderId="40" xfId="0" applyNumberFormat="1" applyFont="1" applyFill="1" applyBorder="1" applyAlignment="1">
      <x:alignment wrapText="1"/>
    </x:xf>
    <x:xf numFmtId="0" fontId="10" fillId="13" borderId="35" xfId="0" applyNumberFormat="1" applyFont="1" applyFill="1" applyBorder="1" applyAlignment="1">
      <x:alignment horizontal="center" vertical="top" wrapText="1"/>
    </x:xf>
    <x:xf numFmtId="0" fontId="10" fillId="13" borderId="36" xfId="0" applyNumberFormat="1" applyFont="1" applyFill="1" applyBorder="1" applyAlignment="1">
      <x:alignment horizontal="center" vertical="top" wrapText="1"/>
    </x:xf>
    <x:xf numFmtId="0" fontId="10" fillId="13" borderId="37" xfId="0" applyNumberFormat="1" applyFont="1" applyFill="1" applyBorder="1" applyAlignment="1">
      <x:alignment horizontal="center" wrapText="1"/>
    </x:xf>
    <x:xf numFmtId="0" fontId="10" fillId="13" borderId="38" xfId="0" applyNumberFormat="1" applyFont="1" applyFill="1" applyBorder="1" applyAlignment="1">
      <x:alignment horizontal="center" vertical="top" wrapText="1"/>
    </x:xf>
    <x:xf numFmtId="0" fontId="10" fillId="13" borderId="39" xfId="0" applyNumberFormat="1" applyFont="1" applyFill="1" applyBorder="1" applyAlignment="1">
      <x:alignment horizontal="center" vertical="top" wrapText="1"/>
    </x:xf>
    <x:xf numFmtId="0" fontId="10" fillId="13" borderId="40" xfId="0" applyNumberFormat="1" applyFont="1" applyFill="1" applyBorder="1" applyAlignment="1">
      <x:alignment horizontal="center" wrapText="1"/>
    </x:xf>
    <x:xf numFmtId="0" fontId="10" fillId="13" borderId="35" xfId="0" applyNumberFormat="1" applyFont="1" applyFill="1" applyBorder="1" applyAlignment="1">
      <x:alignment horizontal="center" vertical="center" wrapText="1"/>
    </x:xf>
    <x:xf numFmtId="0" fontId="10" fillId="13" borderId="36" xfId="0" applyNumberFormat="1" applyFont="1" applyFill="1" applyBorder="1" applyAlignment="1">
      <x:alignment horizontal="center" vertical="center" wrapText="1"/>
    </x:xf>
    <x:xf numFmtId="0" fontId="10" fillId="13" borderId="37" xfId="0" applyNumberFormat="1" applyFont="1" applyFill="1" applyBorder="1" applyAlignment="1">
      <x:alignment horizontal="center" vertical="center" wrapText="1"/>
    </x:xf>
    <x:xf numFmtId="0" fontId="10" fillId="13" borderId="38" xfId="0" applyNumberFormat="1" applyFont="1" applyFill="1" applyBorder="1" applyAlignment="1">
      <x:alignment horizontal="center" vertical="center" wrapText="1"/>
    </x:xf>
    <x:xf numFmtId="0" fontId="10" fillId="13" borderId="39" xfId="0" applyNumberFormat="1" applyFont="1" applyFill="1" applyBorder="1" applyAlignment="1">
      <x:alignment horizontal="center" vertical="center" wrapText="1"/>
    </x:xf>
    <x:xf numFmtId="0" fontId="10" fillId="13" borderId="40" xfId="0" applyNumberFormat="1" applyFont="1" applyFill="1" applyBorder="1" applyAlignment="1">
      <x:alignment horizontal="center" vertical="center" wrapText="1"/>
    </x:xf>
    <x:xf numFmtId="202" fontId="10" fillId="13" borderId="35" xfId="0" applyNumberFormat="1" applyFont="1" applyFill="1" applyBorder="1" applyAlignment="1">
      <x:alignment horizontal="center" vertical="center" wrapText="1"/>
    </x:xf>
    <x:xf numFmtId="202" fontId="10" fillId="13" borderId="36" xfId="0" applyNumberFormat="1" applyFont="1" applyFill="1" applyBorder="1" applyAlignment="1">
      <x:alignment horizontal="center" vertical="center" wrapText="1"/>
    </x:xf>
    <x:xf numFmtId="202" fontId="10" fillId="13" borderId="37" xfId="0" applyNumberFormat="1" applyFont="1" applyFill="1" applyBorder="1" applyAlignment="1">
      <x:alignment horizontal="center" vertical="center" wrapText="1"/>
    </x:xf>
    <x:xf numFmtId="202" fontId="10" fillId="13" borderId="38" xfId="0" applyNumberFormat="1" applyFont="1" applyFill="1" applyBorder="1" applyAlignment="1">
      <x:alignment horizontal="center" vertical="center" wrapText="1"/>
    </x:xf>
    <x:xf numFmtId="202" fontId="10" fillId="13" borderId="39" xfId="0" applyNumberFormat="1" applyFont="1" applyFill="1" applyBorder="1" applyAlignment="1">
      <x:alignment horizontal="center" vertical="center" wrapText="1"/>
    </x:xf>
    <x:xf numFmtId="202" fontId="10" fillId="13" borderId="40" xfId="0" applyNumberFormat="1" applyFont="1" applyFill="1" applyBorder="1" applyAlignment="1">
      <x:alignment horizontal="center" vertical="center" wrapText="1"/>
    </x:xf>
    <x:xf numFmtId="0" fontId="0" fillId="14" borderId="4" xfId="0" applyNumberFormat="1" applyFont="1" applyFill="1" applyBorder="1" applyAlignment="1">
      <x:alignment vertical="top" wrapText="1"/>
    </x:xf>
    <x:xf numFmtId="0" fontId="0" fillId="14" borderId="5" xfId="0" applyNumberFormat="1" applyFont="1" applyFill="1" applyBorder="1" applyAlignment="1">
      <x:alignment vertical="top" wrapText="1"/>
    </x:xf>
    <x:xf numFmtId="0" fontId="0" fillId="14" borderId="0" xfId="0" applyNumberFormat="1" applyFont="1" applyFill="1" applyBorder="1"/>
    <x:xf numFmtId="0" fontId="11" fillId="14" borderId="4" xfId="0" applyNumberFormat="1" applyFont="1" applyFill="1" applyBorder="1" applyAlignment="1">
      <x:alignment vertical="top" wrapText="1"/>
    </x:xf>
    <x:xf numFmtId="0" fontId="11" fillId="14" borderId="5" xfId="0" applyNumberFormat="1" applyFont="1" applyFill="1" applyBorder="1" applyAlignment="1">
      <x:alignment vertical="top" wrapText="1"/>
    </x:xf>
    <x:xf numFmtId="0" fontId="11" fillId="14" borderId="0" xfId="0" applyNumberFormat="1" applyFont="1" applyFill="1" applyBorder="1"/>
    <x:xf numFmtId="0" fontId="11" fillId="14" borderId="32" xfId="0" applyNumberFormat="1" applyFont="1" applyFill="1" applyBorder="1" applyAlignment="1">
      <x:alignment vertical="top" wrapText="1"/>
    </x:xf>
    <x:xf numFmtId="0" fontId="11" fillId="14" borderId="33" xfId="0" applyNumberFormat="1" applyFont="1" applyFill="1" applyBorder="1" applyAlignment="1">
      <x:alignment vertical="top" wrapText="1"/>
    </x:xf>
    <x:xf numFmtId="0" fontId="11" fillId="14" borderId="34" xfId="0" applyNumberFormat="1" applyFont="1" applyFill="1" applyBorder="1"/>
    <x:xf numFmtId="0" fontId="11" fillId="14" borderId="32" xfId="0" applyNumberFormat="1" applyFont="1" applyFill="1" applyBorder="1" applyAlignment="1">
      <x:alignment horizontal="center" vertical="top" wrapText="1"/>
    </x:xf>
    <x:xf numFmtId="0" fontId="11" fillId="14" borderId="33" xfId="0" applyNumberFormat="1" applyFont="1" applyFill="1" applyBorder="1" applyAlignment="1">
      <x:alignment horizontal="center" vertical="top" wrapText="1"/>
    </x:xf>
    <x:xf numFmtId="0" fontId="11" fillId="14" borderId="34" xfId="0" applyNumberFormat="1" applyFont="1" applyFill="1" applyBorder="1" applyAlignment="1">
      <x:alignment horizontal="center"/>
    </x:xf>
    <x:xf numFmtId="0" fontId="0" fillId="15" borderId="2" xfId="0" applyNumberFormat="1" applyFont="1" applyFill="1" applyBorder="1" applyAlignment="1">
      <x:alignment vertical="top" wrapText="1"/>
    </x:xf>
    <x:xf numFmtId="0" fontId="0" fillId="15" borderId="14" xfId="0" applyNumberFormat="1" applyFont="1" applyFill="1" applyBorder="1" applyAlignment="1">
      <x:alignment vertical="top" wrapText="1"/>
    </x:xf>
    <x:xf numFmtId="0" fontId="9" fillId="15" borderId="2" xfId="0" applyNumberFormat="1" applyFont="1" applyFill="1" applyBorder="1" applyAlignment="1">
      <x:alignment vertical="top" wrapText="1"/>
    </x:xf>
    <x:xf numFmtId="0" fontId="9" fillId="15" borderId="14" xfId="0" applyNumberFormat="1" applyFont="1" applyFill="1" applyBorder="1" applyAlignment="1">
      <x:alignment vertical="top" wrapText="1"/>
    </x:xf>
    <x:xf numFmtId="0" fontId="9" fillId="15" borderId="32" xfId="0" applyNumberFormat="1" applyFont="1" applyFill="1" applyBorder="1" applyAlignment="1">
      <x:alignment vertical="top" wrapText="1"/>
    </x:xf>
    <x:xf numFmtId="0" fontId="9" fillId="15" borderId="41" xfId="0" applyNumberFormat="1" applyFont="1" applyFill="1" applyBorder="1" applyAlignment="1">
      <x:alignment vertical="top" wrapText="1"/>
    </x:xf>
    <x:xf numFmtId="0" fontId="9" fillId="15" borderId="34" xfId="0" applyNumberFormat="1" applyFont="1" applyFill="1" applyBorder="1" applyAlignment="1">
      <x:alignment vertical="top" wrapText="1"/>
    </x:xf>
    <x:xf numFmtId="0" fontId="9" fillId="15" borderId="32" xfId="0" applyNumberFormat="1" applyFont="1" applyFill="1" applyBorder="1" applyAlignment="1">
      <x:alignment horizontal="center" vertical="top" wrapText="1"/>
    </x:xf>
    <x:xf numFmtId="0" fontId="9" fillId="15" borderId="41" xfId="0" applyNumberFormat="1" applyFont="1" applyFill="1" applyBorder="1" applyAlignment="1">
      <x:alignment horizontal="center" vertical="top" wrapText="1"/>
    </x:xf>
    <x:xf numFmtId="0" fontId="9" fillId="15" borderId="34" xfId="0" applyNumberFormat="1" applyFont="1" applyFill="1" applyBorder="1" applyAlignment="1">
      <x:alignment horizontal="center" vertical="top" wrapText="1"/>
    </x:xf>
    <x:xf numFmtId="0" fontId="9" fillId="15" borderId="32" xfId="0" applyNumberFormat="1" applyFont="1" applyFill="1" applyBorder="1" applyAlignment="1">
      <x:alignment horizontal="center" vertical="center" wrapText="1"/>
    </x:xf>
    <x:xf numFmtId="0" fontId="9" fillId="15" borderId="41" xfId="0" applyNumberFormat="1" applyFont="1" applyFill="1" applyBorder="1" applyAlignment="1">
      <x:alignment horizontal="center" vertical="center" wrapText="1"/>
    </x:xf>
    <x:xf numFmtId="0" fontId="9" fillId="15" borderId="34" xfId="0" applyNumberFormat="1" applyFont="1" applyFill="1" applyBorder="1" applyAlignment="1">
      <x:alignment horizontal="center" vertical="center" wrapText="1"/>
    </x:xf>
    <x:xf numFmtId="0" fontId="0" fillId="16" borderId="4" xfId="0" applyNumberFormat="1" applyFont="1" applyFill="1" applyBorder="1" applyAlignment="1">
      <x:alignment vertical="top" wrapText="1"/>
    </x:xf>
    <x:xf numFmtId="0" fontId="0" fillId="16" xfId="0" applyNumberFormat="1" applyFont="1" applyFill="1" applyBorder="0" applyAlignment="1">
      <x:alignment vertical="top" wrapText="1"/>
    </x:xf>
    <x:xf numFmtId="0" fontId="10" fillId="16" borderId="4" xfId="0" applyNumberFormat="1" applyFont="1" applyFill="1" applyBorder="1" applyAlignment="1">
      <x:alignment vertical="top" wrapText="1"/>
    </x:xf>
    <x:xf numFmtId="0" fontId="10" fillId="16" xfId="0" applyNumberFormat="1" applyFont="1" applyFill="1" applyBorder="0" applyAlignment="1">
      <x:alignment vertical="top" wrapText="1"/>
    </x:xf>
    <x:xf numFmtId="0" fontId="10" fillId="16" borderId="35" xfId="0" applyNumberFormat="1" applyFont="1" applyFill="1" applyBorder="1" applyAlignment="1">
      <x:alignment vertical="top" wrapText="1"/>
    </x:xf>
    <x:xf numFmtId="0" fontId="10" fillId="16" borderId="42" xfId="0" applyNumberFormat="1" applyFont="1" applyFill="1" applyBorder="1" applyAlignment="1">
      <x:alignment vertical="top" wrapText="1"/>
    </x:xf>
    <x:xf numFmtId="0" fontId="10" fillId="16" borderId="37" xfId="0" applyNumberFormat="1" applyFont="1" applyFill="1" applyBorder="1" applyAlignment="1">
      <x:alignment vertical="top" wrapText="1"/>
    </x:xf>
    <x:xf numFmtId="0" fontId="10" fillId="16" borderId="43" xfId="0" applyNumberFormat="1" applyFont="1" applyFill="1" applyBorder="1" applyAlignment="1">
      <x:alignment vertical="top" wrapText="1"/>
    </x:xf>
    <x:xf numFmtId="0" fontId="10" fillId="16" borderId="44" xfId="0" applyNumberFormat="1" applyFont="1" applyFill="1" applyBorder="1" applyAlignment="1">
      <x:alignment vertical="top" wrapText="1"/>
    </x:xf>
    <x:xf numFmtId="0" fontId="10" fillId="16" borderId="38" xfId="0" applyNumberFormat="1" applyFont="1" applyFill="1" applyBorder="1" applyAlignment="1">
      <x:alignment vertical="top" wrapText="1"/>
    </x:xf>
    <x:xf numFmtId="0" fontId="10" fillId="16" borderId="45" xfId="0" applyNumberFormat="1" applyFont="1" applyFill="1" applyBorder="1" applyAlignment="1">
      <x:alignment vertical="top" wrapText="1"/>
    </x:xf>
    <x:xf numFmtId="0" fontId="10" fillId="16" borderId="40" xfId="0" applyNumberFormat="1" applyFont="1" applyFill="1" applyBorder="1" applyAlignment="1">
      <x:alignment vertical="top" wrapText="1"/>
    </x:xf>
    <x:xf numFmtId="0" fontId="10" fillId="16" borderId="35" xfId="0" applyNumberFormat="1" applyFont="1" applyFill="1" applyBorder="1" applyAlignment="1">
      <x:alignment horizontal="center" vertical="top" wrapText="1"/>
    </x:xf>
    <x:xf numFmtId="0" fontId="10" fillId="16" borderId="42" xfId="0" applyNumberFormat="1" applyFont="1" applyFill="1" applyBorder="1" applyAlignment="1">
      <x:alignment horizontal="center" vertical="top" wrapText="1"/>
    </x:xf>
    <x:xf numFmtId="0" fontId="10" fillId="16" borderId="37" xfId="0" applyNumberFormat="1" applyFont="1" applyFill="1" applyBorder="1" applyAlignment="1">
      <x:alignment horizontal="center" vertical="top" wrapText="1"/>
    </x:xf>
    <x:xf numFmtId="0" fontId="10" fillId="16" borderId="43" xfId="0" applyNumberFormat="1" applyFont="1" applyFill="1" applyBorder="1" applyAlignment="1">
      <x:alignment horizontal="center" vertical="top" wrapText="1"/>
    </x:xf>
    <x:xf numFmtId="0" fontId="10" fillId="16" xfId="0" applyNumberFormat="1" applyFont="1" applyFill="1" applyBorder="0" applyAlignment="1">
      <x:alignment horizontal="center" vertical="top" wrapText="1"/>
    </x:xf>
    <x:xf numFmtId="0" fontId="10" fillId="16" borderId="44" xfId="0" applyNumberFormat="1" applyFont="1" applyFill="1" applyBorder="1" applyAlignment="1">
      <x:alignment horizontal="center" vertical="top" wrapText="1"/>
    </x:xf>
    <x:xf numFmtId="0" fontId="10" fillId="16" borderId="38" xfId="0" applyNumberFormat="1" applyFont="1" applyFill="1" applyBorder="1" applyAlignment="1">
      <x:alignment horizontal="center" vertical="top" wrapText="1"/>
    </x:xf>
    <x:xf numFmtId="0" fontId="10" fillId="16" borderId="45" xfId="0" applyNumberFormat="1" applyFont="1" applyFill="1" applyBorder="1" applyAlignment="1">
      <x:alignment horizontal="center" vertical="top" wrapText="1"/>
    </x:xf>
    <x:xf numFmtId="0" fontId="10" fillId="16" borderId="40" xfId="0" applyNumberFormat="1" applyFont="1" applyFill="1" applyBorder="1" applyAlignment="1">
      <x:alignment horizontal="center" vertical="top" wrapText="1"/>
    </x:xf>
    <x:xf numFmtId="0" fontId="10" fillId="16" borderId="35" xfId="0" applyNumberFormat="1" applyFont="1" applyFill="1" applyBorder="1" applyAlignment="1">
      <x:alignment horizontal="center" vertical="center" wrapText="1"/>
    </x:xf>
    <x:xf numFmtId="0" fontId="10" fillId="16" borderId="42" xfId="0" applyNumberFormat="1" applyFont="1" applyFill="1" applyBorder="1" applyAlignment="1">
      <x:alignment horizontal="center" vertical="center" wrapText="1"/>
    </x:xf>
    <x:xf numFmtId="0" fontId="10" fillId="16" borderId="37" xfId="0" applyNumberFormat="1" applyFont="1" applyFill="1" applyBorder="1" applyAlignment="1">
      <x:alignment horizontal="center" vertical="center" wrapText="1"/>
    </x:xf>
    <x:xf numFmtId="0" fontId="10" fillId="16" borderId="43" xfId="0" applyNumberFormat="1" applyFont="1" applyFill="1" applyBorder="1" applyAlignment="1">
      <x:alignment horizontal="center" vertical="center" wrapText="1"/>
    </x:xf>
    <x:xf numFmtId="0" fontId="10" fillId="16" xfId="0" applyNumberFormat="1" applyFont="1" applyFill="1" applyBorder="0" applyAlignment="1">
      <x:alignment horizontal="center" vertical="center" wrapText="1"/>
    </x:xf>
    <x:xf numFmtId="0" fontId="10" fillId="16" borderId="44" xfId="0" applyNumberFormat="1" applyFont="1" applyFill="1" applyBorder="1" applyAlignment="1">
      <x:alignment horizontal="center" vertical="center" wrapText="1"/>
    </x:xf>
    <x:xf numFmtId="0" fontId="10" fillId="16" borderId="38" xfId="0" applyNumberFormat="1" applyFont="1" applyFill="1" applyBorder="1" applyAlignment="1">
      <x:alignment horizontal="center" vertical="center" wrapText="1"/>
    </x:xf>
    <x:xf numFmtId="0" fontId="10" fillId="16" borderId="45" xfId="0" applyNumberFormat="1" applyFont="1" applyFill="1" applyBorder="1" applyAlignment="1">
      <x:alignment horizontal="center" vertical="center" wrapText="1"/>
    </x:xf>
    <x:xf numFmtId="0" fontId="10" fillId="16" borderId="40" xfId="0" applyNumberFormat="1" applyFont="1" applyFill="1" applyBorder="1" applyAlignment="1">
      <x:alignment horizontal="center" vertical="center" wrapText="1"/>
    </x:xf>
    <x:xf numFmtId="0" fontId="0" fillId="17" borderId="3" xfId="0" applyNumberFormat="1" applyFont="1" applyFill="1" applyBorder="1" applyAlignment="1">
      <x:alignment vertical="top" wrapText="1"/>
    </x:xf>
    <x:xf numFmtId="0" fontId="0" fillId="17" borderId="0" xfId="0" applyNumberFormat="1" applyFont="1" applyFill="1" applyBorder="1"/>
    <x:xf numFmtId="0" fontId="0" fillId="17" borderId="2" xfId="0" applyNumberFormat="1" applyFont="1" applyFill="1" applyBorder="1" applyAlignment="1">
      <x:alignment horizontal="center"/>
    </x:xf>
    <x:xf numFmtId="0" fontId="9" fillId="17" borderId="3" xfId="0" applyNumberFormat="1" applyFont="1" applyFill="1" applyBorder="1" applyAlignment="1">
      <x:alignment vertical="top" wrapText="1"/>
    </x:xf>
    <x:xf numFmtId="0" fontId="9" fillId="17" borderId="0" xfId="0" applyNumberFormat="1" applyFont="1" applyFill="1" applyBorder="1"/>
    <x:xf numFmtId="0" fontId="9" fillId="17" borderId="2" xfId="0" applyNumberFormat="1" applyFont="1" applyFill="1" applyBorder="1" applyAlignment="1">
      <x:alignment horizontal="center"/>
    </x:xf>
    <x:xf numFmtId="0" fontId="9" fillId="17" borderId="46" xfId="0" applyNumberFormat="1" applyFont="1" applyFill="1" applyBorder="1" applyAlignment="1">
      <x:alignment vertical="top" wrapText="1"/>
    </x:xf>
    <x:xf numFmtId="0" fontId="9" fillId="17" borderId="41" xfId="0" applyNumberFormat="1" applyFont="1" applyFill="1" applyBorder="1"/>
    <x:xf numFmtId="0" fontId="9" fillId="17" borderId="47" xfId="0" applyNumberFormat="1" applyFont="1" applyFill="1" applyBorder="1" applyAlignment="1">
      <x:alignment horizontal="center"/>
    </x:xf>
    <x:xf numFmtId="0" fontId="9" fillId="17" borderId="46" xfId="0" applyNumberFormat="1" applyFont="1" applyFill="1" applyBorder="1" applyAlignment="1">
      <x:alignment horizontal="center" vertical="top" wrapText="1"/>
    </x:xf>
    <x:xf numFmtId="0" fontId="9" fillId="17" borderId="41" xfId="0" applyNumberFormat="1" applyFont="1" applyFill="1" applyBorder="1" applyAlignment="1">
      <x:alignment horizontal="center"/>
    </x:xf>
    <x:xf numFmtId="0" fontId="9" fillId="17" borderId="46" xfId="0" applyNumberFormat="1" applyFont="1" applyFill="1" applyBorder="1" applyAlignment="1">
      <x:alignment horizontal="center" vertical="center" wrapText="1"/>
    </x:xf>
    <x:xf numFmtId="0" fontId="9" fillId="17" borderId="41" xfId="0" applyNumberFormat="1" applyFont="1" applyFill="1" applyBorder="1" applyAlignment="1">
      <x:alignment horizontal="center" vertical="center"/>
    </x:xf>
    <x:xf numFmtId="0" fontId="9" fillId="17" borderId="47" xfId="0" applyNumberFormat="1" applyFont="1" applyFill="1" applyBorder="1" applyAlignment="1">
      <x:alignment horizontal="center" vertical="center"/>
    </x:xf>
    <x:xf numFmtId="0" fontId="0" fillId="18" borderId="5" xfId="0" applyNumberFormat="1" applyFont="1" applyFill="1" applyBorder="1" applyAlignment="1">
      <x:alignment vertical="top" wrapText="1"/>
    </x:xf>
    <x:xf numFmtId="0" fontId="0" fillId="18" borderId="0" xfId="0" applyNumberFormat="1" applyFont="1" applyFill="1" applyBorder="1"/>
    <x:xf numFmtId="0" fontId="0" fillId="18" borderId="4" xfId="0" applyNumberFormat="1" applyFont="1" applyFill="1" applyBorder="1" applyAlignment="1">
      <x:alignment horizontal="center"/>
    </x:xf>
    <x:xf numFmtId="0" fontId="10" fillId="18" borderId="5" xfId="0" applyNumberFormat="1" applyFont="1" applyFill="1" applyBorder="1" applyAlignment="1">
      <x:alignment vertical="top" wrapText="1"/>
    </x:xf>
    <x:xf numFmtId="0" fontId="10" fillId="18" borderId="0" xfId="0" applyNumberFormat="1" applyFont="1" applyFill="1" applyBorder="1"/>
    <x:xf numFmtId="0" fontId="10" fillId="18" borderId="4" xfId="0" applyNumberFormat="1" applyFont="1" applyFill="1" applyBorder="1" applyAlignment="1">
      <x:alignment horizontal="center"/>
    </x:xf>
    <x:xf numFmtId="0" fontId="10" fillId="18" borderId="48" xfId="0" applyNumberFormat="1" applyFont="1" applyFill="1" applyBorder="1" applyAlignment="1">
      <x:alignment vertical="top" wrapText="1"/>
    </x:xf>
    <x:xf numFmtId="0" fontId="10" fillId="18" borderId="42" xfId="0" applyNumberFormat="1" applyFont="1" applyFill="1" applyBorder="1"/>
    <x:xf numFmtId="0" fontId="10" fillId="18" borderId="49" xfId="0" applyNumberFormat="1" applyFont="1" applyFill="1" applyBorder="1" applyAlignment="1">
      <x:alignment horizontal="center"/>
    </x:xf>
    <x:xf numFmtId="0" fontId="10" fillId="18" borderId="50" xfId="0" applyNumberFormat="1" applyFont="1" applyFill="1" applyBorder="1" applyAlignment="1">
      <x:alignment vertical="top" wrapText="1"/>
    </x:xf>
    <x:xf numFmtId="0" fontId="10" fillId="18" xfId="0" applyNumberFormat="1" applyFont="1" applyFill="1" applyBorder="0"/>
    <x:xf numFmtId="0" fontId="10" fillId="18" borderId="51" xfId="0" applyNumberFormat="1" applyFont="1" applyFill="1" applyBorder="1" applyAlignment="1">
      <x:alignment horizontal="center"/>
    </x:xf>
    <x:xf numFmtId="0" fontId="10" fillId="18" borderId="52" xfId="0" applyNumberFormat="1" applyFont="1" applyFill="1" applyBorder="1" applyAlignment="1">
      <x:alignment vertical="top" wrapText="1"/>
    </x:xf>
    <x:xf numFmtId="0" fontId="10" fillId="18" borderId="45" xfId="0" applyNumberFormat="1" applyFont="1" applyFill="1" applyBorder="1"/>
    <x:xf numFmtId="0" fontId="10" fillId="18" borderId="53" xfId="0" applyNumberFormat="1" applyFont="1" applyFill="1" applyBorder="1" applyAlignment="1">
      <x:alignment horizontal="center"/>
    </x:xf>
    <x:xf numFmtId="0" fontId="10" fillId="18" borderId="42" xfId="0" applyNumberFormat="1" applyFont="1" applyFill="1" applyBorder="1" applyAlignment="1">
      <x:alignment wrapText="1"/>
    </x:xf>
    <x:xf numFmtId="0" fontId="10" fillId="18" borderId="49" xfId="0" applyNumberFormat="1" applyFont="1" applyFill="1" applyBorder="1" applyAlignment="1">
      <x:alignment horizontal="center" wrapText="1"/>
    </x:xf>
    <x:xf numFmtId="0" fontId="10" fillId="18" xfId="0" applyNumberFormat="1" applyFont="1" applyFill="1" applyBorder="0" applyAlignment="1">
      <x:alignment wrapText="1"/>
    </x:xf>
    <x:xf numFmtId="0" fontId="10" fillId="18" borderId="51" xfId="0" applyNumberFormat="1" applyFont="1" applyFill="1" applyBorder="1" applyAlignment="1">
      <x:alignment horizontal="center" wrapText="1"/>
    </x:xf>
    <x:xf numFmtId="0" fontId="10" fillId="18" borderId="45" xfId="0" applyNumberFormat="1" applyFont="1" applyFill="1" applyBorder="1" applyAlignment="1">
      <x:alignment wrapText="1"/>
    </x:xf>
    <x:xf numFmtId="0" fontId="10" fillId="18" borderId="53" xfId="0" applyNumberFormat="1" applyFont="1" applyFill="1" applyBorder="1" applyAlignment="1">
      <x:alignment horizontal="center" wrapText="1"/>
    </x:xf>
    <x:xf numFmtId="0" fontId="10" fillId="18" borderId="48" xfId="0" applyNumberFormat="1" applyFont="1" applyFill="1" applyBorder="1" applyAlignment="1">
      <x:alignment horizontal="center" vertical="top" wrapText="1"/>
    </x:xf>
    <x:xf numFmtId="0" fontId="10" fillId="18" borderId="42" xfId="0" applyNumberFormat="1" applyFont="1" applyFill="1" applyBorder="1" applyAlignment="1">
      <x:alignment horizontal="center" wrapText="1"/>
    </x:xf>
    <x:xf numFmtId="0" fontId="10" fillId="18" borderId="50" xfId="0" applyNumberFormat="1" applyFont="1" applyFill="1" applyBorder="1" applyAlignment="1">
      <x:alignment horizontal="center" vertical="top" wrapText="1"/>
    </x:xf>
    <x:xf numFmtId="0" fontId="10" fillId="18" xfId="0" applyNumberFormat="1" applyFont="1" applyFill="1" applyBorder="0" applyAlignment="1">
      <x:alignment horizontal="center" wrapText="1"/>
    </x:xf>
    <x:xf numFmtId="0" fontId="10" fillId="18" borderId="52" xfId="0" applyNumberFormat="1" applyFont="1" applyFill="1" applyBorder="1" applyAlignment="1">
      <x:alignment horizontal="center" vertical="top" wrapText="1"/>
    </x:xf>
    <x:xf numFmtId="0" fontId="10" fillId="18" borderId="45" xfId="0" applyNumberFormat="1" applyFont="1" applyFill="1" applyBorder="1" applyAlignment="1">
      <x:alignment horizontal="center" wrapText="1"/>
    </x:xf>
    <x:xf numFmtId="0" fontId="10" fillId="18" borderId="48" xfId="0" applyNumberFormat="1" applyFont="1" applyFill="1" applyBorder="1" applyAlignment="1">
      <x:alignment horizontal="center" vertical="center" wrapText="1"/>
    </x:xf>
    <x:xf numFmtId="0" fontId="10" fillId="18" borderId="42" xfId="0" applyNumberFormat="1" applyFont="1" applyFill="1" applyBorder="1" applyAlignment="1">
      <x:alignment horizontal="center" vertical="center" wrapText="1"/>
    </x:xf>
    <x:xf numFmtId="0" fontId="10" fillId="18" borderId="49" xfId="0" applyNumberFormat="1" applyFont="1" applyFill="1" applyBorder="1" applyAlignment="1">
      <x:alignment horizontal="center" vertical="center" wrapText="1"/>
    </x:xf>
    <x:xf numFmtId="0" fontId="10" fillId="18" borderId="50" xfId="0" applyNumberFormat="1" applyFont="1" applyFill="1" applyBorder="1" applyAlignment="1">
      <x:alignment horizontal="center" vertical="center" wrapText="1"/>
    </x:xf>
    <x:xf numFmtId="0" fontId="10" fillId="18" xfId="0" applyNumberFormat="1" applyFont="1" applyFill="1" applyBorder="0" applyAlignment="1">
      <x:alignment horizontal="center" vertical="center" wrapText="1"/>
    </x:xf>
    <x:xf numFmtId="0" fontId="10" fillId="18" borderId="51" xfId="0" applyNumberFormat="1" applyFont="1" applyFill="1" applyBorder="1" applyAlignment="1">
      <x:alignment horizontal="center" vertical="center" wrapText="1"/>
    </x:xf>
    <x:xf numFmtId="0" fontId="10" fillId="18" borderId="52" xfId="0" applyNumberFormat="1" applyFont="1" applyFill="1" applyBorder="1" applyAlignment="1">
      <x:alignment horizontal="center" vertical="center" wrapText="1"/>
    </x:xf>
    <x:xf numFmtId="0" fontId="10" fillId="18" borderId="45" xfId="0" applyNumberFormat="1" applyFont="1" applyFill="1" applyBorder="1" applyAlignment="1">
      <x:alignment horizontal="center" vertical="center" wrapText="1"/>
    </x:xf>
    <x:xf numFmtId="0" fontId="10" fillId="18" borderId="53" xfId="0" applyNumberFormat="1" applyFont="1" applyFill="1" applyBorder="1" applyAlignment="1">
      <x:alignment horizontal="center" vertical="center" wrapText="1"/>
    </x:xf>
    <x:xf numFmtId="0" fontId="0" fillId="19" borderId="14" xfId="0" applyNumberFormat="1" applyFont="1" applyFill="1" applyBorder="1" applyAlignment="1">
      <x:alignment horizontal="center"/>
    </x:xf>
    <x:xf numFmtId="0" fontId="9" fillId="19" borderId="14" xfId="0" applyNumberFormat="1" applyFont="1" applyFill="1" applyBorder="1" applyAlignment="1">
      <x:alignment horizontal="center"/>
    </x:xf>
    <x:xf numFmtId="0" fontId="9" fillId="19" borderId="32" xfId="0" applyNumberFormat="1" applyFont="1" applyFill="1" applyBorder="1" applyAlignment="1">
      <x:alignment horizontal="center"/>
    </x:xf>
    <x:xf numFmtId="0" fontId="9" fillId="19" borderId="41" xfId="0" applyNumberFormat="1" applyFont="1" applyFill="1" applyBorder="1" applyAlignment="1">
      <x:alignment horizontal="center"/>
    </x:xf>
    <x:xf numFmtId="0" fontId="9" fillId="19" borderId="34" xfId="0" applyNumberFormat="1" applyFont="1" applyFill="1" applyBorder="1" applyAlignment="1">
      <x:alignment horizontal="center"/>
    </x:xf>
    <x:xf numFmtId="0" fontId="9" fillId="19" borderId="32" xfId="0" applyNumberFormat="1" applyFont="1" applyFill="1" applyBorder="1" applyAlignment="1">
      <x:alignment horizontal="center" vertical="center"/>
    </x:xf>
    <x:xf numFmtId="0" fontId="9" fillId="19" borderId="41" xfId="0" applyNumberFormat="1" applyFont="1" applyFill="1" applyBorder="1" applyAlignment="1">
      <x:alignment horizontal="center" vertical="center"/>
    </x:xf>
    <x:xf numFmtId="0" fontId="9" fillId="19" borderId="34" xfId="0" applyNumberFormat="1" applyFont="1" applyFill="1" applyBorder="1" applyAlignment="1">
      <x:alignment horizontal="center" vertical="center"/>
    </x:xf>
    <x:xf numFmtId="0" fontId="0" fillId="20" borderId="0" xfId="0" applyNumberFormat="1" applyFont="1" applyFill="1" applyBorder="1" applyAlignment="1">
      <x:alignment horizontal="center"/>
    </x:xf>
    <x:xf numFmtId="0" fontId="10" fillId="20" borderId="0" xfId="0" applyNumberFormat="1" applyFont="1" applyFill="1" applyBorder="1" applyAlignment="1">
      <x:alignment horizontal="center"/>
    </x:xf>
    <x:xf numFmtId="0" fontId="10" fillId="20" borderId="35" xfId="0" applyNumberFormat="1" applyFont="1" applyFill="1" applyBorder="1" applyAlignment="1">
      <x:alignment horizontal="center"/>
    </x:xf>
    <x:xf numFmtId="0" fontId="10" fillId="20" borderId="42" xfId="0" applyNumberFormat="1" applyFont="1" applyFill="1" applyBorder="1" applyAlignment="1">
      <x:alignment horizontal="center"/>
    </x:xf>
    <x:xf numFmtId="0" fontId="10" fillId="20" borderId="37" xfId="0" applyNumberFormat="1" applyFont="1" applyFill="1" applyBorder="1" applyAlignment="1">
      <x:alignment horizontal="center"/>
    </x:xf>
    <x:xf numFmtId="0" fontId="10" fillId="20" borderId="43" xfId="0" applyNumberFormat="1" applyFont="1" applyFill="1" applyBorder="1" applyAlignment="1">
      <x:alignment horizontal="center"/>
    </x:xf>
    <x:xf numFmtId="0" fontId="10" fillId="20" xfId="0" applyNumberFormat="1" applyFont="1" applyFill="1" applyBorder="0" applyAlignment="1">
      <x:alignment horizontal="center"/>
    </x:xf>
    <x:xf numFmtId="0" fontId="10" fillId="20" borderId="44" xfId="0" applyNumberFormat="1" applyFont="1" applyFill="1" applyBorder="1" applyAlignment="1">
      <x:alignment horizontal="center"/>
    </x:xf>
    <x:xf numFmtId="0" fontId="10" fillId="20" borderId="38" xfId="0" applyNumberFormat="1" applyFont="1" applyFill="1" applyBorder="1" applyAlignment="1">
      <x:alignment horizontal="center"/>
    </x:xf>
    <x:xf numFmtId="0" fontId="10" fillId="20" borderId="45" xfId="0" applyNumberFormat="1" applyFont="1" applyFill="1" applyBorder="1" applyAlignment="1">
      <x:alignment horizontal="center"/>
    </x:xf>
    <x:xf numFmtId="0" fontId="10" fillId="20" borderId="40" xfId="0" applyNumberFormat="1" applyFont="1" applyFill="1" applyBorder="1" applyAlignment="1">
      <x:alignment horizontal="center"/>
    </x:xf>
    <x:xf numFmtId="0" fontId="10" fillId="20" borderId="35" xfId="0" applyNumberFormat="1" applyFont="1" applyFill="1" applyBorder="1" applyAlignment="1">
      <x:alignment horizontal="center" wrapText="1"/>
    </x:xf>
    <x:xf numFmtId="0" fontId="10" fillId="20" borderId="42" xfId="0" applyNumberFormat="1" applyFont="1" applyFill="1" applyBorder="1" applyAlignment="1">
      <x:alignment horizontal="center" wrapText="1"/>
    </x:xf>
    <x:xf numFmtId="0" fontId="10" fillId="20" borderId="37" xfId="0" applyNumberFormat="1" applyFont="1" applyFill="1" applyBorder="1" applyAlignment="1">
      <x:alignment horizontal="center" wrapText="1"/>
    </x:xf>
    <x:xf numFmtId="0" fontId="10" fillId="20" borderId="43" xfId="0" applyNumberFormat="1" applyFont="1" applyFill="1" applyBorder="1" applyAlignment="1">
      <x:alignment horizontal="center" wrapText="1"/>
    </x:xf>
    <x:xf numFmtId="0" fontId="10" fillId="20" xfId="0" applyNumberFormat="1" applyFont="1" applyFill="1" applyBorder="0" applyAlignment="1">
      <x:alignment horizontal="center" wrapText="1"/>
    </x:xf>
    <x:xf numFmtId="0" fontId="10" fillId="20" borderId="44" xfId="0" applyNumberFormat="1" applyFont="1" applyFill="1" applyBorder="1" applyAlignment="1">
      <x:alignment horizontal="center" wrapText="1"/>
    </x:xf>
    <x:xf numFmtId="0" fontId="10" fillId="20" borderId="38" xfId="0" applyNumberFormat="1" applyFont="1" applyFill="1" applyBorder="1" applyAlignment="1">
      <x:alignment horizontal="center" wrapText="1"/>
    </x:xf>
    <x:xf numFmtId="0" fontId="10" fillId="20" borderId="45" xfId="0" applyNumberFormat="1" applyFont="1" applyFill="1" applyBorder="1" applyAlignment="1">
      <x:alignment horizontal="center" wrapText="1"/>
    </x:xf>
    <x:xf numFmtId="0" fontId="10" fillId="20" borderId="40" xfId="0" applyNumberFormat="1" applyFont="1" applyFill="1" applyBorder="1" applyAlignment="1">
      <x:alignment horizontal="center" wrapText="1"/>
    </x:xf>
    <x:xf numFmtId="0" fontId="10" fillId="20" borderId="35" xfId="0" applyNumberFormat="1" applyFont="1" applyFill="1" applyBorder="1" applyAlignment="1">
      <x:alignment horizontal="center" vertical="center" wrapText="1"/>
    </x:xf>
    <x:xf numFmtId="0" fontId="10" fillId="20" borderId="42" xfId="0" applyNumberFormat="1" applyFont="1" applyFill="1" applyBorder="1" applyAlignment="1">
      <x:alignment horizontal="center" vertical="center" wrapText="1"/>
    </x:xf>
    <x:xf numFmtId="0" fontId="10" fillId="20" borderId="37" xfId="0" applyNumberFormat="1" applyFont="1" applyFill="1" applyBorder="1" applyAlignment="1">
      <x:alignment horizontal="center" vertical="center" wrapText="1"/>
    </x:xf>
    <x:xf numFmtId="0" fontId="10" fillId="20" borderId="43" xfId="0" applyNumberFormat="1" applyFont="1" applyFill="1" applyBorder="1" applyAlignment="1">
      <x:alignment horizontal="center" vertical="center" wrapText="1"/>
    </x:xf>
    <x:xf numFmtId="0" fontId="10" fillId="20" xfId="0" applyNumberFormat="1" applyFont="1" applyFill="1" applyBorder="0" applyAlignment="1">
      <x:alignment horizontal="center" vertical="center" wrapText="1"/>
    </x:xf>
    <x:xf numFmtId="0" fontId="10" fillId="20" borderId="44" xfId="0" applyNumberFormat="1" applyFont="1" applyFill="1" applyBorder="1" applyAlignment="1">
      <x:alignment horizontal="center" vertical="center" wrapText="1"/>
    </x:xf>
    <x:xf numFmtId="0" fontId="10" fillId="20" borderId="38" xfId="0" applyNumberFormat="1" applyFont="1" applyFill="1" applyBorder="1" applyAlignment="1">
      <x:alignment horizontal="center" vertical="center" wrapText="1"/>
    </x:xf>
    <x:xf numFmtId="0" fontId="10" fillId="20" borderId="45" xfId="0" applyNumberFormat="1" applyFont="1" applyFill="1" applyBorder="1" applyAlignment="1">
      <x:alignment horizontal="center" vertical="center" wrapText="1"/>
    </x:xf>
    <x:xf numFmtId="0" fontId="10" fillId="20" borderId="40" xfId="0" applyNumberFormat="1" applyFont="1" applyFill="1" applyBorder="1" applyAlignment="1">
      <x:alignment horizontal="center" vertical="center" wrapText="1"/>
    </x:xf>
    <x:xf numFmtId="0" fontId="0" fillId="21" borderId="14" xfId="0" applyNumberFormat="1" applyFont="1" applyFill="1" applyBorder="1" applyAlignment="1">
      <x:alignment horizontal="center"/>
    </x:xf>
    <x:xf numFmtId="0" fontId="0" fillId="21" borderId="3" xfId="0" applyNumberFormat="1" applyFont="1" applyFill="1" applyBorder="1" applyAlignment="1">
      <x:alignment horizontal="center"/>
    </x:xf>
    <x:xf numFmtId="0" fontId="0" fillId="21" borderId="0" xfId="0" applyNumberFormat="1" applyFont="1" applyFill="1" applyBorder="1"/>
    <x:xf numFmtId="0" fontId="9" fillId="21" borderId="14" xfId="0" applyNumberFormat="1" applyFont="1" applyFill="1" applyBorder="1" applyAlignment="1">
      <x:alignment horizontal="center"/>
    </x:xf>
    <x:xf numFmtId="0" fontId="9" fillId="21" borderId="3" xfId="0" applyNumberFormat="1" applyFont="1" applyFill="1" applyBorder="1" applyAlignment="1">
      <x:alignment horizontal="center"/>
    </x:xf>
    <x:xf numFmtId="0" fontId="9" fillId="21" borderId="0" xfId="0" applyNumberFormat="1" applyFont="1" applyFill="1" applyBorder="1"/>
    <x:xf numFmtId="0" fontId="9" fillId="21" borderId="32" xfId="0" applyNumberFormat="1" applyFont="1" applyFill="1" applyBorder="1" applyAlignment="1">
      <x:alignment horizontal="center"/>
    </x:xf>
    <x:xf numFmtId="0" fontId="9" fillId="21" borderId="33" xfId="0" applyNumberFormat="1" applyFont="1" applyFill="1" applyBorder="1" applyAlignment="1">
      <x:alignment horizontal="center"/>
    </x:xf>
    <x:xf numFmtId="0" fontId="9" fillId="21" borderId="34" xfId="0" applyNumberFormat="1" applyFont="1" applyFill="1" applyBorder="1"/>
    <x:xf numFmtId="0" fontId="9" fillId="21" borderId="34" xfId="0" applyNumberFormat="1" applyFont="1" applyFill="1" applyBorder="1" applyAlignment="1">
      <x:alignment horizontal="center"/>
    </x:xf>
    <x:xf numFmtId="0" fontId="9" fillId="21" borderId="32" xfId="0" applyNumberFormat="1" applyFont="1" applyFill="1" applyBorder="1" applyAlignment="1">
      <x:alignment horizontal="center" vertical="center"/>
    </x:xf>
    <x:xf numFmtId="0" fontId="9" fillId="21" borderId="33" xfId="0" applyNumberFormat="1" applyFont="1" applyFill="1" applyBorder="1" applyAlignment="1">
      <x:alignment horizontal="center" vertical="center"/>
    </x:xf>
    <x:xf numFmtId="0" fontId="9" fillId="21" borderId="34" xfId="0" applyNumberFormat="1" applyFont="1" applyFill="1" applyBorder="1" applyAlignment="1">
      <x:alignment horizontal="center" vertical="center"/>
    </x:xf>
    <x:xf numFmtId="0" fontId="0" fillId="22" borderId="0" xfId="0" applyNumberFormat="1" applyFont="1" applyFill="1" applyBorder="1" applyAlignment="1">
      <x:alignment horizontal="center"/>
    </x:xf>
    <x:xf numFmtId="0" fontId="0" fillId="22" borderId="5" xfId="0" applyNumberFormat="1" applyFont="1" applyFill="1" applyBorder="1" applyAlignment="1">
      <x:alignment horizontal="center"/>
    </x:xf>
    <x:xf numFmtId="0" fontId="0" fillId="22" borderId="0" xfId="0" applyNumberFormat="1" applyFont="1" applyFill="1" applyBorder="1"/>
    <x:xf numFmtId="0" fontId="10" fillId="22" borderId="0" xfId="0" applyNumberFormat="1" applyFont="1" applyFill="1" applyBorder="1" applyAlignment="1">
      <x:alignment horizontal="center"/>
    </x:xf>
    <x:xf numFmtId="0" fontId="10" fillId="22" borderId="5" xfId="0" applyNumberFormat="1" applyFont="1" applyFill="1" applyBorder="1" applyAlignment="1">
      <x:alignment horizontal="center"/>
    </x:xf>
    <x:xf numFmtId="0" fontId="10" fillId="22" borderId="0" xfId="0" applyNumberFormat="1" applyFont="1" applyFill="1" applyBorder="1"/>
    <x:xf numFmtId="0" fontId="10" fillId="22" borderId="35" xfId="0" applyNumberFormat="1" applyFont="1" applyFill="1" applyBorder="1" applyAlignment="1">
      <x:alignment horizontal="center"/>
    </x:xf>
    <x:xf numFmtId="0" fontId="10" fillId="22" borderId="36" xfId="0" applyNumberFormat="1" applyFont="1" applyFill="1" applyBorder="1" applyAlignment="1">
      <x:alignment horizontal="center"/>
    </x:xf>
    <x:xf numFmtId="0" fontId="10" fillId="22" borderId="37" xfId="0" applyNumberFormat="1" applyFont="1" applyFill="1" applyBorder="1"/>
    <x:xf numFmtId="0" fontId="10" fillId="22" borderId="43" xfId="0" applyNumberFormat="1" applyFont="1" applyFill="1" applyBorder="1" applyAlignment="1">
      <x:alignment horizontal="center"/>
    </x:xf>
    <x:xf numFmtId="0" fontId="10" fillId="22" borderId="44" xfId="0" applyNumberFormat="1" applyFont="1" applyFill="1" applyBorder="1"/>
    <x:xf numFmtId="0" fontId="10" fillId="22" borderId="38" xfId="0" applyNumberFormat="1" applyFont="1" applyFill="1" applyBorder="1" applyAlignment="1">
      <x:alignment horizontal="center"/>
    </x:xf>
    <x:xf numFmtId="0" fontId="10" fillId="22" borderId="39" xfId="0" applyNumberFormat="1" applyFont="1" applyFill="1" applyBorder="1" applyAlignment="1">
      <x:alignment horizontal="center"/>
    </x:xf>
    <x:xf numFmtId="0" fontId="10" fillId="22" borderId="40" xfId="0" applyNumberFormat="1" applyFont="1" applyFill="1" applyBorder="1"/>
    <x:xf numFmtId="0" fontId="10" fillId="22" borderId="35" xfId="0" applyNumberFormat="1" applyFont="1" applyFill="1" applyBorder="1" applyAlignment="1">
      <x:alignment horizontal="center" wrapText="1"/>
    </x:xf>
    <x:xf numFmtId="0" fontId="10" fillId="22" borderId="36" xfId="0" applyNumberFormat="1" applyFont="1" applyFill="1" applyBorder="1" applyAlignment="1">
      <x:alignment horizontal="center" wrapText="1"/>
    </x:xf>
    <x:xf numFmtId="0" fontId="10" fillId="22" borderId="37" xfId="0" applyNumberFormat="1" applyFont="1" applyFill="1" applyBorder="1" applyAlignment="1">
      <x:alignment wrapText="1"/>
    </x:xf>
    <x:xf numFmtId="0" fontId="10" fillId="22" borderId="43" xfId="0" applyNumberFormat="1" applyFont="1" applyFill="1" applyBorder="1" applyAlignment="1">
      <x:alignment horizontal="center" wrapText="1"/>
    </x:xf>
    <x:xf numFmtId="0" fontId="10" fillId="22" borderId="5" xfId="0" applyNumberFormat="1" applyFont="1" applyFill="1" applyBorder="1" applyAlignment="1">
      <x:alignment horizontal="center" wrapText="1"/>
    </x:xf>
    <x:xf numFmtId="0" fontId="10" fillId="22" borderId="44" xfId="0" applyNumberFormat="1" applyFont="1" applyFill="1" applyBorder="1" applyAlignment="1">
      <x:alignment wrapText="1"/>
    </x:xf>
    <x:xf numFmtId="0" fontId="10" fillId="22" borderId="38" xfId="0" applyNumberFormat="1" applyFont="1" applyFill="1" applyBorder="1" applyAlignment="1">
      <x:alignment horizontal="center" wrapText="1"/>
    </x:xf>
    <x:xf numFmtId="0" fontId="10" fillId="22" borderId="39" xfId="0" applyNumberFormat="1" applyFont="1" applyFill="1" applyBorder="1" applyAlignment="1">
      <x:alignment horizontal="center" wrapText="1"/>
    </x:xf>
    <x:xf numFmtId="0" fontId="10" fillId="22" borderId="40" xfId="0" applyNumberFormat="1" applyFont="1" applyFill="1" applyBorder="1" applyAlignment="1">
      <x:alignment wrapText="1"/>
    </x:xf>
    <x:xf numFmtId="0" fontId="10" fillId="22" borderId="37" xfId="0" applyNumberFormat="1" applyFont="1" applyFill="1" applyBorder="1" applyAlignment="1">
      <x:alignment horizontal="center" wrapText="1"/>
    </x:xf>
    <x:xf numFmtId="0" fontId="10" fillId="22" borderId="44" xfId="0" applyNumberFormat="1" applyFont="1" applyFill="1" applyBorder="1" applyAlignment="1">
      <x:alignment horizontal="center" wrapText="1"/>
    </x:xf>
    <x:xf numFmtId="0" fontId="10" fillId="22" borderId="40" xfId="0" applyNumberFormat="1" applyFont="1" applyFill="1" applyBorder="1" applyAlignment="1">
      <x:alignment horizontal="center" wrapText="1"/>
    </x:xf>
    <x:xf numFmtId="0" fontId="10" fillId="22" borderId="35" xfId="0" applyNumberFormat="1" applyFont="1" applyFill="1" applyBorder="1" applyAlignment="1">
      <x:alignment horizontal="center" vertical="center" wrapText="1"/>
    </x:xf>
    <x:xf numFmtId="0" fontId="10" fillId="22" borderId="36" xfId="0" applyNumberFormat="1" applyFont="1" applyFill="1" applyBorder="1" applyAlignment="1">
      <x:alignment horizontal="center" vertical="center" wrapText="1"/>
    </x:xf>
    <x:xf numFmtId="0" fontId="10" fillId="22" borderId="37" xfId="0" applyNumberFormat="1" applyFont="1" applyFill="1" applyBorder="1" applyAlignment="1">
      <x:alignment horizontal="center" vertical="center" wrapText="1"/>
    </x:xf>
    <x:xf numFmtId="0" fontId="10" fillId="22" borderId="43" xfId="0" applyNumberFormat="1" applyFont="1" applyFill="1" applyBorder="1" applyAlignment="1">
      <x:alignment horizontal="center" vertical="center" wrapText="1"/>
    </x:xf>
    <x:xf numFmtId="0" fontId="10" fillId="22" borderId="5" xfId="0" applyNumberFormat="1" applyFont="1" applyFill="1" applyBorder="1" applyAlignment="1">
      <x:alignment horizontal="center" vertical="center" wrapText="1"/>
    </x:xf>
    <x:xf numFmtId="0" fontId="10" fillId="22" borderId="44" xfId="0" applyNumberFormat="1" applyFont="1" applyFill="1" applyBorder="1" applyAlignment="1">
      <x:alignment horizontal="center" vertical="center" wrapText="1"/>
    </x:xf>
    <x:xf numFmtId="0" fontId="10" fillId="22" borderId="38" xfId="0" applyNumberFormat="1" applyFont="1" applyFill="1" applyBorder="1" applyAlignment="1">
      <x:alignment horizontal="center" vertical="center" wrapText="1"/>
    </x:xf>
    <x:xf numFmtId="0" fontId="10" fillId="22" borderId="39" xfId="0" applyNumberFormat="1" applyFont="1" applyFill="1" applyBorder="1" applyAlignment="1">
      <x:alignment horizontal="center" vertical="center" wrapText="1"/>
    </x:xf>
    <x:xf numFmtId="0" fontId="10" fillId="22" borderId="40" xfId="0" applyNumberFormat="1" applyFont="1" applyFill="1" applyBorder="1" applyAlignment="1">
      <x:alignment horizontal="center" vertical="center" wrapText="1"/>
    </x:xf>
    <x:xf numFmtId="0" fontId="0" fillId="12" borderId="4" xfId="0" applyNumberFormat="1" applyFont="1" applyFill="1" applyBorder="1" applyAlignment="1">
      <x:alignment vertical="top" wrapText="1"/>
    </x:xf>
    <x:xf numFmtId="0" fontId="0" fillId="12" borderId="5" xfId="0" applyNumberFormat="1" applyFont="1" applyFill="1" applyBorder="1" applyAlignment="1">
      <x:alignment vertical="top" wrapText="1"/>
    </x:xf>
    <x:xf numFmtId="0" fontId="0" fillId="12" xfId="0" applyNumberFormat="1" applyFont="1" applyFill="1" applyBorder="0" applyAlignment="1">
      <x:alignment vertical="top" wrapText="1"/>
    </x:xf>
    <x:xf numFmtId="0" fontId="0" fillId="12" borderId="4" xfId="0" applyNumberFormat="1" applyFont="1" applyFill="1" applyBorder="1" applyAlignment="1">
      <x:alignment horizontal="center"/>
    </x:xf>
    <x:xf numFmtId="0" fontId="0" fillId="12" borderId="0" xfId="0" applyNumberFormat="1" applyFont="1" applyFill="1" applyBorder="1" applyAlignment="1">
      <x:alignment horizontal="center"/>
    </x:xf>
    <x:xf numFmtId="0" fontId="0" fillId="12" borderId="5" xfId="0" applyNumberFormat="1" applyFont="1" applyFill="1" applyBorder="1" applyAlignment="1">
      <x:alignment horizontal="center"/>
    </x:xf>
    <x:xf numFmtId="0" fontId="5" fillId="12" borderId="4" xfId="0" applyNumberFormat="1" applyFont="1" applyFill="1" applyBorder="1" applyAlignment="1">
      <x:alignment vertical="top" wrapText="1"/>
    </x:xf>
    <x:xf numFmtId="0" fontId="5" fillId="12" borderId="5" xfId="0" applyNumberFormat="1" applyFont="1" applyFill="1" applyBorder="1" applyAlignment="1">
      <x:alignment vertical="top" wrapText="1"/>
    </x:xf>
    <x:xf numFmtId="0" fontId="5" fillId="12" borderId="0" xfId="0" applyNumberFormat="1" applyFont="1" applyFill="1" applyBorder="1"/>
    <x:xf numFmtId="0" fontId="5" fillId="12" xfId="0" applyNumberFormat="1" applyFont="1" applyFill="1" applyBorder="0" applyAlignment="1">
      <x:alignment vertical="top" wrapText="1"/>
    </x:xf>
    <x:xf numFmtId="0" fontId="5" fillId="12" borderId="4" xfId="0" applyNumberFormat="1" applyFont="1" applyFill="1" applyBorder="1" applyAlignment="1">
      <x:alignment horizontal="center"/>
    </x:xf>
    <x:xf numFmtId="0" fontId="5" fillId="12" borderId="0" xfId="0" applyNumberFormat="1" applyFont="1" applyFill="1" applyBorder="1" applyAlignment="1">
      <x:alignment horizontal="center"/>
    </x:xf>
    <x:xf numFmtId="0" fontId="5" fillId="12" borderId="5" xfId="0" applyNumberFormat="1" applyFont="1" applyFill="1" applyBorder="1" applyAlignment="1">
      <x:alignment horizontal="center"/>
    </x:xf>
    <x:xf numFmtId="0" fontId="5" fillId="12" borderId="4" xfId="0" applyNumberFormat="1" applyFont="1" applyFill="1" applyBorder="1" applyAlignment="1">
      <x:alignment horizontal="left" vertical="top" wrapText="1"/>
    </x:xf>
    <x:xf numFmtId="0" fontId="5" fillId="12" borderId="5" xfId="0" applyNumberFormat="1" applyFont="1" applyFill="1" applyBorder="1" applyAlignment="1">
      <x:alignment horizontal="left" vertical="top" wrapText="1"/>
    </x:xf>
    <x:xf numFmtId="0" fontId="5" fillId="12" borderId="0" xfId="0" applyNumberFormat="1" applyFont="1" applyFill="1" applyBorder="1" applyAlignment="1">
      <x:alignment horizontal="left"/>
    </x:xf>
    <x:xf numFmtId="0" fontId="5" fillId="12" xfId="0" applyNumberFormat="1" applyFont="1" applyFill="1" applyBorder="0" applyAlignment="1">
      <x:alignment horizontal="left" vertical="top" wrapText="1"/>
    </x:xf>
    <x:xf numFmtId="0" fontId="5" fillId="12" borderId="4" xfId="0" applyNumberFormat="1" applyFont="1" applyFill="1" applyBorder="1" applyAlignment="1">
      <x:alignment horizontal="left"/>
    </x:xf>
    <x:xf numFmtId="0" fontId="5" fillId="12" borderId="5" xfId="0" applyNumberFormat="1" applyFont="1" applyFill="1" applyBorder="1" applyAlignment="1">
      <x:alignment horizontal="left"/>
    </x:xf>
    <x:xf numFmtId="0" fontId="5" fillId="12" borderId="4" xfId="0" applyNumberFormat="1" applyFont="1" applyFill="1" applyBorder="1" applyAlignment="1">
      <x:alignment horizontal="left" vertical="center" wrapText="1"/>
    </x:xf>
    <x:xf numFmtId="0" fontId="5" fillId="12" borderId="5" xfId="0" applyNumberFormat="1" applyFont="1" applyFill="1" applyBorder="1" applyAlignment="1">
      <x:alignment horizontal="left" vertical="center" wrapText="1"/>
    </x:xf>
    <x:xf numFmtId="0" fontId="5" fillId="12" borderId="0" xfId="0" applyNumberFormat="1" applyFont="1" applyFill="1" applyBorder="1" applyAlignment="1">
      <x:alignment horizontal="left" vertical="center"/>
    </x:xf>
    <x:xf numFmtId="0" fontId="5" fillId="12" xfId="0" applyNumberFormat="1" applyFont="1" applyFill="1" applyBorder="0" applyAlignment="1">
      <x:alignment horizontal="left" vertical="center" wrapText="1"/>
    </x:xf>
    <x:xf numFmtId="0" fontId="5" fillId="12" borderId="4" xfId="0" applyNumberFormat="1" applyFont="1" applyFill="1" applyBorder="1" applyAlignment="1">
      <x:alignment horizontal="left" vertical="center"/>
    </x:xf>
    <x:xf numFmtId="0" fontId="5" fillId="12" borderId="5" xfId="0" applyNumberFormat="1" applyFont="1" applyFill="1" applyBorder="1" applyAlignment="1">
      <x:alignment horizontal="left" vertical="center"/>
    </x:xf>
    <x:xf numFmtId="0" fontId="0" fillId="15" borderId="6" xfId="0" applyNumberFormat="1" applyFont="1" applyFill="1" applyBorder="1" applyAlignment="1">
      <x:alignment vertical="top" wrapText="1"/>
    </x:xf>
    <x:xf numFmtId="0" fontId="0" fillId="15" borderId="7" xfId="0" applyNumberFormat="1" applyFont="1" applyFill="1" applyBorder="1" applyAlignment="1">
      <x:alignment vertical="top" wrapText="1"/>
    </x:xf>
    <x:xf numFmtId="0" fontId="9" fillId="15" borderId="6" xfId="0" applyNumberFormat="1" applyFont="1" applyFill="1" applyBorder="1" applyAlignment="1">
      <x:alignment vertical="top" wrapText="1"/>
    </x:xf>
    <x:xf numFmtId="0" fontId="9" fillId="15" borderId="7" xfId="0" applyNumberFormat="1" applyFont="1" applyFill="1" applyBorder="1" applyAlignment="1">
      <x:alignment vertical="top" wrapText="1"/>
    </x:xf>
    <x:xf numFmtId="0" fontId="0" fillId="16" borderId="0" xfId="0" applyNumberFormat="1" applyFont="1" applyFill="1" applyBorder="1"/>
    <x:xf numFmtId="0" fontId="3" fillId="16" borderId="0" xfId="0" applyNumberFormat="1" applyFont="1" applyFill="1" applyBorder="1" applyAlignment="1">
      <x:alignment wrapText="1"/>
    </x:xf>
    <x:xf numFmtId="0" fontId="10" fillId="16" borderId="0" xfId="0" applyNumberFormat="1" applyFont="1" applyFill="1" applyBorder="1"/>
    <x:xf numFmtId="0" fontId="10" fillId="16" borderId="0" xfId="0" applyNumberFormat="1" applyFont="1" applyFill="1" applyBorder="1" applyAlignment="1">
      <x:alignment wrapText="1"/>
    </x:xf>
    <x:xf numFmtId="0" fontId="10" fillId="16" borderId="35" xfId="0" applyNumberFormat="1" applyFont="1" applyFill="1" applyBorder="1"/>
    <x:xf numFmtId="0" fontId="10" fillId="16" borderId="37" xfId="0" applyNumberFormat="1" applyFont="1" applyFill="1" applyBorder="1"/>
    <x:xf numFmtId="0" fontId="10" fillId="16" borderId="38" xfId="0" applyNumberFormat="1" applyFont="1" applyFill="1" applyBorder="1" applyAlignment="1">
      <x:alignment wrapText="1"/>
    </x:xf>
    <x:xf numFmtId="0" fontId="10" fillId="16" borderId="40" xfId="0" applyNumberFormat="1" applyFont="1" applyFill="1" applyBorder="1" applyAlignment="1">
      <x:alignment wrapText="1"/>
    </x:xf>
    <x:xf numFmtId="0" fontId="10" fillId="16" borderId="35" xfId="0" applyNumberFormat="1" applyFont="1" applyFill="1" applyBorder="1" applyAlignment="1">
      <x:alignment wrapText="1"/>
    </x:xf>
    <x:xf numFmtId="0" fontId="10" fillId="16" borderId="37" xfId="0" applyNumberFormat="1" applyFont="1" applyFill="1" applyBorder="1" applyAlignment="1">
      <x:alignment wrapText="1"/>
    </x:xf>
    <x:xf numFmtId="0" fontId="10" fillId="16" borderId="35" xfId="0" applyNumberFormat="1" applyFont="1" applyFill="1" applyBorder="1" applyAlignment="1">
      <x:alignment horizontal="center" wrapText="1"/>
    </x:xf>
    <x:xf numFmtId="0" fontId="10" fillId="16" borderId="37" xfId="0" applyNumberFormat="1" applyFont="1" applyFill="1" applyBorder="1" applyAlignment="1">
      <x:alignment horizontal="center" wrapText="1"/>
    </x:xf>
    <x:xf numFmtId="0" fontId="10" fillId="16" borderId="38" xfId="0" applyNumberFormat="1" applyFont="1" applyFill="1" applyBorder="1" applyAlignment="1">
      <x:alignment horizontal="center" wrapText="1"/>
    </x:xf>
    <x:xf numFmtId="0" fontId="10" fillId="16" borderId="40" xfId="0" applyNumberFormat="1" applyFont="1" applyFill="1" applyBorder="1" applyAlignment="1">
      <x:alignment horizontal="center" wrapText="1"/>
    </x:xf>
    <x:xf numFmtId="0" fontId="0" fillId="15" borderId="0" xfId="0" applyNumberFormat="1" applyFont="1" applyFill="1" applyBorder="1"/>
    <x:xf numFmtId="0" fontId="9" fillId="15" borderId="0" xfId="0" applyNumberFormat="1" applyFont="1" applyFill="1" applyBorder="1"/>
    <x:xf numFmtId="0" fontId="9" fillId="15" borderId="32" xfId="0" applyNumberFormat="1" applyFont="1" applyFill="1" applyBorder="1"/>
    <x:xf numFmtId="0" fontId="9" fillId="15" borderId="47" xfId="0" applyNumberFormat="1" applyFont="1" applyFill="1" applyBorder="1" applyAlignment="1">
      <x:alignment vertical="top" wrapText="1"/>
    </x:xf>
    <x:xf numFmtId="0" fontId="9" fillId="15" borderId="32" xfId="0" applyNumberFormat="1" applyFont="1" applyFill="1" applyBorder="1" applyAlignment="1">
      <x:alignment horizontal="center"/>
    </x:xf>
    <x:xf numFmtId="0" fontId="9" fillId="15" borderId="47" xfId="0" applyNumberFormat="1" applyFont="1" applyFill="1" applyBorder="1" applyAlignment="1">
      <x:alignment horizontal="center" vertical="top" wrapText="1"/>
    </x:xf>
    <x:xf numFmtId="0" fontId="9" fillId="15" borderId="32" xfId="0" applyNumberFormat="1" applyFont="1" applyFill="1" applyBorder="1" applyAlignment="1">
      <x:alignment horizontal="center" vertical="center"/>
    </x:xf>
    <x:xf numFmtId="0" fontId="9" fillId="15" borderId="47" xfId="0" applyNumberFormat="1" applyFont="1" applyFill="1" applyBorder="1" applyAlignment="1">
      <x:alignment horizontal="center" vertical="center" wrapText="1"/>
    </x:xf>
    <x:xf numFmtId="0" fontId="0" fillId="16" borderId="6" xfId="0" applyNumberFormat="1" applyFont="1" applyFill="1" applyBorder="1" applyAlignment="1">
      <x:alignment vertical="top" wrapText="1"/>
    </x:xf>
    <x:xf numFmtId="0" fontId="10" fillId="16" borderId="6" xfId="0" applyNumberFormat="1" applyFont="1" applyFill="1" applyBorder="1" applyAlignment="1">
      <x:alignment vertical="top" wrapText="1"/>
    </x:xf>
    <x:xf numFmtId="0" fontId="10" fillId="16" borderId="54" xfId="0" applyNumberFormat="1" applyFont="1" applyFill="1" applyBorder="1" applyAlignment="1">
      <x:alignment vertical="top" wrapText="1"/>
    </x:xf>
    <x:xf numFmtId="0" fontId="10" fillId="16" borderId="54" xfId="0" applyNumberFormat="1" applyFont="1" applyFill="1" applyBorder="1" applyAlignment="1">
      <x:alignment horizontal="center" vertical="top" wrapText="1"/>
    </x:xf>
    <x:xf numFmtId="0" fontId="10" fillId="16" borderId="54" xfId="0" applyNumberFormat="1" applyFont="1" applyFill="1" applyBorder="1" applyAlignment="1">
      <x:alignment horizontal="center" vertical="center" wrapText="1"/>
    </x:xf>
    <x:xf numFmtId="0" fontId="0" fillId="12" borderId="15" xfId="0" applyNumberFormat="1" applyFont="1" applyFill="1" applyBorder="1" applyAlignment="1">
      <x:alignment vertical="top" wrapText="1"/>
    </x:xf>
    <x:xf numFmtId="0" fontId="9" fillId="12" borderId="15" xfId="0" applyNumberFormat="1" applyFont="1" applyFill="1" applyBorder="1" applyAlignment="1">
      <x:alignment vertical="top" wrapText="1"/>
    </x:xf>
    <x:xf numFmtId="0" fontId="9" fillId="12" borderId="34" xfId="0" applyNumberFormat="1" applyFont="1" applyFill="1" applyBorder="1" applyAlignment="1">
      <x:alignment vertical="top" wrapText="1"/>
    </x:xf>
    <x:xf numFmtId="0" fontId="9" fillId="12" borderId="34" xfId="0" applyNumberFormat="1" applyFont="1" applyFill="1" applyBorder="1" applyAlignment="1">
      <x:alignment horizontal="center" vertical="top" wrapText="1"/>
    </x:xf>
    <x:xf numFmtId="0" fontId="9" fillId="12" borderId="34" xfId="0" applyNumberFormat="1" applyFont="1" applyFill="1" applyBorder="1" applyAlignment="1">
      <x:alignment horizontal="center" vertical="center" wrapText="1"/>
    </x:xf>
    <x:xf numFmtId="0" fontId="0" fillId="13" borderId="15" xfId="0" applyNumberFormat="1" applyFont="1" applyFill="1" applyBorder="1" applyAlignment="1">
      <x:alignment vertical="top" wrapText="1"/>
    </x:xf>
    <x:xf numFmtId="0" fontId="3" fillId="13" borderId="0" xfId="0" applyNumberFormat="1" applyFont="1" applyFill="1" applyBorder="1" applyAlignment="1">
      <x:alignment wrapText="1"/>
    </x:xf>
    <x:xf numFmtId="0" fontId="10" fillId="13" borderId="15" xfId="0" applyNumberFormat="1" applyFont="1" applyFill="1" applyBorder="1" applyAlignment="1">
      <x:alignment vertical="top" wrapText="1"/>
    </x:xf>
    <x:xf numFmtId="0" fontId="10" fillId="13" borderId="0" xfId="0" applyNumberFormat="1" applyFont="1" applyFill="1" applyBorder="1" applyAlignment="1">
      <x:alignment wrapText="1"/>
    </x:xf>
    <x:xf numFmtId="0" fontId="10" fillId="13" borderId="55" xfId="0" applyNumberFormat="1" applyFont="1" applyFill="1" applyBorder="1" applyAlignment="1">
      <x:alignment vertical="top" wrapText="1"/>
    </x:xf>
    <x:xf numFmtId="0" fontId="10" fillId="13" borderId="56" xfId="0" applyNumberFormat="1" applyFont="1" applyFill="1" applyBorder="1" applyAlignment="1">
      <x:alignment vertical="top" wrapText="1"/>
    </x:xf>
    <x:xf numFmtId="0" fontId="10" fillId="13" borderId="38" xfId="0" applyNumberFormat="1" applyFont="1" applyFill="1" applyBorder="1" applyAlignment="1">
      <x:alignment wrapText="1"/>
    </x:xf>
    <x:xf numFmtId="0" fontId="10" fillId="13" borderId="55" xfId="0" applyNumberFormat="1" applyFont="1" applyFill="1" applyBorder="1" applyAlignment="1">
      <x:alignment horizontal="center" vertical="top" wrapText="1"/>
    </x:xf>
    <x:xf numFmtId="0" fontId="10" fillId="13" borderId="56" xfId="0" applyNumberFormat="1" applyFont="1" applyFill="1" applyBorder="1" applyAlignment="1">
      <x:alignment horizontal="center" vertical="top" wrapText="1"/>
    </x:xf>
    <x:xf numFmtId="0" fontId="10" fillId="13" borderId="38" xfId="0" applyNumberFormat="1" applyFont="1" applyFill="1" applyBorder="1" applyAlignment="1">
      <x:alignment horizontal="center" wrapText="1"/>
    </x:xf>
    <x:xf numFmtId="0" fontId="10" fillId="13" borderId="55" xfId="0" applyNumberFormat="1" applyFont="1" applyFill="1" applyBorder="1" applyAlignment="1">
      <x:alignment horizontal="center" vertical="center" wrapText="1"/>
    </x:xf>
    <x:xf numFmtId="0" fontId="10" fillId="13" borderId="56" xfId="0" applyNumberFormat="1" applyFont="1" applyFill="1" applyBorder="1" applyAlignment="1">
      <x:alignment horizontal="center" vertical="center" wrapText="1"/>
    </x:xf>
    <x:xf numFmtId="0" fontId="0" fillId="12" borderId="7" xfId="0" applyNumberFormat="1" applyFont="1" applyFill="1" applyBorder="1" applyAlignment="1">
      <x:alignment vertical="top" wrapText="1"/>
    </x:xf>
    <x:xf numFmtId="0" fontId="9" fillId="12" borderId="7" xfId="0" applyNumberFormat="1" applyFont="1" applyFill="1" applyBorder="1" applyAlignment="1">
      <x:alignment vertical="top" wrapText="1"/>
    </x:xf>
    <x:xf numFmtId="0" fontId="9" fillId="12" borderId="46" xfId="0" applyNumberFormat="1" applyFont="1" applyFill="1" applyBorder="1" applyAlignment="1">
      <x:alignment vertical="top" wrapText="1"/>
    </x:xf>
    <x:xf numFmtId="0" fontId="9" fillId="12" borderId="46" xfId="0" applyNumberFormat="1" applyFont="1" applyFill="1" applyBorder="1" applyAlignment="1">
      <x:alignment horizontal="center" vertical="top" wrapText="1"/>
    </x:xf>
    <x:xf numFmtId="0" fontId="9" fillId="12" borderId="46" xfId="0" applyNumberFormat="1" applyFont="1" applyFill="1" applyBorder="1" applyAlignment="1">
      <x:alignment horizontal="center" vertical="center" wrapText="1"/>
    </x:xf>
    <x:xf numFmtId="0" fontId="0" fillId="13" borderId="7" xfId="0" applyNumberFormat="1" applyFont="1" applyFill="1" applyBorder="1" applyAlignment="1">
      <x:alignment vertical="top" wrapText="1"/>
    </x:xf>
    <x:xf numFmtId="0" fontId="10" fillId="13" borderId="7" xfId="0" applyNumberFormat="1" applyFont="1" applyFill="1" applyBorder="1" applyAlignment="1">
      <x:alignment vertical="top" wrapText="1"/>
    </x:xf>
    <x:xf numFmtId="0" fontId="10" fillId="13" borderId="57" xfId="0" applyNumberFormat="1" applyFont="1" applyFill="1" applyBorder="1" applyAlignment="1">
      <x:alignment vertical="top" wrapText="1"/>
    </x:xf>
    <x:xf numFmtId="0" fontId="10" fillId="13" borderId="57" xfId="0" applyNumberFormat="1" applyFont="1" applyFill="1" applyBorder="1" applyAlignment="1">
      <x:alignment horizontal="center" vertical="top" wrapText="1"/>
    </x:xf>
    <x:xf numFmtId="0" fontId="10" fillId="13" borderId="57" xfId="0" applyNumberFormat="1" applyFont="1" applyFill="1" applyBorder="1" applyAlignment="1">
      <x:alignment horizontal="center" vertical="center" wrapText="1"/>
    </x:xf>
    <x:xf numFmtId="0" fontId="0" fillId="23" borderId="6" xfId="0" applyNumberFormat="1" applyFont="1" applyFill="1" applyBorder="1" applyAlignment="1">
      <x:alignment horizontal="center"/>
    </x:xf>
    <x:xf numFmtId="0" fontId="0" fillId="23" borderId="15" xfId="0" applyNumberFormat="1" applyFont="1" applyFill="1" applyBorder="1" applyAlignment="1">
      <x:alignment horizontal="center"/>
    </x:xf>
    <x:xf numFmtId="0" fontId="9" fillId="23" borderId="6" xfId="0" applyNumberFormat="1" applyFont="1" applyFill="1" applyBorder="1" applyAlignment="1">
      <x:alignment horizontal="center"/>
    </x:xf>
    <x:xf numFmtId="0" fontId="9" fillId="23" borderId="15" xfId="0" applyNumberFormat="1" applyFont="1" applyFill="1" applyBorder="1" applyAlignment="1">
      <x:alignment horizontal="center"/>
    </x:xf>
    <x:xf numFmtId="0" fontId="9" fillId="23" borderId="32" xfId="0" applyNumberFormat="1" applyFont="1" applyFill="1" applyBorder="1" applyAlignment="1">
      <x:alignment horizontal="center"/>
    </x:xf>
    <x:xf numFmtId="0" fontId="9" fillId="23" borderId="34" xfId="0" applyNumberFormat="1" applyFont="1" applyFill="1" applyBorder="1" applyAlignment="1">
      <x:alignment horizontal="center"/>
    </x:xf>
    <x:xf numFmtId="0" fontId="9" fillId="23" borderId="32" xfId="0" applyNumberFormat="1" applyFont="1" applyFill="1" applyBorder="1" applyAlignment="1">
      <x:alignment horizontal="center" vertical="center"/>
    </x:xf>
    <x:xf numFmtId="0" fontId="9" fillId="23" borderId="34" xfId="0" applyNumberFormat="1" applyFont="1" applyFill="1" applyBorder="1" applyAlignment="1">
      <x:alignment horizontal="center" vertical="center"/>
    </x:xf>
    <x:xf numFmtId="0" fontId="0" fillId="24" borderId="0" xfId="0" applyNumberFormat="1" applyFont="1" applyFill="1" applyBorder="1"/>
    <x:xf numFmtId="0" fontId="3" fillId="24" borderId="0" xfId="0" applyNumberFormat="1" applyFont="1" applyFill="1" applyBorder="1" applyAlignment="1">
      <x:alignment wrapText="1"/>
    </x:xf>
    <x:xf numFmtId="0" fontId="10" fillId="24" borderId="0" xfId="0" applyNumberFormat="1" applyFont="1" applyFill="1" applyBorder="1"/>
    <x:xf numFmtId="0" fontId="10" fillId="24" borderId="0" xfId="0" applyNumberFormat="1" applyFont="1" applyFill="1" applyBorder="1" applyAlignment="1">
      <x:alignment wrapText="1"/>
    </x:xf>
    <x:xf numFmtId="0" fontId="10" fillId="24" borderId="35" xfId="0" applyNumberFormat="1" applyFont="1" applyFill="1" applyBorder="1"/>
    <x:xf numFmtId="0" fontId="10" fillId="24" borderId="37" xfId="0" applyNumberFormat="1" applyFont="1" applyFill="1" applyBorder="1"/>
    <x:xf numFmtId="0" fontId="10" fillId="24" borderId="38" xfId="0" applyNumberFormat="1" applyFont="1" applyFill="1" applyBorder="1" applyAlignment="1">
      <x:alignment wrapText="1"/>
    </x:xf>
    <x:xf numFmtId="0" fontId="10" fillId="24" borderId="40" xfId="0" applyNumberFormat="1" applyFont="1" applyFill="1" applyBorder="1" applyAlignment="1">
      <x:alignment wrapText="1"/>
    </x:xf>
    <x:xf numFmtId="0" fontId="10" fillId="24" borderId="35" xfId="0" applyNumberFormat="1" applyFont="1" applyFill="1" applyBorder="1" applyAlignment="1">
      <x:alignment wrapText="1"/>
    </x:xf>
    <x:xf numFmtId="0" fontId="10" fillId="24" borderId="37" xfId="0" applyNumberFormat="1" applyFont="1" applyFill="1" applyBorder="1" applyAlignment="1">
      <x:alignment wrapText="1"/>
    </x:xf>
    <x:xf numFmtId="0" fontId="10" fillId="24" borderId="35" xfId="0" applyNumberFormat="1" applyFont="1" applyFill="1" applyBorder="1" applyAlignment="1">
      <x:alignment horizontal="center" wrapText="1"/>
    </x:xf>
    <x:xf numFmtId="0" fontId="10" fillId="24" borderId="37" xfId="0" applyNumberFormat="1" applyFont="1" applyFill="1" applyBorder="1" applyAlignment="1">
      <x:alignment horizontal="center" wrapText="1"/>
    </x:xf>
    <x:xf numFmtId="0" fontId="10" fillId="24" borderId="38" xfId="0" applyNumberFormat="1" applyFont="1" applyFill="1" applyBorder="1" applyAlignment="1">
      <x:alignment horizontal="center" wrapText="1"/>
    </x:xf>
    <x:xf numFmtId="0" fontId="10" fillId="24" borderId="40" xfId="0" applyNumberFormat="1" applyFont="1" applyFill="1" applyBorder="1" applyAlignment="1">
      <x:alignment horizontal="center" wrapText="1"/>
    </x:xf>
    <x:xf numFmtId="0" fontId="10" fillId="24" borderId="35" xfId="0" applyNumberFormat="1" applyFont="1" applyFill="1" applyBorder="1" applyAlignment="1">
      <x:alignment horizontal="center" vertical="center" wrapText="1"/>
    </x:xf>
    <x:xf numFmtId="0" fontId="10" fillId="24" borderId="37" xfId="0" applyNumberFormat="1" applyFont="1" applyFill="1" applyBorder="1" applyAlignment="1">
      <x:alignment horizontal="center" vertical="center" wrapText="1"/>
    </x:xf>
    <x:xf numFmtId="0" fontId="10" fillId="24" borderId="38" xfId="0" applyNumberFormat="1" applyFont="1" applyFill="1" applyBorder="1" applyAlignment="1">
      <x:alignment horizontal="center" vertical="center" wrapText="1"/>
    </x:xf>
    <x:xf numFmtId="0" fontId="10" fillId="24" borderId="40" xfId="0" applyNumberFormat="1" applyFont="1" applyFill="1" applyBorder="1" applyAlignment="1">
      <x:alignment horizontal="center" vertical="center" wrapText="1"/>
    </x:xf>
    <x:xf numFmtId="0" fontId="0" fillId="23" borderId="7" xfId="0" applyNumberFormat="1" applyFont="1" applyFill="1" applyBorder="1" applyAlignment="1">
      <x:alignment horizontal="center"/>
    </x:xf>
    <x:xf numFmtId="0" fontId="0" fillId="23" borderId="0" xfId="0" applyNumberFormat="1" applyFont="1" applyFill="1" applyBorder="1"/>
    <x:xf numFmtId="0" fontId="9" fillId="23" borderId="7" xfId="0" applyNumberFormat="1" applyFont="1" applyFill="1" applyBorder="1" applyAlignment="1">
      <x:alignment horizontal="center"/>
    </x:xf>
    <x:xf numFmtId="0" fontId="9" fillId="23" borderId="0" xfId="0" applyNumberFormat="1" applyFont="1" applyFill="1" applyBorder="1"/>
    <x:xf numFmtId="0" fontId="9" fillId="23" borderId="33" xfId="0" applyNumberFormat="1" applyFont="1" applyFill="1" applyBorder="1" applyAlignment="1">
      <x:alignment horizontal="center"/>
    </x:xf>
    <x:xf numFmtId="0" fontId="9" fillId="23" borderId="34" xfId="0" applyNumberFormat="1" applyFont="1" applyFill="1" applyBorder="1"/>
    <x:xf numFmtId="0" fontId="9" fillId="23" borderId="33" xfId="0" applyNumberFormat="1" applyFont="1" applyFill="1" applyBorder="1" applyAlignment="1">
      <x:alignment horizontal="center" vertical="center"/>
    </x:xf>
    <x:xf numFmtId="0" fontId="10" fillId="24" borderId="42" xfId="0" applyNumberFormat="1" applyFont="1" applyFill="1" applyBorder="1"/>
    <x:xf numFmtId="0" fontId="10" fillId="24" borderId="45" xfId="0" applyNumberFormat="1" applyFont="1" applyFill="1" applyBorder="1" applyAlignment="1">
      <x:alignment wrapText="1"/>
    </x:xf>
    <x:xf numFmtId="0" fontId="10" fillId="24" borderId="40" xfId="0" applyNumberFormat="1" applyFont="1" applyFill="1" applyBorder="1"/>
    <x:xf numFmtId="0" fontId="10" fillId="24" borderId="42" xfId="0" applyNumberFormat="1" applyFont="1" applyFill="1" applyBorder="1" applyAlignment="1">
      <x:alignment wrapText="1"/>
    </x:xf>
    <x:xf numFmtId="0" fontId="10" fillId="24" borderId="42" xfId="0" applyNumberFormat="1" applyFont="1" applyFill="1" applyBorder="1" applyAlignment="1">
      <x:alignment horizontal="center" wrapText="1"/>
    </x:xf>
    <x:xf numFmtId="0" fontId="10" fillId="24" borderId="45" xfId="0" applyNumberFormat="1" applyFont="1" applyFill="1" applyBorder="1" applyAlignment="1">
      <x:alignment horizontal="center" wrapText="1"/>
    </x:xf>
    <x:xf numFmtId="0" fontId="10" fillId="24" borderId="42" xfId="0" applyNumberFormat="1" applyFont="1" applyFill="1" applyBorder="1" applyAlignment="1">
      <x:alignment horizontal="center" vertical="center" wrapText="1"/>
    </x:xf>
    <x:xf numFmtId="0" fontId="10" fillId="24" borderId="45" xfId="0" applyNumberFormat="1" applyFont="1" applyFill="1" applyBorder="1" applyAlignment="1">
      <x:alignment horizontal="center" vertical="center" wrapText="1"/>
    </x:xf>
    <x:xf numFmtId="0" fontId="5" fillId="15" borderId="0" xfId="0" applyNumberFormat="1" applyFont="1" applyFill="1" applyBorder="1"/>
    <x:xf numFmtId="0" fontId="5" fillId="15" borderId="0" xfId="0" applyNumberFormat="1" applyFont="1" applyFill="1" applyBorder="1" applyAlignment="1">
      <x:alignment horizontal="left"/>
    </x:xf>
    <x:xf numFmtId="0" fontId="5" fillId="15" borderId="0" xfId="0" applyNumberFormat="1" applyFont="1" applyFill="1" applyBorder="1" applyAlignment="1">
      <x:alignment horizontal="left" vertical="center"/>
    </x:xf>
    <x:xf numFmtId="0" fontId="2" fillId="17" borderId="0" xfId="0" applyNumberFormat="1" applyFont="1" applyFill="1" applyBorder="1" applyAlignment="1">
      <x:alignment horizontal="center" vertical="center" wrapText="1"/>
    </x:xf>
    <x:xf numFmtId="0" fontId="9" fillId="17" borderId="0" xfId="0" applyNumberFormat="1" applyFont="1" applyFill="1" applyBorder="1" applyAlignment="1">
      <x:alignment horizontal="center" vertical="center" wrapText="1"/>
    </x:xf>
    <x:xf numFmtId="0" fontId="9" fillId="17" borderId="32" xfId="0" applyNumberFormat="1" applyFont="1" applyFill="1" applyBorder="1" applyAlignment="1">
      <x:alignment horizontal="center" vertical="center" wrapText="1"/>
    </x:xf>
    <x:xf numFmtId="0" fontId="9" fillId="17" borderId="41" xfId="0" applyNumberFormat="1" applyFont="1" applyFill="1" applyBorder="1" applyAlignment="1">
      <x:alignment horizontal="center" vertical="center" wrapText="1"/>
    </x:xf>
    <x:xf numFmtId="0" fontId="9" fillId="17" borderId="34" xfId="0" applyNumberFormat="1" applyFont="1" applyFill="1" applyBorder="1" applyAlignment="1">
      <x:alignment horizontal="center" vertical="center" wrapText="1"/>
    </x:xf>
    <x:xf numFmtId="0" fontId="0" fillId="18" borderId="2" xfId="0" applyNumberFormat="1" applyFont="1" applyFill="1" applyBorder="1"/>
    <x:xf numFmtId="0" fontId="0" fillId="18" borderId="14" xfId="0" applyNumberFormat="1" applyFont="1" applyFill="1" applyBorder="1"/>
    <x:xf numFmtId="0" fontId="0" fillId="18" borderId="4" xfId="0" applyNumberFormat="1" applyFont="1" applyFill="1" applyBorder="1"/>
    <x:xf numFmtId="0" fontId="10" fillId="18" borderId="2" xfId="0" applyNumberFormat="1" applyFont="1" applyFill="1" applyBorder="1"/>
    <x:xf numFmtId="0" fontId="10" fillId="18" borderId="14" xfId="0" applyNumberFormat="1" applyFont="1" applyFill="1" applyBorder="1"/>
    <x:xf numFmtId="0" fontId="10" fillId="18" borderId="4" xfId="0" applyNumberFormat="1" applyFont="1" applyFill="1" applyBorder="1"/>
    <x:xf numFmtId="0" fontId="10" fillId="18" borderId="35" xfId="0" applyNumberFormat="1" applyFont="1" applyFill="1" applyBorder="1"/>
    <x:xf numFmtId="0" fontId="10" fillId="18" borderId="37" xfId="0" applyNumberFormat="1" applyFont="1" applyFill="1" applyBorder="1"/>
    <x:xf numFmtId="0" fontId="10" fillId="18" borderId="38" xfId="0" applyNumberFormat="1" applyFont="1" applyFill="1" applyBorder="1"/>
    <x:xf numFmtId="0" fontId="10" fillId="18" borderId="40" xfId="0" applyNumberFormat="1" applyFont="1" applyFill="1" applyBorder="1"/>
    <x:xf numFmtId="0" fontId="10" fillId="18" borderId="35" xfId="0" applyNumberFormat="1" applyFont="1" applyFill="1" applyBorder="1" applyAlignment="1">
      <x:alignment wrapText="1"/>
    </x:xf>
    <x:xf numFmtId="0" fontId="10" fillId="18" borderId="37" xfId="0" applyNumberFormat="1" applyFont="1" applyFill="1" applyBorder="1" applyAlignment="1">
      <x:alignment wrapText="1"/>
    </x:xf>
    <x:xf numFmtId="0" fontId="10" fillId="18" borderId="38" xfId="0" applyNumberFormat="1" applyFont="1" applyFill="1" applyBorder="1" applyAlignment="1">
      <x:alignment wrapText="1"/>
    </x:xf>
    <x:xf numFmtId="0" fontId="10" fillId="18" borderId="40" xfId="0" applyNumberFormat="1" applyFont="1" applyFill="1" applyBorder="1" applyAlignment="1">
      <x:alignment wrapText="1"/>
    </x:xf>
    <x:xf numFmtId="0" fontId="10" fillId="18" borderId="35" xfId="0" applyNumberFormat="1" applyFont="1" applyFill="1" applyBorder="1" applyAlignment="1">
      <x:alignment horizontal="center" wrapText="1"/>
    </x:xf>
    <x:xf numFmtId="0" fontId="10" fillId="18" borderId="37" xfId="0" applyNumberFormat="1" applyFont="1" applyFill="1" applyBorder="1" applyAlignment="1">
      <x:alignment horizontal="center" wrapText="1"/>
    </x:xf>
    <x:xf numFmtId="0" fontId="10" fillId="18" borderId="38" xfId="0" applyNumberFormat="1" applyFont="1" applyFill="1" applyBorder="1" applyAlignment="1">
      <x:alignment horizontal="center" wrapText="1"/>
    </x:xf>
    <x:xf numFmtId="0" fontId="10" fillId="18" borderId="40" xfId="0" applyNumberFormat="1" applyFont="1" applyFill="1" applyBorder="1" applyAlignment="1">
      <x:alignment horizontal="center" wrapText="1"/>
    </x:xf>
    <x:xf numFmtId="0" fontId="10" fillId="18" borderId="35" xfId="0" applyNumberFormat="1" applyFont="1" applyFill="1" applyBorder="1" applyAlignment="1">
      <x:alignment horizontal="center" vertical="center" wrapText="1"/>
    </x:xf>
    <x:xf numFmtId="0" fontId="10" fillId="18" borderId="37" xfId="0" applyNumberFormat="1" applyFont="1" applyFill="1" applyBorder="1" applyAlignment="1">
      <x:alignment horizontal="center" vertical="center" wrapText="1"/>
    </x:xf>
    <x:xf numFmtId="0" fontId="10" fillId="18" borderId="38" xfId="0" applyNumberFormat="1" applyFont="1" applyFill="1" applyBorder="1" applyAlignment="1">
      <x:alignment horizontal="center" vertical="center" wrapText="1"/>
    </x:xf>
    <x:xf numFmtId="0" fontId="10" fillId="18" borderId="40" xfId="0" applyNumberFormat="1" applyFont="1" applyFill="1" applyBorder="1" applyAlignment="1">
      <x:alignment horizontal="center" vertical="center" wrapText="1"/>
    </x:xf>
    <x:xf numFmtId="0" fontId="0" fillId="18" borderId="3" xfId="0" applyNumberFormat="1" applyFont="1" applyFill="1" applyBorder="1"/>
    <x:xf numFmtId="0" fontId="0" fillId="18" borderId="5" xfId="0" applyNumberFormat="1" applyFont="1" applyFill="1" applyBorder="1"/>
    <x:xf numFmtId="0" fontId="10" fillId="18" borderId="3" xfId="0" applyNumberFormat="1" applyFont="1" applyFill="1" applyBorder="1"/>
    <x:xf numFmtId="0" fontId="10" fillId="18" borderId="5" xfId="0" applyNumberFormat="1" applyFont="1" applyFill="1" applyBorder="1"/>
    <x:xf numFmtId="0" fontId="9" fillId="12" borderId="32" xfId="0" applyNumberFormat="1" applyFont="1" applyFill="1" applyBorder="1"/>
    <x:xf numFmtId="0" fontId="9" fillId="12" borderId="41" xfId="0" applyNumberFormat="1" applyFont="1" applyFill="1" applyBorder="1"/>
    <x:xf numFmtId="0" fontId="9" fillId="12" borderId="32" xfId="0" applyNumberFormat="1" applyFont="1" applyFill="1" applyBorder="1" applyAlignment="1">
      <x:alignment horizontal="center"/>
    </x:xf>
    <x:xf numFmtId="0" fontId="9" fillId="12" borderId="41" xfId="0" applyNumberFormat="1" applyFont="1" applyFill="1" applyBorder="1" applyAlignment="1">
      <x:alignment horizontal="center"/>
    </x:xf>
    <x:xf numFmtId="0" fontId="9" fillId="12" borderId="32" xfId="0" applyNumberFormat="1" applyFont="1" applyFill="1" applyBorder="1" applyAlignment="1">
      <x:alignment horizontal="center" vertical="center"/>
    </x:xf>
    <x:xf numFmtId="0" fontId="9" fillId="12" borderId="41" xfId="0" applyNumberFormat="1" applyFont="1" applyFill="1" applyBorder="1" applyAlignment="1">
      <x:alignment horizontal="center" vertical="center"/>
    </x:xf>
    <x:xf numFmtId="0" fontId="10" fillId="13" borderId="35" xfId="0" applyNumberFormat="1" applyFont="1" applyFill="1" applyBorder="1"/>
    <x:xf numFmtId="0" fontId="10" fillId="13" borderId="42" xfId="0" applyNumberFormat="1" applyFont="1" applyFill="1" applyBorder="1"/>
    <x:xf numFmtId="0" fontId="10" fillId="13" borderId="38" xfId="0" applyNumberFormat="1" applyFont="1" applyFill="1" applyBorder="1"/>
    <x:xf numFmtId="0" fontId="10" fillId="13" borderId="45" xfId="0" applyNumberFormat="1" applyFont="1" applyFill="1" applyBorder="1"/>
    <x:xf numFmtId="0" fontId="10" fillId="13" borderId="35" xfId="0" applyNumberFormat="1" applyFont="1" applyFill="1" applyBorder="1" applyAlignment="1">
      <x:alignment wrapText="1"/>
    </x:xf>
    <x:xf numFmtId="0" fontId="10" fillId="13" borderId="42" xfId="0" applyNumberFormat="1" applyFont="1" applyFill="1" applyBorder="1" applyAlignment="1">
      <x:alignment wrapText="1"/>
    </x:xf>
    <x:xf numFmtId="0" fontId="10" fillId="13" borderId="45" xfId="0" applyNumberFormat="1" applyFont="1" applyFill="1" applyBorder="1" applyAlignment="1">
      <x:alignment wrapText="1"/>
    </x:xf>
    <x:xf numFmtId="0" fontId="10" fillId="13" borderId="35" xfId="0" applyNumberFormat="1" applyFont="1" applyFill="1" applyBorder="1" applyAlignment="1">
      <x:alignment horizontal="center" wrapText="1"/>
    </x:xf>
    <x:xf numFmtId="0" fontId="10" fillId="13" borderId="42" xfId="0" applyNumberFormat="1" applyFont="1" applyFill="1" applyBorder="1" applyAlignment="1">
      <x:alignment horizontal="center" wrapText="1"/>
    </x:xf>
    <x:xf numFmtId="0" fontId="10" fillId="13" borderId="45" xfId="0" applyNumberFormat="1" applyFont="1" applyFill="1" applyBorder="1" applyAlignment="1">
      <x:alignment horizontal="center" wrapText="1"/>
    </x:xf>
    <x:xf numFmtId="0" fontId="10" fillId="13" borderId="42" xfId="0" applyNumberFormat="1" applyFont="1" applyFill="1" applyBorder="1" applyAlignment="1">
      <x:alignment horizontal="center" vertical="center" wrapText="1"/>
    </x:xf>
    <x:xf numFmtId="0" fontId="10" fillId="13" borderId="45" xfId="0" applyNumberFormat="1" applyFont="1" applyFill="1" applyBorder="1" applyAlignment="1">
      <x:alignment horizontal="center" vertical="center" wrapText="1"/>
    </x:xf>
    <x:xf numFmtId="0" fontId="9" fillId="15" borderId="41" xfId="0" applyNumberFormat="1" applyFont="1" applyFill="1" applyBorder="1"/>
    <x:xf numFmtId="0" fontId="9" fillId="15" borderId="34" xfId="0" applyNumberFormat="1" applyFont="1" applyFill="1" applyBorder="1"/>
    <x:xf numFmtId="0" fontId="9" fillId="15" borderId="41" xfId="0" applyNumberFormat="1" applyFont="1" applyFill="1" applyBorder="1" applyAlignment="1">
      <x:alignment horizontal="center"/>
    </x:xf>
    <x:xf numFmtId="0" fontId="9" fillId="15" borderId="34" xfId="0" applyNumberFormat="1" applyFont="1" applyFill="1" applyBorder="1" applyAlignment="1">
      <x:alignment horizontal="center"/>
    </x:xf>
    <x:xf numFmtId="0" fontId="9" fillId="15" borderId="41" xfId="0" applyNumberFormat="1" applyFont="1" applyFill="1" applyBorder="1" applyAlignment="1">
      <x:alignment horizontal="center" vertical="center"/>
    </x:xf>
    <x:xf numFmtId="0" fontId="9" fillId="15" borderId="34" xfId="0" applyNumberFormat="1" applyFont="1" applyFill="1" applyBorder="1" applyAlignment="1">
      <x:alignment horizontal="center" vertical="center"/>
    </x:xf>
    <x:xf numFmtId="0" fontId="10" fillId="16" borderId="42" xfId="0" applyNumberFormat="1" applyFont="1" applyFill="1" applyBorder="1"/>
    <x:xf numFmtId="0" fontId="10" fillId="16" borderId="38" xfId="0" applyNumberFormat="1" applyFont="1" applyFill="1" applyBorder="1"/>
    <x:xf numFmtId="0" fontId="10" fillId="16" borderId="45" xfId="0" applyNumberFormat="1" applyFont="1" applyFill="1" applyBorder="1"/>
    <x:xf numFmtId="0" fontId="10" fillId="16" borderId="40" xfId="0" applyNumberFormat="1" applyFont="1" applyFill="1" applyBorder="1"/>
    <x:xf numFmtId="0" fontId="10" fillId="16" borderId="42" xfId="0" applyNumberFormat="1" applyFont="1" applyFill="1" applyBorder="1" applyAlignment="1">
      <x:alignment wrapText="1"/>
    </x:xf>
    <x:xf numFmtId="0" fontId="10" fillId="16" borderId="45" xfId="0" applyNumberFormat="1" applyFont="1" applyFill="1" applyBorder="1" applyAlignment="1">
      <x:alignment wrapText="1"/>
    </x:xf>
    <x:xf numFmtId="0" fontId="10" fillId="16" borderId="42" xfId="0" applyNumberFormat="1" applyFont="1" applyFill="1" applyBorder="1" applyAlignment="1">
      <x:alignment horizontal="center" wrapText="1"/>
    </x:xf>
    <x:xf numFmtId="0" fontId="10" fillId="16" borderId="45" xfId="0" applyNumberFormat="1" applyFont="1" applyFill="1" applyBorder="1" applyAlignment="1">
      <x:alignment horizontal="center" wrapText="1"/>
    </x:xf>
    <x:xf numFmtId="0" fontId="0" fillId="17" borderId="4" xfId="0" applyNumberFormat="1" applyFont="1" applyFill="1" applyBorder="1"/>
    <x:xf numFmtId="0" fontId="0" fillId="17" borderId="5" xfId="0" applyNumberFormat="1" applyFont="1" applyFill="1" applyBorder="1"/>
    <x:xf numFmtId="0" fontId="5" fillId="17" borderId="4" xfId="0" applyNumberFormat="1" applyFont="1" applyFill="1" applyBorder="1"/>
    <x:xf numFmtId="0" fontId="5" fillId="17" borderId="0" xfId="0" applyNumberFormat="1" applyFont="1" applyFill="1" applyBorder="1"/>
    <x:xf numFmtId="0" fontId="5" fillId="17" borderId="5" xfId="0" applyNumberFormat="1" applyFont="1" applyFill="1" applyBorder="1"/>
    <x:xf numFmtId="0" fontId="5" fillId="17" borderId="4" xfId="0" applyNumberFormat="1" applyFont="1" applyFill="1" applyBorder="1" applyAlignment="1">
      <x:alignment horizontal="left"/>
    </x:xf>
    <x:xf numFmtId="0" fontId="5" fillId="17" borderId="0" xfId="0" applyNumberFormat="1" applyFont="1" applyFill="1" applyBorder="1" applyAlignment="1">
      <x:alignment horizontal="left"/>
    </x:xf>
    <x:xf numFmtId="0" fontId="5" fillId="17" borderId="5" xfId="0" applyNumberFormat="1" applyFont="1" applyFill="1" applyBorder="1" applyAlignment="1">
      <x:alignment horizontal="left"/>
    </x:xf>
    <x:xf numFmtId="0" fontId="5" fillId="17" borderId="4" xfId="0" applyNumberFormat="1" applyFont="1" applyFill="1" applyBorder="1" applyAlignment="1">
      <x:alignment horizontal="left" vertical="center"/>
    </x:xf>
    <x:xf numFmtId="0" fontId="5" fillId="17" borderId="0" xfId="0" applyNumberFormat="1" applyFont="1" applyFill="1" applyBorder="1" applyAlignment="1">
      <x:alignment horizontal="left" vertical="center"/>
    </x:xf>
    <x:xf numFmtId="0" fontId="5" fillId="17" borderId="5" xfId="0" applyNumberFormat="1" applyFont="1" applyFill="1" applyBorder="1" applyAlignment="1">
      <x:alignment horizontal="left" vertical="center"/>
    </x:xf>
    <x:xf numFmtId="0" fontId="0" fillId="10" borderId="4" xfId="0" applyNumberFormat="1" applyFont="1" applyFill="1" applyBorder="1"/>
    <x:xf numFmtId="0" fontId="2" fillId="10" borderId="4" xfId="0" applyNumberFormat="1" applyFont="1" applyFill="1" applyBorder="1"/>
    <x:xf numFmtId="0" fontId="2" fillId="10" borderId="0" xfId="0" applyNumberFormat="1" applyFont="1" applyFill="1" applyBorder="1"/>
    <x:xf numFmtId="0" fontId="2" fillId="10" borderId="4" xfId="0" applyNumberFormat="1" applyFont="1" applyFill="1" applyBorder="1" applyAlignment="1">
      <x:alignment wrapText="1"/>
    </x:xf>
    <x:xf numFmtId="0" fontId="2" fillId="10" borderId="0" xfId="0" applyNumberFormat="1" applyFont="1" applyFill="1" applyBorder="1" applyAlignment="1">
      <x:alignment wrapText="1"/>
    </x:xf>
    <x:xf numFmtId="0" fontId="2" fillId="10" borderId="4" xfId="0" applyNumberFormat="1" applyFont="1" applyFill="1" applyBorder="1" applyAlignment="1">
      <x:alignment horizontal="center" wrapText="1"/>
    </x:xf>
    <x:xf numFmtId="0" fontId="2" fillId="10" borderId="0" xfId="0" applyNumberFormat="1" applyFont="1" applyFill="1" applyBorder="1" applyAlignment="1">
      <x:alignment horizontal="center" wrapText="1"/>
    </x:xf>
    <x:xf numFmtId="0" fontId="2" fillId="10" borderId="4" xfId="0" applyNumberFormat="1" applyFont="1" applyFill="1" applyBorder="1" applyAlignment="1">
      <x:alignment horizontal="center" vertical="center" wrapText="1"/>
    </x:xf>
    <x:xf numFmtId="0" fontId="2" fillId="10" borderId="0" xfId="0" applyNumberFormat="1" applyFont="1" applyFill="1" applyBorder="1" applyAlignment="1">
      <x:alignment horizontal="center" vertical="center" wrapText="1"/>
    </x:xf>
    <x:xf numFmtId="0" fontId="0" fillId="10" borderId="5" xfId="0" applyNumberFormat="1" applyFont="1" applyFill="1" applyBorder="1"/>
    <x:xf numFmtId="0" fontId="2" fillId="10" borderId="5" xfId="0" applyNumberFormat="1" applyFont="1" applyFill="1" applyBorder="1"/>
    <x:xf numFmtId="0" fontId="2" fillId="10" borderId="5" xfId="0" applyNumberFormat="1" applyFont="1" applyFill="1" applyBorder="1" applyAlignment="1">
      <x:alignment wrapText="1"/>
    </x:xf>
    <x:xf numFmtId="0" fontId="2" fillId="10" borderId="5" xfId="0" applyNumberFormat="1" applyFont="1" applyFill="1" applyBorder="1" applyAlignment="1">
      <x:alignment horizontal="center" wrapText="1"/>
    </x:xf>
    <x:xf numFmtId="0" fontId="2" fillId="10" borderId="5" xfId="0" applyNumberFormat="1" applyFont="1" applyFill="1" applyBorder="1" applyAlignment="1">
      <x:alignment horizontal="center" vertical="center" wrapText="1"/>
    </x:xf>
    <x:xf numFmtId="0" fontId="12" fillId="18" borderId="4" xfId="0" applyNumberFormat="1" applyFont="1" applyFill="1" applyBorder="1"/>
    <x:xf numFmtId="0" fontId="12" fillId="18" borderId="0" xfId="0" applyNumberFormat="1" applyFont="1" applyFill="1" applyBorder="1"/>
    <x:xf numFmtId="0" fontId="12" fillId="18" borderId="35" xfId="0" applyNumberFormat="1" applyFont="1" applyFill="1" applyBorder="1"/>
    <x:xf numFmtId="0" fontId="12" fillId="18" borderId="42" xfId="0" applyNumberFormat="1" applyFont="1" applyFill="1" applyBorder="1"/>
    <x:xf numFmtId="0" fontId="12" fillId="18" borderId="37" xfId="0" applyNumberFormat="1" applyFont="1" applyFill="1" applyBorder="1"/>
    <x:xf numFmtId="0" fontId="12" fillId="18" borderId="43" xfId="0" applyNumberFormat="1" applyFont="1" applyFill="1" applyBorder="1"/>
    <x:xf numFmtId="0" fontId="12" fillId="18" xfId="0" applyNumberFormat="1" applyFont="1" applyFill="1" applyBorder="0"/>
    <x:xf numFmtId="0" fontId="12" fillId="18" borderId="44" xfId="0" applyNumberFormat="1" applyFont="1" applyFill="1" applyBorder="1"/>
    <x:xf numFmtId="0" fontId="12" fillId="18" borderId="38" xfId="0" applyNumberFormat="1" applyFont="1" applyFill="1" applyBorder="1"/>
    <x:xf numFmtId="0" fontId="12" fillId="18" borderId="45" xfId="0" applyNumberFormat="1" applyFont="1" applyFill="1" applyBorder="1"/>
    <x:xf numFmtId="0" fontId="12" fillId="18" borderId="40" xfId="0" applyNumberFormat="1" applyFont="1" applyFill="1" applyBorder="1"/>
    <x:xf numFmtId="0" fontId="12" fillId="18" borderId="35" xfId="0" applyNumberFormat="1" applyFont="1" applyFill="1" applyBorder="1" applyAlignment="1">
      <x:alignment wrapText="1"/>
    </x:xf>
    <x:xf numFmtId="0" fontId="12" fillId="18" borderId="42" xfId="0" applyNumberFormat="1" applyFont="1" applyFill="1" applyBorder="1" applyAlignment="1">
      <x:alignment wrapText="1"/>
    </x:xf>
    <x:xf numFmtId="0" fontId="12" fillId="18" borderId="37" xfId="0" applyNumberFormat="1" applyFont="1" applyFill="1" applyBorder="1" applyAlignment="1">
      <x:alignment wrapText="1"/>
    </x:xf>
    <x:xf numFmtId="0" fontId="12" fillId="18" borderId="43" xfId="0" applyNumberFormat="1" applyFont="1" applyFill="1" applyBorder="1" applyAlignment="1">
      <x:alignment wrapText="1"/>
    </x:xf>
    <x:xf numFmtId="0" fontId="12" fillId="18" xfId="0" applyNumberFormat="1" applyFont="1" applyFill="1" applyBorder="0" applyAlignment="1">
      <x:alignment wrapText="1"/>
    </x:xf>
    <x:xf numFmtId="0" fontId="12" fillId="18" borderId="44" xfId="0" applyNumberFormat="1" applyFont="1" applyFill="1" applyBorder="1" applyAlignment="1">
      <x:alignment wrapText="1"/>
    </x:xf>
    <x:xf numFmtId="0" fontId="12" fillId="18" borderId="38" xfId="0" applyNumberFormat="1" applyFont="1" applyFill="1" applyBorder="1" applyAlignment="1">
      <x:alignment wrapText="1"/>
    </x:xf>
    <x:xf numFmtId="0" fontId="12" fillId="18" borderId="45" xfId="0" applyNumberFormat="1" applyFont="1" applyFill="1" applyBorder="1" applyAlignment="1">
      <x:alignment wrapText="1"/>
    </x:xf>
    <x:xf numFmtId="0" fontId="12" fillId="18" borderId="40" xfId="0" applyNumberFormat="1" applyFont="1" applyFill="1" applyBorder="1" applyAlignment="1">
      <x:alignment wrapText="1"/>
    </x:xf>
    <x:xf numFmtId="0" fontId="12" fillId="18" borderId="35" xfId="0" applyNumberFormat="1" applyFont="1" applyFill="1" applyBorder="1" applyAlignment="1">
      <x:alignment vertical="top" wrapText="1"/>
    </x:xf>
    <x:xf numFmtId="0" fontId="12" fillId="18" borderId="42" xfId="0" applyNumberFormat="1" applyFont="1" applyFill="1" applyBorder="1" applyAlignment="1">
      <x:alignment vertical="top" wrapText="1"/>
    </x:xf>
    <x:xf numFmtId="0" fontId="12" fillId="18" borderId="37" xfId="0" applyNumberFormat="1" applyFont="1" applyFill="1" applyBorder="1" applyAlignment="1">
      <x:alignment vertical="top" wrapText="1"/>
    </x:xf>
    <x:xf numFmtId="0" fontId="12" fillId="18" borderId="43" xfId="0" applyNumberFormat="1" applyFont="1" applyFill="1" applyBorder="1" applyAlignment="1">
      <x:alignment vertical="top" wrapText="1"/>
    </x:xf>
    <x:xf numFmtId="0" fontId="12" fillId="18" xfId="0" applyNumberFormat="1" applyFont="1" applyFill="1" applyBorder="0" applyAlignment="1">
      <x:alignment vertical="top" wrapText="1"/>
    </x:xf>
    <x:xf numFmtId="0" fontId="12" fillId="18" borderId="44" xfId="0" applyNumberFormat="1" applyFont="1" applyFill="1" applyBorder="1" applyAlignment="1">
      <x:alignment vertical="top" wrapText="1"/>
    </x:xf>
    <x:xf numFmtId="0" fontId="12" fillId="18" borderId="38" xfId="0" applyNumberFormat="1" applyFont="1" applyFill="1" applyBorder="1" applyAlignment="1">
      <x:alignment vertical="top" wrapText="1"/>
    </x:xf>
    <x:xf numFmtId="0" fontId="12" fillId="18" borderId="45" xfId="0" applyNumberFormat="1" applyFont="1" applyFill="1" applyBorder="1" applyAlignment="1">
      <x:alignment vertical="top" wrapText="1"/>
    </x:xf>
    <x:xf numFmtId="0" fontId="12" fillId="18" borderId="40" xfId="0" applyNumberFormat="1" applyFont="1" applyFill="1" applyBorder="1" applyAlignment="1">
      <x:alignment vertical="top" wrapText="1"/>
    </x:xf>
    <x:xf numFmtId="0" fontId="0" fillId="20" borderId="0" xfId="0" applyNumberFormat="1" applyFont="1" applyFill="1" applyBorder="1"/>
    <x:xf numFmtId="0" fontId="0" fillId="20" borderId="5" xfId="0" applyNumberFormat="1" applyFont="1" applyFill="1" applyBorder="1"/>
    <x:xf numFmtId="0" fontId="12" fillId="20" borderId="0" xfId="0" applyNumberFormat="1" applyFont="1" applyFill="1" applyBorder="1"/>
    <x:xf numFmtId="0" fontId="12" fillId="20" borderId="5" xfId="0" applyNumberFormat="1" applyFont="1" applyFill="1" applyBorder="1"/>
    <x:xf numFmtId="0" fontId="12" fillId="20" borderId="35" xfId="0" applyNumberFormat="1" applyFont="1" applyFill="1" applyBorder="1"/>
    <x:xf numFmtId="0" fontId="12" fillId="20" borderId="42" xfId="0" applyNumberFormat="1" applyFont="1" applyFill="1" applyBorder="1"/>
    <x:xf numFmtId="0" fontId="12" fillId="20" borderId="37" xfId="0" applyNumberFormat="1" applyFont="1" applyFill="1" applyBorder="1"/>
    <x:xf numFmtId="0" fontId="12" fillId="20" borderId="43" xfId="0" applyNumberFormat="1" applyFont="1" applyFill="1" applyBorder="1"/>
    <x:xf numFmtId="0" fontId="12" fillId="20" xfId="0" applyNumberFormat="1" applyFont="1" applyFill="1" applyBorder="0"/>
    <x:xf numFmtId="0" fontId="12" fillId="20" borderId="44" xfId="0" applyNumberFormat="1" applyFont="1" applyFill="1" applyBorder="1"/>
    <x:xf numFmtId="0" fontId="12" fillId="20" borderId="38" xfId="0" applyNumberFormat="1" applyFont="1" applyFill="1" applyBorder="1"/>
    <x:xf numFmtId="0" fontId="12" fillId="20" borderId="45" xfId="0" applyNumberFormat="1" applyFont="1" applyFill="1" applyBorder="1"/>
    <x:xf numFmtId="0" fontId="12" fillId="20" borderId="40" xfId="0" applyNumberFormat="1" applyFont="1" applyFill="1" applyBorder="1"/>
    <x:xf numFmtId="0" fontId="12" fillId="20" borderId="35" xfId="0" applyNumberFormat="1" applyFont="1" applyFill="1" applyBorder="1" applyAlignment="1">
      <x:alignment wrapText="1"/>
    </x:xf>
    <x:xf numFmtId="0" fontId="12" fillId="20" borderId="42" xfId="0" applyNumberFormat="1" applyFont="1" applyFill="1" applyBorder="1" applyAlignment="1">
      <x:alignment wrapText="1"/>
    </x:xf>
    <x:xf numFmtId="0" fontId="12" fillId="20" borderId="37" xfId="0" applyNumberFormat="1" applyFont="1" applyFill="1" applyBorder="1" applyAlignment="1">
      <x:alignment wrapText="1"/>
    </x:xf>
    <x:xf numFmtId="0" fontId="12" fillId="20" borderId="43" xfId="0" applyNumberFormat="1" applyFont="1" applyFill="1" applyBorder="1" applyAlignment="1">
      <x:alignment wrapText="1"/>
    </x:xf>
    <x:xf numFmtId="0" fontId="12" fillId="20" xfId="0" applyNumberFormat="1" applyFont="1" applyFill="1" applyBorder="0" applyAlignment="1">
      <x:alignment wrapText="1"/>
    </x:xf>
    <x:xf numFmtId="0" fontId="12" fillId="20" borderId="44" xfId="0" applyNumberFormat="1" applyFont="1" applyFill="1" applyBorder="1" applyAlignment="1">
      <x:alignment wrapText="1"/>
    </x:xf>
    <x:xf numFmtId="0" fontId="12" fillId="20" borderId="38" xfId="0" applyNumberFormat="1" applyFont="1" applyFill="1" applyBorder="1" applyAlignment="1">
      <x:alignment wrapText="1"/>
    </x:xf>
    <x:xf numFmtId="0" fontId="12" fillId="20" borderId="45" xfId="0" applyNumberFormat="1" applyFont="1" applyFill="1" applyBorder="1" applyAlignment="1">
      <x:alignment wrapText="1"/>
    </x:xf>
    <x:xf numFmtId="0" fontId="12" fillId="20" borderId="40" xfId="0" applyNumberFormat="1" applyFont="1" applyFill="1" applyBorder="1" applyAlignment="1">
      <x:alignment wrapText="1"/>
    </x:xf>
    <x:xf numFmtId="0" fontId="12" fillId="20" borderId="35" xfId="0" applyNumberFormat="1" applyFont="1" applyFill="1" applyBorder="1" applyAlignment="1">
      <x:alignment vertical="top" wrapText="1"/>
    </x:xf>
    <x:xf numFmtId="0" fontId="12" fillId="20" borderId="42" xfId="0" applyNumberFormat="1" applyFont="1" applyFill="1" applyBorder="1" applyAlignment="1">
      <x:alignment vertical="top" wrapText="1"/>
    </x:xf>
    <x:xf numFmtId="0" fontId="12" fillId="20" borderId="37" xfId="0" applyNumberFormat="1" applyFont="1" applyFill="1" applyBorder="1" applyAlignment="1">
      <x:alignment vertical="top" wrapText="1"/>
    </x:xf>
    <x:xf numFmtId="0" fontId="12" fillId="20" borderId="43" xfId="0" applyNumberFormat="1" applyFont="1" applyFill="1" applyBorder="1" applyAlignment="1">
      <x:alignment vertical="top" wrapText="1"/>
    </x:xf>
    <x:xf numFmtId="0" fontId="12" fillId="20" xfId="0" applyNumberFormat="1" applyFont="1" applyFill="1" applyBorder="0" applyAlignment="1">
      <x:alignment vertical="top" wrapText="1"/>
    </x:xf>
    <x:xf numFmtId="0" fontId="12" fillId="20" borderId="44" xfId="0" applyNumberFormat="1" applyFont="1" applyFill="1" applyBorder="1" applyAlignment="1">
      <x:alignment vertical="top" wrapText="1"/>
    </x:xf>
    <x:xf numFmtId="0" fontId="12" fillId="20" borderId="38" xfId="0" applyNumberFormat="1" applyFont="1" applyFill="1" applyBorder="1" applyAlignment="1">
      <x:alignment vertical="top" wrapText="1"/>
    </x:xf>
    <x:xf numFmtId="0" fontId="12" fillId="20" borderId="45" xfId="0" applyNumberFormat="1" applyFont="1" applyFill="1" applyBorder="1" applyAlignment="1">
      <x:alignment vertical="top" wrapText="1"/>
    </x:xf>
    <x:xf numFmtId="0" fontId="12" fillId="20" borderId="40" xfId="0" applyNumberFormat="1" applyFont="1" applyFill="1" applyBorder="1" applyAlignment="1">
      <x:alignment vertical="top" wrapText="1"/>
    </x:xf>
    <x:xf numFmtId="0" fontId="12" fillId="13" borderId="0" xfId="0" applyNumberFormat="1" applyFont="1" applyFill="1" applyBorder="1"/>
    <x:xf numFmtId="0" fontId="12" fillId="13" borderId="35" xfId="0" applyNumberFormat="1" applyFont="1" applyFill="1" applyBorder="1"/>
    <x:xf numFmtId="0" fontId="12" fillId="13" borderId="42" xfId="0" applyNumberFormat="1" applyFont="1" applyFill="1" applyBorder="1"/>
    <x:xf numFmtId="0" fontId="12" fillId="13" borderId="37" xfId="0" applyNumberFormat="1" applyFont="1" applyFill="1" applyBorder="1"/>
    <x:xf numFmtId="0" fontId="12" fillId="13" borderId="43" xfId="0" applyNumberFormat="1" applyFont="1" applyFill="1" applyBorder="1"/>
    <x:xf numFmtId="0" fontId="12" fillId="13" xfId="0" applyNumberFormat="1" applyFont="1" applyFill="1" applyBorder="0"/>
    <x:xf numFmtId="0" fontId="12" fillId="13" borderId="44" xfId="0" applyNumberFormat="1" applyFont="1" applyFill="1" applyBorder="1"/>
    <x:xf numFmtId="0" fontId="12" fillId="13" borderId="38" xfId="0" applyNumberFormat="1" applyFont="1" applyFill="1" applyBorder="1"/>
    <x:xf numFmtId="0" fontId="12" fillId="13" borderId="45" xfId="0" applyNumberFormat="1" applyFont="1" applyFill="1" applyBorder="1"/>
    <x:xf numFmtId="0" fontId="12" fillId="13" borderId="40" xfId="0" applyNumberFormat="1" applyFont="1" applyFill="1" applyBorder="1"/>
    <x:xf numFmtId="0" fontId="12" fillId="13" borderId="35" xfId="0" applyNumberFormat="1" applyFont="1" applyFill="1" applyBorder="1" applyAlignment="1">
      <x:alignment wrapText="1"/>
    </x:xf>
    <x:xf numFmtId="0" fontId="12" fillId="13" borderId="42" xfId="0" applyNumberFormat="1" applyFont="1" applyFill="1" applyBorder="1" applyAlignment="1">
      <x:alignment wrapText="1"/>
    </x:xf>
    <x:xf numFmtId="0" fontId="12" fillId="13" borderId="37" xfId="0" applyNumberFormat="1" applyFont="1" applyFill="1" applyBorder="1" applyAlignment="1">
      <x:alignment wrapText="1"/>
    </x:xf>
    <x:xf numFmtId="0" fontId="12" fillId="13" borderId="43" xfId="0" applyNumberFormat="1" applyFont="1" applyFill="1" applyBorder="1" applyAlignment="1">
      <x:alignment wrapText="1"/>
    </x:xf>
    <x:xf numFmtId="0" fontId="12" fillId="13" xfId="0" applyNumberFormat="1" applyFont="1" applyFill="1" applyBorder="0" applyAlignment="1">
      <x:alignment wrapText="1"/>
    </x:xf>
    <x:xf numFmtId="0" fontId="12" fillId="13" borderId="44" xfId="0" applyNumberFormat="1" applyFont="1" applyFill="1" applyBorder="1" applyAlignment="1">
      <x:alignment wrapText="1"/>
    </x:xf>
    <x:xf numFmtId="0" fontId="12" fillId="13" borderId="38" xfId="0" applyNumberFormat="1" applyFont="1" applyFill="1" applyBorder="1" applyAlignment="1">
      <x:alignment wrapText="1"/>
    </x:xf>
    <x:xf numFmtId="0" fontId="12" fillId="13" borderId="45" xfId="0" applyNumberFormat="1" applyFont="1" applyFill="1" applyBorder="1" applyAlignment="1">
      <x:alignment wrapText="1"/>
    </x:xf>
    <x:xf numFmtId="0" fontId="12" fillId="13" borderId="40" xfId="0" applyNumberFormat="1" applyFont="1" applyFill="1" applyBorder="1" applyAlignment="1">
      <x:alignment wrapText="1"/>
    </x:xf>
    <x:xf numFmtId="0" fontId="12" fillId="13" borderId="35" xfId="0" applyNumberFormat="1" applyFont="1" applyFill="1" applyBorder="1" applyAlignment="1">
      <x:alignment vertical="top" wrapText="1"/>
    </x:xf>
    <x:xf numFmtId="0" fontId="12" fillId="13" borderId="42" xfId="0" applyNumberFormat="1" applyFont="1" applyFill="1" applyBorder="1" applyAlignment="1">
      <x:alignment vertical="top" wrapText="1"/>
    </x:xf>
    <x:xf numFmtId="0" fontId="12" fillId="13" borderId="37" xfId="0" applyNumberFormat="1" applyFont="1" applyFill="1" applyBorder="1" applyAlignment="1">
      <x:alignment vertical="top" wrapText="1"/>
    </x:xf>
    <x:xf numFmtId="0" fontId="12" fillId="13" borderId="43" xfId="0" applyNumberFormat="1" applyFont="1" applyFill="1" applyBorder="1" applyAlignment="1">
      <x:alignment vertical="top" wrapText="1"/>
    </x:xf>
    <x:xf numFmtId="0" fontId="12" fillId="13" xfId="0" applyNumberFormat="1" applyFont="1" applyFill="1" applyBorder="0" applyAlignment="1">
      <x:alignment vertical="top" wrapText="1"/>
    </x:xf>
    <x:xf numFmtId="0" fontId="12" fillId="13" borderId="44" xfId="0" applyNumberFormat="1" applyFont="1" applyFill="1" applyBorder="1" applyAlignment="1">
      <x:alignment vertical="top" wrapText="1"/>
    </x:xf>
    <x:xf numFmtId="0" fontId="12" fillId="13" borderId="38" xfId="0" applyNumberFormat="1" applyFont="1" applyFill="1" applyBorder="1" applyAlignment="1">
      <x:alignment vertical="top" wrapText="1"/>
    </x:xf>
    <x:xf numFmtId="0" fontId="12" fillId="13" borderId="45" xfId="0" applyNumberFormat="1" applyFont="1" applyFill="1" applyBorder="1" applyAlignment="1">
      <x:alignment vertical="top" wrapText="1"/>
    </x:xf>
    <x:xf numFmtId="0" fontId="12" fillId="13" borderId="40" xfId="0" applyNumberFormat="1" applyFont="1" applyFill="1" applyBorder="1" applyAlignment="1">
      <x:alignment vertical="top" wrapText="1"/>
    </x:xf>
    <x:xf numFmtId="0" fontId="0" fillId="25" borderId="0" xfId="0" applyNumberFormat="1" applyFont="1" applyFill="1" applyBorder="1"/>
    <x:xf numFmtId="0" fontId="13" fillId="25" borderId="0" xfId="0" applyNumberFormat="1" applyFont="1" applyFill="1" applyBorder="1"/>
    <x:xf numFmtId="0" fontId="13" fillId="25" borderId="35" xfId="0" applyNumberFormat="1" applyFont="1" applyFill="1" applyBorder="1"/>
    <x:xf numFmtId="0" fontId="13" fillId="25" borderId="42" xfId="0" applyNumberFormat="1" applyFont="1" applyFill="1" applyBorder="1"/>
    <x:xf numFmtId="0" fontId="13" fillId="25" borderId="37" xfId="0" applyNumberFormat="1" applyFont="1" applyFill="1" applyBorder="1"/>
    <x:xf numFmtId="0" fontId="13" fillId="25" borderId="43" xfId="0" applyNumberFormat="1" applyFont="1" applyFill="1" applyBorder="1"/>
    <x:xf numFmtId="0" fontId="13" fillId="25" xfId="0" applyNumberFormat="1" applyFont="1" applyFill="1" applyBorder="0"/>
    <x:xf numFmtId="0" fontId="13" fillId="25" borderId="44" xfId="0" applyNumberFormat="1" applyFont="1" applyFill="1" applyBorder="1"/>
    <x:xf numFmtId="0" fontId="13" fillId="25" borderId="38" xfId="0" applyNumberFormat="1" applyFont="1" applyFill="1" applyBorder="1"/>
    <x:xf numFmtId="0" fontId="13" fillId="25" borderId="45" xfId="0" applyNumberFormat="1" applyFont="1" applyFill="1" applyBorder="1"/>
    <x:xf numFmtId="0" fontId="13" fillId="25" borderId="40" xfId="0" applyNumberFormat="1" applyFont="1" applyFill="1" applyBorder="1"/>
    <x:xf numFmtId="0" fontId="13" fillId="25" borderId="35" xfId="0" applyNumberFormat="1" applyFont="1" applyFill="1" applyBorder="1" applyAlignment="1">
      <x:alignment wrapText="1"/>
    </x:xf>
    <x:xf numFmtId="0" fontId="13" fillId="25" borderId="42" xfId="0" applyNumberFormat="1" applyFont="1" applyFill="1" applyBorder="1" applyAlignment="1">
      <x:alignment wrapText="1"/>
    </x:xf>
    <x:xf numFmtId="0" fontId="13" fillId="25" borderId="37" xfId="0" applyNumberFormat="1" applyFont="1" applyFill="1" applyBorder="1" applyAlignment="1">
      <x:alignment wrapText="1"/>
    </x:xf>
    <x:xf numFmtId="0" fontId="13" fillId="25" borderId="43" xfId="0" applyNumberFormat="1" applyFont="1" applyFill="1" applyBorder="1" applyAlignment="1">
      <x:alignment wrapText="1"/>
    </x:xf>
    <x:xf numFmtId="0" fontId="13" fillId="25" xfId="0" applyNumberFormat="1" applyFont="1" applyFill="1" applyBorder="0" applyAlignment="1">
      <x:alignment wrapText="1"/>
    </x:xf>
    <x:xf numFmtId="0" fontId="13" fillId="25" borderId="44" xfId="0" applyNumberFormat="1" applyFont="1" applyFill="1" applyBorder="1" applyAlignment="1">
      <x:alignment wrapText="1"/>
    </x:xf>
    <x:xf numFmtId="0" fontId="13" fillId="25" borderId="38" xfId="0" applyNumberFormat="1" applyFont="1" applyFill="1" applyBorder="1" applyAlignment="1">
      <x:alignment wrapText="1"/>
    </x:xf>
    <x:xf numFmtId="0" fontId="13" fillId="25" borderId="45" xfId="0" applyNumberFormat="1" applyFont="1" applyFill="1" applyBorder="1" applyAlignment="1">
      <x:alignment wrapText="1"/>
    </x:xf>
    <x:xf numFmtId="0" fontId="13" fillId="25" borderId="40" xfId="0" applyNumberFormat="1" applyFont="1" applyFill="1" applyBorder="1" applyAlignment="1">
      <x:alignment wrapText="1"/>
    </x:xf>
    <x:xf numFmtId="0" fontId="13" fillId="25" borderId="35" xfId="0" applyNumberFormat="1" applyFont="1" applyFill="1" applyBorder="1" applyAlignment="1">
      <x:alignment vertical="top" wrapText="1"/>
    </x:xf>
    <x:xf numFmtId="0" fontId="13" fillId="25" borderId="42" xfId="0" applyNumberFormat="1" applyFont="1" applyFill="1" applyBorder="1" applyAlignment="1">
      <x:alignment vertical="top" wrapText="1"/>
    </x:xf>
    <x:xf numFmtId="0" fontId="13" fillId="25" borderId="37" xfId="0" applyNumberFormat="1" applyFont="1" applyFill="1" applyBorder="1" applyAlignment="1">
      <x:alignment vertical="top" wrapText="1"/>
    </x:xf>
    <x:xf numFmtId="0" fontId="13" fillId="25" borderId="43" xfId="0" applyNumberFormat="1" applyFont="1" applyFill="1" applyBorder="1" applyAlignment="1">
      <x:alignment vertical="top" wrapText="1"/>
    </x:xf>
    <x:xf numFmtId="0" fontId="13" fillId="25" xfId="0" applyNumberFormat="1" applyFont="1" applyFill="1" applyBorder="0" applyAlignment="1">
      <x:alignment vertical="top" wrapText="1"/>
    </x:xf>
    <x:xf numFmtId="0" fontId="13" fillId="25" borderId="44" xfId="0" applyNumberFormat="1" applyFont="1" applyFill="1" applyBorder="1" applyAlignment="1">
      <x:alignment vertical="top" wrapText="1"/>
    </x:xf>
    <x:xf numFmtId="0" fontId="13" fillId="25" borderId="38" xfId="0" applyNumberFormat="1" applyFont="1" applyFill="1" applyBorder="1" applyAlignment="1">
      <x:alignment vertical="top" wrapText="1"/>
    </x:xf>
    <x:xf numFmtId="0" fontId="13" fillId="25" borderId="45" xfId="0" applyNumberFormat="1" applyFont="1" applyFill="1" applyBorder="1" applyAlignment="1">
      <x:alignment vertical="top" wrapText="1"/>
    </x:xf>
    <x:xf numFmtId="0" fontId="13" fillId="25" borderId="40" xfId="0" applyNumberFormat="1" applyFont="1" applyFill="1" applyBorder="1" applyAlignment="1">
      <x:alignment vertical="top" wrapText="1"/>
    </x:xf>
    <x:xf numFmtId="0" fontId="5" fillId="10" borderId="4" xfId="0" applyNumberFormat="1" applyFont="1" applyFill="1" applyBorder="1"/>
    <x:xf numFmtId="0" fontId="5" fillId="10" borderId="0" xfId="0" applyNumberFormat="1" applyFont="1" applyFill="1" applyBorder="1"/>
    <x:xf numFmtId="0" fontId="5" fillId="10" borderId="5" xfId="0" applyNumberFormat="1" applyFont="1" applyFill="1" applyBorder="1"/>
    <x:xf numFmtId="0" fontId="5" fillId="10" borderId="4" xfId="0" applyNumberFormat="1" applyFont="1" applyFill="1" applyBorder="1" applyAlignment="1">
      <x:alignment horizontal="left"/>
    </x:xf>
    <x:xf numFmtId="0" fontId="5" fillId="10" borderId="0" xfId="0" applyNumberFormat="1" applyFont="1" applyFill="1" applyBorder="1" applyAlignment="1">
      <x:alignment horizontal="left"/>
    </x:xf>
    <x:xf numFmtId="0" fontId="5" fillId="10" borderId="5" xfId="0" applyNumberFormat="1" applyFont="1" applyFill="1" applyBorder="1" applyAlignment="1">
      <x:alignment horizontal="left"/>
    </x:xf>
    <x:xf numFmtId="0" fontId="5" fillId="10" borderId="4" xfId="0" applyNumberFormat="1" applyFont="1" applyFill="1" applyBorder="1" applyAlignment="1">
      <x:alignment horizontal="left" vertical="center"/>
    </x:xf>
    <x:xf numFmtId="0" fontId="5" fillId="10" borderId="0" xfId="0" applyNumberFormat="1" applyFont="1" applyFill="1" applyBorder="1" applyAlignment="1">
      <x:alignment horizontal="left" vertical="center"/>
    </x:xf>
    <x:xf numFmtId="0" fontId="5" fillId="10" borderId="5" xfId="0" applyNumberFormat="1" applyFont="1" applyFill="1" applyBorder="1" applyAlignment="1">
      <x:alignment horizontal="left" vertical="center"/>
    </x:xf>
    <x:xf numFmtId="0" fontId="0" fillId="12" borderId="6" xfId="0" applyNumberFormat="1" applyFont="1" applyFill="1" applyBorder="1"/>
    <x:xf numFmtId="0" fontId="0" fillId="12" borderId="15" xfId="0" applyNumberFormat="1" applyFont="1" applyFill="1" applyBorder="1"/>
    <x:xf numFmtId="0" fontId="2" fillId="12" borderId="6" xfId="0" applyNumberFormat="1" applyFont="1" applyFill="1" applyBorder="1"/>
    <x:xf numFmtId="0" fontId="2" fillId="12" borderId="15" xfId="0" applyNumberFormat="1" applyFont="1" applyFill="1" applyBorder="1"/>
    <x:xf numFmtId="0" fontId="2" fillId="12" borderId="0" xfId="0" applyNumberFormat="1" applyFont="1" applyFill="1" applyBorder="1"/>
    <x:xf numFmtId="0" fontId="2" fillId="12" borderId="55" xfId="0" applyNumberFormat="1" applyFont="1" applyFill="1" applyBorder="1"/>
    <x:xf numFmtId="0" fontId="2" fillId="12" borderId="58" xfId="0" applyNumberFormat="1" applyFont="1" applyFill="1" applyBorder="1"/>
    <x:xf numFmtId="0" fontId="2" fillId="12" borderId="56" xfId="0" applyNumberFormat="1" applyFont="1" applyFill="1" applyBorder="1"/>
    <x:xf numFmtId="0" fontId="2" fillId="12" borderId="38" xfId="0" applyNumberFormat="1" applyFont="1" applyFill="1" applyBorder="1"/>
    <x:xf numFmtId="0" fontId="2" fillId="12" borderId="45" xfId="0" applyNumberFormat="1" applyFont="1" applyFill="1" applyBorder="1"/>
    <x:xf numFmtId="0" fontId="2" fillId="12" borderId="40" xfId="0" applyNumberFormat="1" applyFont="1" applyFill="1" applyBorder="1"/>
    <x:xf numFmtId="0" fontId="2" fillId="12" borderId="55" xfId="0" applyNumberFormat="1" applyFont="1" applyFill="1" applyBorder="1" applyAlignment="1">
      <x:alignment horizontal="center"/>
    </x:xf>
    <x:xf numFmtId="0" fontId="2" fillId="12" borderId="58" xfId="0" applyNumberFormat="1" applyFont="1" applyFill="1" applyBorder="1" applyAlignment="1">
      <x:alignment horizontal="center"/>
    </x:xf>
    <x:xf numFmtId="0" fontId="2" fillId="12" borderId="56" xfId="0" applyNumberFormat="1" applyFont="1" applyFill="1" applyBorder="1" applyAlignment="1">
      <x:alignment horizontal="center"/>
    </x:xf>
    <x:xf numFmtId="0" fontId="2" fillId="12" borderId="38" xfId="0" applyNumberFormat="1" applyFont="1" applyFill="1" applyBorder="1" applyAlignment="1">
      <x:alignment horizontal="center"/>
    </x:xf>
    <x:xf numFmtId="0" fontId="2" fillId="12" borderId="45" xfId="0" applyNumberFormat="1" applyFont="1" applyFill="1" applyBorder="1" applyAlignment="1">
      <x:alignment horizontal="center"/>
    </x:xf>
    <x:xf numFmtId="0" fontId="2" fillId="12" borderId="40" xfId="0" applyNumberFormat="1" applyFont="1" applyFill="1" applyBorder="1" applyAlignment="1">
      <x:alignment horizontal="center"/>
    </x:xf>
    <x:xf numFmtId="0" fontId="2" fillId="12" borderId="55" xfId="0" applyNumberFormat="1" applyFont="1" applyFill="1" applyBorder="1" applyAlignment="1">
      <x:alignment horizontal="center" vertical="center"/>
    </x:xf>
    <x:xf numFmtId="0" fontId="2" fillId="12" borderId="58" xfId="0" applyNumberFormat="1" applyFont="1" applyFill="1" applyBorder="1" applyAlignment="1">
      <x:alignment horizontal="center" vertical="center"/>
    </x:xf>
    <x:xf numFmtId="0" fontId="2" fillId="12" borderId="56" xfId="0" applyNumberFormat="1" applyFont="1" applyFill="1" applyBorder="1" applyAlignment="1">
      <x:alignment horizontal="center" vertical="center"/>
    </x:xf>
    <x:xf numFmtId="0" fontId="2" fillId="12" borderId="38" xfId="0" applyNumberFormat="1" applyFont="1" applyFill="1" applyBorder="1" applyAlignment="1">
      <x:alignment horizontal="center" vertical="center"/>
    </x:xf>
    <x:xf numFmtId="0" fontId="2" fillId="12" borderId="45" xfId="0" applyNumberFormat="1" applyFont="1" applyFill="1" applyBorder="1" applyAlignment="1">
      <x:alignment horizontal="center" vertical="center"/>
    </x:xf>
    <x:xf numFmtId="0" fontId="2" fillId="12" borderId="40" xfId="0" applyNumberFormat="1" applyFont="1" applyFill="1" applyBorder="1" applyAlignment="1">
      <x:alignment horizontal="center" vertical="center"/>
    </x:xf>
    <x:xf numFmtId="0" fontId="0" fillId="15" borderId="15" xfId="0" applyNumberFormat="1" applyFont="1" applyFill="1" applyBorder="1"/>
    <x:xf numFmtId="0" fontId="0" fillId="15" borderId="7" xfId="0" applyNumberFormat="1" applyFont="1" applyFill="1" applyBorder="1"/>
    <x:xf numFmtId="0" fontId="2" fillId="15" borderId="15" xfId="0" applyNumberFormat="1" applyFont="1" applyFill="1" applyBorder="1"/>
    <x:xf numFmtId="0" fontId="2" fillId="15" borderId="7" xfId="0" applyNumberFormat="1" applyFont="1" applyFill="1" applyBorder="1"/>
    <x:xf numFmtId="0" fontId="2" fillId="15" borderId="0" xfId="0" applyNumberFormat="1" applyFont="1" applyFill="1" applyBorder="1"/>
    <x:xf numFmtId="0" fontId="2" fillId="15" borderId="55" xfId="0" applyNumberFormat="1" applyFont="1" applyFill="1" applyBorder="1"/>
    <x:xf numFmtId="0" fontId="2" fillId="15" borderId="58" xfId="0" applyNumberFormat="1" applyFont="1" applyFill="1" applyBorder="1"/>
    <x:xf numFmtId="0" fontId="2" fillId="15" borderId="56" xfId="0" applyNumberFormat="1" applyFont="1" applyFill="1" applyBorder="1"/>
    <x:xf numFmtId="0" fontId="2" fillId="15" borderId="38" xfId="0" applyNumberFormat="1" applyFont="1" applyFill="1" applyBorder="1"/>
    <x:xf numFmtId="0" fontId="2" fillId="15" borderId="45" xfId="0" applyNumberFormat="1" applyFont="1" applyFill="1" applyBorder="1"/>
    <x:xf numFmtId="0" fontId="2" fillId="15" borderId="40" xfId="0" applyNumberFormat="1" applyFont="1" applyFill="1" applyBorder="1"/>
    <x:xf numFmtId="0" fontId="2" fillId="15" borderId="55" xfId="0" applyNumberFormat="1" applyFont="1" applyFill="1" applyBorder="1" applyAlignment="1">
      <x:alignment horizontal="center"/>
    </x:xf>
    <x:xf numFmtId="0" fontId="2" fillId="15" borderId="58" xfId="0" applyNumberFormat="1" applyFont="1" applyFill="1" applyBorder="1" applyAlignment="1">
      <x:alignment horizontal="center"/>
    </x:xf>
    <x:xf numFmtId="0" fontId="2" fillId="15" borderId="56" xfId="0" applyNumberFormat="1" applyFont="1" applyFill="1" applyBorder="1" applyAlignment="1">
      <x:alignment horizontal="center"/>
    </x:xf>
    <x:xf numFmtId="0" fontId="2" fillId="15" borderId="38" xfId="0" applyNumberFormat="1" applyFont="1" applyFill="1" applyBorder="1" applyAlignment="1">
      <x:alignment horizontal="center"/>
    </x:xf>
    <x:xf numFmtId="0" fontId="2" fillId="15" borderId="45" xfId="0" applyNumberFormat="1" applyFont="1" applyFill="1" applyBorder="1" applyAlignment="1">
      <x:alignment horizontal="center"/>
    </x:xf>
    <x:xf numFmtId="0" fontId="2" fillId="15" borderId="40" xfId="0" applyNumberFormat="1" applyFont="1" applyFill="1" applyBorder="1" applyAlignment="1">
      <x:alignment horizontal="center"/>
    </x:xf>
    <x:xf numFmtId="0" fontId="2" fillId="15" borderId="55" xfId="0" applyNumberFormat="1" applyFont="1" applyFill="1" applyBorder="1" applyAlignment="1">
      <x:alignment horizontal="center" vertical="center"/>
    </x:xf>
    <x:xf numFmtId="0" fontId="2" fillId="15" borderId="58" xfId="0" applyNumberFormat="1" applyFont="1" applyFill="1" applyBorder="1" applyAlignment="1">
      <x:alignment horizontal="center" vertical="center"/>
    </x:xf>
    <x:xf numFmtId="0" fontId="2" fillId="15" borderId="56" xfId="0" applyNumberFormat="1" applyFont="1" applyFill="1" applyBorder="1" applyAlignment="1">
      <x:alignment horizontal="center" vertical="center"/>
    </x:xf>
    <x:xf numFmtId="0" fontId="2" fillId="15" borderId="38" xfId="0" applyNumberFormat="1" applyFont="1" applyFill="1" applyBorder="1" applyAlignment="1">
      <x:alignment horizontal="center" vertical="center"/>
    </x:xf>
    <x:xf numFmtId="0" fontId="2" fillId="15" borderId="45" xfId="0" applyNumberFormat="1" applyFont="1" applyFill="1" applyBorder="1" applyAlignment="1">
      <x:alignment horizontal="center" vertical="center"/>
    </x:xf>
    <x:xf numFmtId="0" fontId="2" fillId="15" borderId="40" xfId="0" applyNumberFormat="1" applyFont="1" applyFill="1" applyBorder="1" applyAlignment="1">
      <x:alignment horizontal="center" vertical="center"/>
    </x:xf>
    <x:xf numFmtId="0" fontId="2" fillId="17" borderId="0" xfId="0" applyNumberFormat="1" applyFont="1" applyFill="1" applyBorder="1"/>
    <x:xf numFmtId="0" fontId="2" fillId="17" borderId="35" xfId="0" applyNumberFormat="1" applyFont="1" applyFill="1" applyBorder="1"/>
    <x:xf numFmtId="0" fontId="2" fillId="17" borderId="42" xfId="0" applyNumberFormat="1" applyFont="1" applyFill="1" applyBorder="1"/>
    <x:xf numFmtId="0" fontId="2" fillId="17" borderId="37" xfId="0" applyNumberFormat="1" applyFont="1" applyFill="1" applyBorder="1"/>
    <x:xf numFmtId="0" fontId="2" fillId="17" borderId="38" xfId="0" applyNumberFormat="1" applyFont="1" applyFill="1" applyBorder="1"/>
    <x:xf numFmtId="0" fontId="2" fillId="17" borderId="45" xfId="0" applyNumberFormat="1" applyFont="1" applyFill="1" applyBorder="1"/>
    <x:xf numFmtId="0" fontId="2" fillId="17" borderId="40" xfId="0" applyNumberFormat="1" applyFont="1" applyFill="1" applyBorder="1"/>
    <x:xf numFmtId="0" fontId="2" fillId="17" borderId="35" xfId="0" applyNumberFormat="1" applyFont="1" applyFill="1" applyBorder="1" applyAlignment="1">
      <x:alignment horizontal="center"/>
    </x:xf>
    <x:xf numFmtId="0" fontId="2" fillId="17" borderId="42" xfId="0" applyNumberFormat="1" applyFont="1" applyFill="1" applyBorder="1" applyAlignment="1">
      <x:alignment horizontal="center"/>
    </x:xf>
    <x:xf numFmtId="0" fontId="2" fillId="17" borderId="37" xfId="0" applyNumberFormat="1" applyFont="1" applyFill="1" applyBorder="1" applyAlignment="1">
      <x:alignment horizontal="center"/>
    </x:xf>
    <x:xf numFmtId="0" fontId="2" fillId="17" borderId="38" xfId="0" applyNumberFormat="1" applyFont="1" applyFill="1" applyBorder="1" applyAlignment="1">
      <x:alignment horizontal="center"/>
    </x:xf>
    <x:xf numFmtId="0" fontId="2" fillId="17" borderId="45" xfId="0" applyNumberFormat="1" applyFont="1" applyFill="1" applyBorder="1" applyAlignment="1">
      <x:alignment horizontal="center"/>
    </x:xf>
    <x:xf numFmtId="0" fontId="2" fillId="17" borderId="40" xfId="0" applyNumberFormat="1" applyFont="1" applyFill="1" applyBorder="1" applyAlignment="1">
      <x:alignment horizontal="center"/>
    </x:xf>
    <x:xf numFmtId="0" fontId="2" fillId="17" borderId="35" xfId="0" applyNumberFormat="1" applyFont="1" applyFill="1" applyBorder="1" applyAlignment="1">
      <x:alignment horizontal="center" vertical="center"/>
    </x:xf>
    <x:xf numFmtId="0" fontId="2" fillId="17" borderId="42" xfId="0" applyNumberFormat="1" applyFont="1" applyFill="1" applyBorder="1" applyAlignment="1">
      <x:alignment horizontal="center" vertical="center"/>
    </x:xf>
    <x:xf numFmtId="0" fontId="2" fillId="17" borderId="37" xfId="0" applyNumberFormat="1" applyFont="1" applyFill="1" applyBorder="1" applyAlignment="1">
      <x:alignment horizontal="center" vertical="center"/>
    </x:xf>
    <x:xf numFmtId="0" fontId="2" fillId="17" borderId="38" xfId="0" applyNumberFormat="1" applyFont="1" applyFill="1" applyBorder="1" applyAlignment="1">
      <x:alignment horizontal="center" vertical="center"/>
    </x:xf>
    <x:xf numFmtId="0" fontId="2" fillId="17" borderId="45" xfId="0" applyNumberFormat="1" applyFont="1" applyFill="1" applyBorder="1" applyAlignment="1">
      <x:alignment horizontal="center" vertical="center"/>
    </x:xf>
    <x:xf numFmtId="0" fontId="2" fillId="17" borderId="40" xfId="0" applyNumberFormat="1" applyFont="1" applyFill="1" applyBorder="1" applyAlignment="1">
      <x:alignment horizontal="center" vertical="center"/>
    </x:xf>
    <x:xf numFmtId="0" fontId="0" fillId="19" borderId="0" xfId="0" applyNumberFormat="1" applyFont="1" applyFill="1" applyBorder="1"/>
    <x:xf numFmtId="0" fontId="2" fillId="19" borderId="0" xfId="0" applyNumberFormat="1" applyFont="1" applyFill="1" applyBorder="1"/>
    <x:xf numFmtId="0" fontId="2" fillId="19" borderId="35" xfId="0" applyNumberFormat="1" applyFont="1" applyFill="1" applyBorder="1"/>
    <x:xf numFmtId="0" fontId="2" fillId="19" borderId="42" xfId="0" applyNumberFormat="1" applyFont="1" applyFill="1" applyBorder="1"/>
    <x:xf numFmtId="0" fontId="2" fillId="19" borderId="37" xfId="0" applyNumberFormat="1" applyFont="1" applyFill="1" applyBorder="1"/>
    <x:xf numFmtId="0" fontId="2" fillId="19" borderId="38" xfId="0" applyNumberFormat="1" applyFont="1" applyFill="1" applyBorder="1"/>
    <x:xf numFmtId="0" fontId="2" fillId="19" borderId="45" xfId="0" applyNumberFormat="1" applyFont="1" applyFill="1" applyBorder="1"/>
    <x:xf numFmtId="0" fontId="2" fillId="19" borderId="40" xfId="0" applyNumberFormat="1" applyFont="1" applyFill="1" applyBorder="1"/>
    <x:xf numFmtId="0" fontId="2" fillId="19" borderId="35" xfId="0" applyNumberFormat="1" applyFont="1" applyFill="1" applyBorder="1" applyAlignment="1">
      <x:alignment horizontal="center"/>
    </x:xf>
    <x:xf numFmtId="0" fontId="2" fillId="19" borderId="42" xfId="0" applyNumberFormat="1" applyFont="1" applyFill="1" applyBorder="1" applyAlignment="1">
      <x:alignment horizontal="center"/>
    </x:xf>
    <x:xf numFmtId="0" fontId="2" fillId="19" borderId="37" xfId="0" applyNumberFormat="1" applyFont="1" applyFill="1" applyBorder="1" applyAlignment="1">
      <x:alignment horizontal="center"/>
    </x:xf>
    <x:xf numFmtId="0" fontId="2" fillId="19" borderId="38" xfId="0" applyNumberFormat="1" applyFont="1" applyFill="1" applyBorder="1" applyAlignment="1">
      <x:alignment horizontal="center"/>
    </x:xf>
    <x:xf numFmtId="0" fontId="2" fillId="19" borderId="45" xfId="0" applyNumberFormat="1" applyFont="1" applyFill="1" applyBorder="1" applyAlignment="1">
      <x:alignment horizontal="center"/>
    </x:xf>
    <x:xf numFmtId="0" fontId="2" fillId="19" borderId="40" xfId="0" applyNumberFormat="1" applyFont="1" applyFill="1" applyBorder="1" applyAlignment="1">
      <x:alignment horizontal="center"/>
    </x:xf>
    <x:xf numFmtId="0" fontId="2" fillId="19" borderId="35" xfId="0" applyNumberFormat="1" applyFont="1" applyFill="1" applyBorder="1" applyAlignment="1">
      <x:alignment horizontal="center" vertical="center"/>
    </x:xf>
    <x:xf numFmtId="0" fontId="2" fillId="19" borderId="42" xfId="0" applyNumberFormat="1" applyFont="1" applyFill="1" applyBorder="1" applyAlignment="1">
      <x:alignment horizontal="center" vertical="center"/>
    </x:xf>
    <x:xf numFmtId="0" fontId="2" fillId="19" borderId="37" xfId="0" applyNumberFormat="1" applyFont="1" applyFill="1" applyBorder="1" applyAlignment="1">
      <x:alignment horizontal="center" vertical="center"/>
    </x:xf>
    <x:xf numFmtId="0" fontId="2" fillId="19" borderId="38" xfId="0" applyNumberFormat="1" applyFont="1" applyFill="1" applyBorder="1" applyAlignment="1">
      <x:alignment horizontal="center" vertical="center"/>
    </x:xf>
    <x:xf numFmtId="0" fontId="2" fillId="19" borderId="45" xfId="0" applyNumberFormat="1" applyFont="1" applyFill="1" applyBorder="1" applyAlignment="1">
      <x:alignment horizontal="center" vertical="center"/>
    </x:xf>
    <x:xf numFmtId="0" fontId="2" fillId="19" borderId="40" xfId="0" applyNumberFormat="1" applyFont="1" applyFill="1" applyBorder="1" applyAlignment="1">
      <x:alignment horizontal="center" vertical="center"/>
    </x:xf>
    <x:xf numFmtId="0" fontId="2" fillId="23" borderId="0" xfId="0" applyNumberFormat="1" applyFont="1" applyFill="1" applyBorder="1"/>
    <x:xf numFmtId="0" fontId="2" fillId="23" borderId="35" xfId="0" applyNumberFormat="1" applyFont="1" applyFill="1" applyBorder="1"/>
    <x:xf numFmtId="0" fontId="2" fillId="23" borderId="42" xfId="0" applyNumberFormat="1" applyFont="1" applyFill="1" applyBorder="1"/>
    <x:xf numFmtId="0" fontId="2" fillId="23" borderId="37" xfId="0" applyNumberFormat="1" applyFont="1" applyFill="1" applyBorder="1"/>
    <x:xf numFmtId="0" fontId="2" fillId="23" borderId="38" xfId="0" applyNumberFormat="1" applyFont="1" applyFill="1" applyBorder="1"/>
    <x:xf numFmtId="0" fontId="2" fillId="23" borderId="45" xfId="0" applyNumberFormat="1" applyFont="1" applyFill="1" applyBorder="1"/>
    <x:xf numFmtId="0" fontId="2" fillId="23" borderId="40" xfId="0" applyNumberFormat="1" applyFont="1" applyFill="1" applyBorder="1"/>
    <x:xf numFmtId="0" fontId="2" fillId="23" borderId="35" xfId="0" applyNumberFormat="1" applyFont="1" applyFill="1" applyBorder="1" applyAlignment="1">
      <x:alignment horizontal="center"/>
    </x:xf>
    <x:xf numFmtId="0" fontId="2" fillId="23" borderId="42" xfId="0" applyNumberFormat="1" applyFont="1" applyFill="1" applyBorder="1" applyAlignment="1">
      <x:alignment horizontal="center"/>
    </x:xf>
    <x:xf numFmtId="0" fontId="2" fillId="23" borderId="37" xfId="0" applyNumberFormat="1" applyFont="1" applyFill="1" applyBorder="1" applyAlignment="1">
      <x:alignment horizontal="center"/>
    </x:xf>
    <x:xf numFmtId="0" fontId="2" fillId="23" borderId="38" xfId="0" applyNumberFormat="1" applyFont="1" applyFill="1" applyBorder="1" applyAlignment="1">
      <x:alignment horizontal="center"/>
    </x:xf>
    <x:xf numFmtId="0" fontId="2" fillId="23" borderId="45" xfId="0" applyNumberFormat="1" applyFont="1" applyFill="1" applyBorder="1" applyAlignment="1">
      <x:alignment horizontal="center"/>
    </x:xf>
    <x:xf numFmtId="0" fontId="2" fillId="23" borderId="40" xfId="0" applyNumberFormat="1" applyFont="1" applyFill="1" applyBorder="1" applyAlignment="1">
      <x:alignment horizontal="center"/>
    </x:xf>
    <x:xf numFmtId="0" fontId="2" fillId="23" borderId="35" xfId="0" applyNumberFormat="1" applyFont="1" applyFill="1" applyBorder="1" applyAlignment="1">
      <x:alignment horizontal="center" vertical="center"/>
    </x:xf>
    <x:xf numFmtId="0" fontId="2" fillId="23" borderId="42" xfId="0" applyNumberFormat="1" applyFont="1" applyFill="1" applyBorder="1" applyAlignment="1">
      <x:alignment horizontal="center" vertical="center"/>
    </x:xf>
    <x:xf numFmtId="0" fontId="2" fillId="23" borderId="37" xfId="0" applyNumberFormat="1" applyFont="1" applyFill="1" applyBorder="1" applyAlignment="1">
      <x:alignment horizontal="center" vertical="center"/>
    </x:xf>
    <x:xf numFmtId="0" fontId="2" fillId="23" borderId="38" xfId="0" applyNumberFormat="1" applyFont="1" applyFill="1" applyBorder="1" applyAlignment="1">
      <x:alignment horizontal="center" vertical="center"/>
    </x:xf>
    <x:xf numFmtId="0" fontId="2" fillId="23" borderId="45" xfId="0" applyNumberFormat="1" applyFont="1" applyFill="1" applyBorder="1" applyAlignment="1">
      <x:alignment horizontal="center" vertical="center"/>
    </x:xf>
    <x:xf numFmtId="0" fontId="2" fillId="23" borderId="40" xfId="0" applyNumberFormat="1" applyFont="1" applyFill="1" applyBorder="1" applyAlignment="1">
      <x:alignment horizontal="center" vertical="center"/>
    </x:xf>
    <x:xf numFmtId="0" fontId="2" fillId="15" borderId="35" xfId="0" applyNumberFormat="1" applyFont="1" applyFill="1" applyBorder="1"/>
    <x:xf numFmtId="0" fontId="2" fillId="15" borderId="42" xfId="0" applyNumberFormat="1" applyFont="1" applyFill="1" applyBorder="1"/>
    <x:xf numFmtId="0" fontId="2" fillId="15" borderId="37" xfId="0" applyNumberFormat="1" applyFont="1" applyFill="1" applyBorder="1"/>
    <x:xf numFmtId="0" fontId="2" fillId="15" borderId="35" xfId="0" applyNumberFormat="1" applyFont="1" applyFill="1" applyBorder="1" applyAlignment="1">
      <x:alignment horizontal="center"/>
    </x:xf>
    <x:xf numFmtId="0" fontId="2" fillId="15" borderId="42" xfId="0" applyNumberFormat="1" applyFont="1" applyFill="1" applyBorder="1" applyAlignment="1">
      <x:alignment horizontal="center"/>
    </x:xf>
    <x:xf numFmtId="0" fontId="2" fillId="15" borderId="37" xfId="0" applyNumberFormat="1" applyFont="1" applyFill="1" applyBorder="1" applyAlignment="1">
      <x:alignment horizontal="center"/>
    </x:xf>
    <x:xf numFmtId="0" fontId="2" fillId="15" borderId="35" xfId="0" applyNumberFormat="1" applyFont="1" applyFill="1" applyBorder="1" applyAlignment="1">
      <x:alignment horizontal="center" vertical="center"/>
    </x:xf>
    <x:xf numFmtId="0" fontId="2" fillId="15" borderId="42" xfId="0" applyNumberFormat="1" applyFont="1" applyFill="1" applyBorder="1" applyAlignment="1">
      <x:alignment horizontal="center" vertical="center"/>
    </x:xf>
    <x:xf numFmtId="0" fontId="2" fillId="15" borderId="37" xfId="0" applyNumberFormat="1" applyFont="1" applyFill="1" applyBorder="1" applyAlignment="1">
      <x:alignment horizontal="center" vertical="center"/>
    </x:xf>
    <x:xf numFmtId="0" fontId="0" fillId="26" borderId="0" xfId="0" applyNumberFormat="1" applyFont="1" applyFill="1" applyBorder="1"/>
    <x:xf numFmtId="0" fontId="2" fillId="26" borderId="0" xfId="0" applyNumberFormat="1" applyFont="1" applyFill="1" applyBorder="1"/>
    <x:xf numFmtId="0" fontId="2" fillId="26" borderId="35" xfId="0" applyNumberFormat="1" applyFont="1" applyFill="1" applyBorder="1"/>
    <x:xf numFmtId="0" fontId="2" fillId="26" borderId="42" xfId="0" applyNumberFormat="1" applyFont="1" applyFill="1" applyBorder="1"/>
    <x:xf numFmtId="0" fontId="2" fillId="26" borderId="37" xfId="0" applyNumberFormat="1" applyFont="1" applyFill="1" applyBorder="1"/>
    <x:xf numFmtId="0" fontId="2" fillId="26" borderId="38" xfId="0" applyNumberFormat="1" applyFont="1" applyFill="1" applyBorder="1"/>
    <x:xf numFmtId="0" fontId="2" fillId="26" borderId="45" xfId="0" applyNumberFormat="1" applyFont="1" applyFill="1" applyBorder="1"/>
    <x:xf numFmtId="0" fontId="2" fillId="26" borderId="40" xfId="0" applyNumberFormat="1" applyFont="1" applyFill="1" applyBorder="1"/>
    <x:xf numFmtId="0" fontId="2" fillId="26" borderId="35" xfId="0" applyNumberFormat="1" applyFont="1" applyFill="1" applyBorder="1" applyAlignment="1">
      <x:alignment horizontal="center"/>
    </x:xf>
    <x:xf numFmtId="0" fontId="2" fillId="26" borderId="42" xfId="0" applyNumberFormat="1" applyFont="1" applyFill="1" applyBorder="1" applyAlignment="1">
      <x:alignment horizontal="center"/>
    </x:xf>
    <x:xf numFmtId="0" fontId="2" fillId="26" borderId="37" xfId="0" applyNumberFormat="1" applyFont="1" applyFill="1" applyBorder="1" applyAlignment="1">
      <x:alignment horizontal="center"/>
    </x:xf>
    <x:xf numFmtId="0" fontId="2" fillId="26" borderId="38" xfId="0" applyNumberFormat="1" applyFont="1" applyFill="1" applyBorder="1" applyAlignment="1">
      <x:alignment horizontal="center"/>
    </x:xf>
    <x:xf numFmtId="0" fontId="2" fillId="26" borderId="45" xfId="0" applyNumberFormat="1" applyFont="1" applyFill="1" applyBorder="1" applyAlignment="1">
      <x:alignment horizontal="center"/>
    </x:xf>
    <x:xf numFmtId="0" fontId="2" fillId="26" borderId="40" xfId="0" applyNumberFormat="1" applyFont="1" applyFill="1" applyBorder="1" applyAlignment="1">
      <x:alignment horizontal="center"/>
    </x:xf>
    <x:xf numFmtId="0" fontId="2" fillId="26" borderId="35" xfId="0" applyNumberFormat="1" applyFont="1" applyFill="1" applyBorder="1" applyAlignment="1">
      <x:alignment horizontal="center" vertical="center"/>
    </x:xf>
    <x:xf numFmtId="0" fontId="2" fillId="26" borderId="42" xfId="0" applyNumberFormat="1" applyFont="1" applyFill="1" applyBorder="1" applyAlignment="1">
      <x:alignment horizontal="center" vertical="center"/>
    </x:xf>
    <x:xf numFmtId="0" fontId="2" fillId="26" borderId="37" xfId="0" applyNumberFormat="1" applyFont="1" applyFill="1" applyBorder="1" applyAlignment="1">
      <x:alignment horizontal="center" vertical="center"/>
    </x:xf>
    <x:xf numFmtId="0" fontId="2" fillId="26" borderId="38" xfId="0" applyNumberFormat="1" applyFont="1" applyFill="1" applyBorder="1" applyAlignment="1">
      <x:alignment horizontal="center" vertical="center"/>
    </x:xf>
    <x:xf numFmtId="0" fontId="2" fillId="26" borderId="45" xfId="0" applyNumberFormat="1" applyFont="1" applyFill="1" applyBorder="1" applyAlignment="1">
      <x:alignment horizontal="center" vertical="center"/>
    </x:xf>
    <x:xf numFmtId="0" fontId="2" fillId="26" borderId="40" xfId="0" applyNumberFormat="1" applyFont="1" applyFill="1" applyBorder="1" applyAlignment="1">
      <x:alignment horizontal="center" vertical="center"/>
    </x:xf>
    <x:xf numFmtId="0" fontId="0" fillId="27" borderId="0" xfId="0" applyNumberFormat="1" applyFont="1" applyFill="1" applyBorder="1"/>
    <x:xf numFmtId="0" fontId="5" fillId="27" borderId="0" xfId="0" applyNumberFormat="1" applyFont="1" applyFill="1" applyBorder="1"/>
    <x:xf numFmtId="0" fontId="5" fillId="27" borderId="0" xfId="0" applyNumberFormat="1" applyFont="1" applyFill="1" applyBorder="1" applyAlignment="1">
      <x:alignment horizontal="left"/>
    </x:xf>
    <x:xf numFmtId="0" fontId="5" fillId="27" borderId="0" xfId="0" applyNumberFormat="1" applyFont="1" applyFill="1" applyBorder="1" applyAlignment="1">
      <x:alignment horizontal="left" vertical="center"/>
    </x:xf>
    <x:xf numFmtId="0" fontId="14" fillId="13" borderId="0" xfId="0" applyNumberFormat="1" applyFont="1" applyFill="1" applyBorder="1"/>
    <x:xf numFmtId="0" fontId="14" fillId="13" borderId="35" xfId="0" applyNumberFormat="1" applyFont="1" applyFill="1" applyBorder="1"/>
    <x:xf numFmtId="0" fontId="14" fillId="13" borderId="42" xfId="0" applyNumberFormat="1" applyFont="1" applyFill="1" applyBorder="1"/>
    <x:xf numFmtId="0" fontId="14" fillId="13" borderId="37" xfId="0" applyNumberFormat="1" applyFont="1" applyFill="1" applyBorder="1"/>
    <x:xf numFmtId="0" fontId="14" fillId="13" borderId="38" xfId="0" applyNumberFormat="1" applyFont="1" applyFill="1" applyBorder="1"/>
    <x:xf numFmtId="0" fontId="14" fillId="13" borderId="45" xfId="0" applyNumberFormat="1" applyFont="1" applyFill="1" applyBorder="1"/>
    <x:xf numFmtId="0" fontId="14" fillId="13" borderId="40" xfId="0" applyNumberFormat="1" applyFont="1" applyFill="1" applyBorder="1"/>
    <x:xf numFmtId="0" fontId="14" fillId="13" borderId="35" xfId="0" applyNumberFormat="1" applyFont="1" applyFill="1" applyBorder="1" applyAlignment="1">
      <x:alignment horizontal="center"/>
    </x:xf>
    <x:xf numFmtId="0" fontId="14" fillId="13" borderId="42" xfId="0" applyNumberFormat="1" applyFont="1" applyFill="1" applyBorder="1" applyAlignment="1">
      <x:alignment horizontal="center"/>
    </x:xf>
    <x:xf numFmtId="0" fontId="14" fillId="13" borderId="37" xfId="0" applyNumberFormat="1" applyFont="1" applyFill="1" applyBorder="1" applyAlignment="1">
      <x:alignment horizontal="center"/>
    </x:xf>
    <x:xf numFmtId="0" fontId="14" fillId="13" borderId="38" xfId="0" applyNumberFormat="1" applyFont="1" applyFill="1" applyBorder="1" applyAlignment="1">
      <x:alignment horizontal="center"/>
    </x:xf>
    <x:xf numFmtId="0" fontId="14" fillId="13" borderId="45" xfId="0" applyNumberFormat="1" applyFont="1" applyFill="1" applyBorder="1" applyAlignment="1">
      <x:alignment horizontal="center"/>
    </x:xf>
    <x:xf numFmtId="0" fontId="14" fillId="13" borderId="40" xfId="0" applyNumberFormat="1" applyFont="1" applyFill="1" applyBorder="1" applyAlignment="1">
      <x:alignment horizontal="center"/>
    </x:xf>
    <x:xf numFmtId="0" fontId="14" fillId="13" borderId="35" xfId="0" applyNumberFormat="1" applyFont="1" applyFill="1" applyBorder="1" applyAlignment="1">
      <x:alignment horizontal="center" vertical="center"/>
    </x:xf>
    <x:xf numFmtId="0" fontId="14" fillId="13" borderId="42" xfId="0" applyNumberFormat="1" applyFont="1" applyFill="1" applyBorder="1" applyAlignment="1">
      <x:alignment horizontal="center" vertical="center"/>
    </x:xf>
    <x:xf numFmtId="0" fontId="14" fillId="13" borderId="37" xfId="0" applyNumberFormat="1" applyFont="1" applyFill="1" applyBorder="1" applyAlignment="1">
      <x:alignment horizontal="center" vertical="center"/>
    </x:xf>
    <x:xf numFmtId="0" fontId="14" fillId="13" borderId="38" xfId="0" applyNumberFormat="1" applyFont="1" applyFill="1" applyBorder="1" applyAlignment="1">
      <x:alignment horizontal="center" vertical="center"/>
    </x:xf>
    <x:xf numFmtId="0" fontId="14" fillId="13" borderId="45" xfId="0" applyNumberFormat="1" applyFont="1" applyFill="1" applyBorder="1" applyAlignment="1">
      <x:alignment horizontal="center" vertical="center"/>
    </x:xf>
    <x:xf numFmtId="0" fontId="14" fillId="13" borderId="40" xfId="0" applyNumberFormat="1" applyFont="1" applyFill="1" applyBorder="1" applyAlignment="1">
      <x:alignment horizontal="center" vertical="center"/>
    </x:xf>
    <x:xf numFmtId="0" fontId="15" fillId="24" borderId="0" xfId="0" applyNumberFormat="1" applyFont="1" applyFill="1" applyBorder="1"/>
    <x:xf numFmtId="0" fontId="15" fillId="24" borderId="35" xfId="0" applyNumberFormat="1" applyFont="1" applyFill="1" applyBorder="1"/>
    <x:xf numFmtId="0" fontId="15" fillId="24" borderId="42" xfId="0" applyNumberFormat="1" applyFont="1" applyFill="1" applyBorder="1"/>
    <x:xf numFmtId="0" fontId="15" fillId="24" borderId="37" xfId="0" applyNumberFormat="1" applyFont="1" applyFill="1" applyBorder="1"/>
    <x:xf numFmtId="0" fontId="15" fillId="24" borderId="38" xfId="0" applyNumberFormat="1" applyFont="1" applyFill="1" applyBorder="1"/>
    <x:xf numFmtId="0" fontId="15" fillId="24" borderId="45" xfId="0" applyNumberFormat="1" applyFont="1" applyFill="1" applyBorder="1"/>
    <x:xf numFmtId="0" fontId="15" fillId="24" borderId="40" xfId="0" applyNumberFormat="1" applyFont="1" applyFill="1" applyBorder="1"/>
    <x:xf numFmtId="0" fontId="15" fillId="24" borderId="35" xfId="0" applyNumberFormat="1" applyFont="1" applyFill="1" applyBorder="1" applyAlignment="1">
      <x:alignment horizontal="center"/>
    </x:xf>
    <x:xf numFmtId="0" fontId="15" fillId="24" borderId="42" xfId="0" applyNumberFormat="1" applyFont="1" applyFill="1" applyBorder="1" applyAlignment="1">
      <x:alignment horizontal="center"/>
    </x:xf>
    <x:xf numFmtId="0" fontId="15" fillId="24" borderId="37" xfId="0" applyNumberFormat="1" applyFont="1" applyFill="1" applyBorder="1" applyAlignment="1">
      <x:alignment horizontal="center"/>
    </x:xf>
    <x:xf numFmtId="0" fontId="15" fillId="24" borderId="38" xfId="0" applyNumberFormat="1" applyFont="1" applyFill="1" applyBorder="1" applyAlignment="1">
      <x:alignment horizontal="center"/>
    </x:xf>
    <x:xf numFmtId="0" fontId="15" fillId="24" borderId="45" xfId="0" applyNumberFormat="1" applyFont="1" applyFill="1" applyBorder="1" applyAlignment="1">
      <x:alignment horizontal="center"/>
    </x:xf>
    <x:xf numFmtId="0" fontId="15" fillId="24" borderId="40" xfId="0" applyNumberFormat="1" applyFont="1" applyFill="1" applyBorder="1" applyAlignment="1">
      <x:alignment horizontal="center"/>
    </x:xf>
    <x:xf numFmtId="0" fontId="15" fillId="24" borderId="35" xfId="0" applyNumberFormat="1" applyFont="1" applyFill="1" applyBorder="1" applyAlignment="1">
      <x:alignment horizontal="center" vertical="center"/>
    </x:xf>
    <x:xf numFmtId="0" fontId="15" fillId="24" borderId="42" xfId="0" applyNumberFormat="1" applyFont="1" applyFill="1" applyBorder="1" applyAlignment="1">
      <x:alignment horizontal="center" vertical="center"/>
    </x:xf>
    <x:xf numFmtId="0" fontId="15" fillId="24" borderId="37" xfId="0" applyNumberFormat="1" applyFont="1" applyFill="1" applyBorder="1" applyAlignment="1">
      <x:alignment horizontal="center" vertical="center"/>
    </x:xf>
    <x:xf numFmtId="0" fontId="15" fillId="24" borderId="38" xfId="0" applyNumberFormat="1" applyFont="1" applyFill="1" applyBorder="1" applyAlignment="1">
      <x:alignment horizontal="center" vertical="center"/>
    </x:xf>
    <x:xf numFmtId="0" fontId="15" fillId="24" borderId="45" xfId="0" applyNumberFormat="1" applyFont="1" applyFill="1" applyBorder="1" applyAlignment="1">
      <x:alignment horizontal="center" vertical="center"/>
    </x:xf>
    <x:xf numFmtId="0" fontId="15" fillId="24" borderId="40" xfId="0" applyNumberFormat="1" applyFont="1" applyFill="1" applyBorder="1" applyAlignment="1">
      <x:alignment horizontal="center" vertical="center"/>
    </x:xf>
    <x:xf numFmtId="0" fontId="16" fillId="18" borderId="0" xfId="0" applyNumberFormat="1" applyFont="1" applyFill="1" applyBorder="1"/>
    <x:xf numFmtId="0" fontId="16" fillId="18" borderId="35" xfId="0" applyNumberFormat="1" applyFont="1" applyFill="1" applyBorder="1"/>
    <x:xf numFmtId="0" fontId="16" fillId="18" borderId="42" xfId="0" applyNumberFormat="1" applyFont="1" applyFill="1" applyBorder="1"/>
    <x:xf numFmtId="0" fontId="16" fillId="18" borderId="37" xfId="0" applyNumberFormat="1" applyFont="1" applyFill="1" applyBorder="1"/>
    <x:xf numFmtId="0" fontId="16" fillId="18" borderId="38" xfId="0" applyNumberFormat="1" applyFont="1" applyFill="1" applyBorder="1"/>
    <x:xf numFmtId="0" fontId="16" fillId="18" borderId="45" xfId="0" applyNumberFormat="1" applyFont="1" applyFill="1" applyBorder="1"/>
    <x:xf numFmtId="0" fontId="16" fillId="18" borderId="40" xfId="0" applyNumberFormat="1" applyFont="1" applyFill="1" applyBorder="1"/>
    <x:xf numFmtId="0" fontId="16" fillId="18" borderId="35" xfId="0" applyNumberFormat="1" applyFont="1" applyFill="1" applyBorder="1" applyAlignment="1">
      <x:alignment horizontal="center"/>
    </x:xf>
    <x:xf numFmtId="0" fontId="16" fillId="18" borderId="42" xfId="0" applyNumberFormat="1" applyFont="1" applyFill="1" applyBorder="1" applyAlignment="1">
      <x:alignment horizontal="center"/>
    </x:xf>
    <x:xf numFmtId="0" fontId="16" fillId="18" borderId="37" xfId="0" applyNumberFormat="1" applyFont="1" applyFill="1" applyBorder="1" applyAlignment="1">
      <x:alignment horizontal="center"/>
    </x:xf>
    <x:xf numFmtId="0" fontId="16" fillId="18" borderId="38" xfId="0" applyNumberFormat="1" applyFont="1" applyFill="1" applyBorder="1" applyAlignment="1">
      <x:alignment horizontal="center"/>
    </x:xf>
    <x:xf numFmtId="0" fontId="16" fillId="18" borderId="45" xfId="0" applyNumberFormat="1" applyFont="1" applyFill="1" applyBorder="1" applyAlignment="1">
      <x:alignment horizontal="center"/>
    </x:xf>
    <x:xf numFmtId="0" fontId="16" fillId="18" borderId="40" xfId="0" applyNumberFormat="1" applyFont="1" applyFill="1" applyBorder="1" applyAlignment="1">
      <x:alignment horizontal="center"/>
    </x:xf>
    <x:xf numFmtId="0" fontId="16" fillId="18" borderId="35" xfId="0" applyNumberFormat="1" applyFont="1" applyFill="1" applyBorder="1" applyAlignment="1">
      <x:alignment horizontal="center" vertical="center"/>
    </x:xf>
    <x:xf numFmtId="0" fontId="16" fillId="18" borderId="42" xfId="0" applyNumberFormat="1" applyFont="1" applyFill="1" applyBorder="1" applyAlignment="1">
      <x:alignment horizontal="center" vertical="center"/>
    </x:xf>
    <x:xf numFmtId="0" fontId="16" fillId="18" borderId="37" xfId="0" applyNumberFormat="1" applyFont="1" applyFill="1" applyBorder="1" applyAlignment="1">
      <x:alignment horizontal="center" vertical="center"/>
    </x:xf>
    <x:xf numFmtId="0" fontId="16" fillId="18" borderId="38" xfId="0" applyNumberFormat="1" applyFont="1" applyFill="1" applyBorder="1" applyAlignment="1">
      <x:alignment horizontal="center" vertical="center"/>
    </x:xf>
    <x:xf numFmtId="0" fontId="16" fillId="18" borderId="45" xfId="0" applyNumberFormat="1" applyFont="1" applyFill="1" applyBorder="1" applyAlignment="1">
      <x:alignment horizontal="center" vertical="center"/>
    </x:xf>
    <x:xf numFmtId="0" fontId="16" fillId="18" borderId="40" xfId="0" applyNumberFormat="1" applyFont="1" applyFill="1" applyBorder="1" applyAlignment="1">
      <x:alignment horizontal="center" vertical="center"/>
    </x:xf>
    <x:xf numFmtId="0" fontId="17" fillId="20" borderId="0" xfId="0" applyNumberFormat="1" applyFont="1" applyFill="1" applyBorder="1"/>
    <x:xf numFmtId="0" fontId="17" fillId="20" borderId="35" xfId="0" applyNumberFormat="1" applyFont="1" applyFill="1" applyBorder="1"/>
    <x:xf numFmtId="0" fontId="17" fillId="20" borderId="42" xfId="0" applyNumberFormat="1" applyFont="1" applyFill="1" applyBorder="1"/>
    <x:xf numFmtId="0" fontId="17" fillId="20" borderId="37" xfId="0" applyNumberFormat="1" applyFont="1" applyFill="1" applyBorder="1"/>
    <x:xf numFmtId="0" fontId="17" fillId="20" borderId="38" xfId="0" applyNumberFormat="1" applyFont="1" applyFill="1" applyBorder="1"/>
    <x:xf numFmtId="0" fontId="17" fillId="20" borderId="45" xfId="0" applyNumberFormat="1" applyFont="1" applyFill="1" applyBorder="1"/>
    <x:xf numFmtId="0" fontId="17" fillId="20" borderId="40" xfId="0" applyNumberFormat="1" applyFont="1" applyFill="1" applyBorder="1"/>
    <x:xf numFmtId="0" fontId="17" fillId="20" borderId="35" xfId="0" applyNumberFormat="1" applyFont="1" applyFill="1" applyBorder="1" applyAlignment="1">
      <x:alignment horizontal="center"/>
    </x:xf>
    <x:xf numFmtId="0" fontId="17" fillId="20" borderId="42" xfId="0" applyNumberFormat="1" applyFont="1" applyFill="1" applyBorder="1" applyAlignment="1">
      <x:alignment horizontal="center"/>
    </x:xf>
    <x:xf numFmtId="0" fontId="17" fillId="20" borderId="37" xfId="0" applyNumberFormat="1" applyFont="1" applyFill="1" applyBorder="1" applyAlignment="1">
      <x:alignment horizontal="center"/>
    </x:xf>
    <x:xf numFmtId="0" fontId="17" fillId="20" borderId="38" xfId="0" applyNumberFormat="1" applyFont="1" applyFill="1" applyBorder="1" applyAlignment="1">
      <x:alignment horizontal="center"/>
    </x:xf>
    <x:xf numFmtId="0" fontId="17" fillId="20" borderId="45" xfId="0" applyNumberFormat="1" applyFont="1" applyFill="1" applyBorder="1" applyAlignment="1">
      <x:alignment horizontal="center"/>
    </x:xf>
    <x:xf numFmtId="0" fontId="17" fillId="20" borderId="40" xfId="0" applyNumberFormat="1" applyFont="1" applyFill="1" applyBorder="1" applyAlignment="1">
      <x:alignment horizontal="center"/>
    </x:xf>
    <x:xf numFmtId="0" fontId="17" fillId="20" borderId="35" xfId="0" applyNumberFormat="1" applyFont="1" applyFill="1" applyBorder="1" applyAlignment="1">
      <x:alignment horizontal="center" vertical="center"/>
    </x:xf>
    <x:xf numFmtId="0" fontId="17" fillId="20" borderId="42" xfId="0" applyNumberFormat="1" applyFont="1" applyFill="1" applyBorder="1" applyAlignment="1">
      <x:alignment horizontal="center" vertical="center"/>
    </x:xf>
    <x:xf numFmtId="0" fontId="17" fillId="20" borderId="37" xfId="0" applyNumberFormat="1" applyFont="1" applyFill="1" applyBorder="1" applyAlignment="1">
      <x:alignment horizontal="center" vertical="center"/>
    </x:xf>
    <x:xf numFmtId="0" fontId="17" fillId="20" borderId="38" xfId="0" applyNumberFormat="1" applyFont="1" applyFill="1" applyBorder="1" applyAlignment="1">
      <x:alignment horizontal="center" vertical="center"/>
    </x:xf>
    <x:xf numFmtId="0" fontId="17" fillId="20" borderId="45" xfId="0" applyNumberFormat="1" applyFont="1" applyFill="1" applyBorder="1" applyAlignment="1">
      <x:alignment horizontal="center" vertical="center"/>
    </x:xf>
    <x:xf numFmtId="0" fontId="17" fillId="20" borderId="40" xfId="0" applyNumberFormat="1" applyFont="1" applyFill="1" applyBorder="1" applyAlignment="1">
      <x:alignment horizontal="center" vertical="center"/>
    </x:xf>
    <x:xf numFmtId="0" fontId="18" fillId="25" borderId="0" xfId="0" applyNumberFormat="1" applyFont="1" applyFill="1" applyBorder="1"/>
    <x:xf numFmtId="0" fontId="18" fillId="25" borderId="35" xfId="0" applyNumberFormat="1" applyFont="1" applyFill="1" applyBorder="1"/>
    <x:xf numFmtId="0" fontId="18" fillId="25" borderId="42" xfId="0" applyNumberFormat="1" applyFont="1" applyFill="1" applyBorder="1"/>
    <x:xf numFmtId="0" fontId="18" fillId="25" borderId="37" xfId="0" applyNumberFormat="1" applyFont="1" applyFill="1" applyBorder="1"/>
    <x:xf numFmtId="0" fontId="18" fillId="25" borderId="38" xfId="0" applyNumberFormat="1" applyFont="1" applyFill="1" applyBorder="1"/>
    <x:xf numFmtId="0" fontId="18" fillId="25" borderId="45" xfId="0" applyNumberFormat="1" applyFont="1" applyFill="1" applyBorder="1"/>
    <x:xf numFmtId="0" fontId="18" fillId="25" borderId="40" xfId="0" applyNumberFormat="1" applyFont="1" applyFill="1" applyBorder="1"/>
    <x:xf numFmtId="0" fontId="18" fillId="25" borderId="35" xfId="0" applyNumberFormat="1" applyFont="1" applyFill="1" applyBorder="1" applyAlignment="1">
      <x:alignment horizontal="center"/>
    </x:xf>
    <x:xf numFmtId="0" fontId="18" fillId="25" borderId="42" xfId="0" applyNumberFormat="1" applyFont="1" applyFill="1" applyBorder="1" applyAlignment="1">
      <x:alignment horizontal="center"/>
    </x:xf>
    <x:xf numFmtId="0" fontId="18" fillId="25" borderId="37" xfId="0" applyNumberFormat="1" applyFont="1" applyFill="1" applyBorder="1" applyAlignment="1">
      <x:alignment horizontal="center"/>
    </x:xf>
    <x:xf numFmtId="0" fontId="18" fillId="25" borderId="38" xfId="0" applyNumberFormat="1" applyFont="1" applyFill="1" applyBorder="1" applyAlignment="1">
      <x:alignment horizontal="center"/>
    </x:xf>
    <x:xf numFmtId="0" fontId="18" fillId="25" borderId="45" xfId="0" applyNumberFormat="1" applyFont="1" applyFill="1" applyBorder="1" applyAlignment="1">
      <x:alignment horizontal="center"/>
    </x:xf>
    <x:xf numFmtId="0" fontId="18" fillId="25" borderId="40" xfId="0" applyNumberFormat="1" applyFont="1" applyFill="1" applyBorder="1" applyAlignment="1">
      <x:alignment horizontal="center"/>
    </x:xf>
    <x:xf numFmtId="0" fontId="18" fillId="25" borderId="35" xfId="0" applyNumberFormat="1" applyFont="1" applyFill="1" applyBorder="1" applyAlignment="1">
      <x:alignment horizontal="center" vertical="center"/>
    </x:xf>
    <x:xf numFmtId="0" fontId="18" fillId="25" borderId="42" xfId="0" applyNumberFormat="1" applyFont="1" applyFill="1" applyBorder="1" applyAlignment="1">
      <x:alignment horizontal="center" vertical="center"/>
    </x:xf>
    <x:xf numFmtId="0" fontId="18" fillId="25" borderId="37" xfId="0" applyNumberFormat="1" applyFont="1" applyFill="1" applyBorder="1" applyAlignment="1">
      <x:alignment horizontal="center" vertical="center"/>
    </x:xf>
    <x:xf numFmtId="0" fontId="18" fillId="25" borderId="38" xfId="0" applyNumberFormat="1" applyFont="1" applyFill="1" applyBorder="1" applyAlignment="1">
      <x:alignment horizontal="center" vertical="center"/>
    </x:xf>
    <x:xf numFmtId="0" fontId="18" fillId="25" borderId="45" xfId="0" applyNumberFormat="1" applyFont="1" applyFill="1" applyBorder="1" applyAlignment="1">
      <x:alignment horizontal="center" vertical="center"/>
    </x:xf>
    <x:xf numFmtId="0" fontId="18" fillId="25" borderId="40" xfId="0" applyNumberFormat="1" applyFont="1" applyFill="1" applyBorder="1" applyAlignment="1">
      <x:alignment horizontal="center" vertical="center"/>
    </x:xf>
    <x:xf numFmtId="0" fontId="0" fillId="0" borderId="35" xfId="0" applyNumberFormat="1" applyFont="1" applyFill="1" applyBorder="1" applyAlignment="1">
      <x:alignment vertical="top" wrapText="1"/>
    </x:xf>
    <x:xf numFmtId="200" fontId="4" fillId="5" borderId="59" xfId="0" applyNumberFormat="1" applyFont="1" applyFill="1" applyBorder="1" applyAlignment="1">
      <x:alignment vertical="top" wrapText="1"/>
    </x:xf>
    <x:xf numFmtId="0" fontId="0" fillId="0" borderId="43" xfId="0" applyNumberFormat="1" applyFont="1" applyFill="1" applyBorder="1" applyAlignment="1">
      <x:alignment vertical="top" wrapText="1"/>
    </x:xf>
    <x:xf numFmtId="0" fontId="4" fillId="5" borderId="60" xfId="0" applyNumberFormat="1" applyFont="1" applyFill="1" applyBorder="1" applyAlignment="1">
      <x:alignment vertical="top" wrapText="1"/>
    </x:xf>
    <x:xf numFmtId="0" fontId="0" fillId="0" borderId="38" xfId="0" applyNumberFormat="1" applyFont="1" applyFill="1" applyBorder="1" applyAlignment="1">
      <x:alignment vertical="top" wrapText="1"/>
    </x:xf>
    <x:xf numFmtId="0" fontId="4" fillId="5" borderId="61" xfId="0" applyNumberFormat="1" applyFont="1" applyFill="1" applyBorder="1" applyAlignment="1">
      <x:alignment vertical="top" wrapText="1"/>
    </x:xf>
    <x:xf numFmtId="0" fontId="0" fillId="0" borderId="35" xfId="0" applyNumberFormat="1" applyFont="1" applyFill="1" applyBorder="1" applyAlignment="1">
      <x:alignment vertical="center" wrapText="1"/>
    </x:xf>
    <x:xf numFmtId="200" fontId="4" fillId="5" borderId="59" xfId="0" applyNumberFormat="1" applyFont="1" applyFill="1" applyBorder="1" applyAlignment="1">
      <x:alignment vertical="center" wrapText="1"/>
    </x:xf>
    <x:xf numFmtId="0" fontId="0" fillId="0" borderId="43" xfId="0" applyNumberFormat="1" applyFont="1" applyFill="1" applyBorder="1" applyAlignment="1">
      <x:alignment vertical="center" wrapText="1"/>
    </x:xf>
    <x:xf numFmtId="0" fontId="4" fillId="5" borderId="60" xfId="0" applyNumberFormat="1" applyFont="1" applyFill="1" applyBorder="1" applyAlignment="1">
      <x:alignment vertical="center" wrapText="1"/>
    </x:xf>
    <x:xf numFmtId="0" fontId="0" fillId="0" borderId="38" xfId="0" applyNumberFormat="1" applyFont="1" applyFill="1" applyBorder="1" applyAlignment="1">
      <x:alignment vertical="center" wrapText="1"/>
    </x:xf>
    <x:xf numFmtId="0" fontId="4" fillId="5" borderId="61" xfId="0" applyNumberFormat="1" applyFont="1" applyFill="1" applyBorder="1" applyAlignment="1">
      <x:alignment vertical="center" wrapText="1"/>
    </x:xf>
    <x:xf numFmtId="200" fontId="4" fillId="22" borderId="59" xfId="0" applyNumberFormat="1" applyFont="1" applyFill="1" applyBorder="1" applyAlignment="1">
      <x:alignment vertical="center" wrapText="1"/>
    </x:xf>
    <x:xf numFmtId="0" fontId="4" fillId="22" borderId="60" xfId="0" applyNumberFormat="1" applyFont="1" applyFill="1" applyBorder="1" applyAlignment="1">
      <x:alignment vertical="center" wrapText="1"/>
    </x:xf>
    <x:xf numFmtId="0" fontId="4" fillId="22" borderId="61" xfId="0" applyNumberFormat="1" applyFont="1" applyFill="1" applyBorder="1" applyAlignment="1">
      <x:alignment vertical="center" wrapText="1"/>
    </x:xf>
    <x:xf numFmtId="200" fontId="19" fillId="22" borderId="59" xfId="0" applyNumberFormat="1" applyFont="1" applyFill="1" applyBorder="1" applyAlignment="1">
      <x:alignment vertical="center" wrapText="1"/>
    </x:xf>
    <x:xf numFmtId="0" fontId="19" fillId="22" borderId="60" xfId="0" applyNumberFormat="1" applyFont="1" applyFill="1" applyBorder="1" applyAlignment="1">
      <x:alignment vertical="center" wrapText="1"/>
    </x:xf>
    <x:xf numFmtId="0" fontId="19" fillId="22" borderId="61" xfId="0" applyNumberFormat="1" applyFont="1" applyFill="1" applyBorder="1" applyAlignment="1">
      <x:alignment vertical="center" wrapText="1"/>
    </x:xf>
    <x:xf numFmtId="200" fontId="19" fillId="22" borderId="62" xfId="0" applyNumberFormat="1" applyFont="1" applyFill="1" applyBorder="1" applyAlignment="1">
      <x:alignment vertical="center" wrapText="1"/>
    </x:xf>
    <x:xf numFmtId="0" fontId="19" fillId="22" borderId="63" xfId="0" applyNumberFormat="1" applyFont="1" applyFill="1" applyBorder="1" applyAlignment="1">
      <x:alignment vertical="center" wrapText="1"/>
    </x:xf>
    <x:xf numFmtId="0" fontId="19" fillId="22" borderId="64" xfId="0" applyNumberFormat="1" applyFont="1" applyFill="1" applyBorder="1" applyAlignment="1">
      <x:alignment vertical="center" wrapText="1"/>
    </x:xf>
    <x:xf numFmtId="0" fontId="0" fillId="22" borderId="24" xfId="0" applyNumberFormat="1" applyFont="1" applyFill="1" applyBorder="1" applyAlignment="1">
      <x:alignment vertical="top" wrapText="1"/>
    </x:xf>
    <x:xf numFmtId="0" fontId="0" fillId="22" borderId="25" xfId="0" applyNumberFormat="1" applyFont="1" applyFill="1" applyBorder="1" applyAlignment="1">
      <x:alignment vertical="top" wrapText="1"/>
    </x:xf>
    <x:xf numFmtId="0" fontId="0" fillId="22" borderId="26" xfId="0" applyNumberFormat="1" applyFont="1" applyFill="1" applyBorder="1" applyAlignment="1">
      <x:alignment vertical="top" wrapText="1"/>
    </x:xf>
    <x:xf numFmtId="0" fontId="19" fillId="22" borderId="24" xfId="0" applyNumberFormat="1" applyFont="1" applyFill="1" applyBorder="1" applyAlignment="1">
      <x:alignment vertical="top" wrapText="1"/>
    </x:xf>
    <x:xf numFmtId="0" fontId="19" fillId="22" borderId="25" xfId="0" applyNumberFormat="1" applyFont="1" applyFill="1" applyBorder="1" applyAlignment="1">
      <x:alignment vertical="top" wrapText="1"/>
    </x:xf>
    <x:xf numFmtId="0" fontId="19" fillId="22" borderId="26" xfId="0" applyNumberFormat="1" applyFont="1" applyFill="1" applyBorder="1" applyAlignment="1">
      <x:alignment vertical="top" wrapText="1"/>
    </x:xf>
    <x:xf numFmtId="0" fontId="19" fillId="22" borderId="62" xfId="0" applyNumberFormat="1" applyFont="1" applyFill="1" applyBorder="1" applyAlignment="1">
      <x:alignment vertical="top" wrapText="1"/>
    </x:xf>
    <x:xf numFmtId="0" fontId="19" fillId="22" borderId="63" xfId="0" applyNumberFormat="1" applyFont="1" applyFill="1" applyBorder="1" applyAlignment="1">
      <x:alignment vertical="top" wrapText="1"/>
    </x:xf>
    <x:xf numFmtId="0" fontId="19" fillId="22" borderId="64" xfId="0" applyNumberFormat="1" applyFont="1" applyFill="1" applyBorder="1" applyAlignment="1">
      <x:alignment vertical="top" wrapText="1"/>
    </x:xf>
    <x:xf numFmtId="0" fontId="19" fillId="28" borderId="63" xfId="0" applyNumberFormat="1" applyFont="1" applyFill="1" applyBorder="1" applyAlignment="1">
      <x:alignment vertical="center" wrapText="1"/>
    </x:xf>
    <x:xf numFmtId="0" fontId="20" fillId="28" borderId="63" xfId="0" applyNumberFormat="1" applyFont="1" applyFill="1" applyBorder="1" applyAlignment="1">
      <x:alignment vertical="center" wrapText="1"/>
    </x:xf>
    <x:xf numFmtId="0" fontId="20" fillId="28" borderId="65" xfId="0" applyNumberFormat="1" applyFont="1" applyFill="1" applyBorder="1" applyAlignment="1">
      <x:alignment vertical="center" wrapText="1"/>
    </x:xf>
    <x:xf numFmtId="0" fontId="20" fillId="28" borderId="65" xfId="0" applyNumberFormat="1" applyFont="1" applyFill="1" applyBorder="1" applyAlignment="1">
      <x:alignment horizontal="center" vertical="center" wrapText="1"/>
    </x:xf>
    <x:xf numFmtId="0" fontId="2" fillId="10" borderId="35" xfId="0" applyNumberFormat="1" applyFont="1" applyFill="1" applyBorder="1" applyAlignment="1">
      <x:alignment horizontal="center" vertical="center" wrapText="1"/>
    </x:xf>
    <x:xf numFmtId="0" fontId="2" fillId="10" borderId="42" xfId="0" applyNumberFormat="1" applyFont="1" applyFill="1" applyBorder="1" applyAlignment="1">
      <x:alignment horizontal="center" vertical="center" wrapText="1"/>
    </x:xf>
    <x:xf numFmtId="0" fontId="2" fillId="10" borderId="37" xfId="0" applyNumberFormat="1" applyFont="1" applyFill="1" applyBorder="1" applyAlignment="1">
      <x:alignment horizontal="center" vertical="center" wrapText="1"/>
    </x:xf>
    <x:xf numFmtId="0" fontId="0" fillId="0" borderId="66" xfId="0" applyNumberFormat="1" applyFont="1" applyFill="1" applyBorder="1" applyAlignment="1">
      <x:alignment vertical="top" wrapText="1"/>
    </x:xf>
    <x:xf numFmtId="0" fontId="0" fillId="0" borderId="67" xfId="0" applyNumberFormat="1" applyFont="1" applyFill="1" applyBorder="1" applyAlignment="1">
      <x:alignment vertical="top" wrapText="1"/>
    </x:xf>
    <x:xf numFmtId="0" fontId="0" fillId="0" borderId="44" xfId="0" applyNumberFormat="1" applyFont="1" applyFill="1" applyBorder="1" applyAlignment="1">
      <x:alignment vertical="top" wrapText="1"/>
    </x:xf>
    <x:xf numFmtId="0" fontId="0" fillId="0" borderId="45" xfId="0" applyNumberFormat="1" applyFont="1" applyFill="1" applyBorder="1" applyAlignment="1">
      <x:alignment vertical="top" wrapText="1"/>
    </x:xf>
    <x:xf numFmtId="0" fontId="0" fillId="0" borderId="40" xfId="0" applyNumberFormat="1" applyFont="1" applyFill="1" applyBorder="1" applyAlignment="1">
      <x:alignment vertical="top" wrapText="1"/>
    </x:xf>
    <x:xf numFmtId="0" fontId="0" fillId="0" borderId="66" xfId="0" applyNumberFormat="1" applyFont="1" applyFill="1" applyBorder="1" applyAlignment="1">
      <x:alignment vertical="center" wrapText="1"/>
    </x:xf>
    <x:xf numFmtId="201" fontId="0" fillId="0" borderId="14" xfId="0" applyNumberFormat="1" applyFont="1" applyFill="1" applyBorder="1" applyAlignment="1">
      <x:alignment vertical="center" wrapText="1"/>
    </x:xf>
    <x:xf numFmtId="0" fontId="0" fillId="0" borderId="67" xfId="0" applyNumberFormat="1" applyFont="1" applyFill="1" applyBorder="1" applyAlignment="1">
      <x:alignment vertical="center" wrapText="1"/>
    </x:xf>
    <x:xf numFmtId="201" fontId="0" fillId="0" xfId="0" applyNumberFormat="1" applyFont="1" applyFill="1" applyBorder="0" applyAlignment="1">
      <x:alignment vertical="center" wrapText="1"/>
    </x:xf>
    <x:xf numFmtId="0" fontId="0" fillId="0" borderId="44" xfId="0" applyNumberFormat="1" applyFont="1" applyFill="1" applyBorder="1" applyAlignment="1">
      <x:alignment vertical="center" wrapText="1"/>
    </x:xf>
    <x:xf numFmtId="0" fontId="0" fillId="0" xfId="0" applyNumberFormat="1" applyFont="1" applyFill="1" applyBorder="0" applyAlignment="1">
      <x:alignment vertical="center" wrapText="1"/>
    </x:xf>
    <x:xf numFmtId="0" fontId="0" fillId="0" borderId="45" xfId="0" applyNumberFormat="1" applyFont="1" applyFill="1" applyBorder="1" applyAlignment="1">
      <x:alignment vertical="center" wrapText="1"/>
    </x:xf>
    <x:xf numFmtId="0" fontId="0" fillId="0" borderId="40" xfId="0" applyNumberFormat="1" applyFont="1" applyFill="1" applyBorder="1" applyAlignment="1">
      <x:alignment vertical="center" wrapText="1"/>
    </x:xf>
    <x:xf numFmtId="0" fontId="0" fillId="0" borderId="42" xfId="0" applyNumberFormat="1" applyFont="1" applyFill="1" applyBorder="1" applyAlignment="1">
      <x:alignment vertical="top" wrapText="1"/>
    </x:xf>
    <x:xf numFmtId="0" fontId="0" fillId="0" borderId="37" xfId="0" applyNumberFormat="1" applyFont="1" applyFill="1" applyBorder="1" applyAlignment="1">
      <x:alignment vertical="top" wrapText="1"/>
    </x:xf>
    <x:xf numFmtId="0" fontId="0" fillId="0" borderId="42" xfId="0" applyNumberFormat="1" applyFont="1" applyFill="1" applyBorder="1" applyAlignment="1">
      <x:alignment vertical="center" wrapText="1"/>
    </x:xf>
    <x:xf numFmtId="0" fontId="0" fillId="0" borderId="37" xfId="0" applyNumberFormat="1" applyFont="1" applyFill="1" applyBorder="1" applyAlignment="1">
      <x:alignment vertical="center" wrapText="1"/>
    </x:xf>
    <x:xf numFmtId="0" fontId="5" fillId="15" borderId="0" xfId="0" applyNumberFormat="1" applyFont="1" applyFill="1" applyBorder="1" applyAlignment="1">
      <x:alignment horizontal="center" vertical="center" wrapText="1"/>
    </x:xf>
    <x:xf numFmtId="0" fontId="2" fillId="15" borderId="0" xfId="0" applyNumberFormat="1" applyFont="1" applyFill="1" applyBorder="1" applyAlignment="1">
      <x:alignment horizontal="center" vertical="center" wrapText="1"/>
    </x:xf>
    <x:xf numFmtId="0" fontId="5" fillId="10" borderId="0" xfId="0" applyNumberFormat="1" applyFont="1" applyFill="1" applyBorder="1" applyAlignment="1">
      <x:alignment horizontal="center" vertical="center" wrapText="1"/>
    </x:xf>
    <x:xf numFmtId="0" fontId="2" fillId="12" borderId="0" xfId="0" applyNumberFormat="1" applyFont="1" applyFill="1" applyBorder="1" applyAlignment="1">
      <x:alignment horizontal="center" vertical="center" wrapText="1"/>
    </x:xf>
    <x:xf numFmtId="0" fontId="2" fillId="23" borderId="0" xfId="0" applyNumberFormat="1" applyFont="1" applyFill="1" applyBorder="1" applyAlignment="1">
      <x:alignment horizontal="center" vertical="center" wrapText="1"/>
    </x:xf>
    <x:xf numFmtId="0" fontId="2" fillId="19" borderId="0" xfId="0" applyNumberFormat="1" applyFont="1" applyFill="1" applyBorder="1" applyAlignment="1">
      <x:alignment horizontal="center" vertical="center" wrapText="1"/>
    </x:xf>
    <x:xf numFmtId="0" fontId="6" fillId="10" borderId="0" xfId="0" applyNumberFormat="1" applyFont="1" applyFill="1" applyBorder="1" applyAlignment="1">
      <x:alignment horizontal="left" vertical="center"/>
    </x:xf>
    <x:xf numFmtId="0" fontId="5" fillId="15" borderId="2" xfId="0" applyNumberFormat="1" applyFont="1" applyFill="1" applyBorder="1" applyAlignment="1">
      <x:alignment horizontal="center" vertical="center" wrapText="1"/>
    </x:xf>
    <x:xf numFmtId="0" fontId="5" fillId="15" borderId="3" xfId="0" applyNumberFormat="1" applyFont="1" applyFill="1" applyBorder="1" applyAlignment="1">
      <x:alignment horizontal="center" vertical="center" wrapText="1"/>
    </x:xf>
    <x:xf numFmtId="0" fontId="2" fillId="15" borderId="2" xfId="0" applyNumberFormat="1" applyFont="1" applyFill="1" applyBorder="1" applyAlignment="1">
      <x:alignment horizontal="center" vertical="center" wrapText="1"/>
    </x:xf>
    <x:xf numFmtId="0" fontId="2" fillId="15" borderId="3" xfId="0" applyNumberFormat="1" applyFont="1" applyFill="1" applyBorder="1" applyAlignment="1">
      <x:alignment horizontal="center" vertical="center" wrapText="1"/>
    </x:xf>
    <x:xf numFmtId="0" fontId="4" fillId="22" borderId="24" xfId="0" applyNumberFormat="1" applyFont="1" applyFill="1" applyBorder="1" applyAlignment="1">
      <x:alignment wrapText="1"/>
    </x:xf>
    <x:xf numFmtId="0" fontId="4" fillId="22" borderId="25" xfId="0" applyNumberFormat="1" applyFont="1" applyFill="1" applyBorder="1" applyAlignment="1">
      <x:alignment wrapText="1"/>
    </x:xf>
    <x:xf numFmtId="0" fontId="4" fillId="22" borderId="27" xfId="0" applyNumberFormat="1" applyFont="1" applyFill="1" applyBorder="1" applyAlignment="1">
      <x:alignment wrapText="1"/>
    </x:xf>
    <x:xf numFmtId="0" fontId="0" fillId="22" borderId="25" xfId="0" applyNumberFormat="1" applyFont="1" applyFill="1" applyBorder="1" applyAlignment="1">
      <x:alignment wrapText="1"/>
    </x:xf>
    <x:xf numFmtId="0" fontId="0" fillId="22" borderId="26" xfId="0" applyNumberFormat="1" applyFont="1" applyFill="1" applyBorder="1" applyAlignment="1">
      <x:alignment wrapText="1"/>
    </x:xf>
    <x:xf numFmtId="0" fontId="21" fillId="22" borderId="24" xfId="0" applyNumberFormat="1" applyFont="1" applyFill="1" applyBorder="1" applyAlignment="1">
      <x:alignment wrapText="1"/>
    </x:xf>
    <x:xf numFmtId="0" fontId="21" fillId="22" borderId="25" xfId="0" applyNumberFormat="1" applyFont="1" applyFill="1" applyBorder="1" applyAlignment="1">
      <x:alignment wrapText="1"/>
    </x:xf>
    <x:xf numFmtId="0" fontId="21" fillId="22" borderId="27" xfId="0" applyNumberFormat="1" applyFont="1" applyFill="1" applyBorder="1" applyAlignment="1">
      <x:alignment wrapText="1"/>
    </x:xf>
    <x:xf numFmtId="0" fontId="21" fillId="22" borderId="26" xfId="0" applyNumberFormat="1" applyFont="1" applyFill="1" applyBorder="1" applyAlignment="1">
      <x:alignment wrapText="1"/>
    </x:xf>
    <x:xf numFmtId="0" fontId="21" fillId="22" borderId="62" xfId="0" applyNumberFormat="1" applyFont="1" applyFill="1" applyBorder="1" applyAlignment="1">
      <x:alignment wrapText="1"/>
    </x:xf>
    <x:xf numFmtId="0" fontId="21" fillId="22" borderId="63" xfId="0" applyNumberFormat="1" applyFont="1" applyFill="1" applyBorder="1" applyAlignment="1">
      <x:alignment wrapText="1"/>
    </x:xf>
    <x:xf numFmtId="0" fontId="21" fillId="22" borderId="68" xfId="0" applyNumberFormat="1" applyFont="1" applyFill="1" applyBorder="1" applyAlignment="1">
      <x:alignment wrapText="1"/>
    </x:xf>
    <x:xf numFmtId="0" fontId="21" fillId="22" borderId="64" xfId="0" applyNumberFormat="1" applyFont="1" applyFill="1" applyBorder="1" applyAlignment="1">
      <x:alignment wrapText="1"/>
    </x:xf>
    <x:xf numFmtId="201" fontId="0" fillId="0" borderId="42" xfId="0" applyNumberFormat="1" applyFont="1" applyFill="1" applyBorder="1" applyAlignment="1">
      <x:alignment vertical="top" wrapText="1"/>
    </x:xf>
    <x:xf numFmtId="0" fontId="0" fillId="0" borderId="69" xfId="0" applyNumberFormat="1" applyFont="1" applyFill="1" applyBorder="1" applyAlignment="1">
      <x:alignment vertical="top" wrapText="1"/>
    </x:xf>
    <x:xf numFmtId="0" fontId="0" fillId="0" borderId="70" xfId="0" applyNumberFormat="1" applyFont="1" applyFill="1" applyBorder="1" applyAlignment="1">
      <x:alignment vertical="top" wrapText="1"/>
    </x:xf>
    <x:xf numFmtId="201" fontId="0" fillId="0" borderId="42" xfId="0" applyNumberFormat="1" applyFont="1" applyFill="1" applyBorder="1" applyAlignment="1">
      <x:alignment vertical="center" wrapText="1"/>
    </x:xf>
    <x:xf numFmtId="0" fontId="0" fillId="0" borderId="69" xfId="0" applyNumberFormat="1" applyFont="1" applyFill="1" applyBorder="1" applyAlignment="1">
      <x:alignment vertical="center" wrapText="1"/>
    </x:xf>
    <x:xf numFmtId="201" fontId="0" fillId="0" borderId="15" xfId="0" applyNumberFormat="1" applyFont="1" applyFill="1" applyBorder="1" applyAlignment="1">
      <x:alignment vertical="center" wrapText="1"/>
    </x:xf>
    <x:xf numFmtId="0" fontId="0" fillId="0" borderId="15" xfId="0" applyNumberFormat="1" applyFont="1" applyFill="1" applyBorder="1" applyAlignment="1">
      <x:alignment vertical="center" wrapText="1"/>
    </x:xf>
    <x:xf numFmtId="0" fontId="0" fillId="0" borderId="70" xfId="0" applyNumberFormat="1" applyFont="1" applyFill="1" applyBorder="1" applyAlignment="1">
      <x:alignment vertical="center" wrapText="1"/>
    </x:xf>
    <x:xf numFmtId="0" fontId="0" fillId="16" borderId="35" xfId="0" applyNumberFormat="1" applyFont="1" applyFill="1" applyBorder="1" applyAlignment="1">
      <x:alignment vertical="center" wrapText="1"/>
    </x:xf>
    <x:xf numFmtId="201" fontId="0" fillId="16" borderId="42" xfId="0" applyNumberFormat="1" applyFont="1" applyFill="1" applyBorder="1" applyAlignment="1">
      <x:alignment vertical="center" wrapText="1"/>
    </x:xf>
    <x:xf numFmtId="0" fontId="0" fillId="16" borderId="42" xfId="0" applyNumberFormat="1" applyFont="1" applyFill="1" applyBorder="1" applyAlignment="1">
      <x:alignment vertical="center" wrapText="1"/>
    </x:xf>
    <x:xf numFmtId="0" fontId="0" fillId="16" borderId="37" xfId="0" applyNumberFormat="1" applyFont="1" applyFill="1" applyBorder="1" applyAlignment="1">
      <x:alignment vertical="center" wrapText="1"/>
    </x:xf>
    <x:xf numFmtId="0" fontId="0" fillId="18" borderId="43" xfId="0" applyNumberFormat="1" applyFont="1" applyFill="1" applyBorder="1" applyAlignment="1">
      <x:alignment vertical="center" wrapText="1"/>
    </x:xf>
    <x:xf numFmtId="201" fontId="0" fillId="18" xfId="0" applyNumberFormat="1" applyFont="1" applyFill="1" applyBorder="0" applyAlignment="1">
      <x:alignment vertical="center" wrapText="1"/>
    </x:xf>
    <x:xf numFmtId="0" fontId="0" fillId="18" xfId="0" applyNumberFormat="1" applyFont="1" applyFill="1" applyBorder="0" applyAlignment="1">
      <x:alignment vertical="center" wrapText="1"/>
    </x:xf>
    <x:xf numFmtId="0" fontId="0" fillId="18" borderId="44" xfId="0" applyNumberFormat="1" applyFont="1" applyFill="1" applyBorder="1" applyAlignment="1">
      <x:alignment vertical="center" wrapText="1"/>
    </x:xf>
    <x:xf numFmtId="0" fontId="0" fillId="20" borderId="69" xfId="0" applyNumberFormat="1" applyFont="1" applyFill="1" applyBorder="1" applyAlignment="1">
      <x:alignment vertical="center" wrapText="1"/>
    </x:xf>
    <x:xf numFmtId="201" fontId="0" fillId="20" borderId="15" xfId="0" applyNumberFormat="1" applyFont="1" applyFill="1" applyBorder="1" applyAlignment="1">
      <x:alignment vertical="center" wrapText="1"/>
    </x:xf>
    <x:xf numFmtId="0" fontId="0" fillId="20" borderId="15" xfId="0" applyNumberFormat="1" applyFont="1" applyFill="1" applyBorder="1" applyAlignment="1">
      <x:alignment vertical="center" wrapText="1"/>
    </x:xf>
    <x:xf numFmtId="0" fontId="0" fillId="20" borderId="70" xfId="0" applyNumberFormat="1" applyFont="1" applyFill="1" applyBorder="1" applyAlignment="1">
      <x:alignment vertical="center" wrapText="1"/>
    </x:xf>
    <x:xf numFmtId="0" fontId="0" fillId="16" borderId="43" xfId="0" applyNumberFormat="1" applyFont="1" applyFill="1" applyBorder="1" applyAlignment="1">
      <x:alignment vertical="center" wrapText="1"/>
    </x:xf>
    <x:xf numFmtId="201" fontId="0" fillId="16" xfId="0" applyNumberFormat="1" applyFont="1" applyFill="1" applyBorder="0" applyAlignment="1">
      <x:alignment vertical="center" wrapText="1"/>
    </x:xf>
    <x:xf numFmtId="0" fontId="0" fillId="16" xfId="0" applyNumberFormat="1" applyFont="1" applyFill="1" applyBorder="0" applyAlignment="1">
      <x:alignment vertical="center" wrapText="1"/>
    </x:xf>
    <x:xf numFmtId="0" fontId="0" fillId="16" borderId="44" xfId="0" applyNumberFormat="1" applyFont="1" applyFill="1" applyBorder="1" applyAlignment="1">
      <x:alignment vertical="center" wrapText="1"/>
    </x:xf>
    <x:xf numFmtId="0" fontId="0" fillId="20" borderId="43" xfId="0" applyNumberFormat="1" applyFont="1" applyFill="1" applyBorder="1" applyAlignment="1">
      <x:alignment vertical="center" wrapText="1"/>
    </x:xf>
    <x:xf numFmtId="0" fontId="0" fillId="20" xfId="0" applyNumberFormat="1" applyFont="1" applyFill="1" applyBorder="0" applyAlignment="1">
      <x:alignment vertical="center" wrapText="1"/>
    </x:xf>
    <x:xf numFmtId="0" fontId="0" fillId="20" borderId="44" xfId="0" applyNumberFormat="1" applyFont="1" applyFill="1" applyBorder="1" applyAlignment="1">
      <x:alignment vertical="center" wrapText="1"/>
    </x:xf>
    <x:xf numFmtId="0" fontId="0" fillId="11" borderId="43" xfId="0" applyNumberFormat="1" applyFont="1" applyFill="1" applyBorder="1" applyAlignment="1">
      <x:alignment vertical="center" wrapText="1"/>
    </x:xf>
    <x:xf numFmtId="0" fontId="0" fillId="11" xfId="0" applyNumberFormat="1" applyFont="1" applyFill="1" applyBorder="0" applyAlignment="1">
      <x:alignment vertical="center" wrapText="1"/>
    </x:xf>
    <x:xf numFmtId="0" fontId="0" fillId="11" borderId="44" xfId="0" applyNumberFormat="1" applyFont="1" applyFill="1" applyBorder="1" applyAlignment="1">
      <x:alignment vertical="center" wrapText="1"/>
    </x:xf>
    <x:xf numFmtId="0" fontId="0" fillId="11" borderId="38" xfId="0" applyNumberFormat="1" applyFont="1" applyFill="1" applyBorder="1" applyAlignment="1">
      <x:alignment vertical="center" wrapText="1"/>
    </x:xf>
    <x:xf numFmtId="0" fontId="0" fillId="11" borderId="45" xfId="0" applyNumberFormat="1" applyFont="1" applyFill="1" applyBorder="1" applyAlignment="1">
      <x:alignment vertical="center" wrapText="1"/>
    </x:xf>
    <x:xf numFmtId="0" fontId="0" fillId="11" borderId="40" xfId="0" applyNumberFormat="1" applyFont="1" applyFill="1" applyBorder="1" applyAlignment="1">
      <x:alignment vertical="center" wrapText="1"/>
    </x:xf>
    <x:xf numFmtId="0" fontId="2" fillId="3" borderId="43" xfId="0" applyNumberFormat="1" applyFont="1" applyFill="1" applyBorder="1" applyAlignment="1">
      <x:alignment horizontal="center" vertical="top" wrapText="1"/>
    </x:xf>
    <x:xf numFmtId="0" fontId="2" fillId="3" borderId="44" xfId="0" applyNumberFormat="1" applyFont="1" applyFill="1" applyBorder="1" applyAlignment="1">
      <x:alignment horizontal="center" vertical="top" wrapText="1"/>
    </x:xf>
    <x:xf numFmtId="0" fontId="2" fillId="3" borderId="43" xfId="0" applyNumberFormat="1" applyFont="1" applyFill="1" applyBorder="1" applyAlignment="1">
      <x:alignment horizontal="center" vertical="center" wrapText="1"/>
    </x:xf>
    <x:xf numFmtId="0" fontId="2" fillId="3" borderId="44" xfId="0" applyNumberFormat="1" applyFont="1" applyFill="1" applyBorder="1" applyAlignment="1">
      <x:alignment horizontal="center" vertical="center" wrapText="1"/>
    </x:xf>
    <x:xf numFmtId="0" fontId="6" fillId="15" borderId="0" xfId="0" applyNumberFormat="1" applyFont="1" applyFill="1" applyBorder="1" applyAlignment="1">
      <x:alignment horizontal="left" vertical="center"/>
    </x:xf>
    <x:xf numFmtId="0" fontId="5" fillId="12" borderId="0" xfId="0" applyNumberFormat="1" applyFont="1" applyFill="1" applyBorder="1" applyAlignment="1">
      <x:alignment horizontal="center" vertical="center" wrapText="1"/>
    </x:xf>
    <x:xf numFmtId="0" fontId="6" fillId="19" borderId="0" xfId="0" applyNumberFormat="1" applyFont="1" applyFill="1" applyBorder="1" applyAlignment="1">
      <x:alignment horizontal="left" vertical="center"/>
    </x:xf>
    <x:xf numFmtId="0" fontId="5" fillId="19" borderId="0" xfId="0" applyNumberFormat="1" applyFont="1" applyFill="1" applyBorder="1" applyAlignment="1">
      <x:alignment horizontal="center" vertical="center" wrapText="1"/>
    </x:xf>
    <x:xf numFmtId="0" fontId="0" fillId="13" borderId="2" xfId="0" applyNumberFormat="1" applyFont="1" applyFill="1" applyBorder="1" applyAlignment="1">
      <x:alignment vertical="top" wrapText="1"/>
    </x:xf>
    <x:xf numFmtId="0" fontId="0" fillId="13" borderId="14" xfId="0" applyNumberFormat="1" applyFont="1" applyFill="1" applyBorder="1" applyAlignment="1">
      <x:alignment vertical="top" wrapText="1"/>
    </x:xf>
    <x:xf numFmtId="0" fontId="0" fillId="13" borderId="3" xfId="0" applyNumberFormat="1" applyFont="1" applyFill="1" applyBorder="1" applyAlignment="1">
      <x:alignment vertical="top" wrapText="1"/>
    </x:xf>
    <x:xf numFmtId="0" fontId="0" fillId="13" xfId="0" applyNumberFormat="1" applyFont="1" applyFill="1" applyBorder="0" applyAlignment="1">
      <x:alignment vertical="top" wrapText="1"/>
    </x:xf>
    <x:xf numFmtId="0" fontId="0" fillId="18" borderId="4" xfId="0" applyNumberFormat="1" applyFont="1" applyFill="1" applyBorder="1" applyAlignment="1">
      <x:alignment vertical="top" wrapText="1"/>
    </x:xf>
    <x:xf numFmtId="0" fontId="0" fillId="18" xfId="0" applyNumberFormat="1" applyFont="1" applyFill="1" applyBorder="0" applyAlignment="1">
      <x:alignment vertical="top" wrapText="1"/>
    </x:xf>
    <x:xf numFmtId="0" fontId="0" fillId="24" borderId="4" xfId="0" applyNumberFormat="1" applyFont="1" applyFill="1" applyBorder="1" applyAlignment="1">
      <x:alignment vertical="top" wrapText="1"/>
    </x:xf>
    <x:xf numFmtId="0" fontId="0" fillId="24" xfId="0" applyNumberFormat="1" applyFont="1" applyFill="1" applyBorder="0" applyAlignment="1">
      <x:alignment vertical="top" wrapText="1"/>
    </x:xf>
    <x:xf numFmtId="0" fontId="0" fillId="24" borderId="5" xfId="0" applyNumberFormat="1" applyFont="1" applyFill="1" applyBorder="1" applyAlignment="1">
      <x:alignment vertical="top" wrapText="1"/>
    </x:xf>
    <x:xf numFmtId="0" fontId="0" fillId="20" borderId="4" xfId="0" applyNumberFormat="1" applyFont="1" applyFill="1" applyBorder="1" applyAlignment="1">
      <x:alignment vertical="top" wrapText="1"/>
    </x:xf>
    <x:xf numFmtId="0" fontId="0" fillId="20" xfId="0" applyNumberFormat="1" applyFont="1" applyFill="1" applyBorder="0" applyAlignment="1">
      <x:alignment vertical="top" wrapText="1"/>
    </x:xf>
    <x:xf numFmtId="0" fontId="0" fillId="20" borderId="5" xfId="0" applyNumberFormat="1" applyFont="1" applyFill="1" applyBorder="1" applyAlignment="1">
      <x:alignment vertical="top" wrapText="1"/>
    </x:xf>
    <x:xf numFmtId="0" fontId="0" fillId="20" borderId="6" xfId="0" applyNumberFormat="1" applyFont="1" applyFill="1" applyBorder="1" applyAlignment="1">
      <x:alignment vertical="top" wrapText="1"/>
    </x:xf>
    <x:xf numFmtId="0" fontId="0" fillId="20" borderId="15" xfId="0" applyNumberFormat="1" applyFont="1" applyFill="1" applyBorder="1" applyAlignment="1">
      <x:alignment vertical="top" wrapText="1"/>
    </x:xf>
    <x:xf numFmtId="0" fontId="0" fillId="20" borderId="7" xfId="0" applyNumberFormat="1" applyFont="1" applyFill="1" applyBorder="1" applyAlignment="1">
      <x:alignment vertical="top" wrapText="1"/>
    </x:xf>
    <x:xf numFmtId="0" fontId="2" fillId="26" borderId="0" xfId="0" applyNumberFormat="1" applyFont="1" applyFill="1" applyBorder="1" applyAlignment="1">
      <x:alignment horizontal="center" vertical="center" wrapText="1"/>
    </x:xf>
    <x:xf numFmtId="0" fontId="1" fillId="10" borderId="2" xfId="0" applyNumberFormat="1" applyFont="1" applyFill="1" applyBorder="1" applyAlignment="1">
      <x:alignment horizontal="left" vertical="center" wrapText="1"/>
    </x:xf>
    <x:xf numFmtId="0" fontId="1" fillId="10" borderId="14" xfId="0" applyNumberFormat="1" applyFont="1" applyFill="1" applyBorder="1" applyAlignment="1">
      <x:alignment horizontal="left" vertical="center" wrapText="1"/>
    </x:xf>
    <x:xf numFmtId="0" fontId="1" fillId="10" borderId="3" xfId="0" applyNumberFormat="1" applyFont="1" applyFill="1" applyBorder="1" applyAlignment="1">
      <x:alignment horizontal="left" vertical="center" wrapText="1"/>
    </x:xf>
    <x:xf numFmtId="0" fontId="22" fillId="10" borderId="2" xfId="0" applyNumberFormat="1" applyFont="1" applyFill="1" applyBorder="1" applyAlignment="1">
      <x:alignment horizontal="left" vertical="center" wrapText="1"/>
    </x:xf>
    <x:xf numFmtId="0" fontId="22" fillId="10" borderId="14" xfId="0" applyNumberFormat="1" applyFont="1" applyFill="1" applyBorder="1" applyAlignment="1">
      <x:alignment horizontal="left" vertical="center" wrapText="1"/>
    </x:xf>
    <x:xf numFmtId="0" fontId="22" fillId="10" borderId="3" xfId="0" applyNumberFormat="1" applyFont="1" applyFill="1" applyBorder="1" applyAlignment="1">
      <x:alignment horizontal="left" vertical="center" wrapText="1"/>
    </x:xf>
    <x:xf numFmtId="0" fontId="22" fillId="10" borderId="0" xfId="0" applyNumberFormat="1" applyFont="1" applyFill="1" applyBorder="1"/>
    <x:xf numFmtId="0" fontId="22" fillId="10" borderId="0" xfId="0" applyNumberFormat="1" applyFont="1" applyFill="1" applyBorder="1" applyAlignment="1">
      <x:alignment horizontal="left"/>
    </x:xf>
    <x:xf numFmtId="0" fontId="22" fillId="10" borderId="0" xfId="0" applyNumberFormat="1" applyFont="1" applyFill="1" applyBorder="1" applyAlignment="1">
      <x:alignment horizontal="left" vertical="center"/>
    </x:xf>
    <x:xf numFmtId="0" fontId="5" fillId="10" borderId="4" xfId="0" applyNumberFormat="1" applyFont="1" applyFill="1" applyBorder="1" applyAlignment="1">
      <x:alignment horizontal="center" vertical="center" wrapText="1"/>
    </x:xf>
    <x:xf numFmtId="203" fontId="10" fillId="13" borderId="35" xfId="0" applyNumberFormat="1" applyFont="1" applyFill="1" applyBorder="1" applyAlignment="1">
      <x:alignment horizontal="center" vertical="center" wrapText="1"/>
    </x:xf>
    <x:xf numFmtId="203" fontId="10" fillId="13" borderId="36" xfId="0" applyNumberFormat="1" applyFont="1" applyFill="1" applyBorder="1" applyAlignment="1">
      <x:alignment horizontal="center" vertical="center" wrapText="1"/>
    </x:xf>
    <x:xf numFmtId="203" fontId="10" fillId="13" borderId="37" xfId="0" applyNumberFormat="1" applyFont="1" applyFill="1" applyBorder="1" applyAlignment="1">
      <x:alignment horizontal="center" vertical="center" wrapText="1"/>
    </x:xf>
    <x:xf numFmtId="203" fontId="10" fillId="13" borderId="38" xfId="0" applyNumberFormat="1" applyFont="1" applyFill="1" applyBorder="1" applyAlignment="1">
      <x:alignment horizontal="center" vertical="center" wrapText="1"/>
    </x:xf>
    <x:xf numFmtId="203" fontId="10" fillId="13" borderId="39" xfId="0" applyNumberFormat="1" applyFont="1" applyFill="1" applyBorder="1" applyAlignment="1">
      <x:alignment horizontal="center" vertical="center" wrapText="1"/>
    </x:xf>
    <x:xf numFmtId="203" fontId="10" fillId="13" borderId="40" xfId="0" applyNumberFormat="1" applyFont="1" applyFill="1" applyBorder="1" applyAlignment="1">
      <x:alignment horizontal="center" vertical="center" wrapText="1"/>
    </x:xf>
    <x:xf numFmtId="0" fontId="2" fillId="12" borderId="55" xfId="0" applyNumberFormat="1" applyFont="1" applyFill="1" applyBorder="1" applyAlignment="1">
      <x:alignment horizontal="center" vertical="center" wrapText="1"/>
    </x:xf>
    <x:xf numFmtId="0" fontId="2" fillId="12" borderId="58" xfId="0" applyNumberFormat="1" applyFont="1" applyFill="1" applyBorder="1" applyAlignment="1">
      <x:alignment horizontal="center" vertical="center" wrapText="1"/>
    </x:xf>
    <x:xf numFmtId="0" fontId="2" fillId="12" borderId="56" xfId="0" applyNumberFormat="1" applyFont="1" applyFill="1" applyBorder="1" applyAlignment="1">
      <x:alignment horizontal="center" vertical="center" wrapText="1"/>
    </x:xf>
    <x:xf numFmtId="0" fontId="2" fillId="12" borderId="38" xfId="0" applyNumberFormat="1" applyFont="1" applyFill="1" applyBorder="1" applyAlignment="1">
      <x:alignment horizontal="center" vertical="center" wrapText="1"/>
    </x:xf>
    <x:xf numFmtId="0" fontId="2" fillId="12" borderId="45" xfId="0" applyNumberFormat="1" applyFont="1" applyFill="1" applyBorder="1" applyAlignment="1">
      <x:alignment horizontal="center" vertical="center" wrapText="1"/>
    </x:xf>
    <x:xf numFmtId="0" fontId="2" fillId="12" borderId="40" xfId="0" applyNumberFormat="1" applyFont="1" applyFill="1" applyBorder="1" applyAlignment="1">
      <x:alignment horizontal="center" vertical="center" wrapText="1"/>
    </x:xf>
    <x:xf numFmtId="0" fontId="2" fillId="15" borderId="55" xfId="0" applyNumberFormat="1" applyFont="1" applyFill="1" applyBorder="1" applyAlignment="1">
      <x:alignment horizontal="center" vertical="center" wrapText="1"/>
    </x:xf>
    <x:xf numFmtId="0" fontId="2" fillId="15" borderId="58" xfId="0" applyNumberFormat="1" applyFont="1" applyFill="1" applyBorder="1" applyAlignment="1">
      <x:alignment horizontal="center" vertical="center" wrapText="1"/>
    </x:xf>
    <x:xf numFmtId="0" fontId="2" fillId="15" borderId="56" xfId="0" applyNumberFormat="1" applyFont="1" applyFill="1" applyBorder="1" applyAlignment="1">
      <x:alignment horizontal="center" vertical="center" wrapText="1"/>
    </x:xf>
    <x:xf numFmtId="0" fontId="2" fillId="15" borderId="38" xfId="0" applyNumberFormat="1" applyFont="1" applyFill="1" applyBorder="1" applyAlignment="1">
      <x:alignment horizontal="center" vertical="center" wrapText="1"/>
    </x:xf>
    <x:xf numFmtId="0" fontId="2" fillId="15" borderId="45" xfId="0" applyNumberFormat="1" applyFont="1" applyFill="1" applyBorder="1" applyAlignment="1">
      <x:alignment horizontal="center" vertical="center" wrapText="1"/>
    </x:xf>
    <x:xf numFmtId="0" fontId="2" fillId="15" borderId="40" xfId="0" applyNumberFormat="1" applyFont="1" applyFill="1" applyBorder="1" applyAlignment="1">
      <x:alignment horizontal="center" vertical="center" wrapText="1"/>
    </x:xf>
    <x:xf numFmtId="0" fontId="2" fillId="17" borderId="35" xfId="0" applyNumberFormat="1" applyFont="1" applyFill="1" applyBorder="1" applyAlignment="1">
      <x:alignment horizontal="center" vertical="center" wrapText="1"/>
    </x:xf>
    <x:xf numFmtId="0" fontId="2" fillId="17" borderId="42" xfId="0" applyNumberFormat="1" applyFont="1" applyFill="1" applyBorder="1" applyAlignment="1">
      <x:alignment horizontal="center" vertical="center" wrapText="1"/>
    </x:xf>
    <x:xf numFmtId="0" fontId="2" fillId="17" borderId="37" xfId="0" applyNumberFormat="1" applyFont="1" applyFill="1" applyBorder="1" applyAlignment="1">
      <x:alignment horizontal="center" vertical="center" wrapText="1"/>
    </x:xf>
    <x:xf numFmtId="0" fontId="2" fillId="17" borderId="38" xfId="0" applyNumberFormat="1" applyFont="1" applyFill="1" applyBorder="1" applyAlignment="1">
      <x:alignment horizontal="center" vertical="center" wrapText="1"/>
    </x:xf>
    <x:xf numFmtId="0" fontId="2" fillId="17" borderId="45" xfId="0" applyNumberFormat="1" applyFont="1" applyFill="1" applyBorder="1" applyAlignment="1">
      <x:alignment horizontal="center" vertical="center" wrapText="1"/>
    </x:xf>
    <x:xf numFmtId="0" fontId="2" fillId="17" borderId="40" xfId="0" applyNumberFormat="1" applyFont="1" applyFill="1" applyBorder="1" applyAlignment="1">
      <x:alignment horizontal="center" vertical="center" wrapText="1"/>
    </x:xf>
    <x:xf numFmtId="0" fontId="2" fillId="19" borderId="35" xfId="0" applyNumberFormat="1" applyFont="1" applyFill="1" applyBorder="1" applyAlignment="1">
      <x:alignment horizontal="center" vertical="center" wrapText="1"/>
    </x:xf>
    <x:xf numFmtId="0" fontId="2" fillId="19" borderId="42" xfId="0" applyNumberFormat="1" applyFont="1" applyFill="1" applyBorder="1" applyAlignment="1">
      <x:alignment horizontal="center" vertical="center" wrapText="1"/>
    </x:xf>
    <x:xf numFmtId="0" fontId="2" fillId="19" borderId="37" xfId="0" applyNumberFormat="1" applyFont="1" applyFill="1" applyBorder="1" applyAlignment="1">
      <x:alignment horizontal="center" vertical="center" wrapText="1"/>
    </x:xf>
    <x:xf numFmtId="0" fontId="2" fillId="19" borderId="38" xfId="0" applyNumberFormat="1" applyFont="1" applyFill="1" applyBorder="1" applyAlignment="1">
      <x:alignment horizontal="center" vertical="center" wrapText="1"/>
    </x:xf>
    <x:xf numFmtId="0" fontId="2" fillId="19" borderId="45" xfId="0" applyNumberFormat="1" applyFont="1" applyFill="1" applyBorder="1" applyAlignment="1">
      <x:alignment horizontal="center" vertical="center" wrapText="1"/>
    </x:xf>
    <x:xf numFmtId="0" fontId="2" fillId="19" borderId="40" xfId="0" applyNumberFormat="1" applyFont="1" applyFill="1" applyBorder="1" applyAlignment="1">
      <x:alignment horizontal="center" vertical="center" wrapText="1"/>
    </x:xf>
    <x:xf numFmtId="0" fontId="2" fillId="23" borderId="35" xfId="0" applyNumberFormat="1" applyFont="1" applyFill="1" applyBorder="1" applyAlignment="1">
      <x:alignment horizontal="center" vertical="center" wrapText="1"/>
    </x:xf>
    <x:xf numFmtId="0" fontId="2" fillId="23" borderId="42" xfId="0" applyNumberFormat="1" applyFont="1" applyFill="1" applyBorder="1" applyAlignment="1">
      <x:alignment horizontal="center" vertical="center" wrapText="1"/>
    </x:xf>
    <x:xf numFmtId="0" fontId="2" fillId="23" borderId="37" xfId="0" applyNumberFormat="1" applyFont="1" applyFill="1" applyBorder="1" applyAlignment="1">
      <x:alignment horizontal="center" vertical="center" wrapText="1"/>
    </x:xf>
    <x:xf numFmtId="0" fontId="2" fillId="23" borderId="38" xfId="0" applyNumberFormat="1" applyFont="1" applyFill="1" applyBorder="1" applyAlignment="1">
      <x:alignment horizontal="center" vertical="center" wrapText="1"/>
    </x:xf>
    <x:xf numFmtId="0" fontId="2" fillId="23" borderId="45" xfId="0" applyNumberFormat="1" applyFont="1" applyFill="1" applyBorder="1" applyAlignment="1">
      <x:alignment horizontal="center" vertical="center" wrapText="1"/>
    </x:xf>
    <x:xf numFmtId="0" fontId="2" fillId="23" borderId="40" xfId="0" applyNumberFormat="1" applyFont="1" applyFill="1" applyBorder="1" applyAlignment="1">
      <x:alignment horizontal="center" vertical="center" wrapText="1"/>
    </x:xf>
    <x:xf numFmtId="0" fontId="2" fillId="15" borderId="35" xfId="0" applyNumberFormat="1" applyFont="1" applyFill="1" applyBorder="1" applyAlignment="1">
      <x:alignment horizontal="center" vertical="center" wrapText="1"/>
    </x:xf>
    <x:xf numFmtId="0" fontId="2" fillId="15" borderId="42" xfId="0" applyNumberFormat="1" applyFont="1" applyFill="1" applyBorder="1" applyAlignment="1">
      <x:alignment horizontal="center" vertical="center" wrapText="1"/>
    </x:xf>
    <x:xf numFmtId="0" fontId="2" fillId="15" borderId="37" xfId="0" applyNumberFormat="1" applyFont="1" applyFill="1" applyBorder="1" applyAlignment="1">
      <x:alignment horizontal="center" vertical="center" wrapText="1"/>
    </x:xf>
    <x:xf numFmtId="0" fontId="2" fillId="26" borderId="35" xfId="0" applyNumberFormat="1" applyFont="1" applyFill="1" applyBorder="1" applyAlignment="1">
      <x:alignment horizontal="center" vertical="center" wrapText="1"/>
    </x:xf>
    <x:xf numFmtId="0" fontId="2" fillId="26" borderId="42" xfId="0" applyNumberFormat="1" applyFont="1" applyFill="1" applyBorder="1" applyAlignment="1">
      <x:alignment horizontal="center" vertical="center" wrapText="1"/>
    </x:xf>
    <x:xf numFmtId="0" fontId="2" fillId="26" borderId="37" xfId="0" applyNumberFormat="1" applyFont="1" applyFill="1" applyBorder="1" applyAlignment="1">
      <x:alignment horizontal="center" vertical="center" wrapText="1"/>
    </x:xf>
    <x:xf numFmtId="0" fontId="2" fillId="26" borderId="38" xfId="0" applyNumberFormat="1" applyFont="1" applyFill="1" applyBorder="1" applyAlignment="1">
      <x:alignment horizontal="center" vertical="center" wrapText="1"/>
    </x:xf>
    <x:xf numFmtId="0" fontId="2" fillId="26" borderId="45" xfId="0" applyNumberFormat="1" applyFont="1" applyFill="1" applyBorder="1" applyAlignment="1">
      <x:alignment horizontal="center" vertical="center" wrapText="1"/>
    </x:xf>
    <x:xf numFmtId="0" fontId="2" fillId="26" borderId="40" xfId="0" applyNumberFormat="1" applyFont="1" applyFill="1" applyBorder="1" applyAlignment="1">
      <x:alignment horizontal="center" vertical="center" wrapText="1"/>
    </x:xf>
    <x:xf numFmtId="0" fontId="0" fillId="0" borderId="35" xfId="0" applyNumberFormat="1" applyFont="1" applyFill="1" applyBorder="1"/>
    <x:xf numFmtId="0" fontId="0" fillId="0" borderId="42" xfId="0" applyNumberFormat="1" applyFont="1" applyFill="1" applyBorder="1"/>
    <x:xf numFmtId="0" fontId="0" fillId="0" borderId="37" xfId="0" applyNumberFormat="1" applyFont="1" applyFill="1" applyBorder="1"/>
    <x:xf numFmtId="0" fontId="0" fillId="0" borderId="43" xfId="0" applyNumberFormat="1" applyFont="1" applyFill="1" applyBorder="1"/>
    <x:xf numFmtId="0" fontId="0" fillId="0" borderId="44" xfId="0" applyNumberFormat="1" applyFont="1" applyFill="1" applyBorder="1"/>
    <x:xf numFmtId="0" fontId="0" fillId="0" borderId="38" xfId="0" applyNumberFormat="1" applyFont="1" applyFill="1" applyBorder="1"/>
    <x:xf numFmtId="0" fontId="0" fillId="0" borderId="45" xfId="0" applyNumberFormat="1" applyFont="1" applyFill="1" applyBorder="1"/>
    <x:xf numFmtId="0" fontId="0" fillId="0" borderId="40" xfId="0" applyNumberFormat="1" applyFont="1" applyFill="1" applyBorder="1"/>
    <x:xf numFmtId="0" fontId="0" fillId="0" borderId="35" xfId="0" applyNumberFormat="1" applyFont="1" applyFill="1" applyBorder="1" applyAlignment="1">
      <x:alignment wrapText="1"/>
    </x:xf>
    <x:xf numFmtId="0" fontId="0" fillId="0" borderId="42" xfId="0" applyNumberFormat="1" applyFont="1" applyFill="1" applyBorder="1" applyAlignment="1">
      <x:alignment wrapText="1"/>
    </x:xf>
    <x:xf numFmtId="0" fontId="0" fillId="0" borderId="37" xfId="0" applyNumberFormat="1" applyFont="1" applyFill="1" applyBorder="1" applyAlignment="1">
      <x:alignment wrapText="1"/>
    </x:xf>
    <x:xf numFmtId="0" fontId="0" fillId="0" borderId="43" xfId="0" applyNumberFormat="1" applyFont="1" applyFill="1" applyBorder="1" applyAlignment="1">
      <x:alignment wrapText="1"/>
    </x:xf>
    <x:xf numFmtId="0" fontId="0" fillId="0" borderId="44" xfId="0" applyNumberFormat="1" applyFont="1" applyFill="1" applyBorder="1" applyAlignment="1">
      <x:alignment wrapText="1"/>
    </x:xf>
    <x:xf numFmtId="0" fontId="0" fillId="0" borderId="38" xfId="0" applyNumberFormat="1" applyFont="1" applyFill="1" applyBorder="1" applyAlignment="1">
      <x:alignment wrapText="1"/>
    </x:xf>
    <x:xf numFmtId="0" fontId="0" fillId="0" borderId="45" xfId="0" applyNumberFormat="1" applyFont="1" applyFill="1" applyBorder="1" applyAlignment="1">
      <x:alignment wrapText="1"/>
    </x:xf>
    <x:xf numFmtId="0" fontId="0" fillId="0" borderId="40" xfId="0" applyNumberFormat="1" applyFont="1" applyFill="1" applyBorder="1" applyAlignment="1">
      <x:alignment wrapText="1"/>
    </x:xf>
    <x:xf numFmtId="0" fontId="10" fillId="16" borderId="32" xfId="0" applyNumberFormat="1" applyFont="1" applyFill="1" applyBorder="1" applyAlignment="1">
      <x:alignment horizontal="center" vertical="center" wrapText="1"/>
    </x:xf>
    <x:xf numFmtId="0" fontId="10" fillId="16" borderId="34" xfId="0" applyNumberFormat="1" applyFont="1" applyFill="1" applyBorder="1" applyAlignment="1">
      <x:alignment horizontal="center" vertical="center" wrapText="1"/>
    </x:xf>
    <x:xf numFmtId="0" fontId="10" fillId="16" borderId="47" xfId="0" applyNumberFormat="1" applyFont="1" applyFill="1" applyBorder="1" applyAlignment="1">
      <x:alignment horizontal="center" vertical="center" wrapText="1"/>
    </x:xf>
    <x:xf numFmtId="0" fontId="10" fillId="13" borderId="32" xfId="0" applyNumberFormat="1" applyFont="1" applyFill="1" applyBorder="1" applyAlignment="1">
      <x:alignment horizontal="center" vertical="center" wrapText="1"/>
    </x:xf>
    <x:xf numFmtId="0" fontId="10" fillId="13" borderId="34" xfId="0" applyNumberFormat="1" applyFont="1" applyFill="1" applyBorder="1" applyAlignment="1">
      <x:alignment horizontal="center" vertical="center" wrapText="1"/>
    </x:xf>
    <x:xf numFmtId="0" fontId="10" fillId="13" borderId="46" xfId="0" applyNumberFormat="1" applyFont="1" applyFill="1" applyBorder="1" applyAlignment="1">
      <x:alignment horizontal="center" vertical="center" wrapText="1"/>
    </x:xf>
    <x:xf numFmtId="0" fontId="10" fillId="24" borderId="32" xfId="0" applyNumberFormat="1" applyFont="1" applyFill="1" applyBorder="1" applyAlignment="1">
      <x:alignment horizontal="center" vertical="center" wrapText="1"/>
    </x:xf>
    <x:xf numFmtId="0" fontId="10" fillId="24" borderId="34" xfId="0" applyNumberFormat="1" applyFont="1" applyFill="1" applyBorder="1" applyAlignment="1">
      <x:alignment horizontal="center" vertical="center" wrapText="1"/>
    </x:xf>
    <x:xf numFmtId="0" fontId="10" fillId="24" borderId="41" xfId="0" applyNumberFormat="1" applyFont="1" applyFill="1" applyBorder="1" applyAlignment="1">
      <x:alignment horizontal="center" vertical="center" wrapText="1"/>
    </x:xf>
    <x:xf numFmtId="0" fontId="10" fillId="18" borderId="32" xfId="0" applyNumberFormat="1" applyFont="1" applyFill="1" applyBorder="1" applyAlignment="1">
      <x:alignment horizontal="center" vertical="center" wrapText="1"/>
    </x:xf>
    <x:xf numFmtId="0" fontId="10" fillId="18" borderId="41" xfId="0" applyNumberFormat="1" applyFont="1" applyFill="1" applyBorder="1" applyAlignment="1">
      <x:alignment horizontal="center" vertical="center" wrapText="1"/>
    </x:xf>
    <x:xf numFmtId="0" fontId="10" fillId="18" borderId="34" xfId="0" applyNumberFormat="1" applyFont="1" applyFill="1" applyBorder="1" applyAlignment="1">
      <x:alignment horizontal="center" vertical="center" wrapText="1"/>
    </x:xf>
    <x:xf numFmtId="0" fontId="10" fillId="13" borderId="41" xfId="0" applyNumberFormat="1" applyFont="1" applyFill="1" applyBorder="1" applyAlignment="1">
      <x:alignment horizontal="center" vertical="center" wrapText="1"/>
    </x:xf>
    <x:xf numFmtId="0" fontId="10" fillId="16" borderId="41" xfId="0" applyNumberFormat="1" applyFont="1" applyFill="1" applyBorder="1" applyAlignment="1">
      <x:alignment horizontal="center" vertical="center" wrapText="1"/>
    </x:xf>
    <x:xf numFmtId="0" fontId="2" fillId="14" borderId="0" xfId="0" applyNumberFormat="1" applyFont="1" applyFill="1" applyBorder="1" applyAlignment="1">
      <x:alignment horizontal="center" vertical="center" wrapText="1"/>
    </x:xf>
    <x:xf numFmtId="0" fontId="2" fillId="14" borderId="32" xfId="0" applyNumberFormat="1" applyFont="1" applyFill="1" applyBorder="1" applyAlignment="1">
      <x:alignment horizontal="center" vertical="center" wrapText="1"/>
    </x:xf>
    <x:xf numFmtId="0" fontId="2" fillId="14" borderId="34" xfId="0" applyNumberFormat="1" applyFont="1" applyFill="1" applyBorder="1" applyAlignment="1">
      <x:alignment horizontal="center" vertical="center" wrapText="1"/>
    </x:xf>
    <x:xf numFmtId="0" fontId="0" fillId="29" borderId="0" xfId="0" applyNumberFormat="1" applyFont="1" applyFill="1" applyBorder="1"/>
    <x:xf numFmtId="0" fontId="5" fillId="29" borderId="0" xfId="0" applyNumberFormat="1" applyFont="1" applyFill="1" applyBorder="1"/>
    <x:xf numFmtId="0" fontId="5" fillId="29" borderId="0" xfId="0" applyNumberFormat="1" applyFont="1" applyFill="1" applyBorder="1" applyAlignment="1">
      <x:alignment horizontal="left"/>
    </x:xf>
    <x:xf numFmtId="0" fontId="5" fillId="29" borderId="0" xfId="0" applyNumberFormat="1" applyFont="1" applyFill="1" applyBorder="1" applyAlignment="1">
      <x:alignment horizontal="left" vertical="center"/>
    </x:xf>
    <x:xf numFmtId="0" fontId="0" fillId="30" borderId="37" xfId="0" applyNumberFormat="1" applyFont="1" applyFill="1" applyBorder="1" applyAlignment="1">
      <x:alignment vertical="top" wrapText="1"/>
    </x:xf>
    <x:xf numFmtId="0" fontId="0" fillId="30" borderId="44" xfId="0" applyNumberFormat="1" applyFont="1" applyFill="1" applyBorder="1" applyAlignment="1">
      <x:alignment vertical="top" wrapText="1"/>
    </x:xf>
    <x:xf numFmtId="0" fontId="19" fillId="30" borderId="37" xfId="0" applyNumberFormat="1" applyFont="1" applyFill="1" applyBorder="1" applyAlignment="1">
      <x:alignment vertical="top" wrapText="1"/>
    </x:xf>
    <x:xf numFmtId="0" fontId="19" fillId="30" borderId="44" xfId="0" applyNumberFormat="1" applyFont="1" applyFill="1" applyBorder="1" applyAlignment="1">
      <x:alignment vertical="top" wrapText="1"/>
    </x:xf>
    <x:xf numFmtId="0" fontId="19" fillId="30" borderId="62" xfId="0" applyNumberFormat="1" applyFont="1" applyFill="1" applyBorder="1" applyAlignment="1">
      <x:alignment vertical="top" wrapText="1"/>
    </x:xf>
    <x:xf numFmtId="0" fontId="19" fillId="30" borderId="63" xfId="0" applyNumberFormat="1" applyFont="1" applyFill="1" applyBorder="1" applyAlignment="1">
      <x:alignment vertical="top" wrapText="1"/>
    </x:xf>
    <x:xf numFmtId="0" fontId="19" fillId="30" borderId="64" xfId="0" applyNumberFormat="1" applyFont="1" applyFill="1" applyBorder="1" applyAlignment="1">
      <x:alignment vertical="top" wrapText="1"/>
    </x:xf>
    <x:xf numFmtId="0" fontId="0" fillId="31" borderId="0" xfId="0" applyNumberFormat="1" applyFont="1" applyFill="1" applyBorder="1"/>
    <x:xf numFmtId="0" fontId="18" fillId="31" borderId="0" xfId="0" applyNumberFormat="1" applyFont="1" applyFill="1" applyBorder="1"/>
    <x:xf numFmtId="0" fontId="18" fillId="31" borderId="32" xfId="0" applyNumberFormat="1" applyFont="1" applyFill="1" applyBorder="1"/>
    <x:xf numFmtId="0" fontId="18" fillId="31" borderId="41" xfId="0" applyNumberFormat="1" applyFont="1" applyFill="1" applyBorder="1"/>
    <x:xf numFmtId="0" fontId="18" fillId="31" borderId="34" xfId="0" applyNumberFormat="1" applyFont="1" applyFill="1" applyBorder="1"/>
    <x:xf numFmtId="0" fontId="18" fillId="31" borderId="32" xfId="0" applyNumberFormat="1" applyFont="1" applyFill="1" applyBorder="1" applyAlignment="1">
      <x:alignment wrapText="1"/>
    </x:xf>
    <x:xf numFmtId="0" fontId="18" fillId="31" borderId="41" xfId="0" applyNumberFormat="1" applyFont="1" applyFill="1" applyBorder="1" applyAlignment="1">
      <x:alignment wrapText="1"/>
    </x:xf>
    <x:xf numFmtId="0" fontId="18" fillId="31" borderId="34" xfId="0" applyNumberFormat="1" applyFont="1" applyFill="1" applyBorder="1" applyAlignment="1">
      <x:alignment wrapText="1"/>
    </x:xf>
    <x:xf numFmtId="0" fontId="0" fillId="32" borderId="0" xfId="0" applyNumberFormat="1" applyFont="1" applyFill="1" applyBorder="1"/>
    <x:xf numFmtId="0" fontId="5" fillId="32" borderId="0" xfId="0" applyNumberFormat="1" applyFont="1" applyFill="1" applyBorder="1"/>
    <x:xf numFmtId="0" fontId="5" fillId="32" borderId="0" xfId="0" applyNumberFormat="1" applyFont="1" applyFill="1" applyBorder="1" applyAlignment="1">
      <x:alignment wrapText="1"/>
    </x:xf>
    <x:xf numFmtId="0" fontId="5" fillId="32" borderId="0" xfId="0" applyNumberFormat="1" applyFont="1" applyFill="1" applyBorder="1" applyAlignment="1">
      <x:alignment horizontal="center" wrapText="1"/>
    </x:xf>
    <x:xf numFmtId="0" fontId="5" fillId="32" borderId="0" xfId="0" applyNumberFormat="1" applyFont="1" applyFill="1" applyBorder="1" applyAlignment="1">
      <x:alignment horizontal="center" vertical="center" wrapText="1"/>
    </x:xf>
    <x:xf numFmtId="0" fontId="0" fillId="30" borderId="0" xfId="0" applyNumberFormat="1" applyFont="1" applyFill="1" applyBorder="1"/>
    <x:xf numFmtId="0" fontId="23" fillId="30" borderId="0" xfId="0" applyNumberFormat="1" applyFont="1" applyFill="1" applyBorder="1"/>
    <x:xf numFmtId="0" fontId="23" fillId="30" borderId="32" xfId="0" applyNumberFormat="1" applyFont="1" applyFill="1" applyBorder="1"/>
    <x:xf numFmtId="0" fontId="23" fillId="30" borderId="41" xfId="0" applyNumberFormat="1" applyFont="1" applyFill="1" applyBorder="1"/>
    <x:xf numFmtId="0" fontId="23" fillId="30" borderId="34" xfId="0" applyNumberFormat="1" applyFont="1" applyFill="1" applyBorder="1"/>
    <x:xf numFmtId="0" fontId="23" fillId="30" borderId="32" xfId="0" applyNumberFormat="1" applyFont="1" applyFill="1" applyBorder="1" applyAlignment="1">
      <x:alignment wrapText="1"/>
    </x:xf>
    <x:xf numFmtId="0" fontId="23" fillId="30" borderId="41" xfId="0" applyNumberFormat="1" applyFont="1" applyFill="1" applyBorder="1" applyAlignment="1">
      <x:alignment wrapText="1"/>
    </x:xf>
    <x:xf numFmtId="0" fontId="23" fillId="30" borderId="34" xfId="0" applyNumberFormat="1" applyFont="1" applyFill="1" applyBorder="1" applyAlignment="1">
      <x:alignment wrapText="1"/>
    </x:xf>
    <x:xf numFmtId="0" fontId="0" fillId="33" borderId="0" xfId="0" applyNumberFormat="1" applyFont="1" applyFill="1" applyBorder="1"/>
    <x:xf numFmtId="0" fontId="16" fillId="33" borderId="0" xfId="0" applyNumberFormat="1" applyFont="1" applyFill="1" applyBorder="1"/>
    <x:xf numFmtId="0" fontId="16" fillId="33" borderId="32" xfId="0" applyNumberFormat="1" applyFont="1" applyFill="1" applyBorder="1"/>
    <x:xf numFmtId="0" fontId="16" fillId="33" borderId="41" xfId="0" applyNumberFormat="1" applyFont="1" applyFill="1" applyBorder="1"/>
    <x:xf numFmtId="0" fontId="16" fillId="33" borderId="34" xfId="0" applyNumberFormat="1" applyFont="1" applyFill="1" applyBorder="1"/>
    <x:xf numFmtId="0" fontId="2" fillId="12" borderId="35" xfId="0" applyNumberFormat="1" applyFont="1" applyFill="1" applyBorder="1" applyAlignment="1">
      <x:alignment horizontal="center" vertical="center" wrapText="1"/>
    </x:xf>
    <x:xf numFmtId="0" fontId="2" fillId="12" borderId="37" xfId="0" applyNumberFormat="1" applyFont="1" applyFill="1" applyBorder="1" applyAlignment="1">
      <x:alignment horizontal="center" vertical="center" wrapText="1"/>
    </x:xf>
    <x:xf numFmtId="0" fontId="2" fillId="12" borderId="35" xfId="0" applyNumberFormat="1" applyFont="1" applyFill="1" applyBorder="1" applyAlignment="1">
      <x:alignment horizontal="center" vertical="top" wrapText="1"/>
    </x:xf>
    <x:xf numFmtId="0" fontId="2" fillId="12" borderId="37" xfId="0" applyNumberFormat="1" applyFont="1" applyFill="1" applyBorder="1" applyAlignment="1">
      <x:alignment horizontal="center" vertical="top" wrapText="1"/>
    </x:xf>
    <x:xf numFmtId="0" fontId="21" fillId="22" borderId="62" xfId="0" applyNumberFormat="1" applyFont="1" applyFill="1" applyBorder="1" applyAlignment="1">
      <x:alignment vertical="top" wrapText="1"/>
    </x:xf>
    <x:xf numFmtId="0" fontId="21" fillId="22" borderId="63" xfId="0" applyNumberFormat="1" applyFont="1" applyFill="1" applyBorder="1" applyAlignment="1">
      <x:alignment vertical="top" wrapText="1"/>
    </x:xf>
    <x:xf numFmtId="0" fontId="21" fillId="22" borderId="68" xfId="0" applyNumberFormat="1" applyFont="1" applyFill="1" applyBorder="1" applyAlignment="1">
      <x:alignment vertical="top" wrapText="1"/>
    </x:xf>
    <x:xf numFmtId="0" fontId="21" fillId="22" borderId="64" xfId="0" applyNumberFormat="1" applyFont="1" applyFill="1" applyBorder="1" applyAlignment="1">
      <x:alignment vertical="top" wrapText="1"/>
    </x:xf>
    <x:xf numFmtId="0" fontId="21" fillId="30" borderId="63" xfId="0" applyNumberFormat="1" applyFont="1" applyFill="1" applyBorder="1" applyAlignment="1">
      <x:alignment vertical="top" wrapText="1"/>
    </x:xf>
    <x:xf numFmtId="0" fontId="21" fillId="30" borderId="71" xfId="0" applyNumberFormat="1" applyFont="1" applyFill="1" applyBorder="1" applyAlignment="1">
      <x:alignment vertical="top" wrapText="1"/>
    </x:xf>
    <x:xf numFmtId="0" fontId="21" fillId="34" borderId="62" xfId="0" applyNumberFormat="1" applyFont="1" applyFill="1" applyBorder="1" applyAlignment="1">
      <x:alignment vertical="top" wrapText="1"/>
    </x:xf>
    <x:xf numFmtId="0" fontId="14" fillId="34" borderId="62" xfId="0" applyNumberFormat="1" applyFont="1" applyFill="1" applyBorder="1" applyAlignment="1">
      <x:alignment vertical="top" wrapText="1"/>
    </x:xf>
    <x:xf numFmtId="0" fontId="14" fillId="34" borderId="71" xfId="0" applyNumberFormat="1" applyFont="1" applyFill="1" applyBorder="1" applyAlignment="1">
      <x:alignment vertical="top" wrapText="1"/>
    </x:xf>
    <x:xf numFmtId="0" fontId="21" fillId="35" borderId="63" xfId="0" applyNumberFormat="1" applyFont="1" applyFill="1" applyBorder="1" applyAlignment="1">
      <x:alignment vertical="top" wrapText="1"/>
    </x:xf>
    <x:xf numFmtId="0" fontId="21" fillId="35" borderId="68" xfId="0" applyNumberFormat="1" applyFont="1" applyFill="1" applyBorder="1" applyAlignment="1">
      <x:alignment vertical="top" wrapText="1"/>
    </x:xf>
    <x:xf numFmtId="0" fontId="21" fillId="35" borderId="64" xfId="0" applyNumberFormat="1" applyFont="1" applyFill="1" applyBorder="1" applyAlignment="1">
      <x:alignment vertical="top" wrapText="1"/>
    </x:xf>
    <x:xf numFmtId="0" fontId="24" fillId="35" borderId="63" xfId="0" applyNumberFormat="1" applyFont="1" applyFill="1" applyBorder="1" applyAlignment="1">
      <x:alignment vertical="top" wrapText="1"/>
    </x:xf>
    <x:xf numFmtId="0" fontId="24" fillId="35" borderId="68" xfId="0" applyNumberFormat="1" applyFont="1" applyFill="1" applyBorder="1" applyAlignment="1">
      <x:alignment vertical="top" wrapText="1"/>
    </x:xf>
    <x:xf numFmtId="0" fontId="24" fillId="35" borderId="64" xfId="0" applyNumberFormat="1" applyFont="1" applyFill="1" applyBorder="1" applyAlignment="1">
      <x:alignment vertical="top" wrapText="1"/>
    </x:xf>
    <x:xf numFmtId="0" fontId="24" fillId="35" borderId="62" xfId="0" applyNumberFormat="1" applyFont="1" applyFill="1" applyBorder="1" applyAlignment="1">
      <x:alignment vertical="top" wrapText="1"/>
    </x:xf>
    <x:xf numFmtId="0" fontId="0" fillId="34" borderId="0" xfId="0" applyNumberFormat="1" applyFont="1" applyFill="1" applyBorder="1"/>
    <x:xf numFmtId="0" fontId="14" fillId="34" borderId="0" xfId="0" applyNumberFormat="1" applyFont="1" applyFill="1" applyBorder="1"/>
    <x:xf numFmtId="0" fontId="14" fillId="34" borderId="32" xfId="0" applyNumberFormat="1" applyFont="1" applyFill="1" applyBorder="1"/>
    <x:xf numFmtId="0" fontId="14" fillId="34" borderId="41" xfId="0" applyNumberFormat="1" applyFont="1" applyFill="1" applyBorder="1"/>
    <x:xf numFmtId="0" fontId="14" fillId="34" borderId="34" xfId="0" applyNumberFormat="1" applyFont="1" applyFill="1" applyBorder="1"/>
    <x:xf numFmtId="0" fontId="14" fillId="34" borderId="32" xfId="0" applyNumberFormat="1" applyFont="1" applyFill="1" applyBorder="1" applyAlignment="1">
      <x:alignment wrapText="1"/>
    </x:xf>
    <x:xf numFmtId="0" fontId="14" fillId="34" borderId="41" xfId="0" applyNumberFormat="1" applyFont="1" applyFill="1" applyBorder="1" applyAlignment="1">
      <x:alignment wrapText="1"/>
    </x:xf>
    <x:xf numFmtId="0" fontId="14" fillId="34" borderId="34" xfId="0" applyNumberFormat="1" applyFont="1" applyFill="1" applyBorder="1" applyAlignment="1">
      <x:alignment wrapText="1"/>
    </x:xf>
    <x:xf numFmtId="0" fontId="18" fillId="31" borderId="35" xfId="0" applyNumberFormat="1" applyFont="1" applyFill="1" applyBorder="1"/>
    <x:xf numFmtId="0" fontId="18" fillId="31" borderId="42" xfId="0" applyNumberFormat="1" applyFont="1" applyFill="1" applyBorder="1"/>
    <x:xf numFmtId="0" fontId="18" fillId="31" borderId="37" xfId="0" applyNumberFormat="1" applyFont="1" applyFill="1" applyBorder="1"/>
    <x:xf numFmtId="0" fontId="18" fillId="31" borderId="38" xfId="0" applyNumberFormat="1" applyFont="1" applyFill="1" applyBorder="1"/>
    <x:xf numFmtId="0" fontId="18" fillId="31" borderId="45" xfId="0" applyNumberFormat="1" applyFont="1" applyFill="1" applyBorder="1"/>
    <x:xf numFmtId="0" fontId="18" fillId="31" borderId="40" xfId="0" applyNumberFormat="1" applyFont="1" applyFill="1" applyBorder="1"/>
    <x:xf numFmtId="0" fontId="18" fillId="31" borderId="35" xfId="0" applyNumberFormat="1" applyFont="1" applyFill="1" applyBorder="1" applyAlignment="1">
      <x:alignment wrapText="1"/>
    </x:xf>
    <x:xf numFmtId="0" fontId="18" fillId="31" borderId="42" xfId="0" applyNumberFormat="1" applyFont="1" applyFill="1" applyBorder="1" applyAlignment="1">
      <x:alignment wrapText="1"/>
    </x:xf>
    <x:xf numFmtId="0" fontId="18" fillId="31" borderId="37" xfId="0" applyNumberFormat="1" applyFont="1" applyFill="1" applyBorder="1" applyAlignment="1">
      <x:alignment wrapText="1"/>
    </x:xf>
    <x:xf numFmtId="0" fontId="18" fillId="31" borderId="38" xfId="0" applyNumberFormat="1" applyFont="1" applyFill="1" applyBorder="1" applyAlignment="1">
      <x:alignment wrapText="1"/>
    </x:xf>
    <x:xf numFmtId="0" fontId="18" fillId="31" borderId="45" xfId="0" applyNumberFormat="1" applyFont="1" applyFill="1" applyBorder="1" applyAlignment="1">
      <x:alignment wrapText="1"/>
    </x:xf>
    <x:xf numFmtId="0" fontId="18" fillId="31" borderId="40" xfId="0" applyNumberFormat="1" applyFont="1" applyFill="1" applyBorder="1" applyAlignment="1">
      <x:alignment wrapText="1"/>
    </x:xf>
    <x:xf numFmtId="0" fontId="5" fillId="29" borderId="0" xfId="0" applyNumberFormat="1" applyFont="1" applyFill="1" applyBorder="1" applyAlignment="1">
      <x:alignment wrapText="1"/>
    </x:xf>
    <x:xf numFmtId="0" fontId="2" fillId="36" borderId="0" xfId="0" applyNumberFormat="1" applyFont="1" applyFill="1" applyBorder="1" applyAlignment="1">
      <x:alignment horizontal="center" vertical="center" wrapText="1"/>
    </x:xf>
    <x:xf numFmtId="0" fontId="0" fillId="36" borderId="0" xfId="0" applyNumberFormat="1" applyFont="1" applyFill="1" applyBorder="1"/>
    <x:xf numFmtId="0" fontId="5" fillId="36" borderId="0" xfId="0" applyNumberFormat="1" applyFont="1" applyFill="1" applyBorder="1"/>
    <x:xf numFmtId="0" fontId="5" fillId="36" borderId="0" xfId="0" applyNumberFormat="1" applyFont="1" applyFill="1" applyBorder="1" applyAlignment="1">
      <x:alignment wrapText="1"/>
    </x:xf>
    <x:xf numFmtId="0" fontId="5" fillId="36" borderId="0" xfId="0" applyNumberFormat="1" applyFont="1" applyFill="1" applyBorder="1" applyAlignment="1">
      <x:alignment horizontal="center" wrapText="1"/>
    </x:xf>
    <x:xf numFmtId="0" fontId="5" fillId="36" borderId="0" xfId="0" applyNumberFormat="1" applyFont="1" applyFill="1" applyBorder="1" applyAlignment="1">
      <x:alignment horizontal="center" vertical="center" wrapText="1"/>
    </x:xf>
    <x:xf numFmtId="0" fontId="0" fillId="0" borderId="32" xfId="0" applyNumberFormat="1" applyFont="1" applyFill="1" applyBorder="1"/>
    <x:xf numFmtId="0" fontId="0" fillId="0" borderId="41" xfId="0" applyNumberFormat="1" applyFont="1" applyFill="1" applyBorder="1"/>
    <x:xf numFmtId="0" fontId="0" fillId="0" borderId="34" xfId="0" applyNumberFormat="1" applyFont="1" applyFill="1" applyBorder="1"/>
    <x:xf numFmtId="0" fontId="0" fillId="0" borderId="32" xfId="0" applyNumberFormat="1" applyFont="1" applyFill="1" applyBorder="1" applyAlignment="1">
      <x:alignment wrapText="1"/>
    </x:xf>
    <x:xf numFmtId="0" fontId="0" fillId="0" borderId="41" xfId="0" applyNumberFormat="1" applyFont="1" applyFill="1" applyBorder="1" applyAlignment="1">
      <x:alignment wrapText="1"/>
    </x:xf>
    <x:xf numFmtId="0" fontId="0" fillId="0" borderId="34" xfId="0" applyNumberFormat="1" applyFont="1" applyFill="1" applyBorder="1" applyAlignment="1">
      <x:alignment wrapText="1"/>
    </x:xf>
    <x:xf numFmtId="0" fontId="0" fillId="0" borderId="32" xfId="0" applyNumberFormat="1" applyFont="1" applyFill="1" applyBorder="1" applyAlignment="1">
      <x:alignment vertical="top" wrapText="1"/>
    </x:xf>
    <x:xf numFmtId="0" fontId="0" fillId="0" borderId="41" xfId="0" applyNumberFormat="1" applyFont="1" applyFill="1" applyBorder="1" applyAlignment="1">
      <x:alignment vertical="top" wrapText="1"/>
    </x:xf>
    <x:xf numFmtId="0" fontId="0" fillId="0" borderId="34" xfId="0" applyNumberFormat="1" applyFont="1" applyFill="1" applyBorder="1" applyAlignment="1">
      <x:alignment vertical="top" wrapText="1"/>
    </x:xf>
    <x:xf numFmtId="0" fontId="19" fillId="30" borderId="0" xfId="0" applyNumberFormat="1" applyFont="1" applyFill="1" applyBorder="1"/>
    <x:xf numFmtId="0" fontId="19" fillId="30" borderId="62" xfId="0" applyNumberFormat="1" applyFont="1" applyFill="1" applyBorder="1"/>
    <x:xf numFmtId="0" fontId="19" fillId="30" borderId="63" xfId="0" applyNumberFormat="1" applyFont="1" applyFill="1" applyBorder="1"/>
    <x:xf numFmtId="0" fontId="19" fillId="30" borderId="64" xfId="0" applyNumberFormat="1" applyFont="1" applyFill="1" applyBorder="1"/>
    <x:xf numFmtId="0" fontId="19" fillId="30" borderId="62" xfId="0" applyNumberFormat="1" applyFont="1" applyFill="1" applyBorder="1" applyAlignment="1">
      <x:alignment wrapText="1"/>
    </x:xf>
    <x:xf numFmtId="0" fontId="19" fillId="30" borderId="63" xfId="0" applyNumberFormat="1" applyFont="1" applyFill="1" applyBorder="1" applyAlignment="1">
      <x:alignment wrapText="1"/>
    </x:xf>
    <x:xf numFmtId="0" fontId="19" fillId="30" borderId="64" xfId="0" applyNumberFormat="1" applyFont="1" applyFill="1" applyBorder="1" applyAlignment="1">
      <x:alignment wrapText="1"/>
    </x:xf>
    <x:xf numFmtId="204" fontId="0" fillId="0" borderId="0" xfId="0" applyNumberFormat="1" applyFont="1" applyFill="1" applyBorder="1"/>
    <x:xf numFmtId="0" fontId="0" fillId="37" borderId="0" xfId="0" applyNumberFormat="1" applyFont="1" applyFill="1" applyBorder="1"/>
    <x:xf numFmtId="0" fontId="5" fillId="37" borderId="0" xfId="0" applyNumberFormat="1" applyFont="1" applyFill="1" applyBorder="1"/>
    <x:xf numFmtId="0" fontId="5" fillId="37" borderId="0" xfId="0" applyNumberFormat="1" applyFont="1" applyFill="1" applyBorder="1" applyAlignment="1">
      <x:alignment wrapText="1"/>
    </x:xf>
    <x:xf numFmtId="0" fontId="5" fillId="37" borderId="0" xfId="0" applyNumberFormat="1" applyFont="1" applyFill="1" applyBorder="1" applyAlignment="1">
      <x:alignment horizontal="center" wrapText="1"/>
    </x:xf>
    <x:xf numFmtId="0" fontId="5" fillId="37" borderId="0" xfId="0" applyNumberFormat="1" applyFont="1" applyFill="1" applyBorder="1" applyAlignment="1">
      <x:alignment horizontal="center" vertical="center" wrapText="1"/>
    </x:xf>
    <x:xf numFmtId="204" fontId="0" fillId="0" xfId="0" applyNumberFormat="1" applyFont="1" applyFill="1" applyBorder="0" applyAlignment="1">
      <x:alignment vertical="top" wrapText="1"/>
    </x:xf>
    <x:xf numFmtId="204" fontId="0" fillId="0" borderId="45" xfId="0" applyNumberFormat="1" applyFont="1" applyFill="1" applyBorder="1" applyAlignment="1">
      <x:alignment vertical="top" wrapText="1"/>
    </x:xf>
    <x:xf numFmtId="0" fontId="0" fillId="0" borderId="36" xfId="0" applyNumberFormat="1" applyFont="1" applyFill="1" applyBorder="1" applyAlignment="1">
      <x:alignment vertical="top" wrapText="1"/>
    </x:xf>
    <x:xf numFmtId="0" fontId="0" fillId="0" borderId="39" xfId="0" applyNumberFormat="1" applyFont="1" applyFill="1" applyBorder="1" applyAlignment="1">
      <x:alignment vertical="top" wrapText="1"/>
    </x:xf>
    <x:xf numFmtId="0" fontId="2" fillId="15" borderId="35" xfId="0" applyNumberFormat="1" applyFont="1" applyFill="1" applyBorder="1" applyAlignment="1">
      <x:alignment horizontal="center" vertical="top" wrapText="1"/>
    </x:xf>
    <x:xf numFmtId="0" fontId="2" fillId="15" borderId="37" xfId="0" applyNumberFormat="1" applyFont="1" applyFill="1" applyBorder="1" applyAlignment="1">
      <x:alignment horizontal="center" vertical="top" wrapText="1"/>
    </x:xf>
    <x:xf numFmtId="0" fontId="2" fillId="15" borderId="42" xfId="0" applyNumberFormat="1" applyFont="1" applyFill="1" applyBorder="1" applyAlignment="1">
      <x:alignment horizontal="center" vertical="top" wrapText="1"/>
    </x:xf>
    <x:xf numFmtId="0" fontId="23" fillId="30" borderId="35" xfId="0" applyNumberFormat="1" applyFont="1" applyFill="1" applyBorder="1"/>
    <x:xf numFmtId="0" fontId="23" fillId="30" borderId="42" xfId="0" applyNumberFormat="1" applyFont="1" applyFill="1" applyBorder="1"/>
    <x:xf numFmtId="0" fontId="23" fillId="30" borderId="37" xfId="0" applyNumberFormat="1" applyFont="1" applyFill="1" applyBorder="1"/>
    <x:xf numFmtId="0" fontId="23" fillId="30" borderId="38" xfId="0" applyNumberFormat="1" applyFont="1" applyFill="1" applyBorder="1"/>
    <x:xf numFmtId="0" fontId="23" fillId="30" borderId="45" xfId="0" applyNumberFormat="1" applyFont="1" applyFill="1" applyBorder="1"/>
    <x:xf numFmtId="0" fontId="23" fillId="30" borderId="40" xfId="0" applyNumberFormat="1" applyFont="1" applyFill="1" applyBorder="1"/>
    <x:xf numFmtId="0" fontId="23" fillId="30" borderId="35" xfId="0" applyNumberFormat="1" applyFont="1" applyFill="1" applyBorder="1" applyAlignment="1">
      <x:alignment wrapText="1"/>
    </x:xf>
    <x:xf numFmtId="0" fontId="23" fillId="30" borderId="42" xfId="0" applyNumberFormat="1" applyFont="1" applyFill="1" applyBorder="1" applyAlignment="1">
      <x:alignment wrapText="1"/>
    </x:xf>
    <x:xf numFmtId="0" fontId="23" fillId="30" borderId="37" xfId="0" applyNumberFormat="1" applyFont="1" applyFill="1" applyBorder="1" applyAlignment="1">
      <x:alignment wrapText="1"/>
    </x:xf>
    <x:xf numFmtId="0" fontId="23" fillId="30" borderId="38" xfId="0" applyNumberFormat="1" applyFont="1" applyFill="1" applyBorder="1" applyAlignment="1">
      <x:alignment wrapText="1"/>
    </x:xf>
    <x:xf numFmtId="0" fontId="23" fillId="30" borderId="45" xfId="0" applyNumberFormat="1" applyFont="1" applyFill="1" applyBorder="1" applyAlignment="1">
      <x:alignment wrapText="1"/>
    </x:xf>
    <x:xf numFmtId="0" fontId="23" fillId="30" borderId="40" xfId="0" applyNumberFormat="1" applyFont="1" applyFill="1" applyBorder="1" applyAlignment="1">
      <x:alignment wrapText="1"/>
    </x:xf>
    <x:xf numFmtId="0" fontId="0" fillId="13" borderId="35" xfId="0" applyNumberFormat="1" applyFont="1" applyFill="1" applyBorder="1" applyAlignment="1">
      <x:alignment vertical="top" wrapText="1"/>
    </x:xf>
    <x:xf numFmtId="0" fontId="0" fillId="13" borderId="42" xfId="0" applyNumberFormat="1" applyFont="1" applyFill="1" applyBorder="1" applyAlignment="1">
      <x:alignment vertical="top" wrapText="1"/>
    </x:xf>
    <x:xf numFmtId="0" fontId="0" fillId="13" borderId="37" xfId="0" applyNumberFormat="1" applyFont="1" applyFill="1" applyBorder="1" applyAlignment="1">
      <x:alignment vertical="top" wrapText="1"/>
    </x:xf>
    <x:xf numFmtId="0" fontId="0" fillId="13" borderId="43" xfId="0" applyNumberFormat="1" applyFont="1" applyFill="1" applyBorder="1" applyAlignment="1">
      <x:alignment vertical="top" wrapText="1"/>
    </x:xf>
    <x:xf numFmtId="0" fontId="0" fillId="13" borderId="44" xfId="0" applyNumberFormat="1" applyFont="1" applyFill="1" applyBorder="1" applyAlignment="1">
      <x:alignment vertical="top" wrapText="1"/>
    </x:xf>
    <x:xf numFmtId="0" fontId="0" fillId="18" borderId="43" xfId="0" applyNumberFormat="1" applyFont="1" applyFill="1" applyBorder="1" applyAlignment="1">
      <x:alignment vertical="top" wrapText="1"/>
    </x:xf>
    <x:xf numFmtId="0" fontId="0" fillId="18" borderId="44" xfId="0" applyNumberFormat="1" applyFont="1" applyFill="1" applyBorder="1" applyAlignment="1">
      <x:alignment vertical="top" wrapText="1"/>
    </x:xf>
    <x:xf numFmtId="0" fontId="0" fillId="24" borderId="43" xfId="0" applyNumberFormat="1" applyFont="1" applyFill="1" applyBorder="1" applyAlignment="1">
      <x:alignment vertical="top" wrapText="1"/>
    </x:xf>
    <x:xf numFmtId="0" fontId="0" fillId="24" borderId="44" xfId="0" applyNumberFormat="1" applyFont="1" applyFill="1" applyBorder="1" applyAlignment="1">
      <x:alignment vertical="top" wrapText="1"/>
    </x:xf>
    <x:xf numFmtId="0" fontId="0" fillId="20" borderId="43" xfId="0" applyNumberFormat="1" applyFont="1" applyFill="1" applyBorder="1" applyAlignment="1">
      <x:alignment vertical="top" wrapText="1"/>
    </x:xf>
    <x:xf numFmtId="0" fontId="0" fillId="20" borderId="44" xfId="0" applyNumberFormat="1" applyFont="1" applyFill="1" applyBorder="1" applyAlignment="1">
      <x:alignment vertical="top" wrapText="1"/>
    </x:xf>
    <x:xf numFmtId="0" fontId="0" fillId="20" borderId="38" xfId="0" applyNumberFormat="1" applyFont="1" applyFill="1" applyBorder="1" applyAlignment="1">
      <x:alignment vertical="top" wrapText="1"/>
    </x:xf>
    <x:xf numFmtId="0" fontId="0" fillId="20" borderId="45" xfId="0" applyNumberFormat="1" applyFont="1" applyFill="1" applyBorder="1" applyAlignment="1">
      <x:alignment vertical="top" wrapText="1"/>
    </x:xf>
    <x:xf numFmtId="0" fontId="0" fillId="20" borderId="40" xfId="0" applyNumberFormat="1" applyFont="1" applyFill="1" applyBorder="1" applyAlignment="1">
      <x:alignment vertical="top" wrapText="1"/>
    </x:xf>
    <x:xf numFmtId="0" fontId="2" fillId="26" borderId="35" xfId="0" applyNumberFormat="1" applyFont="1" applyFill="1" applyBorder="1" applyAlignment="1">
      <x:alignment horizontal="center" vertical="top" wrapText="1"/>
    </x:xf>
    <x:xf numFmtId="0" fontId="2" fillId="26" borderId="42" xfId="0" applyNumberFormat="1" applyFont="1" applyFill="1" applyBorder="1" applyAlignment="1">
      <x:alignment horizontal="center" vertical="top" wrapText="1"/>
    </x:xf>
    <x:xf numFmtId="0" fontId="2" fillId="26" borderId="37" xfId="0" applyNumberFormat="1" applyFont="1" applyFill="1" applyBorder="1" applyAlignment="1">
      <x:alignment horizontal="center" vertical="top" wrapText="1"/>
    </x:xf>
    <x:xf numFmtId="0" fontId="2" fillId="36" borderId="35" xfId="0" applyNumberFormat="1" applyFont="1" applyFill="1" applyBorder="1" applyAlignment="1">
      <x:alignment horizontal="center" vertical="top" wrapText="1"/>
    </x:xf>
    <x:xf numFmtId="0" fontId="2" fillId="36" borderId="42" xfId="0" applyNumberFormat="1" applyFont="1" applyFill="1" applyBorder="1" applyAlignment="1">
      <x:alignment horizontal="center" vertical="top" wrapText="1"/>
    </x:xf>
    <x:xf numFmtId="0" fontId="2" fillId="36" borderId="37" xfId="0" applyNumberFormat="1" applyFont="1" applyFill="1" applyBorder="1" applyAlignment="1">
      <x:alignment horizontal="center" vertical="top" wrapText="1"/>
    </x:xf>
    <x:xf numFmtId="0" fontId="2" fillId="36" borderId="35" xfId="0" applyNumberFormat="1" applyFont="1" applyFill="1" applyBorder="1" applyAlignment="1">
      <x:alignment horizontal="center" vertical="center" wrapText="1"/>
    </x:xf>
    <x:xf numFmtId="0" fontId="2" fillId="36" borderId="42" xfId="0" applyNumberFormat="1" applyFont="1" applyFill="1" applyBorder="1" applyAlignment="1">
      <x:alignment horizontal="center" vertical="center" wrapText="1"/>
    </x:xf>
    <x:xf numFmtId="0" fontId="2" fillId="36" borderId="37" xfId="0" applyNumberFormat="1" applyFont="1" applyFill="1" applyBorder="1" applyAlignment="1">
      <x:alignment horizontal="center" vertical="center" wrapText="1"/>
    </x:xf>
    <x:xf numFmtId="0" fontId="5" fillId="29" borderId="0" xfId="0" applyNumberFormat="1" applyFont="1" applyFill="1" applyBorder="1" applyAlignment="1">
      <x:alignment horizontal="center" wrapText="1"/>
    </x:xf>
    <x:xf numFmtId="0" fontId="5" fillId="29" borderId="0" xfId="0" applyNumberFormat="1" applyFont="1" applyFill="1" applyBorder="1" applyAlignment="1">
      <x:alignment horizontal="center" vertical="center" wrapText="1"/>
    </x:xf>
    <x:xf numFmtId="0" fontId="6" fillId="36" borderId="0" xfId="0" applyNumberFormat="1" applyFont="1" applyFill="1" applyBorder="1"/>
    <x:xf numFmtId="0" fontId="6" fillId="36" borderId="0" xfId="0" applyNumberFormat="1" applyFont="1" applyFill="1" applyBorder="1" applyAlignment="1">
      <x:alignment horizontal="left"/>
    </x:xf>
    <x:xf numFmtId="0" fontId="5" fillId="26" borderId="0" xfId="0" applyNumberFormat="1" applyFont="1" applyFill="1" applyBorder="1"/>
    <x:xf numFmtId="0" fontId="5" fillId="26" borderId="0" xfId="0" applyNumberFormat="1" applyFont="1" applyFill="1" applyBorder="1" applyAlignment="1">
      <x:alignment horizontal="left"/>
    </x:xf>
    <x:xf numFmtId="0" fontId="5" fillId="26" borderId="0" xfId="0" applyNumberFormat="1" applyFont="1" applyFill="1" applyBorder="1" applyAlignment="1">
      <x:alignment horizontal="left" vertical="center"/>
    </x:xf>
    <x:xf numFmtId="0" fontId="0" fillId="22" borderId="37" xfId="0" applyNumberFormat="1" applyFont="1" applyFill="1" applyBorder="1" applyAlignment="1">
      <x:alignment vertical="top" wrapText="1"/>
    </x:xf>
    <x:xf numFmtId="0" fontId="0" fillId="22" borderId="44" xfId="0" applyNumberFormat="1" applyFont="1" applyFill="1" applyBorder="1" applyAlignment="1">
      <x:alignment vertical="top" wrapText="1"/>
    </x:xf>
    <x:xf numFmtId="0" fontId="19" fillId="22" borderId="37" xfId="0" applyNumberFormat="1" applyFont="1" applyFill="1" applyBorder="1" applyAlignment="1">
      <x:alignment vertical="top" wrapText="1"/>
    </x:xf>
    <x:xf numFmtId="0" fontId="19" fillId="22" borderId="44" xfId="0" applyNumberFormat="1" applyFont="1" applyFill="1" applyBorder="1" applyAlignment="1">
      <x:alignment vertical="top" wrapText="1"/>
    </x:xf>
    <x:xf numFmtId="0" fontId="18" fillId="25" borderId="32" xfId="0" applyNumberFormat="1" applyFont="1" applyFill="1" applyBorder="1"/>
    <x:xf numFmtId="0" fontId="18" fillId="25" borderId="41" xfId="0" applyNumberFormat="1" applyFont="1" applyFill="1" applyBorder="1"/>
    <x:xf numFmtId="0" fontId="18" fillId="25" borderId="34" xfId="0" applyNumberFormat="1" applyFont="1" applyFill="1" applyBorder="1"/>
    <x:xf numFmtId="0" fontId="18" fillId="25" borderId="32" xfId="0" applyNumberFormat="1" applyFont="1" applyFill="1" applyBorder="1" applyAlignment="1">
      <x:alignment wrapText="1"/>
    </x:xf>
    <x:xf numFmtId="0" fontId="18" fillId="25" borderId="41" xfId="0" applyNumberFormat="1" applyFont="1" applyFill="1" applyBorder="1" applyAlignment="1">
      <x:alignment wrapText="1"/>
    </x:xf>
    <x:xf numFmtId="0" fontId="18" fillId="25" borderId="34" xfId="0" applyNumberFormat="1" applyFont="1" applyFill="1" applyBorder="1" applyAlignment="1">
      <x:alignment wrapText="1"/>
    </x:xf>
    <x:xf numFmtId="0" fontId="5" fillId="15" borderId="0" xfId="0" applyNumberFormat="1" applyFont="1" applyFill="1" applyBorder="1" applyAlignment="1">
      <x:alignment wrapText="1"/>
    </x:xf>
    <x:xf numFmtId="0" fontId="5" fillId="15" borderId="0" xfId="0" applyNumberFormat="1" applyFont="1" applyFill="1" applyBorder="1" applyAlignment="1">
      <x:alignment horizontal="center" wrapText="1"/>
    </x:xf>
    <x:xf numFmtId="0" fontId="23" fillId="22" borderId="0" xfId="0" applyNumberFormat="1" applyFont="1" applyFill="1" applyBorder="1"/>
    <x:xf numFmtId="0" fontId="23" fillId="22" borderId="32" xfId="0" applyNumberFormat="1" applyFont="1" applyFill="1" applyBorder="1"/>
    <x:xf numFmtId="0" fontId="23" fillId="22" borderId="41" xfId="0" applyNumberFormat="1" applyFont="1" applyFill="1" applyBorder="1"/>
    <x:xf numFmtId="0" fontId="23" fillId="22" borderId="34" xfId="0" applyNumberFormat="1" applyFont="1" applyFill="1" applyBorder="1"/>
    <x:xf numFmtId="0" fontId="23" fillId="22" borderId="32" xfId="0" applyNumberFormat="1" applyFont="1" applyFill="1" applyBorder="1" applyAlignment="1">
      <x:alignment wrapText="1"/>
    </x:xf>
    <x:xf numFmtId="0" fontId="23" fillId="22" borderId="41" xfId="0" applyNumberFormat="1" applyFont="1" applyFill="1" applyBorder="1" applyAlignment="1">
      <x:alignment wrapText="1"/>
    </x:xf>
    <x:xf numFmtId="0" fontId="23" fillId="22" borderId="34" xfId="0" applyNumberFormat="1" applyFont="1" applyFill="1" applyBorder="1" applyAlignment="1">
      <x:alignment wrapText="1"/>
    </x:xf>
    <x:xf numFmtId="0" fontId="16" fillId="18" borderId="32" xfId="0" applyNumberFormat="1" applyFont="1" applyFill="1" applyBorder="1"/>
    <x:xf numFmtId="0" fontId="16" fillId="18" borderId="41" xfId="0" applyNumberFormat="1" applyFont="1" applyFill="1" applyBorder="1"/>
    <x:xf numFmtId="0" fontId="16" fillId="18" borderId="34" xfId="0" applyNumberFormat="1" applyFont="1" applyFill="1" applyBorder="1"/>
    <x:xf numFmtId="0" fontId="21" fillId="22" borderId="71" xfId="0" applyNumberFormat="1" applyFont="1" applyFill="1" applyBorder="1" applyAlignment="1">
      <x:alignment vertical="top" wrapText="1"/>
    </x:xf>
    <x:xf numFmtId="0" fontId="21" fillId="13" borderId="62" xfId="0" applyNumberFormat="1" applyFont="1" applyFill="1" applyBorder="1" applyAlignment="1">
      <x:alignment vertical="top" wrapText="1"/>
    </x:xf>
    <x:xf numFmtId="0" fontId="14" fillId="13" borderId="62" xfId="0" applyNumberFormat="1" applyFont="1" applyFill="1" applyBorder="1" applyAlignment="1">
      <x:alignment vertical="top" wrapText="1"/>
    </x:xf>
    <x:xf numFmtId="0" fontId="14" fillId="13" borderId="71" xfId="0" applyNumberFormat="1" applyFont="1" applyFill="1" applyBorder="1" applyAlignment="1">
      <x:alignment vertical="top" wrapText="1"/>
    </x:xf>
    <x:xf numFmtId="0" fontId="21" fillId="11" borderId="63" xfId="0" applyNumberFormat="1" applyFont="1" applyFill="1" applyBorder="1" applyAlignment="1">
      <x:alignment vertical="top" wrapText="1"/>
    </x:xf>
    <x:xf numFmtId="0" fontId="21" fillId="11" borderId="68" xfId="0" applyNumberFormat="1" applyFont="1" applyFill="1" applyBorder="1" applyAlignment="1">
      <x:alignment vertical="top" wrapText="1"/>
    </x:xf>
    <x:xf numFmtId="0" fontId="21" fillId="11" borderId="64" xfId="0" applyNumberFormat="1" applyFont="1" applyFill="1" applyBorder="1" applyAlignment="1">
      <x:alignment vertical="top" wrapText="1"/>
    </x:xf>
    <x:xf numFmtId="0" fontId="24" fillId="11" borderId="63" xfId="0" applyNumberFormat="1" applyFont="1" applyFill="1" applyBorder="1" applyAlignment="1">
      <x:alignment vertical="top" wrapText="1"/>
    </x:xf>
    <x:xf numFmtId="0" fontId="24" fillId="11" borderId="68" xfId="0" applyNumberFormat="1" applyFont="1" applyFill="1" applyBorder="1" applyAlignment="1">
      <x:alignment vertical="top" wrapText="1"/>
    </x:xf>
    <x:xf numFmtId="0" fontId="24" fillId="11" borderId="64" xfId="0" applyNumberFormat="1" applyFont="1" applyFill="1" applyBorder="1" applyAlignment="1">
      <x:alignment vertical="top" wrapText="1"/>
    </x:xf>
    <x:xf numFmtId="0" fontId="24" fillId="11" borderId="62" xfId="0" applyNumberFormat="1" applyFont="1" applyFill="1" applyBorder="1" applyAlignment="1">
      <x:alignment vertical="top" wrapText="1"/>
    </x:xf>
    <x:xf numFmtId="0" fontId="14" fillId="13" borderId="32" xfId="0" applyNumberFormat="1" applyFont="1" applyFill="1" applyBorder="1"/>
    <x:xf numFmtId="0" fontId="14" fillId="13" borderId="41" xfId="0" applyNumberFormat="1" applyFont="1" applyFill="1" applyBorder="1"/>
    <x:xf numFmtId="0" fontId="14" fillId="13" borderId="34" xfId="0" applyNumberFormat="1" applyFont="1" applyFill="1" applyBorder="1"/>
    <x:xf numFmtId="0" fontId="14" fillId="13" borderId="32" xfId="0" applyNumberFormat="1" applyFont="1" applyFill="1" applyBorder="1" applyAlignment="1">
      <x:alignment wrapText="1"/>
    </x:xf>
    <x:xf numFmtId="0" fontId="14" fillId="13" borderId="41" xfId="0" applyNumberFormat="1" applyFont="1" applyFill="1" applyBorder="1" applyAlignment="1">
      <x:alignment wrapText="1"/>
    </x:xf>
    <x:xf numFmtId="0" fontId="14" fillId="13" borderId="34" xfId="0" applyNumberFormat="1" applyFont="1" applyFill="1" applyBorder="1" applyAlignment="1">
      <x:alignment wrapText="1"/>
    </x:xf>
    <x:xf numFmtId="0" fontId="18" fillId="25" borderId="35" xfId="0" applyNumberFormat="1" applyFont="1" applyFill="1" applyBorder="1" applyAlignment="1">
      <x:alignment wrapText="1"/>
    </x:xf>
    <x:xf numFmtId="0" fontId="18" fillId="25" borderId="42" xfId="0" applyNumberFormat="1" applyFont="1" applyFill="1" applyBorder="1" applyAlignment="1">
      <x:alignment wrapText="1"/>
    </x:xf>
    <x:xf numFmtId="0" fontId="18" fillId="25" borderId="37" xfId="0" applyNumberFormat="1" applyFont="1" applyFill="1" applyBorder="1" applyAlignment="1">
      <x:alignment wrapText="1"/>
    </x:xf>
    <x:xf numFmtId="0" fontId="18" fillId="25" borderId="38" xfId="0" applyNumberFormat="1" applyFont="1" applyFill="1" applyBorder="1" applyAlignment="1">
      <x:alignment wrapText="1"/>
    </x:xf>
    <x:xf numFmtId="0" fontId="18" fillId="25" borderId="45" xfId="0" applyNumberFormat="1" applyFont="1" applyFill="1" applyBorder="1" applyAlignment="1">
      <x:alignment wrapText="1"/>
    </x:xf>
    <x:xf numFmtId="0" fontId="18" fillId="25" borderId="40" xfId="0" applyNumberFormat="1" applyFont="1" applyFill="1" applyBorder="1" applyAlignment="1">
      <x:alignment wrapText="1"/>
    </x:xf>
    <x:xf numFmtId="0" fontId="5" fillId="26" borderId="0" xfId="0" applyNumberFormat="1" applyFont="1" applyFill="1" applyBorder="1" applyAlignment="1">
      <x:alignment wrapText="1"/>
    </x:xf>
    <x:xf numFmtId="0" fontId="5" fillId="10" borderId="0" xfId="0" applyNumberFormat="1" applyFont="1" applyFill="1" applyBorder="1" applyAlignment="1">
      <x:alignment wrapText="1"/>
    </x:xf>
    <x:xf numFmtId="0" fontId="5" fillId="10" borderId="0" xfId="0" applyNumberFormat="1" applyFont="1" applyFill="1" applyBorder="1" applyAlignment="1">
      <x:alignment horizontal="center" wrapText="1"/>
    </x:xf>
    <x:xf numFmtId="0" fontId="19" fillId="22" borderId="0" xfId="0" applyNumberFormat="1" applyFont="1" applyFill="1" applyBorder="1"/>
    <x:xf numFmtId="0" fontId="19" fillId="22" borderId="62" xfId="0" applyNumberFormat="1" applyFont="1" applyFill="1" applyBorder="1"/>
    <x:xf numFmtId="0" fontId="19" fillId="22" borderId="63" xfId="0" applyNumberFormat="1" applyFont="1" applyFill="1" applyBorder="1"/>
    <x:xf numFmtId="0" fontId="19" fillId="22" borderId="64" xfId="0" applyNumberFormat="1" applyFont="1" applyFill="1" applyBorder="1"/>
    <x:xf numFmtId="0" fontId="19" fillId="22" borderId="62" xfId="0" applyNumberFormat="1" applyFont="1" applyFill="1" applyBorder="1" applyAlignment="1">
      <x:alignment wrapText="1"/>
    </x:xf>
    <x:xf numFmtId="0" fontId="19" fillId="22" borderId="63" xfId="0" applyNumberFormat="1" applyFont="1" applyFill="1" applyBorder="1" applyAlignment="1">
      <x:alignment wrapText="1"/>
    </x:xf>
    <x:xf numFmtId="0" fontId="19" fillId="22" borderId="64" xfId="0" applyNumberFormat="1" applyFont="1" applyFill="1" applyBorder="1" applyAlignment="1">
      <x:alignment wrapText="1"/>
    </x:xf>
    <x:xf numFmtId="0" fontId="5" fillId="12" borderId="0" xfId="0" applyNumberFormat="1" applyFont="1" applyFill="1" applyBorder="1" applyAlignment="1">
      <x:alignment wrapText="1"/>
    </x:xf>
    <x:xf numFmtId="0" fontId="5" fillId="12" borderId="0" xfId="0" applyNumberFormat="1" applyFont="1" applyFill="1" applyBorder="1" applyAlignment="1">
      <x:alignment horizontal="center" wrapText="1"/>
    </x:xf>
    <x:xf numFmtId="0" fontId="23" fillId="22" borderId="35" xfId="0" applyNumberFormat="1" applyFont="1" applyFill="1" applyBorder="1"/>
    <x:xf numFmtId="0" fontId="23" fillId="22" borderId="42" xfId="0" applyNumberFormat="1" applyFont="1" applyFill="1" applyBorder="1"/>
    <x:xf numFmtId="0" fontId="23" fillId="22" borderId="37" xfId="0" applyNumberFormat="1" applyFont="1" applyFill="1" applyBorder="1"/>
    <x:xf numFmtId="0" fontId="23" fillId="22" borderId="38" xfId="0" applyNumberFormat="1" applyFont="1" applyFill="1" applyBorder="1"/>
    <x:xf numFmtId="0" fontId="23" fillId="22" borderId="45" xfId="0" applyNumberFormat="1" applyFont="1" applyFill="1" applyBorder="1"/>
    <x:xf numFmtId="0" fontId="23" fillId="22" borderId="40" xfId="0" applyNumberFormat="1" applyFont="1" applyFill="1" applyBorder="1"/>
    <x:xf numFmtId="0" fontId="23" fillId="22" borderId="35" xfId="0" applyNumberFormat="1" applyFont="1" applyFill="1" applyBorder="1" applyAlignment="1">
      <x:alignment wrapText="1"/>
    </x:xf>
    <x:xf numFmtId="0" fontId="23" fillId="22" borderId="42" xfId="0" applyNumberFormat="1" applyFont="1" applyFill="1" applyBorder="1" applyAlignment="1">
      <x:alignment wrapText="1"/>
    </x:xf>
    <x:xf numFmtId="0" fontId="23" fillId="22" borderId="37" xfId="0" applyNumberFormat="1" applyFont="1" applyFill="1" applyBorder="1" applyAlignment="1">
      <x:alignment wrapText="1"/>
    </x:xf>
    <x:xf numFmtId="0" fontId="23" fillId="22" borderId="38" xfId="0" applyNumberFormat="1" applyFont="1" applyFill="1" applyBorder="1" applyAlignment="1">
      <x:alignment wrapText="1"/>
    </x:xf>
    <x:xf numFmtId="0" fontId="23" fillId="22" borderId="45" xfId="0" applyNumberFormat="1" applyFont="1" applyFill="1" applyBorder="1" applyAlignment="1">
      <x:alignment wrapText="1"/>
    </x:xf>
    <x:xf numFmtId="0" fontId="23" fillId="22" borderId="40" xfId="0" applyNumberFormat="1" applyFont="1" applyFill="1" applyBorder="1" applyAlignment="1">
      <x:alignment wrapText="1"/>
    </x:xf>
    <x:xf numFmtId="0" fontId="2" fillId="10" borderId="35" xfId="0" applyNumberFormat="1" applyFont="1" applyFill="1" applyBorder="1" applyAlignment="1">
      <x:alignment horizontal="center" vertical="top" wrapText="1"/>
    </x:xf>
    <x:xf numFmtId="0" fontId="2" fillId="10" borderId="42" xfId="0" applyNumberFormat="1" applyFont="1" applyFill="1" applyBorder="1" applyAlignment="1">
      <x:alignment horizontal="center" vertical="top" wrapText="1"/>
    </x:xf>
    <x:xf numFmtId="0" fontId="2" fillId="10" borderId="37" xfId="0" applyNumberFormat="1" applyFont="1" applyFill="1" applyBorder="1" applyAlignment="1">
      <x:alignment horizontal="center" vertical="top" wrapText="1"/>
    </x:xf>
    <x:xf numFmtId="0" fontId="5" fillId="26" borderId="0" xfId="0" applyNumberFormat="1" applyFont="1" applyFill="1" applyBorder="1" applyAlignment="1">
      <x:alignment horizontal="center" wrapText="1"/>
    </x:xf>
    <x:xf numFmtId="0" fontId="5" fillId="26" borderId="0" xfId="0" applyNumberFormat="1" applyFont="1" applyFill="1" applyBorder="1" applyAlignment="1">
      <x:alignment horizontal="center" vertical="center" wrapText="1"/>
    </x:xf>
    <x:xf numFmtId="0" fontId="6" fillId="10" borderId="0" xfId="0" applyNumberFormat="1" applyFont="1" applyFill="1" applyBorder="1"/>
    <x:xf numFmtId="0" fontId="6" fillId="10" borderId="0" xfId="0" applyNumberFormat="1" applyFont="1" applyFill="1" applyBorder="1" applyAlignment="1">
      <x:alignment horizontal="left"/>
    </x:xf>
    <x:xf numFmtId="0" fontId="2" fillId="17" borderId="35" xfId="0" applyNumberFormat="1" applyFont="1" applyFill="1" applyBorder="1" applyAlignment="1">
      <x:alignment horizontal="center" vertical="top" wrapText="1"/>
    </x:xf>
    <x:xf numFmtId="0" fontId="2" fillId="17" borderId="42" xfId="0" applyNumberFormat="1" applyFont="1" applyFill="1" applyBorder="1" applyAlignment="1">
      <x:alignment horizontal="center" vertical="top" wrapText="1"/>
    </x:xf>
    <x:xf numFmtId="0" fontId="2" fillId="17" borderId="37" xfId="0" applyNumberFormat="1" applyFont="1" applyFill="1" applyBorder="1" applyAlignment="1">
      <x:alignment horizontal="center" vertical="top" wrapText="1"/>
    </x:xf>
    <x:xf numFmtId="0" fontId="2" fillId="38" borderId="35" xfId="0" applyNumberFormat="1" applyFont="1" applyFill="1" applyBorder="1" applyAlignment="1">
      <x:alignment horizontal="center" vertical="top" wrapText="1"/>
    </x:xf>
    <x:xf numFmtId="0" fontId="2" fillId="38" borderId="42" xfId="0" applyNumberFormat="1" applyFont="1" applyFill="1" applyBorder="1" applyAlignment="1">
      <x:alignment horizontal="center" vertical="top" wrapText="1"/>
    </x:xf>
    <x:xf numFmtId="0" fontId="2" fillId="38" borderId="37" xfId="0" applyNumberFormat="1" applyFont="1" applyFill="1" applyBorder="1" applyAlignment="1">
      <x:alignment horizontal="center" vertical="top" wrapText="1"/>
    </x:xf>
    <x:xf numFmtId="0" fontId="2" fillId="38" borderId="35" xfId="0" applyNumberFormat="1" applyFont="1" applyFill="1" applyBorder="1" applyAlignment="1">
      <x:alignment horizontal="center" vertical="center" wrapText="1"/>
    </x:xf>
    <x:xf numFmtId="0" fontId="2" fillId="38" borderId="42" xfId="0" applyNumberFormat="1" applyFont="1" applyFill="1" applyBorder="1" applyAlignment="1">
      <x:alignment horizontal="center" vertical="center" wrapText="1"/>
    </x:xf>
    <x:xf numFmtId="0" fontId="2" fillId="38" borderId="37" xfId="0" applyNumberFormat="1" applyFont="1" applyFill="1" applyBorder="1" applyAlignment="1">
      <x:alignment horizontal="center" vertical="center" wrapText="1"/>
    </x:xf>
    <x:xf numFmtId="0" fontId="0" fillId="39" borderId="0" xfId="0" applyNumberFormat="1" applyFont="1" applyFill="1" applyBorder="1"/>
    <x:xf numFmtId="0" fontId="23" fillId="39" borderId="0" xfId="0" applyNumberFormat="1" applyFont="1" applyFill="1" applyBorder="1"/>
    <x:xf numFmtId="0" fontId="23" fillId="39" borderId="35" xfId="0" applyNumberFormat="1" applyFont="1" applyFill="1" applyBorder="1"/>
    <x:xf numFmtId="0" fontId="23" fillId="39" borderId="42" xfId="0" applyNumberFormat="1" applyFont="1" applyFill="1" applyBorder="1"/>
    <x:xf numFmtId="0" fontId="23" fillId="39" borderId="37" xfId="0" applyNumberFormat="1" applyFont="1" applyFill="1" applyBorder="1"/>
    <x:xf numFmtId="0" fontId="23" fillId="39" borderId="38" xfId="0" applyNumberFormat="1" applyFont="1" applyFill="1" applyBorder="1"/>
    <x:xf numFmtId="0" fontId="23" fillId="39" borderId="45" xfId="0" applyNumberFormat="1" applyFont="1" applyFill="1" applyBorder="1"/>
    <x:xf numFmtId="0" fontId="23" fillId="39" borderId="40" xfId="0" applyNumberFormat="1" applyFont="1" applyFill="1" applyBorder="1"/>
    <x:xf numFmtId="0" fontId="23" fillId="39" borderId="35" xfId="0" applyNumberFormat="1" applyFont="1" applyFill="1" applyBorder="1" applyAlignment="1">
      <x:alignment wrapText="1"/>
    </x:xf>
    <x:xf numFmtId="0" fontId="23" fillId="39" borderId="42" xfId="0" applyNumberFormat="1" applyFont="1" applyFill="1" applyBorder="1" applyAlignment="1">
      <x:alignment wrapText="1"/>
    </x:xf>
    <x:xf numFmtId="0" fontId="23" fillId="39" borderId="37" xfId="0" applyNumberFormat="1" applyFont="1" applyFill="1" applyBorder="1" applyAlignment="1">
      <x:alignment wrapText="1"/>
    </x:xf>
    <x:xf numFmtId="0" fontId="23" fillId="39" borderId="38" xfId="0" applyNumberFormat="1" applyFont="1" applyFill="1" applyBorder="1" applyAlignment="1">
      <x:alignment wrapText="1"/>
    </x:xf>
    <x:xf numFmtId="0" fontId="23" fillId="39" borderId="45" xfId="0" applyNumberFormat="1" applyFont="1" applyFill="1" applyBorder="1" applyAlignment="1">
      <x:alignment wrapText="1"/>
    </x:xf>
    <x:xf numFmtId="0" fontId="23" fillId="39" borderId="40" xfId="0" applyNumberFormat="1" applyFont="1" applyFill="1" applyBorder="1" applyAlignment="1">
      <x:alignment wrapText="1"/>
    </x:xf>
    <x:xf numFmtId="0" fontId="5" fillId="40" borderId="0" xfId="0" applyNumberFormat="1" applyFont="1" applyFill="1" applyBorder="1" applyAlignment="1">
      <x:alignment horizontal="center" vertical="center" wrapText="1"/>
    </x:xf>
    <x:xf numFmtId="0" fontId="0" fillId="40" borderId="0" xfId="0" applyNumberFormat="1" applyFont="1" applyFill="1" applyBorder="1"/>
    <x:xf numFmtId="0" fontId="0" fillId="40" borderId="34" xfId="0" applyNumberFormat="1" applyFont="1" applyFill="1" applyBorder="1" applyAlignment="1">
      <x:alignment vertical="top" wrapText="1"/>
    </x:xf>
    <x:xf numFmtId="0" fontId="21" fillId="40" borderId="0" xfId="0" applyNumberFormat="1" applyFont="1" applyFill="1" applyBorder="1" applyAlignment="1">
      <x:alignment horizontal="center" vertical="center" wrapText="1"/>
    </x:xf>
    <x:xf numFmtId="0" fontId="19" fillId="40" borderId="0" xfId="0" applyNumberFormat="1" applyFont="1" applyFill="1" applyBorder="1"/>
    <x:xf numFmtId="0" fontId="19" fillId="40" borderId="34" xfId="0" applyNumberFormat="1" applyFont="1" applyFill="1" applyBorder="1" applyAlignment="1">
      <x:alignment vertical="top" wrapText="1"/>
    </x:xf>
    <x:xf numFmtId="0" fontId="21" fillId="40" borderId="62" xfId="0" applyNumberFormat="1" applyFont="1" applyFill="1" applyBorder="1" applyAlignment="1">
      <x:alignment horizontal="center" vertical="center" wrapText="1"/>
    </x:xf>
    <x:xf numFmtId="0" fontId="19" fillId="40" borderId="63" xfId="0" applyNumberFormat="1" applyFont="1" applyFill="1" applyBorder="1"/>
    <x:xf numFmtId="0" fontId="19" fillId="40" borderId="71" xfId="0" applyNumberFormat="1" applyFont="1" applyFill="1" applyBorder="1" applyAlignment="1">
      <x:alignment vertical="top" wrapText="1"/>
    </x:xf>
    <x:xf numFmtId="0" fontId="19" fillId="40" borderId="63" xfId="0" applyNumberFormat="1" applyFont="1" applyFill="1" applyBorder="1" applyAlignment="1">
      <x:alignment horizontal="center"/>
    </x:xf>
    <x:xf numFmtId="0" fontId="19" fillId="40" borderId="71" xfId="0" applyNumberFormat="1" applyFont="1" applyFill="1" applyBorder="1" applyAlignment="1">
      <x:alignment horizontal="center" vertical="top" wrapText="1"/>
    </x:xf>
    <x:xf numFmtId="0" fontId="19" fillId="40" borderId="63" xfId="0" applyNumberFormat="1" applyFont="1" applyFill="1" applyBorder="1" applyAlignment="1">
      <x:alignment horizontal="center" vertical="center"/>
    </x:xf>
    <x:xf numFmtId="0" fontId="19" fillId="40" borderId="71" xfId="0" applyNumberFormat="1" applyFont="1" applyFill="1" applyBorder="1" applyAlignment="1">
      <x:alignment horizontal="center" vertical="center" wrapText="1"/>
    </x:xf>
    <x:xf numFmtId="0" fontId="21" fillId="41" borderId="62" xfId="0" applyNumberFormat="1" applyFont="1" applyFill="1" applyBorder="1" applyAlignment="1">
      <x:alignment horizontal="center" vertical="center" wrapText="1"/>
    </x:xf>
    <x:xf numFmtId="0" fontId="5" fillId="41" borderId="62" xfId="0" applyNumberFormat="1" applyFont="1" applyFill="1" applyBorder="1" applyAlignment="1">
      <x:alignment horizontal="center" vertical="center" wrapText="1"/>
    </x:xf>
    <x:xf numFmtId="0" fontId="0" fillId="42" borderId="0" xfId="0" applyNumberFormat="1" applyFont="1" applyFill="1" applyBorder="1"/>
    <x:xf numFmtId="0" fontId="5" fillId="42" borderId="0" xfId="0" applyNumberFormat="1" applyFont="1" applyFill="1" applyBorder="1"/>
    <x:xf numFmtId="0" fontId="5" fillId="42" borderId="0" xfId="0" applyNumberFormat="1" applyFont="1" applyFill="1" applyBorder="1" applyAlignment="1">
      <x:alignment wrapText="1"/>
    </x:xf>
    <x:xf numFmtId="0" fontId="5" fillId="42" borderId="0" xfId="0" applyNumberFormat="1" applyFont="1" applyFill="1" applyBorder="1" applyAlignment="1">
      <x:alignment horizontal="center" wrapText="1"/>
    </x:xf>
    <x:xf numFmtId="0" fontId="5" fillId="42" borderId="0" xfId="0" applyNumberFormat="1" applyFont="1" applyFill="1" applyBorder="1" applyAlignment="1">
      <x:alignment horizontal="center" vertical="center" wrapText="1"/>
    </x:xf>
    <x:xf numFmtId="0" fontId="5" fillId="14" borderId="0" xfId="0" applyNumberFormat="1" applyFont="1" applyFill="1" applyBorder="1" applyAlignment="1">
      <x:alignment horizontal="center" vertical="center" wrapText="1"/>
    </x:xf>
    <x:xf numFmtId="0" fontId="0" fillId="14" borderId="34" xfId="0" applyNumberFormat="1" applyFont="1" applyFill="1" applyBorder="1" applyAlignment="1">
      <x:alignment vertical="top" wrapText="1"/>
    </x:xf>
    <x:xf numFmtId="0" fontId="21" fillId="14" borderId="0" xfId="0" applyNumberFormat="1" applyFont="1" applyFill="1" applyBorder="1" applyAlignment="1">
      <x:alignment horizontal="center" vertical="center" wrapText="1"/>
    </x:xf>
    <x:xf numFmtId="0" fontId="19" fillId="14" borderId="0" xfId="0" applyNumberFormat="1" applyFont="1" applyFill="1" applyBorder="1"/>
    <x:xf numFmtId="0" fontId="19" fillId="14" borderId="34" xfId="0" applyNumberFormat="1" applyFont="1" applyFill="1" applyBorder="1" applyAlignment="1">
      <x:alignment vertical="top" wrapText="1"/>
    </x:xf>
    <x:xf numFmtId="0" fontId="21" fillId="14" borderId="62" xfId="0" applyNumberFormat="1" applyFont="1" applyFill="1" applyBorder="1" applyAlignment="1">
      <x:alignment horizontal="center" vertical="center" wrapText="1"/>
    </x:xf>
    <x:xf numFmtId="0" fontId="19" fillId="14" borderId="63" xfId="0" applyNumberFormat="1" applyFont="1" applyFill="1" applyBorder="1"/>
    <x:xf numFmtId="0" fontId="19" fillId="14" borderId="71" xfId="0" applyNumberFormat="1" applyFont="1" applyFill="1" applyBorder="1" applyAlignment="1">
      <x:alignment vertical="top" wrapText="1"/>
    </x:xf>
    <x:xf numFmtId="0" fontId="19" fillId="14" borderId="63" xfId="0" applyNumberFormat="1" applyFont="1" applyFill="1" applyBorder="1" applyAlignment="1">
      <x:alignment horizontal="center"/>
    </x:xf>
    <x:xf numFmtId="0" fontId="19" fillId="14" borderId="71" xfId="0" applyNumberFormat="1" applyFont="1" applyFill="1" applyBorder="1" applyAlignment="1">
      <x:alignment horizontal="center" vertical="top" wrapText="1"/>
    </x:xf>
    <x:xf numFmtId="0" fontId="19" fillId="14" borderId="63" xfId="0" applyNumberFormat="1" applyFont="1" applyFill="1" applyBorder="1" applyAlignment="1">
      <x:alignment horizontal="center" vertical="center"/>
    </x:xf>
    <x:xf numFmtId="0" fontId="19" fillId="14" borderId="71" xfId="0" applyNumberFormat="1" applyFont="1" applyFill="1" applyBorder="1" applyAlignment="1">
      <x:alignment horizontal="center" vertical="center" wrapText="1"/>
    </x:xf>
    <x:xf numFmtId="0" fontId="21" fillId="15" borderId="62" xfId="0" applyNumberFormat="1" applyFont="1" applyFill="1" applyBorder="1" applyAlignment="1">
      <x:alignment horizontal="center" vertical="center" wrapText="1"/>
    </x:xf>
    <x:xf numFmtId="0" fontId="5" fillId="15" borderId="62" xfId="0" applyNumberFormat="1" applyFont="1" applyFill="1" applyBorder="1" applyAlignment="1">
      <x:alignment horizontal="center" vertical="center" wrapText="1"/>
    </x:xf>
    <x:xf numFmtId="0" fontId="0" fillId="43" borderId="0" xfId="0" applyNumberFormat="1" applyFont="1" applyFill="1" applyBorder="1"/>
    <x:xf numFmtId="0" fontId="23" fillId="43" borderId="0" xfId="0" applyNumberFormat="1" applyFont="1" applyFill="1" applyBorder="1"/>
    <x:xf numFmtId="0" fontId="23" fillId="43" borderId="35" xfId="0" applyNumberFormat="1" applyFont="1" applyFill="1" applyBorder="1"/>
    <x:xf numFmtId="0" fontId="23" fillId="43" borderId="42" xfId="0" applyNumberFormat="1" applyFont="1" applyFill="1" applyBorder="1"/>
    <x:xf numFmtId="0" fontId="23" fillId="43" borderId="37" xfId="0" applyNumberFormat="1" applyFont="1" applyFill="1" applyBorder="1"/>
    <x:xf numFmtId="0" fontId="23" fillId="43" borderId="38" xfId="0" applyNumberFormat="1" applyFont="1" applyFill="1" applyBorder="1"/>
    <x:xf numFmtId="0" fontId="23" fillId="43" borderId="45" xfId="0" applyNumberFormat="1" applyFont="1" applyFill="1" applyBorder="1"/>
    <x:xf numFmtId="0" fontId="23" fillId="43" borderId="40" xfId="0" applyNumberFormat="1" applyFont="1" applyFill="1" applyBorder="1"/>
    <x:xf numFmtId="0" fontId="23" fillId="43" borderId="35" xfId="0" applyNumberFormat="1" applyFont="1" applyFill="1" applyBorder="1" applyAlignment="1">
      <x:alignment wrapText="1"/>
    </x:xf>
    <x:xf numFmtId="0" fontId="23" fillId="43" borderId="42" xfId="0" applyNumberFormat="1" applyFont="1" applyFill="1" applyBorder="1" applyAlignment="1">
      <x:alignment wrapText="1"/>
    </x:xf>
    <x:xf numFmtId="0" fontId="23" fillId="43" borderId="37" xfId="0" applyNumberFormat="1" applyFont="1" applyFill="1" applyBorder="1" applyAlignment="1">
      <x:alignment wrapText="1"/>
    </x:xf>
    <x:xf numFmtId="0" fontId="23" fillId="43" borderId="38" xfId="0" applyNumberFormat="1" applyFont="1" applyFill="1" applyBorder="1" applyAlignment="1">
      <x:alignment wrapText="1"/>
    </x:xf>
    <x:xf numFmtId="0" fontId="23" fillId="43" borderId="45" xfId="0" applyNumberFormat="1" applyFont="1" applyFill="1" applyBorder="1" applyAlignment="1">
      <x:alignment wrapText="1"/>
    </x:xf>
    <x:xf numFmtId="0" fontId="23" fillId="43" borderId="40" xfId="0" applyNumberFormat="1" applyFont="1" applyFill="1" applyBorder="1" applyAlignment="1">
      <x:alignment wrapText="1"/>
    </x:xf>
    <x:xf numFmtId="0" fontId="0" fillId="44" borderId="0" xfId="0" applyNumberFormat="1" applyFont="1" applyFill="1" applyBorder="1"/>
    <x:xf numFmtId="0" fontId="5" fillId="44" borderId="0" xfId="0" applyNumberFormat="1" applyFont="1" applyFill="1" applyBorder="1"/>
    <x:xf numFmtId="0" fontId="5" fillId="44" borderId="0" xfId="0" applyNumberFormat="1" applyFont="1" applyFill="1" applyBorder="1" applyAlignment="1">
      <x:alignment wrapText="1"/>
    </x:xf>
    <x:xf numFmtId="0" fontId="5" fillId="44" borderId="0" xfId="0" applyNumberFormat="1" applyFont="1" applyFill="1" applyBorder="1" applyAlignment="1">
      <x:alignment horizontal="center" wrapText="1"/>
    </x:xf>
    <x:xf numFmtId="0" fontId="5" fillId="44" borderId="0" xfId="0" applyNumberFormat="1" applyFont="1" applyFill="1" applyBorder="1" applyAlignment="1">
      <x:alignment horizontal="center" vertical="center" wrapText="1"/>
    </x:xf>
    <x:xf numFmtId="0" fontId="0" fillId="45" borderId="0" xfId="0" applyNumberFormat="1" applyFont="1" applyFill="1" applyBorder="1"/>
    <x:xf numFmtId="0" fontId="5" fillId="45" borderId="0" xfId="0" applyNumberFormat="1" applyFont="1" applyFill="1" applyBorder="1"/>
    <x:xf numFmtId="0" fontId="5" fillId="45" borderId="0" xfId="0" applyNumberFormat="1" applyFont="1" applyFill="1" applyBorder="1" applyAlignment="1">
      <x:alignment wrapText="1"/>
    </x:xf>
    <x:xf numFmtId="0" fontId="5" fillId="45" borderId="0" xfId="0" applyNumberFormat="1" applyFont="1" applyFill="1" applyBorder="1" applyAlignment="1">
      <x:alignment horizontal="center" wrapText="1"/>
    </x:xf>
    <x:xf numFmtId="0" fontId="5" fillId="45" borderId="0" xfId="0" applyNumberFormat="1" applyFont="1" applyFill="1" applyBorder="1" applyAlignment="1">
      <x:alignment horizontal="center" vertical="center" wrapText="1"/>
    </x:xf>
    <x:xf numFmtId="0" fontId="21" fillId="43" borderId="0" xfId="0" applyNumberFormat="1" applyFont="1" applyFill="1" applyBorder="1"/>
    <x:xf numFmtId="0" fontId="21" fillId="43" borderId="71" xfId="0" applyNumberFormat="1" applyFont="1" applyFill="1" applyBorder="1"/>
    <x:xf numFmtId="0" fontId="21" fillId="43" borderId="71" xfId="0" applyNumberFormat="1" applyFont="1" applyFill="1" applyBorder="1" applyAlignment="1">
      <x:alignment wrapText="1"/>
    </x:xf>
    <x:xf numFmtId="0" fontId="21" fillId="43" borderId="71" xfId="0" applyNumberFormat="1" applyFont="1" applyFill="1" applyBorder="1" applyAlignment="1">
      <x:alignment vertical="top" wrapText="1"/>
    </x:xf>
    <x:xf numFmtId="0" fontId="21" fillId="22" borderId="0" xfId="0" applyNumberFormat="1" applyFont="1" applyFill="1" applyBorder="1"/>
    <x:xf numFmtId="0" fontId="21" fillId="22" borderId="71" xfId="0" applyNumberFormat="1" applyFont="1" applyFill="1" applyBorder="1"/>
    <x:xf numFmtId="0" fontId="21" fillId="22" borderId="71" xfId="0" applyNumberFormat="1" applyFont="1" applyFill="1" applyBorder="1" applyAlignment="1">
      <x:alignment wrapText="1"/>
    </x:xf>
    <x:xf numFmtId="0" fontId="5" fillId="46" borderId="0" xfId="0" applyNumberFormat="1" applyFont="1" applyFill="1" applyBorder="1" applyAlignment="1">
      <x:alignment horizontal="left" vertical="center"/>
    </x:xf>
    <x:xf numFmtId="0" fontId="5" fillId="46" borderId="0" xfId="0" applyNumberFormat="1" applyFont="1" applyFill="1" applyBorder="1" applyAlignment="1">
      <x:alignment horizontal="left" vertical="center" wrapText="1"/>
    </x:xf>
    <x:xf numFmtId="0" fontId="0" fillId="47" borderId="0" xfId="0" applyNumberFormat="1" applyFont="1" applyFill="1" applyBorder="1"/>
    <x:xf numFmtId="0" fontId="25" fillId="47" borderId="0" xfId="0" applyNumberFormat="1" applyFont="1" applyFill="1" applyBorder="1"/>
    <x:xf numFmtId="0" fontId="26" fillId="0" borderId="0" xfId="0" applyNumberFormat="1" applyFont="1" applyFill="1" applyBorder="1" applyAlignment="1">
      <x:alignment vertical="top" wrapText="1"/>
    </x:xf>
    <x:xf numFmtId="0" fontId="5" fillId="46" borderId="72" xfId="0" applyNumberFormat="1" applyFont="1" applyFill="1" applyBorder="1" applyAlignment="1">
      <x:alignment horizontal="left" vertical="center" wrapText="1"/>
    </x:xf>
    <x:xf numFmtId="0" fontId="5" fillId="46" borderId="73" xfId="0" applyNumberFormat="1" applyFont="1" applyFill="1" applyBorder="1" applyAlignment="1">
      <x:alignment horizontal="left" vertical="center" wrapText="1"/>
    </x:xf>
    <x:xf numFmtId="0" fontId="5" fillId="46" borderId="74" xfId="0" applyNumberFormat="1" applyFont="1" applyFill="1" applyBorder="1" applyAlignment="1">
      <x:alignment horizontal="left" vertical="center" wrapText="1"/>
    </x:xf>
    <x:xf numFmtId="0" fontId="25" fillId="47" borderId="75" xfId="0" applyNumberFormat="1" applyFont="1" applyFill="1" applyBorder="1"/>
    <x:xf numFmtId="0" fontId="25" fillId="47" borderId="76" xfId="0" applyNumberFormat="1" applyFont="1" applyFill="1" applyBorder="1"/>
    <x:xf numFmtId="0" fontId="25" fillId="47" borderId="77" xfId="0" applyNumberFormat="1" applyFont="1" applyFill="1" applyBorder="1"/>
    <x:xf numFmtId="0" fontId="26" fillId="0" borderId="75" xfId="0" applyNumberFormat="1" applyFont="1" applyFill="1" applyBorder="1" applyAlignment="1">
      <x:alignment vertical="top" wrapText="1"/>
    </x:xf>
    <x:xf numFmtId="0" fontId="0" fillId="0" borderId="76" xfId="0" applyNumberFormat="1" applyFont="1" applyFill="1" applyBorder="1" applyAlignment="1">
      <x:alignment vertical="top" wrapText="1"/>
    </x:xf>
    <x:xf numFmtId="0" fontId="0" fillId="0" borderId="77" xfId="0" applyNumberFormat="1" applyFont="1" applyFill="1" applyBorder="1" applyAlignment="1">
      <x:alignment vertical="top" wrapText="1"/>
    </x:xf>
    <x:xf numFmtId="0" fontId="26" fillId="0" borderId="78" xfId="0" applyNumberFormat="1" applyFont="1" applyFill="1" applyBorder="1" applyAlignment="1">
      <x:alignment vertical="top" wrapText="1"/>
    </x:xf>
    <x:xf numFmtId="0" fontId="0" fillId="0" borderId="79" xfId="0" applyNumberFormat="1" applyFont="1" applyFill="1" applyBorder="1" applyAlignment="1">
      <x:alignment vertical="top" wrapText="1"/>
    </x:xf>
    <x:xf numFmtId="0" fontId="0" fillId="0" borderId="80" xfId="0" applyNumberFormat="1" applyFont="1" applyFill="1" applyBorder="1" applyAlignment="1">
      <x:alignment vertical="top" wrapText="1"/>
    </x:xf>
    <x:xf numFmtId="201" fontId="24" fillId="11" borderId="62" xfId="0" applyNumberFormat="1" applyFont="1" applyFill="1" applyBorder="1" applyAlignment="1">
      <x:alignment vertical="top" wrapText="1"/>
    </x:xf>
    <x:xf numFmtId="201" fontId="24" fillId="48" borderId="62" xfId="0" applyNumberFormat="1" applyFont="1" applyFill="1" applyBorder="1" applyAlignment="1">
      <x:alignment vertical="top" wrapText="1"/>
    </x:xf>
    <x:xf numFmtId="0" fontId="23" fillId="48" borderId="38" xfId="0" applyNumberFormat="1" applyFont="1" applyFill="1" applyBorder="1" applyAlignment="1">
      <x:alignment wrapText="1"/>
    </x:xf>
    <x:xf numFmtId="0" fontId="23" fillId="48" borderId="45" xfId="0" applyNumberFormat="1" applyFont="1" applyFill="1" applyBorder="1" applyAlignment="1">
      <x:alignment wrapText="1"/>
    </x:xf>
    <x:xf numFmtId="0" fontId="23" fillId="48" borderId="40" xfId="0" applyNumberFormat="1" applyFont="1" applyFill="1" applyBorder="1" applyAlignment="1">
      <x:alignment wrapText="1"/>
    </x:xf>
    <x:xf numFmtId="0" fontId="27" fillId="48" borderId="38" xfId="0" applyNumberFormat="1" applyFont="1" applyFill="1" applyBorder="1" applyAlignment="1">
      <x:alignment wrapText="1"/>
    </x:xf>
    <x:xf numFmtId="0" fontId="27" fillId="48" borderId="45" xfId="0" applyNumberFormat="1" applyFont="1" applyFill="1" applyBorder="1" applyAlignment="1">
      <x:alignment wrapText="1"/>
    </x:xf>
    <x:xf numFmtId="0" fontId="27" fillId="48" borderId="40" xfId="0" applyNumberFormat="1" applyFont="1" applyFill="1" applyBorder="1" applyAlignment="1">
      <x:alignment wrapText="1"/>
    </x:xf>
    <x:xf numFmtId="0" fontId="0" fillId="48" borderId="0" xfId="0" applyNumberFormat="1" applyFont="1" applyFill="1" applyBorder="1"/>
    <x:xf numFmtId="0" fontId="27" fillId="48" borderId="0" xfId="0" applyNumberFormat="1" applyFont="1" applyFill="1" applyBorder="1"/>
    <x:xf numFmtId="0" fontId="27" fillId="48" borderId="0" xfId="0" applyNumberFormat="1" applyFont="1" applyFill="1" applyBorder="1" applyAlignment="1">
      <x:alignment wrapText="1"/>
    </x:xf>
    <x:xf numFmtId="0" fontId="0" fillId="47" borderId="0" xfId="0" applyNumberFormat="1" applyFont="1" applyFill="1" applyBorder="1" applyAlignment="1">
      <x:alignment wrapText="1"/>
    </x:xf>
    <x:xf numFmtId="0" fontId="26" fillId="0" borderId="0" xfId="0" applyNumberFormat="1" applyFont="1" applyFill="1" applyBorder="1" applyAlignment="1">
      <x:alignment wrapText="1"/>
    </x:xf>
    <x:xf numFmtId="0" fontId="14" fillId="49" borderId="32" xfId="0" applyNumberFormat="1" applyFont="1" applyFill="1" applyBorder="1" applyAlignment="1">
      <x:alignment wrapText="1"/>
    </x:xf>
    <x:xf numFmtId="0" fontId="14" fillId="49" borderId="41" xfId="0" applyNumberFormat="1" applyFont="1" applyFill="1" applyBorder="1" applyAlignment="1">
      <x:alignment wrapText="1"/>
    </x:xf>
    <x:xf numFmtId="0" fontId="14" fillId="49" borderId="34" xfId="0" applyNumberFormat="1" applyFont="1" applyFill="1" applyBorder="1" applyAlignment="1">
      <x:alignment wrapText="1"/>
    </x:xf>
    <x:xf numFmtId="0" fontId="18" fillId="49" borderId="34" xfId="0" applyNumberFormat="1" applyFont="1" applyFill="1" applyBorder="1" applyAlignment="1">
      <x:alignment wrapText="1"/>
    </x:xf>
    <x:xf numFmtId="0" fontId="28" fillId="49" borderId="32" xfId="0" applyNumberFormat="1" applyFont="1" applyFill="1" applyBorder="1" applyAlignment="1">
      <x:alignment wrapText="1"/>
    </x:xf>
    <x:xf numFmtId="0" fontId="28" fillId="49" borderId="41" xfId="0" applyNumberFormat="1" applyFont="1" applyFill="1" applyBorder="1" applyAlignment="1">
      <x:alignment wrapText="1"/>
    </x:xf>
    <x:xf numFmtId="0" fontId="28" fillId="49" borderId="34" xfId="0" applyNumberFormat="1" applyFont="1" applyFill="1" applyBorder="1" applyAlignment="1">
      <x:alignment wrapText="1"/>
    </x:xf>
    <x:xf numFmtId="0" fontId="18" fillId="49" borderId="32" xfId="0" applyNumberFormat="1" applyFont="1" applyFill="1" applyBorder="1" applyAlignment="1">
      <x:alignment wrapText="1"/>
    </x:xf>
    <x:xf numFmtId="0" fontId="5" fillId="10" borderId="0" xfId="0" applyNumberFormat="1" applyFont="1" applyFill="1" applyBorder="1" applyAlignment="1">
      <x:alignment horizontal="left" vertical="center" wrapText="1"/>
    </x:xf>
    <x:xf numFmtId="201" fontId="24" fillId="5" borderId="62" xfId="0" applyNumberFormat="1" applyFont="1" applyFill="1" applyBorder="1" applyAlignment="1">
      <x:alignment vertical="top" wrapText="1"/>
    </x:xf>
    <x:xf numFmtId="0" fontId="23" fillId="5" borderId="38" xfId="0" applyNumberFormat="1" applyFont="1" applyFill="1" applyBorder="1" applyAlignment="1">
      <x:alignment wrapText="1"/>
    </x:xf>
    <x:xf numFmtId="0" fontId="23" fillId="5" borderId="45" xfId="0" applyNumberFormat="1" applyFont="1" applyFill="1" applyBorder="1" applyAlignment="1">
      <x:alignment wrapText="1"/>
    </x:xf>
    <x:xf numFmtId="0" fontId="23" fillId="5" borderId="40" xfId="0" applyNumberFormat="1" applyFont="1" applyFill="1" applyBorder="1" applyAlignment="1">
      <x:alignment wrapText="1"/>
    </x:xf>
    <x:xf numFmtId="0" fontId="27" fillId="5" borderId="38" xfId="0" applyNumberFormat="1" applyFont="1" applyFill="1" applyBorder="1" applyAlignment="1">
      <x:alignment wrapText="1"/>
    </x:xf>
    <x:xf numFmtId="0" fontId="27" fillId="5" borderId="45" xfId="0" applyNumberFormat="1" applyFont="1" applyFill="1" applyBorder="1" applyAlignment="1">
      <x:alignment wrapText="1"/>
    </x:xf>
    <x:xf numFmtId="0" fontId="27" fillId="5" borderId="40" xfId="0" applyNumberFormat="1" applyFont="1" applyFill="1" applyBorder="1" applyAlignment="1">
      <x:alignment wrapText="1"/>
    </x:xf>
    <x:xf numFmtId="0" fontId="27" fillId="5" borderId="0" xfId="0" applyNumberFormat="1" applyFont="1" applyFill="1" applyBorder="1"/>
    <x:xf numFmtId="0" fontId="27" fillId="5" borderId="0" xfId="0" applyNumberFormat="1" applyFont="1" applyFill="1" applyBorder="1" applyAlignment="1">
      <x:alignment wrapText="1"/>
    </x:xf>
    <x:xf numFmtId="0" fontId="14" fillId="25" borderId="32" xfId="0" applyNumberFormat="1" applyFont="1" applyFill="1" applyBorder="1" applyAlignment="1">
      <x:alignment wrapText="1"/>
    </x:xf>
    <x:xf numFmtId="0" fontId="14" fillId="25" borderId="41" xfId="0" applyNumberFormat="1" applyFont="1" applyFill="1" applyBorder="1" applyAlignment="1">
      <x:alignment wrapText="1"/>
    </x:xf>
    <x:xf numFmtId="0" fontId="14" fillId="25" borderId="34" xfId="0" applyNumberFormat="1" applyFont="1" applyFill="1" applyBorder="1" applyAlignment="1">
      <x:alignment wrapText="1"/>
    </x:xf>
    <x:xf numFmtId="0" fontId="28" fillId="25" borderId="32" xfId="0" applyNumberFormat="1" applyFont="1" applyFill="1" applyBorder="1" applyAlignment="1">
      <x:alignment wrapText="1"/>
    </x:xf>
    <x:xf numFmtId="0" fontId="28" fillId="25" borderId="41" xfId="0" applyNumberFormat="1" applyFont="1" applyFill="1" applyBorder="1" applyAlignment="1">
      <x:alignment wrapText="1"/>
    </x:xf>
    <x:xf numFmtId="0" fontId="28" fillId="25" borderId="34" xfId="0" applyNumberFormat="1" applyFont="1" applyFill="1" applyBorder="1" applyAlignment="1">
      <x:alignment wrapText="1"/>
    </x:xf>
    <x:xf numFmtId="0" fontId="23" fillId="50" borderId="35" xfId="0" applyNumberFormat="1" applyFont="1" applyFill="1" applyBorder="1" applyAlignment="1">
      <x:alignment wrapText="1"/>
    </x:xf>
    <x:xf numFmtId="0" fontId="23" fillId="50" borderId="42" xfId="0" applyNumberFormat="1" applyFont="1" applyFill="1" applyBorder="1" applyAlignment="1">
      <x:alignment wrapText="1"/>
    </x:xf>
    <x:xf numFmtId="0" fontId="5" fillId="50" borderId="35" xfId="0" applyNumberFormat="1" applyFont="1" applyFill="1" applyBorder="1" applyAlignment="1">
      <x:alignment wrapText="1"/>
    </x:xf>
    <x:xf numFmtId="0" fontId="5" fillId="50" borderId="42" xfId="0" applyNumberFormat="1" applyFont="1" applyFill="1" applyBorder="1" applyAlignment="1">
      <x:alignment wrapText="1"/>
    </x:xf>
    <x:xf numFmtId="0" fontId="5" fillId="50" borderId="35" xfId="0" applyNumberFormat="1" applyFont="1" applyFill="1" applyBorder="1" applyAlignment="1">
      <x:alignment vertical="center" wrapText="1"/>
    </x:xf>
    <x:xf numFmtId="0" fontId="5" fillId="50" borderId="42" xfId="0" applyNumberFormat="1" applyFont="1" applyFill="1" applyBorder="1" applyAlignment="1">
      <x:alignment vertical="center" wrapText="1"/>
    </x:xf>
    <x:xf numFmtId="0" fontId="23" fillId="51" borderId="38" xfId="0" applyNumberFormat="1" applyFont="1" applyFill="1" applyBorder="1" applyAlignment="1">
      <x:alignment wrapText="1"/>
    </x:xf>
    <x:xf numFmtId="0" fontId="0" fillId="51" borderId="0" xfId="0" applyNumberFormat="1" applyFont="1" applyFill="1" applyBorder="1"/>
    <x:xf numFmtId="0" fontId="29" fillId="51" borderId="38" xfId="0" applyNumberFormat="1" applyFont="1" applyFill="1" applyBorder="1" applyAlignment="1">
      <x:alignment wrapText="1"/>
    </x:xf>
    <x:xf numFmtId="0" fontId="29" fillId="51" borderId="0" xfId="0" applyNumberFormat="1" applyFont="1" applyFill="1" applyBorder="1"/>
    <x:xf numFmtId="0" fontId="29" fillId="51" borderId="0" xfId="0" applyNumberFormat="1" applyFont="1" applyFill="1" applyBorder="1" applyAlignment="1">
      <x:alignment wrapText="1"/>
    </x:xf>
    <x:xf numFmtId="0" fontId="23" fillId="50" borderId="37" xfId="0" applyNumberFormat="1" applyFont="1" applyFill="1" applyBorder="1" applyAlignment="1">
      <x:alignment wrapText="1"/>
    </x:xf>
    <x:xf numFmtId="0" fontId="5" fillId="50" borderId="37" xfId="0" applyNumberFormat="1" applyFont="1" applyFill="1" applyBorder="1" applyAlignment="1">
      <x:alignment wrapText="1"/>
    </x:xf>
    <x:xf numFmtId="0" fontId="5" fillId="50" borderId="37" xfId="0" applyNumberFormat="1" applyFont="1" applyFill="1" applyBorder="1" applyAlignment="1">
      <x:alignment vertical="center" wrapText="1"/>
    </x:xf>
    <x:xf numFmtId="0" fontId="23" fillId="51" borderId="45" xfId="0" applyNumberFormat="1" applyFont="1" applyFill="1" applyBorder="1" applyAlignment="1">
      <x:alignment wrapText="1"/>
    </x:xf>
    <x:xf numFmtId="0" fontId="29" fillId="51" borderId="45" xfId="0" applyNumberFormat="1" applyFont="1" applyFill="1" applyBorder="1" applyAlignment="1">
      <x:alignment wrapText="1"/>
    </x:xf>
    <x:xf numFmtId="0" fontId="0" fillId="50" borderId="0" xfId="0" applyNumberFormat="1" applyFont="1" applyFill="1" applyBorder="1"/>
    <x:xf numFmtId="0" fontId="5" fillId="50" borderId="0" xfId="0" applyNumberFormat="1" applyFont="1" applyFill="1" applyBorder="1"/>
    <x:xf numFmtId="0" fontId="5" fillId="50" borderId="0" xfId="0" applyNumberFormat="1" applyFont="1" applyFill="1" applyBorder="1" applyAlignment="1">
      <x:alignment wrapText="1"/>
    </x:xf>
    <x:xf numFmtId="0" fontId="12" fillId="50" borderId="43" xfId="0" applyNumberFormat="1" applyFont="1" applyFill="1" applyBorder="1" applyAlignment="1">
      <x:alignment vertical="top" wrapText="1"/>
    </x:xf>
    <x:xf numFmtId="0" fontId="12" fillId="50" xfId="0" applyNumberFormat="1" applyFont="1" applyFill="1" applyBorder="0" applyAlignment="1">
      <x:alignment vertical="top" wrapText="1"/>
    </x:xf>
    <x:xf numFmtId="0" fontId="12" fillId="50" borderId="44" xfId="0" applyNumberFormat="1" applyFont="1" applyFill="1" applyBorder="1" applyAlignment="1">
      <x:alignment vertical="top" wrapText="1"/>
    </x:xf>
    <x:xf numFmtId="0" fontId="13" fillId="50" borderId="43" xfId="0" applyNumberFormat="1" applyFont="1" applyFill="1" applyBorder="1" applyAlignment="1">
      <x:alignment vertical="top" wrapText="1"/>
    </x:xf>
    <x:xf numFmtId="0" fontId="13" fillId="50" xfId="0" applyNumberFormat="1" applyFont="1" applyFill="1" applyBorder="0" applyAlignment="1">
      <x:alignment vertical="top" wrapText="1"/>
    </x:xf>
    <x:xf numFmtId="0" fontId="13" fillId="50" borderId="44" xfId="0" applyNumberFormat="1" applyFont="1" applyFill="1" applyBorder="1" applyAlignment="1">
      <x:alignment vertical="top" wrapText="1"/>
    </x:xf>
    <x:xf numFmtId="0" fontId="2" fillId="50" borderId="43" xfId="0" applyNumberFormat="1" applyFont="1" applyFill="1" applyBorder="1" applyAlignment="1">
      <x:alignment vertical="top" wrapText="1"/>
    </x:xf>
    <x:xf numFmtId="0" fontId="2" fillId="50" xfId="0" applyNumberFormat="1" applyFont="1" applyFill="1" applyBorder="0" applyAlignment="1">
      <x:alignment vertical="top" wrapText="1"/>
    </x:xf>
    <x:xf numFmtId="0" fontId="2" fillId="50" borderId="44" xfId="0" applyNumberFormat="1" applyFont="1" applyFill="1" applyBorder="1" applyAlignment="1">
      <x:alignment vertical="top" wrapText="1"/>
    </x:xf>
    <x:xf numFmtId="0" fontId="9" fillId="50" borderId="43" xfId="0" applyNumberFormat="1" applyFont="1" applyFill="1" applyBorder="1" applyAlignment="1">
      <x:alignment vertical="top" wrapText="1"/>
    </x:xf>
    <x:xf numFmtId="0" fontId="9" fillId="50" xfId="0" applyNumberFormat="1" applyFont="1" applyFill="1" applyBorder="0" applyAlignment="1">
      <x:alignment vertical="top" wrapText="1"/>
    </x:xf>
    <x:xf numFmtId="0" fontId="9" fillId="50" borderId="44" xfId="0" applyNumberFormat="1" applyFont="1" applyFill="1" applyBorder="1" applyAlignment="1">
      <x:alignment vertical="top" wrapText="1"/>
    </x:xf>
    <x:xf numFmtId="0" fontId="2" fillId="50" borderId="43" xfId="0" applyNumberFormat="1" applyFont="1" applyFill="1" applyBorder="1" applyAlignment="1">
      <x:alignment vertical="center" wrapText="1"/>
    </x:xf>
    <x:xf numFmtId="0" fontId="2" fillId="50" xfId="0" applyNumberFormat="1" applyFont="1" applyFill="1" applyBorder="0" applyAlignment="1">
      <x:alignment vertical="center" wrapText="1"/>
    </x:xf>
    <x:xf numFmtId="0" fontId="2" fillId="50" borderId="44" xfId="0" applyNumberFormat="1" applyFont="1" applyFill="1" applyBorder="1" applyAlignment="1">
      <x:alignment vertical="center" wrapText="1"/>
    </x:xf>
    <x:xf numFmtId="0" fontId="9" fillId="50" borderId="43" xfId="0" applyNumberFormat="1" applyFont="1" applyFill="1" applyBorder="1" applyAlignment="1">
      <x:alignment vertical="center" wrapText="1"/>
    </x:xf>
    <x:xf numFmtId="0" fontId="9" fillId="50" xfId="0" applyNumberFormat="1" applyFont="1" applyFill="1" applyBorder="0" applyAlignment="1">
      <x:alignment vertical="center" wrapText="1"/>
    </x:xf>
    <x:xf numFmtId="0" fontId="9" fillId="50" borderId="44" xfId="0" applyNumberFormat="1" applyFont="1" applyFill="1" applyBorder="1" applyAlignment="1">
      <x:alignment vertical="center" wrapText="1"/>
    </x:xf>
    <x:xf numFmtId="0" fontId="6" fillId="50" borderId="0" xfId="0" applyNumberFormat="1" applyFont="1" applyFill="1" applyBorder="1" applyAlignment="1">
      <x:alignment horizontal="left" vertical="center"/>
    </x:xf>
    <x:xf numFmtId="0" fontId="5" fillId="50" borderId="0" xfId="0" applyNumberFormat="1" applyFont="1" applyFill="1" applyBorder="1" applyAlignment="1">
      <x:alignment vertical="center"/>
    </x:xf>
    <x:xf numFmtId="0" fontId="5" fillId="50" borderId="0" xfId="0" applyNumberFormat="1" applyFont="1" applyFill="1" applyBorder="1" applyAlignment="1">
      <x:alignment vertical="center" wrapText="1"/>
    </x:xf>
    <x:xf numFmtId="0" fontId="2" fillId="50" borderId="35" xfId="0" applyNumberFormat="1" applyFont="1" applyFill="1" applyBorder="1" applyAlignment="1">
      <x:alignment horizontal="center" vertical="center" wrapText="1"/>
    </x:xf>
    <x:xf numFmtId="0" fontId="2" fillId="50" borderId="42" xfId="0" applyNumberFormat="1" applyFont="1" applyFill="1" applyBorder="1" applyAlignment="1">
      <x:alignment horizontal="center" vertical="center" wrapText="1"/>
    </x:xf>
    <x:xf numFmtId="0" fontId="2" fillId="50" borderId="37" xfId="0" applyNumberFormat="1" applyFont="1" applyFill="1" applyBorder="1" applyAlignment="1">
      <x:alignment horizontal="center" vertical="center" wrapText="1"/>
    </x:xf>
    <x:xf numFmtId="0" fontId="2" fillId="52" borderId="38" xfId="0" applyNumberFormat="1" applyFont="1" applyFill="1" applyBorder="1" applyAlignment="1">
      <x:alignment horizontal="center" vertical="center" wrapText="1"/>
    </x:xf>
    <x:xf numFmtId="0" fontId="2" fillId="52" borderId="45" xfId="0" applyNumberFormat="1" applyFont="1" applyFill="1" applyBorder="1" applyAlignment="1">
      <x:alignment horizontal="center" vertical="center" wrapText="1"/>
    </x:xf>
    <x:xf numFmtId="0" fontId="2" fillId="52" borderId="40" xfId="0" applyNumberFormat="1" applyFont="1" applyFill="1" applyBorder="1" applyAlignment="1">
      <x:alignment horizontal="center" vertical="center" wrapText="1"/>
    </x:xf>
    <x:xf numFmtId="0" fontId="30" fillId="52" borderId="38" xfId="0" applyNumberFormat="1" applyFont="1" applyFill="1" applyBorder="1" applyAlignment="1">
      <x:alignment horizontal="center" vertical="center" wrapText="1"/>
    </x:xf>
    <x:xf numFmtId="0" fontId="30" fillId="52" borderId="45" xfId="0" applyNumberFormat="1" applyFont="1" applyFill="1" applyBorder="1" applyAlignment="1">
      <x:alignment horizontal="center" vertical="center" wrapText="1"/>
    </x:xf>
    <x:xf numFmtId="0" fontId="30" fillId="52" borderId="40" xfId="0" applyNumberFormat="1" applyFont="1" applyFill="1" applyBorder="1" applyAlignment="1">
      <x:alignment horizontal="center" vertical="center" wrapText="1"/>
    </x:xf>
    <x:xf numFmtId="0" fontId="0" fillId="53" borderId="0" xfId="0" applyNumberFormat="1" applyFont="1" applyFill="1" applyBorder="1"/>
    <x:xf numFmtId="0" fontId="5" fillId="53" borderId="0" xfId="0" applyNumberFormat="1" applyFont="1" applyFill="1" applyBorder="1"/>
    <x:xf numFmtId="0" fontId="5" fillId="53" borderId="0" xfId="0" applyNumberFormat="1" applyFont="1" applyFill="1" applyBorder="1" applyAlignment="1">
      <x:alignment wrapText="1"/>
    </x:xf>
    <x:xf numFmtId="0" fontId="0" fillId="54" borderId="0" xfId="0" applyNumberFormat="1" applyFont="1" applyFill="1" applyBorder="1"/>
    <x:xf numFmtId="0" fontId="26" fillId="54" borderId="0" xfId="0" applyNumberFormat="1" applyFont="1" applyFill="1" applyBorder="1"/>
    <x:xf numFmtId="0" fontId="26" fillId="54" borderId="0" xfId="0" applyNumberFormat="1" applyFont="1" applyFill="1" applyBorder="1" applyAlignment="1">
      <x:alignment wrapText="1"/>
    </x:xf>
    <x:xf numFmtId="0" fontId="26" fillId="51" borderId="0" xfId="0" applyNumberFormat="1" applyFont="1" applyFill="1" applyBorder="1"/>
    <x:xf numFmtId="0" fontId="26" fillId="51" borderId="0" xfId="0" applyNumberFormat="1" applyFont="1" applyFill="1" applyBorder="1" applyAlignment="1">
      <x:alignment wrapText="1"/>
    </x:xf>
    <x:xf numFmtId="0" fontId="0" fillId="55" borderId="0" xfId="0" applyNumberFormat="1" applyFont="1" applyFill="1" applyBorder="1"/>
    <x:xf numFmtId="0" fontId="5" fillId="55" borderId="0" xfId="0" applyNumberFormat="1" applyFont="1" applyFill="1" applyBorder="1"/>
    <x:xf numFmtId="0" fontId="5" fillId="55" borderId="0" xfId="0" applyNumberFormat="1" applyFont="1" applyFill="1" applyBorder="1" applyAlignment="1">
      <x:alignment wrapText="1"/>
    </x:xf>
    <x:xf numFmtId="0" fontId="0" fillId="56" borderId="0" xfId="0" applyNumberFormat="1" applyFont="1" applyFill="1" applyBorder="1"/>
    <x:xf numFmtId="0" fontId="31" fillId="56" borderId="0" xfId="0" applyNumberFormat="1" applyFont="1" applyFill="1" applyBorder="1"/>
    <x:xf numFmtId="0" fontId="31" fillId="56" borderId="0" xfId="0" applyNumberFormat="1" applyFont="1" applyFill="1" applyBorder="1" applyAlignment="1">
      <x:alignment wrapText="1"/>
    </x:xf>
    <x:xf numFmtId="0" fontId="7" fillId="57" borderId="0" xfId="0" applyNumberFormat="1" applyFont="1" applyFill="1" applyBorder="1" applyAlignment="1">
      <x:alignment horizontal="left" vertical="center"/>
    </x:xf>
    <x:xf numFmtId="0" fontId="1" fillId="57" borderId="0" xfId="0" applyNumberFormat="1" applyFont="1" applyFill="1" applyBorder="1" applyAlignment="1">
      <x:alignment horizontal="left" vertical="center"/>
    </x:xf>
    <x:xf numFmtId="0" fontId="8" fillId="58" borderId="0" xfId="0" applyNumberFormat="1" applyFont="1" applyFill="1" applyBorder="1" applyAlignment="1">
      <x:alignment horizontal="left" vertical="center"/>
    </x:xf>
    <x:xf numFmtId="0" fontId="32" fillId="58" borderId="0" xfId="0" applyNumberFormat="1" applyFont="1" applyFill="1" applyBorder="1" applyAlignment="1">
      <x:alignment horizontal="left" vertical="center"/>
    </x:xf>
    <x:xf numFmtId="0" fontId="32" fillId="58" borderId="0" xfId="0" applyNumberFormat="1" applyFont="1" applyFill="1" applyBorder="1" applyAlignment="1">
      <x:alignment horizontal="left" vertical="center" wrapText="1"/>
    </x:xf>
    <x:xf numFmtId="0" fontId="9" fillId="56" borderId="32" xfId="0" applyNumberFormat="1" applyFont="1" applyFill="1" applyBorder="1" applyAlignment="1">
      <x:alignment horizontal="center" vertical="center" wrapText="1"/>
    </x:xf>
    <x:xf numFmtId="0" fontId="9" fillId="56" borderId="33" xfId="0" applyNumberFormat="1" applyFont="1" applyFill="1" applyBorder="1" applyAlignment="1">
      <x:alignment horizontal="center" vertical="center" wrapText="1"/>
    </x:xf>
    <x:xf numFmtId="0" fontId="9" fillId="56" borderId="34" xfId="0" applyNumberFormat="1" applyFont="1" applyFill="1" applyBorder="1" applyAlignment="1">
      <x:alignment horizontal="center" vertical="center"/>
    </x:xf>
    <x:xf numFmtId="0" fontId="9" fillId="56" borderId="41" xfId="0" applyNumberFormat="1" applyFont="1" applyFill="1" applyBorder="1" applyAlignment="1">
      <x:alignment horizontal="center" vertical="center" wrapText="1"/>
    </x:xf>
    <x:xf numFmtId="0" fontId="9" fillId="56" borderId="34" xfId="0" applyNumberFormat="1" applyFont="1" applyFill="1" applyBorder="1" applyAlignment="1">
      <x:alignment horizontal="center" vertical="center" wrapText="1"/>
    </x:xf>
    <x:xf numFmtId="0" fontId="9" fillId="56" borderId="46" xfId="0" applyNumberFormat="1" applyFont="1" applyFill="1" applyBorder="1" applyAlignment="1">
      <x:alignment horizontal="center" vertical="center" wrapText="1"/>
    </x:xf>
    <x:xf numFmtId="203" fontId="10" fillId="56" borderId="35" xfId="0" applyNumberFormat="1" applyFont="1" applyFill="1" applyBorder="1" applyAlignment="1">
      <x:alignment horizontal="center" vertical="center" wrapText="1"/>
    </x:xf>
    <x:xf numFmtId="203" fontId="10" fillId="56" borderId="36" xfId="0" applyNumberFormat="1" applyFont="1" applyFill="1" applyBorder="1" applyAlignment="1">
      <x:alignment horizontal="center" vertical="center" wrapText="1"/>
    </x:xf>
    <x:xf numFmtId="203" fontId="10" fillId="56" borderId="37" xfId="0" applyNumberFormat="1" applyFont="1" applyFill="1" applyBorder="1" applyAlignment="1">
      <x:alignment horizontal="center" vertical="center" wrapText="1"/>
    </x:xf>
    <x:xf numFmtId="0" fontId="10" fillId="56" borderId="35" xfId="0" applyNumberFormat="1" applyFont="1" applyFill="1" applyBorder="1" applyAlignment="1">
      <x:alignment horizontal="center" vertical="center" wrapText="1"/>
    </x:xf>
    <x:xf numFmtId="0" fontId="10" fillId="56" borderId="42" xfId="0" applyNumberFormat="1" applyFont="1" applyFill="1" applyBorder="1" applyAlignment="1">
      <x:alignment horizontal="center" vertical="center" wrapText="1"/>
    </x:xf>
    <x:xf numFmtId="0" fontId="10" fillId="56" borderId="37" xfId="0" applyNumberFormat="1" applyFont="1" applyFill="1" applyBorder="1" applyAlignment="1">
      <x:alignment horizontal="center" vertical="center" wrapText="1"/>
    </x:xf>
    <x:xf numFmtId="0" fontId="10" fillId="56" borderId="48" xfId="0" applyNumberFormat="1" applyFont="1" applyFill="1" applyBorder="1" applyAlignment="1">
      <x:alignment horizontal="center" vertical="center" wrapText="1"/>
    </x:xf>
    <x:xf numFmtId="203" fontId="10" fillId="56" borderId="38" xfId="0" applyNumberFormat="1" applyFont="1" applyFill="1" applyBorder="1" applyAlignment="1">
      <x:alignment horizontal="center" vertical="center" wrapText="1"/>
    </x:xf>
    <x:xf numFmtId="203" fontId="10" fillId="56" borderId="39" xfId="0" applyNumberFormat="1" applyFont="1" applyFill="1" applyBorder="1" applyAlignment="1">
      <x:alignment horizontal="center" vertical="center" wrapText="1"/>
    </x:xf>
    <x:xf numFmtId="203" fontId="10" fillId="56" borderId="40" xfId="0" applyNumberFormat="1" applyFont="1" applyFill="1" applyBorder="1" applyAlignment="1">
      <x:alignment horizontal="center" vertical="center" wrapText="1"/>
    </x:xf>
    <x:xf numFmtId="0" fontId="10" fillId="56" borderId="43" xfId="0" applyNumberFormat="1" applyFont="1" applyFill="1" applyBorder="1" applyAlignment="1">
      <x:alignment horizontal="center" vertical="center" wrapText="1"/>
    </x:xf>
    <x:xf numFmtId="0" fontId="10" fillId="56" xfId="0" applyNumberFormat="1" applyFont="1" applyFill="1" applyBorder="0" applyAlignment="1">
      <x:alignment horizontal="center" vertical="center" wrapText="1"/>
    </x:xf>
    <x:xf numFmtId="0" fontId="10" fillId="56" borderId="44" xfId="0" applyNumberFormat="1" applyFont="1" applyFill="1" applyBorder="1" applyAlignment="1">
      <x:alignment horizontal="center" vertical="center" wrapText="1"/>
    </x:xf>
    <x:xf numFmtId="0" fontId="10" fillId="56" borderId="50" xfId="0" applyNumberFormat="1" applyFont="1" applyFill="1" applyBorder="1" applyAlignment="1">
      <x:alignment horizontal="center" vertical="center" wrapText="1"/>
    </x:xf>
    <x:xf numFmtId="0" fontId="11" fillId="56" borderId="32" xfId="0" applyNumberFormat="1" applyFont="1" applyFill="1" applyBorder="1" applyAlignment="1">
      <x:alignment horizontal="center" vertical="top" wrapText="1"/>
    </x:xf>
    <x:xf numFmtId="0" fontId="11" fillId="56" borderId="33" xfId="0" applyNumberFormat="1" applyFont="1" applyFill="1" applyBorder="1" applyAlignment="1">
      <x:alignment horizontal="center" vertical="top" wrapText="1"/>
    </x:xf>
    <x:xf numFmtId="0" fontId="11" fillId="56" borderId="34" xfId="0" applyNumberFormat="1" applyFont="1" applyFill="1" applyBorder="1" applyAlignment="1">
      <x:alignment horizontal="center"/>
    </x:xf>
    <x:xf numFmtId="0" fontId="10" fillId="56" borderId="38" xfId="0" applyNumberFormat="1" applyFont="1" applyFill="1" applyBorder="1" applyAlignment="1">
      <x:alignment horizontal="center" vertical="center" wrapText="1"/>
    </x:xf>
    <x:xf numFmtId="0" fontId="10" fillId="56" borderId="45" xfId="0" applyNumberFormat="1" applyFont="1" applyFill="1" applyBorder="1" applyAlignment="1">
      <x:alignment horizontal="center" vertical="center" wrapText="1"/>
    </x:xf>
    <x:xf numFmtId="0" fontId="10" fillId="56" borderId="40" xfId="0" applyNumberFormat="1" applyFont="1" applyFill="1" applyBorder="1" applyAlignment="1">
      <x:alignment horizontal="center" vertical="center" wrapText="1"/>
    </x:xf>
    <x:xf numFmtId="0" fontId="10" fillId="56" borderId="52" xfId="0" applyNumberFormat="1" applyFont="1" applyFill="1" applyBorder="1" applyAlignment="1">
      <x:alignment horizontal="center" vertical="center" wrapText="1"/>
    </x:xf>
    <x:xf numFmtId="0" fontId="0" fillId="56" borderId="4" xfId="0" applyNumberFormat="1" applyFont="1" applyFill="1" applyBorder="1" applyAlignment="1">
      <x:alignment vertical="top" wrapText="1"/>
    </x:xf>
    <x:xf numFmtId="0" fontId="0" fillId="56" borderId="5" xfId="0" applyNumberFormat="1" applyFont="1" applyFill="1" applyBorder="1" applyAlignment="1">
      <x:alignment vertical="top" wrapText="1"/>
    </x:xf>
    <x:xf numFmtId="0" fontId="0" fillId="56" xfId="0" applyNumberFormat="1" applyFont="1" applyFill="1" applyBorder="0" applyAlignment="1">
      <x:alignment vertical="top" wrapText="1"/>
    </x:xf>
    <x:xf numFmtId="0" fontId="31" fillId="56" borderId="32" xfId="0" applyNumberFormat="1" applyFont="1" applyFill="1" applyBorder="1" applyAlignment="1">
      <x:alignment horizontal="center" vertical="center" wrapText="1"/>
    </x:xf>
    <x:xf numFmtId="0" fontId="31" fillId="56" borderId="33" xfId="0" applyNumberFormat="1" applyFont="1" applyFill="1" applyBorder="1" applyAlignment="1">
      <x:alignment horizontal="center" vertical="center" wrapText="1"/>
    </x:xf>
    <x:xf numFmtId="0" fontId="31" fillId="56" borderId="34" xfId="0" applyNumberFormat="1" applyFont="1" applyFill="1" applyBorder="1" applyAlignment="1">
      <x:alignment horizontal="center" vertical="center"/>
    </x:xf>
    <x:xf numFmtId="0" fontId="31" fillId="56" borderId="41" xfId="0" applyNumberFormat="1" applyFont="1" applyFill="1" applyBorder="1" applyAlignment="1">
      <x:alignment horizontal="center" vertical="center" wrapText="1"/>
    </x:xf>
    <x:xf numFmtId="0" fontId="31" fillId="56" borderId="34" xfId="0" applyNumberFormat="1" applyFont="1" applyFill="1" applyBorder="1" applyAlignment="1">
      <x:alignment horizontal="center" vertical="center" wrapText="1"/>
    </x:xf>
    <x:xf numFmtId="0" fontId="31" fillId="56" borderId="46" xfId="0" applyNumberFormat="1" applyFont="1" applyFill="1" applyBorder="1" applyAlignment="1">
      <x:alignment horizontal="center" vertical="center" wrapText="1"/>
    </x:xf>
    <x:xf numFmtId="203" fontId="31" fillId="56" borderId="35" xfId="0" applyNumberFormat="1" applyFont="1" applyFill="1" applyBorder="1" applyAlignment="1">
      <x:alignment horizontal="center" vertical="center" wrapText="1"/>
    </x:xf>
    <x:xf numFmtId="203" fontId="31" fillId="56" borderId="36" xfId="0" applyNumberFormat="1" applyFont="1" applyFill="1" applyBorder="1" applyAlignment="1">
      <x:alignment horizontal="center" vertical="center" wrapText="1"/>
    </x:xf>
    <x:xf numFmtId="203" fontId="31" fillId="56" borderId="37" xfId="0" applyNumberFormat="1" applyFont="1" applyFill="1" applyBorder="1" applyAlignment="1">
      <x:alignment horizontal="center" vertical="center" wrapText="1"/>
    </x:xf>
    <x:xf numFmtId="0" fontId="31" fillId="56" borderId="35" xfId="0" applyNumberFormat="1" applyFont="1" applyFill="1" applyBorder="1" applyAlignment="1">
      <x:alignment horizontal="center" vertical="center" wrapText="1"/>
    </x:xf>
    <x:xf numFmtId="0" fontId="31" fillId="56" borderId="42" xfId="0" applyNumberFormat="1" applyFont="1" applyFill="1" applyBorder="1" applyAlignment="1">
      <x:alignment horizontal="center" vertical="center" wrapText="1"/>
    </x:xf>
    <x:xf numFmtId="0" fontId="31" fillId="56" borderId="37" xfId="0" applyNumberFormat="1" applyFont="1" applyFill="1" applyBorder="1" applyAlignment="1">
      <x:alignment horizontal="center" vertical="center" wrapText="1"/>
    </x:xf>
    <x:xf numFmtId="0" fontId="31" fillId="56" borderId="48" xfId="0" applyNumberFormat="1" applyFont="1" applyFill="1" applyBorder="1" applyAlignment="1">
      <x:alignment horizontal="center" vertical="center" wrapText="1"/>
    </x:xf>
    <x:xf numFmtId="203" fontId="31" fillId="56" borderId="38" xfId="0" applyNumberFormat="1" applyFont="1" applyFill="1" applyBorder="1" applyAlignment="1">
      <x:alignment horizontal="center" vertical="center" wrapText="1"/>
    </x:xf>
    <x:xf numFmtId="203" fontId="31" fillId="56" borderId="39" xfId="0" applyNumberFormat="1" applyFont="1" applyFill="1" applyBorder="1" applyAlignment="1">
      <x:alignment horizontal="center" vertical="center" wrapText="1"/>
    </x:xf>
    <x:xf numFmtId="203" fontId="31" fillId="56" borderId="40" xfId="0" applyNumberFormat="1" applyFont="1" applyFill="1" applyBorder="1" applyAlignment="1">
      <x:alignment horizontal="center" vertical="center" wrapText="1"/>
    </x:xf>
    <x:xf numFmtId="0" fontId="31" fillId="56" borderId="43" xfId="0" applyNumberFormat="1" applyFont="1" applyFill="1" applyBorder="1" applyAlignment="1">
      <x:alignment horizontal="center" vertical="center" wrapText="1"/>
    </x:xf>
    <x:xf numFmtId="0" fontId="31" fillId="56" xfId="0" applyNumberFormat="1" applyFont="1" applyFill="1" applyBorder="0" applyAlignment="1">
      <x:alignment horizontal="center" vertical="center" wrapText="1"/>
    </x:xf>
    <x:xf numFmtId="0" fontId="31" fillId="56" borderId="44" xfId="0" applyNumberFormat="1" applyFont="1" applyFill="1" applyBorder="1" applyAlignment="1">
      <x:alignment horizontal="center" vertical="center" wrapText="1"/>
    </x:xf>
    <x:xf numFmtId="0" fontId="31" fillId="56" borderId="50" xfId="0" applyNumberFormat="1" applyFont="1" applyFill="1" applyBorder="1" applyAlignment="1">
      <x:alignment horizontal="center" vertical="center" wrapText="1"/>
    </x:xf>
    <x:xf numFmtId="0" fontId="33" fillId="56" borderId="32" xfId="0" applyNumberFormat="1" applyFont="1" applyFill="1" applyBorder="1" applyAlignment="1">
      <x:alignment horizontal="center" vertical="top" wrapText="1"/>
    </x:xf>
    <x:xf numFmtId="0" fontId="33" fillId="56" borderId="33" xfId="0" applyNumberFormat="1" applyFont="1" applyFill="1" applyBorder="1" applyAlignment="1">
      <x:alignment horizontal="center" vertical="top" wrapText="1"/>
    </x:xf>
    <x:xf numFmtId="0" fontId="33" fillId="56" borderId="34" xfId="0" applyNumberFormat="1" applyFont="1" applyFill="1" applyBorder="1" applyAlignment="1">
      <x:alignment horizontal="center"/>
    </x:xf>
    <x:xf numFmtId="0" fontId="31" fillId="56" borderId="38" xfId="0" applyNumberFormat="1" applyFont="1" applyFill="1" applyBorder="1" applyAlignment="1">
      <x:alignment horizontal="center" vertical="center" wrapText="1"/>
    </x:xf>
    <x:xf numFmtId="0" fontId="31" fillId="56" borderId="45" xfId="0" applyNumberFormat="1" applyFont="1" applyFill="1" applyBorder="1" applyAlignment="1">
      <x:alignment horizontal="center" vertical="center" wrapText="1"/>
    </x:xf>
    <x:xf numFmtId="0" fontId="31" fillId="56" borderId="40" xfId="0" applyNumberFormat="1" applyFont="1" applyFill="1" applyBorder="1" applyAlignment="1">
      <x:alignment horizontal="center" vertical="center" wrapText="1"/>
    </x:xf>
    <x:xf numFmtId="0" fontId="31" fillId="56" borderId="52" xfId="0" applyNumberFormat="1" applyFont="1" applyFill="1" applyBorder="1" applyAlignment="1">
      <x:alignment horizontal="center" vertical="center" wrapText="1"/>
    </x:xf>
    <x:xf numFmtId="0" fontId="33" fillId="56" borderId="4" xfId="0" applyNumberFormat="1" applyFont="1" applyFill="1" applyBorder="1" applyAlignment="1">
      <x:alignment vertical="top" wrapText="1"/>
    </x:xf>
    <x:xf numFmtId="0" fontId="33" fillId="56" borderId="5" xfId="0" applyNumberFormat="1" applyFont="1" applyFill="1" applyBorder="1" applyAlignment="1">
      <x:alignment vertical="top" wrapText="1"/>
    </x:xf>
    <x:xf numFmtId="0" fontId="33" fillId="56" borderId="0" xfId="0" applyNumberFormat="1" applyFont="1" applyFill="1" applyBorder="1"/>
    <x:xf numFmtId="0" fontId="33" fillId="56" xfId="0" applyNumberFormat="1" applyFont="1" applyFill="1" applyBorder="0" applyAlignment="1">
      <x:alignment vertical="top" wrapText="1"/>
    </x:xf>
    <x:xf numFmtId="0" fontId="33" fillId="56" borderId="34" xfId="0" applyNumberFormat="1" applyFont="1" applyFill="1" applyBorder="1" applyAlignment="1">
      <x:alignment horizontal="center" wrapText="1"/>
    </x:xf>
    <x:xf numFmtId="0" fontId="33" fillId="56" borderId="0" xfId="0" applyNumberFormat="1" applyFont="1" applyFill="1" applyBorder="1" applyAlignment="1">
      <x:alignment wrapText="1"/>
    </x:xf>
    <x:xf numFmtId="0" fontId="31" fillId="56" borderId="32" xfId="0" applyNumberFormat="1" applyFont="1" applyFill="1" applyBorder="1" applyAlignment="1">
      <x:alignment horizontal="center" vertical="top" wrapText="1"/>
    </x:xf>
    <x:xf numFmtId="0" fontId="31" fillId="56" borderId="33" xfId="0" applyNumberFormat="1" applyFont="1" applyFill="1" applyBorder="1" applyAlignment="1">
      <x:alignment horizontal="center" vertical="top" wrapText="1"/>
    </x:xf>
    <x:xf numFmtId="0" fontId="31" fillId="56" borderId="34" xfId="0" applyNumberFormat="1" applyFont="1" applyFill="1" applyBorder="1" applyAlignment="1">
      <x:alignment horizontal="center" vertical="top" wrapText="1"/>
    </x:xf>
    <x:xf numFmtId="0" fontId="31" fillId="56" borderId="41" xfId="0" applyNumberFormat="1" applyFont="1" applyFill="1" applyBorder="1" applyAlignment="1">
      <x:alignment horizontal="center" vertical="top" wrapText="1"/>
    </x:xf>
    <x:xf numFmtId="0" fontId="31" fillId="56" borderId="46" xfId="0" applyNumberFormat="1" applyFont="1" applyFill="1" applyBorder="1" applyAlignment="1">
      <x:alignment horizontal="center" vertical="top" wrapText="1"/>
    </x:xf>
    <x:xf numFmtId="203" fontId="31" fillId="56" borderId="35" xfId="0" applyNumberFormat="1" applyFont="1" applyFill="1" applyBorder="1" applyAlignment="1">
      <x:alignment horizontal="center" vertical="top" wrapText="1"/>
    </x:xf>
    <x:xf numFmtId="203" fontId="31" fillId="56" borderId="36" xfId="0" applyNumberFormat="1" applyFont="1" applyFill="1" applyBorder="1" applyAlignment="1">
      <x:alignment horizontal="center" vertical="top" wrapText="1"/>
    </x:xf>
    <x:xf numFmtId="203" fontId="31" fillId="56" borderId="37" xfId="0" applyNumberFormat="1" applyFont="1" applyFill="1" applyBorder="1" applyAlignment="1">
      <x:alignment horizontal="center" vertical="top" wrapText="1"/>
    </x:xf>
    <x:xf numFmtId="0" fontId="31" fillId="56" borderId="35" xfId="0" applyNumberFormat="1" applyFont="1" applyFill="1" applyBorder="1" applyAlignment="1">
      <x:alignment horizontal="center" vertical="top" wrapText="1"/>
    </x:xf>
    <x:xf numFmtId="0" fontId="31" fillId="56" borderId="42" xfId="0" applyNumberFormat="1" applyFont="1" applyFill="1" applyBorder="1" applyAlignment="1">
      <x:alignment horizontal="center" vertical="top" wrapText="1"/>
    </x:xf>
    <x:xf numFmtId="0" fontId="31" fillId="56" borderId="37" xfId="0" applyNumberFormat="1" applyFont="1" applyFill="1" applyBorder="1" applyAlignment="1">
      <x:alignment horizontal="center" vertical="top" wrapText="1"/>
    </x:xf>
    <x:xf numFmtId="0" fontId="31" fillId="56" borderId="48" xfId="0" applyNumberFormat="1" applyFont="1" applyFill="1" applyBorder="1" applyAlignment="1">
      <x:alignment horizontal="center" vertical="top" wrapText="1"/>
    </x:xf>
    <x:xf numFmtId="203" fontId="31" fillId="56" borderId="38" xfId="0" applyNumberFormat="1" applyFont="1" applyFill="1" applyBorder="1" applyAlignment="1">
      <x:alignment horizontal="center" vertical="top" wrapText="1"/>
    </x:xf>
    <x:xf numFmtId="203" fontId="31" fillId="56" borderId="39" xfId="0" applyNumberFormat="1" applyFont="1" applyFill="1" applyBorder="1" applyAlignment="1">
      <x:alignment horizontal="center" vertical="top" wrapText="1"/>
    </x:xf>
    <x:xf numFmtId="203" fontId="31" fillId="56" borderId="40" xfId="0" applyNumberFormat="1" applyFont="1" applyFill="1" applyBorder="1" applyAlignment="1">
      <x:alignment horizontal="center" vertical="top" wrapText="1"/>
    </x:xf>
    <x:xf numFmtId="0" fontId="31" fillId="56" borderId="43" xfId="0" applyNumberFormat="1" applyFont="1" applyFill="1" applyBorder="1" applyAlignment="1">
      <x:alignment horizontal="center" vertical="top" wrapText="1"/>
    </x:xf>
    <x:xf numFmtId="0" fontId="31" fillId="56" xfId="0" applyNumberFormat="1" applyFont="1" applyFill="1" applyBorder="0" applyAlignment="1">
      <x:alignment horizontal="center" vertical="top" wrapText="1"/>
    </x:xf>
    <x:xf numFmtId="0" fontId="31" fillId="56" borderId="44" xfId="0" applyNumberFormat="1" applyFont="1" applyFill="1" applyBorder="1" applyAlignment="1">
      <x:alignment horizontal="center" vertical="top" wrapText="1"/>
    </x:xf>
    <x:xf numFmtId="0" fontId="31" fillId="56" borderId="50" xfId="0" applyNumberFormat="1" applyFont="1" applyFill="1" applyBorder="1" applyAlignment="1">
      <x:alignment horizontal="center" vertical="top" wrapText="1"/>
    </x:xf>
    <x:xf numFmtId="0" fontId="33" fillId="56" borderId="34" xfId="0" applyNumberFormat="1" applyFont="1" applyFill="1" applyBorder="1" applyAlignment="1">
      <x:alignment horizontal="center" vertical="top" wrapText="1"/>
    </x:xf>
    <x:xf numFmtId="0" fontId="31" fillId="56" borderId="38" xfId="0" applyNumberFormat="1" applyFont="1" applyFill="1" applyBorder="1" applyAlignment="1">
      <x:alignment horizontal="center" vertical="top" wrapText="1"/>
    </x:xf>
    <x:xf numFmtId="0" fontId="31" fillId="56" borderId="45" xfId="0" applyNumberFormat="1" applyFont="1" applyFill="1" applyBorder="1" applyAlignment="1">
      <x:alignment horizontal="center" vertical="top" wrapText="1"/>
    </x:xf>
    <x:xf numFmtId="0" fontId="31" fillId="56" borderId="40" xfId="0" applyNumberFormat="1" applyFont="1" applyFill="1" applyBorder="1" applyAlignment="1">
      <x:alignment horizontal="center" vertical="top" wrapText="1"/>
    </x:xf>
    <x:xf numFmtId="0" fontId="31" fillId="56" borderId="52" xfId="0" applyNumberFormat="1" applyFont="1" applyFill="1" applyBorder="1" applyAlignment="1">
      <x:alignment horizontal="center" vertical="top" wrapText="1"/>
    </x:xf>
    <x:xf numFmtId="0" fontId="33" fillId="56" borderId="0" xfId="0" applyNumberFormat="1" applyFont="1" applyFill="1" applyBorder="1" applyAlignment="1">
      <x:alignment vertical="top" wrapText="1"/>
    </x:xf>
    <x:xf numFmtId="0" fontId="9" fillId="59" borderId="47" xfId="0" applyNumberFormat="1" applyFont="1" applyFill="1" applyBorder="1" applyAlignment="1">
      <x:alignment horizontal="center" vertical="center"/>
    </x:xf>
    <x:xf numFmtId="0" fontId="9" fillId="59" borderId="32" xfId="0" applyNumberFormat="1" applyFont="1" applyFill="1" applyBorder="1" applyAlignment="1">
      <x:alignment horizontal="center" vertical="center"/>
    </x:xf>
    <x:xf numFmtId="0" fontId="9" fillId="59" borderId="41" xfId="0" applyNumberFormat="1" applyFont="1" applyFill="1" applyBorder="1" applyAlignment="1">
      <x:alignment horizontal="center" vertical="center"/>
    </x:xf>
    <x:xf numFmtId="0" fontId="9" fillId="59" borderId="34" xfId="0" applyNumberFormat="1" applyFont="1" applyFill="1" applyBorder="1" applyAlignment="1">
      <x:alignment horizontal="center" vertical="center"/>
    </x:xf>
    <x:xf numFmtId="0" fontId="9" fillId="59" borderId="33" xfId="0" applyNumberFormat="1" applyFont="1" applyFill="1" applyBorder="1" applyAlignment="1">
      <x:alignment horizontal="center" vertical="center"/>
    </x:xf>
    <x:xf numFmtId="0" fontId="10" fillId="59" borderId="49" xfId="0" applyNumberFormat="1" applyFont="1" applyFill="1" applyBorder="1" applyAlignment="1">
      <x:alignment horizontal="center" vertical="center" wrapText="1"/>
    </x:xf>
    <x:xf numFmtId="0" fontId="10" fillId="59" borderId="35" xfId="0" applyNumberFormat="1" applyFont="1" applyFill="1" applyBorder="1" applyAlignment="1">
      <x:alignment horizontal="center" vertical="center" wrapText="1"/>
    </x:xf>
    <x:xf numFmtId="0" fontId="10" fillId="59" borderId="42" xfId="0" applyNumberFormat="1" applyFont="1" applyFill="1" applyBorder="1" applyAlignment="1">
      <x:alignment horizontal="center" vertical="center" wrapText="1"/>
    </x:xf>
    <x:xf numFmtId="0" fontId="10" fillId="59" borderId="37" xfId="0" applyNumberFormat="1" applyFont="1" applyFill="1" applyBorder="1" applyAlignment="1">
      <x:alignment horizontal="center" vertical="center" wrapText="1"/>
    </x:xf>
    <x:xf numFmtId="0" fontId="10" fillId="59" borderId="36" xfId="0" applyNumberFormat="1" applyFont="1" applyFill="1" applyBorder="1" applyAlignment="1">
      <x:alignment horizontal="center" vertical="center" wrapText="1"/>
    </x:xf>
    <x:xf numFmtId="0" fontId="10" fillId="59" borderId="51" xfId="0" applyNumberFormat="1" applyFont="1" applyFill="1" applyBorder="1" applyAlignment="1">
      <x:alignment horizontal="center" vertical="center" wrapText="1"/>
    </x:xf>
    <x:xf numFmtId="0" fontId="10" fillId="59" borderId="43" xfId="0" applyNumberFormat="1" applyFont="1" applyFill="1" applyBorder="1" applyAlignment="1">
      <x:alignment horizontal="center" vertical="center" wrapText="1"/>
    </x:xf>
    <x:xf numFmtId="0" fontId="10" fillId="59" xfId="0" applyNumberFormat="1" applyFont="1" applyFill="1" applyBorder="0" applyAlignment="1">
      <x:alignment horizontal="center" vertical="center" wrapText="1"/>
    </x:xf>
    <x:xf numFmtId="0" fontId="10" fillId="59" borderId="44" xfId="0" applyNumberFormat="1" applyFont="1" applyFill="1" applyBorder="1" applyAlignment="1">
      <x:alignment horizontal="center" vertical="center" wrapText="1"/>
    </x:xf>
    <x:xf numFmtId="0" fontId="10" fillId="59" borderId="5" xfId="0" applyNumberFormat="1" applyFont="1" applyFill="1" applyBorder="1" applyAlignment="1">
      <x:alignment horizontal="center" vertical="center" wrapText="1"/>
    </x:xf>
    <x:xf numFmtId="0" fontId="10" fillId="59" borderId="53" xfId="0" applyNumberFormat="1" applyFont="1" applyFill="1" applyBorder="1" applyAlignment="1">
      <x:alignment horizontal="center" vertical="center" wrapText="1"/>
    </x:xf>
    <x:xf numFmtId="0" fontId="10" fillId="59" borderId="38" xfId="0" applyNumberFormat="1" applyFont="1" applyFill="1" applyBorder="1" applyAlignment="1">
      <x:alignment horizontal="center" vertical="center" wrapText="1"/>
    </x:xf>
    <x:xf numFmtId="0" fontId="10" fillId="59" borderId="45" xfId="0" applyNumberFormat="1" applyFont="1" applyFill="1" applyBorder="1" applyAlignment="1">
      <x:alignment horizontal="center" vertical="center" wrapText="1"/>
    </x:xf>
    <x:xf numFmtId="0" fontId="10" fillId="59" borderId="40" xfId="0" applyNumberFormat="1" applyFont="1" applyFill="1" applyBorder="1" applyAlignment="1">
      <x:alignment horizontal="center" vertical="center" wrapText="1"/>
    </x:xf>
    <x:xf numFmtId="0" fontId="10" fillId="59" borderId="39" xfId="0" applyNumberFormat="1" applyFont="1" applyFill="1" applyBorder="1" applyAlignment="1">
      <x:alignment horizontal="center" vertical="center" wrapText="1"/>
    </x:xf>
    <x:xf numFmtId="0" fontId="0" fillId="59" borderId="4" xfId="0" applyNumberFormat="1" applyFont="1" applyFill="1" applyBorder="1" applyAlignment="1">
      <x:alignment horizontal="center"/>
    </x:xf>
    <x:xf numFmtId="0" fontId="0" fillId="59" borderId="0" xfId="0" applyNumberFormat="1" applyFont="1" applyFill="1" applyBorder="1" applyAlignment="1">
      <x:alignment horizontal="center"/>
    </x:xf>
    <x:xf numFmtId="0" fontId="0" fillId="59" borderId="5" xfId="0" applyNumberFormat="1" applyFont="1" applyFill="1" applyBorder="1" applyAlignment="1">
      <x:alignment horizontal="center"/>
    </x:xf>
    <x:xf numFmtId="0" fontId="0" fillId="59" borderId="0" xfId="0" applyNumberFormat="1" applyFont="1" applyFill="1" applyBorder="1"/>
    <x:xf numFmtId="0" fontId="34" fillId="59" borderId="47" xfId="0" applyNumberFormat="1" applyFont="1" applyFill="1" applyBorder="1" applyAlignment="1">
      <x:alignment horizontal="center" vertical="center"/>
    </x:xf>
    <x:xf numFmtId="0" fontId="34" fillId="59" borderId="32" xfId="0" applyNumberFormat="1" applyFont="1" applyFill="1" applyBorder="1" applyAlignment="1">
      <x:alignment horizontal="center" vertical="center"/>
    </x:xf>
    <x:xf numFmtId="0" fontId="34" fillId="59" borderId="41" xfId="0" applyNumberFormat="1" applyFont="1" applyFill="1" applyBorder="1" applyAlignment="1">
      <x:alignment horizontal="center" vertical="center"/>
    </x:xf>
    <x:xf numFmtId="0" fontId="34" fillId="59" borderId="34" xfId="0" applyNumberFormat="1" applyFont="1" applyFill="1" applyBorder="1" applyAlignment="1">
      <x:alignment horizontal="center" vertical="center"/>
    </x:xf>
    <x:xf numFmtId="0" fontId="34" fillId="59" borderId="33" xfId="0" applyNumberFormat="1" applyFont="1" applyFill="1" applyBorder="1" applyAlignment="1">
      <x:alignment horizontal="center" vertical="center"/>
    </x:xf>
    <x:xf numFmtId="0" fontId="34" fillId="59" borderId="49" xfId="0" applyNumberFormat="1" applyFont="1" applyFill="1" applyBorder="1" applyAlignment="1">
      <x:alignment horizontal="center" vertical="center" wrapText="1"/>
    </x:xf>
    <x:xf numFmtId="0" fontId="34" fillId="59" borderId="35" xfId="0" applyNumberFormat="1" applyFont="1" applyFill="1" applyBorder="1" applyAlignment="1">
      <x:alignment horizontal="center" vertical="center" wrapText="1"/>
    </x:xf>
    <x:xf numFmtId="0" fontId="34" fillId="59" borderId="42" xfId="0" applyNumberFormat="1" applyFont="1" applyFill="1" applyBorder="1" applyAlignment="1">
      <x:alignment horizontal="center" vertical="center" wrapText="1"/>
    </x:xf>
    <x:xf numFmtId="0" fontId="34" fillId="59" borderId="37" xfId="0" applyNumberFormat="1" applyFont="1" applyFill="1" applyBorder="1" applyAlignment="1">
      <x:alignment horizontal="center" vertical="center" wrapText="1"/>
    </x:xf>
    <x:xf numFmtId="0" fontId="34" fillId="59" borderId="36" xfId="0" applyNumberFormat="1" applyFont="1" applyFill="1" applyBorder="1" applyAlignment="1">
      <x:alignment horizontal="center" vertical="center" wrapText="1"/>
    </x:xf>
    <x:xf numFmtId="0" fontId="34" fillId="59" borderId="51" xfId="0" applyNumberFormat="1" applyFont="1" applyFill="1" applyBorder="1" applyAlignment="1">
      <x:alignment horizontal="center" vertical="center" wrapText="1"/>
    </x:xf>
    <x:xf numFmtId="0" fontId="34" fillId="59" borderId="43" xfId="0" applyNumberFormat="1" applyFont="1" applyFill="1" applyBorder="1" applyAlignment="1">
      <x:alignment horizontal="center" vertical="center" wrapText="1"/>
    </x:xf>
    <x:xf numFmtId="0" fontId="34" fillId="59" xfId="0" applyNumberFormat="1" applyFont="1" applyFill="1" applyBorder="0" applyAlignment="1">
      <x:alignment horizontal="center" vertical="center" wrapText="1"/>
    </x:xf>
    <x:xf numFmtId="0" fontId="34" fillId="59" borderId="44" xfId="0" applyNumberFormat="1" applyFont="1" applyFill="1" applyBorder="1" applyAlignment="1">
      <x:alignment horizontal="center" vertical="center" wrapText="1"/>
    </x:xf>
    <x:xf numFmtId="0" fontId="34" fillId="59" borderId="5" xfId="0" applyNumberFormat="1" applyFont="1" applyFill="1" applyBorder="1" applyAlignment="1">
      <x:alignment horizontal="center" vertical="center" wrapText="1"/>
    </x:xf>
    <x:xf numFmtId="0" fontId="34" fillId="59" borderId="53" xfId="0" applyNumberFormat="1" applyFont="1" applyFill="1" applyBorder="1" applyAlignment="1">
      <x:alignment horizontal="center" vertical="center" wrapText="1"/>
    </x:xf>
    <x:xf numFmtId="0" fontId="34" fillId="59" borderId="38" xfId="0" applyNumberFormat="1" applyFont="1" applyFill="1" applyBorder="1" applyAlignment="1">
      <x:alignment horizontal="center" vertical="center" wrapText="1"/>
    </x:xf>
    <x:xf numFmtId="0" fontId="34" fillId="59" borderId="45" xfId="0" applyNumberFormat="1" applyFont="1" applyFill="1" applyBorder="1" applyAlignment="1">
      <x:alignment horizontal="center" vertical="center" wrapText="1"/>
    </x:xf>
    <x:xf numFmtId="0" fontId="34" fillId="59" borderId="40" xfId="0" applyNumberFormat="1" applyFont="1" applyFill="1" applyBorder="1" applyAlignment="1">
      <x:alignment horizontal="center" vertical="center" wrapText="1"/>
    </x:xf>
    <x:xf numFmtId="0" fontId="34" fillId="59" borderId="39" xfId="0" applyNumberFormat="1" applyFont="1" applyFill="1" applyBorder="1" applyAlignment="1">
      <x:alignment horizontal="center" vertical="center" wrapText="1"/>
    </x:xf>
    <x:xf numFmtId="0" fontId="35" fillId="59" borderId="4" xfId="0" applyNumberFormat="1" applyFont="1" applyFill="1" applyBorder="1" applyAlignment="1">
      <x:alignment horizontal="center"/>
    </x:xf>
    <x:xf numFmtId="0" fontId="35" fillId="59" borderId="0" xfId="0" applyNumberFormat="1" applyFont="1" applyFill="1" applyBorder="1" applyAlignment="1">
      <x:alignment horizontal="center"/>
    </x:xf>
    <x:xf numFmtId="0" fontId="35" fillId="59" borderId="5" xfId="0" applyNumberFormat="1" applyFont="1" applyFill="1" applyBorder="1" applyAlignment="1">
      <x:alignment horizontal="center"/>
    </x:xf>
    <x:xf numFmtId="0" fontId="35" fillId="59" borderId="0" xfId="0" applyNumberFormat="1" applyFont="1" applyFill="1" applyBorder="1"/>
    <x:xf numFmtId="0" fontId="34" fillId="59" borderId="47" xfId="0" applyNumberFormat="1" applyFont="1" applyFill="1" applyBorder="1" applyAlignment="1">
      <x:alignment horizontal="center" vertical="center" wrapText="1"/>
    </x:xf>
    <x:xf numFmtId="0" fontId="34" fillId="59" borderId="32" xfId="0" applyNumberFormat="1" applyFont="1" applyFill="1" applyBorder="1" applyAlignment="1">
      <x:alignment horizontal="center" vertical="center" wrapText="1"/>
    </x:xf>
    <x:xf numFmtId="0" fontId="34" fillId="59" borderId="41" xfId="0" applyNumberFormat="1" applyFont="1" applyFill="1" applyBorder="1" applyAlignment="1">
      <x:alignment horizontal="center" vertical="center" wrapText="1"/>
    </x:xf>
    <x:xf numFmtId="0" fontId="34" fillId="59" borderId="34" xfId="0" applyNumberFormat="1" applyFont="1" applyFill="1" applyBorder="1" applyAlignment="1">
      <x:alignment horizontal="center" vertical="center" wrapText="1"/>
    </x:xf>
    <x:xf numFmtId="0" fontId="34" fillId="59" borderId="33" xfId="0" applyNumberFormat="1" applyFont="1" applyFill="1" applyBorder="1" applyAlignment="1">
      <x:alignment horizontal="center" vertical="center" wrapText="1"/>
    </x:xf>
    <x:xf numFmtId="0" fontId="35" fillId="59" borderId="4" xfId="0" applyNumberFormat="1" applyFont="1" applyFill="1" applyBorder="1" applyAlignment="1">
      <x:alignment horizontal="center" wrapText="1"/>
    </x:xf>
    <x:xf numFmtId="0" fontId="35" fillId="59" borderId="0" xfId="0" applyNumberFormat="1" applyFont="1" applyFill="1" applyBorder="1" applyAlignment="1">
      <x:alignment horizontal="center" wrapText="1"/>
    </x:xf>
    <x:xf numFmtId="0" fontId="35" fillId="59" borderId="5" xfId="0" applyNumberFormat="1" applyFont="1" applyFill="1" applyBorder="1" applyAlignment="1">
      <x:alignment horizontal="center" wrapText="1"/>
    </x:xf>
    <x:xf numFmtId="0" fontId="35" fillId="59" borderId="0" xfId="0" applyNumberFormat="1" applyFont="1" applyFill="1" applyBorder="1" applyAlignment="1">
      <x:alignment wrapText="1"/>
    </x:xf>
    <x:xf numFmtId="0" fontId="34" fillId="59" borderId="47" xfId="0" applyNumberFormat="1" applyFont="1" applyFill="1" applyBorder="1" applyAlignment="1">
      <x:alignment horizontal="center" vertical="top" wrapText="1"/>
    </x:xf>
    <x:xf numFmtId="0" fontId="34" fillId="59" borderId="32" xfId="0" applyNumberFormat="1" applyFont="1" applyFill="1" applyBorder="1" applyAlignment="1">
      <x:alignment horizontal="center" vertical="top" wrapText="1"/>
    </x:xf>
    <x:xf numFmtId="0" fontId="34" fillId="59" borderId="41" xfId="0" applyNumberFormat="1" applyFont="1" applyFill="1" applyBorder="1" applyAlignment="1">
      <x:alignment horizontal="center" vertical="top" wrapText="1"/>
    </x:xf>
    <x:xf numFmtId="0" fontId="34" fillId="59" borderId="34" xfId="0" applyNumberFormat="1" applyFont="1" applyFill="1" applyBorder="1" applyAlignment="1">
      <x:alignment horizontal="center" vertical="top" wrapText="1"/>
    </x:xf>
    <x:xf numFmtId="0" fontId="34" fillId="59" borderId="33" xfId="0" applyNumberFormat="1" applyFont="1" applyFill="1" applyBorder="1" applyAlignment="1">
      <x:alignment horizontal="center" vertical="top" wrapText="1"/>
    </x:xf>
    <x:xf numFmtId="0" fontId="34" fillId="59" borderId="49" xfId="0" applyNumberFormat="1" applyFont="1" applyFill="1" applyBorder="1" applyAlignment="1">
      <x:alignment horizontal="center" vertical="top" wrapText="1"/>
    </x:xf>
    <x:xf numFmtId="0" fontId="34" fillId="59" borderId="35" xfId="0" applyNumberFormat="1" applyFont="1" applyFill="1" applyBorder="1" applyAlignment="1">
      <x:alignment horizontal="center" vertical="top" wrapText="1"/>
    </x:xf>
    <x:xf numFmtId="0" fontId="34" fillId="59" borderId="42" xfId="0" applyNumberFormat="1" applyFont="1" applyFill="1" applyBorder="1" applyAlignment="1">
      <x:alignment horizontal="center" vertical="top" wrapText="1"/>
    </x:xf>
    <x:xf numFmtId="0" fontId="34" fillId="59" borderId="37" xfId="0" applyNumberFormat="1" applyFont="1" applyFill="1" applyBorder="1" applyAlignment="1">
      <x:alignment horizontal="center" vertical="top" wrapText="1"/>
    </x:xf>
    <x:xf numFmtId="0" fontId="34" fillId="59" borderId="36" xfId="0" applyNumberFormat="1" applyFont="1" applyFill="1" applyBorder="1" applyAlignment="1">
      <x:alignment horizontal="center" vertical="top" wrapText="1"/>
    </x:xf>
    <x:xf numFmtId="0" fontId="34" fillId="59" borderId="51" xfId="0" applyNumberFormat="1" applyFont="1" applyFill="1" applyBorder="1" applyAlignment="1">
      <x:alignment horizontal="center" vertical="top" wrapText="1"/>
    </x:xf>
    <x:xf numFmtId="0" fontId="34" fillId="59" borderId="43" xfId="0" applyNumberFormat="1" applyFont="1" applyFill="1" applyBorder="1" applyAlignment="1">
      <x:alignment horizontal="center" vertical="top" wrapText="1"/>
    </x:xf>
    <x:xf numFmtId="0" fontId="34" fillId="59" xfId="0" applyNumberFormat="1" applyFont="1" applyFill="1" applyBorder="0" applyAlignment="1">
      <x:alignment horizontal="center" vertical="top" wrapText="1"/>
    </x:xf>
    <x:xf numFmtId="0" fontId="34" fillId="59" borderId="44" xfId="0" applyNumberFormat="1" applyFont="1" applyFill="1" applyBorder="1" applyAlignment="1">
      <x:alignment horizontal="center" vertical="top" wrapText="1"/>
    </x:xf>
    <x:xf numFmtId="0" fontId="34" fillId="59" borderId="5" xfId="0" applyNumberFormat="1" applyFont="1" applyFill="1" applyBorder="1" applyAlignment="1">
      <x:alignment horizontal="center" vertical="top" wrapText="1"/>
    </x:xf>
    <x:xf numFmtId="0" fontId="34" fillId="59" borderId="53" xfId="0" applyNumberFormat="1" applyFont="1" applyFill="1" applyBorder="1" applyAlignment="1">
      <x:alignment horizontal="center" vertical="top" wrapText="1"/>
    </x:xf>
    <x:xf numFmtId="0" fontId="34" fillId="59" borderId="38" xfId="0" applyNumberFormat="1" applyFont="1" applyFill="1" applyBorder="1" applyAlignment="1">
      <x:alignment horizontal="center" vertical="top" wrapText="1"/>
    </x:xf>
    <x:xf numFmtId="0" fontId="34" fillId="59" borderId="45" xfId="0" applyNumberFormat="1" applyFont="1" applyFill="1" applyBorder="1" applyAlignment="1">
      <x:alignment horizontal="center" vertical="top" wrapText="1"/>
    </x:xf>
    <x:xf numFmtId="0" fontId="34" fillId="59" borderId="40" xfId="0" applyNumberFormat="1" applyFont="1" applyFill="1" applyBorder="1" applyAlignment="1">
      <x:alignment horizontal="center" vertical="top" wrapText="1"/>
    </x:xf>
    <x:xf numFmtId="0" fontId="34" fillId="59" borderId="39" xfId="0" applyNumberFormat="1" applyFont="1" applyFill="1" applyBorder="1" applyAlignment="1">
      <x:alignment horizontal="center" vertical="top" wrapText="1"/>
    </x:xf>
    <x:xf numFmtId="0" fontId="35" fillId="59" borderId="4" xfId="0" applyNumberFormat="1" applyFont="1" applyFill="1" applyBorder="1" applyAlignment="1">
      <x:alignment horizontal="center" vertical="top" wrapText="1"/>
    </x:xf>
    <x:xf numFmtId="0" fontId="35" fillId="59" borderId="0" xfId="0" applyNumberFormat="1" applyFont="1" applyFill="1" applyBorder="1" applyAlignment="1">
      <x:alignment horizontal="center" vertical="top" wrapText="1"/>
    </x:xf>
    <x:xf numFmtId="0" fontId="35" fillId="59" borderId="5" xfId="0" applyNumberFormat="1" applyFont="1" applyFill="1" applyBorder="1" applyAlignment="1">
      <x:alignment horizontal="center" vertical="top" wrapText="1"/>
    </x:xf>
    <x:xf numFmtId="0" fontId="35" fillId="59" borderId="0" xfId="0" applyNumberFormat="1" applyFont="1" applyFill="1" applyBorder="1" applyAlignment="1">
      <x:alignment vertical="top" wrapText="1"/>
    </x:xf>
    <x:xf numFmtId="0" fontId="9" fillId="55" borderId="32" xfId="0" applyNumberFormat="1" applyFont="1" applyFill="1" applyBorder="1" applyAlignment="1">
      <x:alignment horizontal="center" vertical="center" wrapText="1"/>
    </x:xf>
    <x:xf numFmtId="0" fontId="9" fillId="55" borderId="34" xfId="0" applyNumberFormat="1" applyFont="1" applyFill="1" applyBorder="1" applyAlignment="1">
      <x:alignment horizontal="center" vertical="center" wrapText="1"/>
    </x:xf>
    <x:xf numFmtId="0" fontId="9" fillId="55" borderId="32" xfId="0" applyNumberFormat="1" applyFont="1" applyFill="1" applyBorder="1" applyAlignment="1">
      <x:alignment horizontal="center" vertical="center"/>
    </x:xf>
    <x:xf numFmtId="0" fontId="9" fillId="55" borderId="47" xfId="0" applyNumberFormat="1" applyFont="1" applyFill="1" applyBorder="1" applyAlignment="1">
      <x:alignment horizontal="center" vertical="center" wrapText="1"/>
    </x:xf>
    <x:xf numFmtId="0" fontId="9" fillId="55" borderId="46" xfId="0" applyNumberFormat="1" applyFont="1" applyFill="1" applyBorder="1" applyAlignment="1">
      <x:alignment horizontal="center" vertical="center" wrapText="1"/>
    </x:xf>
    <x:xf numFmtId="0" fontId="9" fillId="55" borderId="34" xfId="0" applyNumberFormat="1" applyFont="1" applyFill="1" applyBorder="1" applyAlignment="1">
      <x:alignment horizontal="center" vertical="center"/>
    </x:xf>
    <x:xf numFmtId="0" fontId="9" fillId="55" borderId="33" xfId="0" applyNumberFormat="1" applyFont="1" applyFill="1" applyBorder="1" applyAlignment="1">
      <x:alignment horizontal="center" vertical="center"/>
    </x:xf>
    <x:xf numFmtId="0" fontId="36" fillId="55" borderId="32" xfId="0" applyNumberFormat="1" applyFont="1" applyFill="1" applyBorder="1" applyAlignment="1">
      <x:alignment horizontal="center" vertical="center" wrapText="1"/>
    </x:xf>
    <x:xf numFmtId="0" fontId="36" fillId="55" borderId="34" xfId="0" applyNumberFormat="1" applyFont="1" applyFill="1" applyBorder="1" applyAlignment="1">
      <x:alignment horizontal="center" vertical="center" wrapText="1"/>
    </x:xf>
    <x:xf numFmtId="0" fontId="36" fillId="55" borderId="32" xfId="0" applyNumberFormat="1" applyFont="1" applyFill="1" applyBorder="1" applyAlignment="1">
      <x:alignment horizontal="center" vertical="center"/>
    </x:xf>
    <x:xf numFmtId="0" fontId="36" fillId="55" borderId="47" xfId="0" applyNumberFormat="1" applyFont="1" applyFill="1" applyBorder="1" applyAlignment="1">
      <x:alignment horizontal="center" vertical="center" wrapText="1"/>
    </x:xf>
    <x:xf numFmtId="0" fontId="36" fillId="55" borderId="46" xfId="0" applyNumberFormat="1" applyFont="1" applyFill="1" applyBorder="1" applyAlignment="1">
      <x:alignment horizontal="center" vertical="center" wrapText="1"/>
    </x:xf>
    <x:xf numFmtId="0" fontId="36" fillId="55" borderId="34" xfId="0" applyNumberFormat="1" applyFont="1" applyFill="1" applyBorder="1" applyAlignment="1">
      <x:alignment horizontal="center" vertical="center"/>
    </x:xf>
    <x:xf numFmtId="0" fontId="36" fillId="55" borderId="33" xfId="0" applyNumberFormat="1" applyFont="1" applyFill="1" applyBorder="1" applyAlignment="1">
      <x:alignment horizontal="center" vertical="center"/>
    </x:xf>
    <x:xf numFmtId="0" fontId="10" fillId="60" borderId="32" xfId="0" applyNumberFormat="1" applyFont="1" applyFill="1" applyBorder="1" applyAlignment="1">
      <x:alignment horizontal="center" vertical="center" wrapText="1"/>
    </x:xf>
    <x:xf numFmtId="0" fontId="10" fillId="60" borderId="34" xfId="0" applyNumberFormat="1" applyFont="1" applyFill="1" applyBorder="1" applyAlignment="1">
      <x:alignment horizontal="center" vertical="center" wrapText="1"/>
    </x:xf>
    <x:xf numFmtId="0" fontId="10" fillId="60" borderId="47" xfId="0" applyNumberFormat="1" applyFont="1" applyFill="1" applyBorder="1" applyAlignment="1">
      <x:alignment horizontal="center" vertical="center" wrapText="1"/>
    </x:xf>
    <x:xf numFmtId="0" fontId="10" fillId="60" borderId="38" xfId="0" applyNumberFormat="1" applyFont="1" applyFill="1" applyBorder="1" applyAlignment="1">
      <x:alignment horizontal="center" vertical="center" wrapText="1"/>
    </x:xf>
    <x:xf numFmtId="0" fontId="10" fillId="60" borderId="40" xfId="0" applyNumberFormat="1" applyFont="1" applyFill="1" applyBorder="1" applyAlignment="1">
      <x:alignment horizontal="center" vertical="center" wrapText="1"/>
    </x:xf>
    <x:xf numFmtId="0" fontId="0" fillId="60" borderId="0" xfId="0" applyNumberFormat="1" applyFont="1" applyFill="1" applyBorder="1"/>
    <x:xf numFmtId="0" fontId="5" fillId="60" borderId="0" xfId="0" applyNumberFormat="1" applyFont="1" applyFill="1" applyBorder="1" applyAlignment="1">
      <x:alignment horizontal="left" vertical="center"/>
    </x:xf>
    <x:xf numFmtId="0" fontId="9" fillId="60" borderId="32" xfId="0" applyNumberFormat="1" applyFont="1" applyFill="1" applyBorder="1" applyAlignment="1">
      <x:alignment horizontal="center" vertical="center" wrapText="1"/>
    </x:xf>
    <x:xf numFmtId="0" fontId="9" fillId="60" borderId="41" xfId="0" applyNumberFormat="1" applyFont="1" applyFill="1" applyBorder="1" applyAlignment="1">
      <x:alignment horizontal="center" vertical="center" wrapText="1"/>
    </x:xf>
    <x:xf numFmtId="0" fontId="9" fillId="60" borderId="34" xfId="0" applyNumberFormat="1" applyFont="1" applyFill="1" applyBorder="1" applyAlignment="1">
      <x:alignment horizontal="center" vertical="center" wrapText="1"/>
    </x:xf>
    <x:xf numFmtId="0" fontId="10" fillId="60" borderId="41" xfId="0" applyNumberFormat="1" applyFont="1" applyFill="1" applyBorder="1" applyAlignment="1">
      <x:alignment horizontal="center" vertical="center" wrapText="1"/>
    </x:xf>
    <x:xf numFmtId="0" fontId="37" fillId="60" borderId="32" xfId="0" applyNumberFormat="1" applyFont="1" applyFill="1" applyBorder="1" applyAlignment="1">
      <x:alignment horizontal="center" vertical="center" wrapText="1"/>
    </x:xf>
    <x:xf numFmtId="0" fontId="37" fillId="60" borderId="34" xfId="0" applyNumberFormat="1" applyFont="1" applyFill="1" applyBorder="1" applyAlignment="1">
      <x:alignment horizontal="center" vertical="center" wrapText="1"/>
    </x:xf>
    <x:xf numFmtId="0" fontId="37" fillId="60" borderId="47" xfId="0" applyNumberFormat="1" applyFont="1" applyFill="1" applyBorder="1" applyAlignment="1">
      <x:alignment horizontal="center" vertical="center" wrapText="1"/>
    </x:xf>
    <x:xf numFmtId="0" fontId="37" fillId="60" borderId="38" xfId="0" applyNumberFormat="1" applyFont="1" applyFill="1" applyBorder="1" applyAlignment="1">
      <x:alignment horizontal="center" vertical="center" wrapText="1"/>
    </x:xf>
    <x:xf numFmtId="0" fontId="37" fillId="60" borderId="40" xfId="0" applyNumberFormat="1" applyFont="1" applyFill="1" applyBorder="1" applyAlignment="1">
      <x:alignment horizontal="center" vertical="center" wrapText="1"/>
    </x:xf>
    <x:xf numFmtId="0" fontId="38" fillId="60" borderId="0" xfId="0" applyNumberFormat="1" applyFont="1" applyFill="1" applyBorder="1"/>
    <x:xf numFmtId="0" fontId="37" fillId="60" borderId="0" xfId="0" applyNumberFormat="1" applyFont="1" applyFill="1" applyBorder="1" applyAlignment="1">
      <x:alignment horizontal="left" vertical="center"/>
    </x:xf>
    <x:xf numFmtId="0" fontId="37" fillId="60" borderId="41" xfId="0" applyNumberFormat="1" applyFont="1" applyFill="1" applyBorder="1" applyAlignment="1">
      <x:alignment horizontal="center" vertical="center" wrapText="1"/>
    </x:xf>
    <x:xf numFmtId="0" fontId="38" fillId="60" borderId="0" xfId="0" applyNumberFormat="1" applyFont="1" applyFill="1" applyBorder="1" applyAlignment="1">
      <x:alignment wrapText="1"/>
    </x:xf>
    <x:xf numFmtId="0" fontId="37" fillId="60" borderId="0" xfId="0" applyNumberFormat="1" applyFont="1" applyFill="1" applyBorder="1" applyAlignment="1">
      <x:alignment horizontal="left" vertical="center" wrapText="1"/>
    </x:xf>
    <x:xf numFmtId="0" fontId="37" fillId="60" borderId="32" xfId="0" applyNumberFormat="1" applyFont="1" applyFill="1" applyBorder="1" applyAlignment="1">
      <x:alignment horizontal="center" vertical="top" wrapText="1"/>
    </x:xf>
    <x:xf numFmtId="0" fontId="37" fillId="60" borderId="34" xfId="0" applyNumberFormat="1" applyFont="1" applyFill="1" applyBorder="1" applyAlignment="1">
      <x:alignment horizontal="center" vertical="top" wrapText="1"/>
    </x:xf>
    <x:xf numFmtId="0" fontId="37" fillId="60" borderId="47" xfId="0" applyNumberFormat="1" applyFont="1" applyFill="1" applyBorder="1" applyAlignment="1">
      <x:alignment horizontal="center" vertical="top" wrapText="1"/>
    </x:xf>
    <x:xf numFmtId="0" fontId="37" fillId="60" borderId="38" xfId="0" applyNumberFormat="1" applyFont="1" applyFill="1" applyBorder="1" applyAlignment="1">
      <x:alignment horizontal="center" vertical="top" wrapText="1"/>
    </x:xf>
    <x:xf numFmtId="0" fontId="37" fillId="60" borderId="40" xfId="0" applyNumberFormat="1" applyFont="1" applyFill="1" applyBorder="1" applyAlignment="1">
      <x:alignment horizontal="center" vertical="top" wrapText="1"/>
    </x:xf>
    <x:xf numFmtId="0" fontId="38" fillId="60" borderId="0" xfId="0" applyNumberFormat="1" applyFont="1" applyFill="1" applyBorder="1" applyAlignment="1">
      <x:alignment vertical="top" wrapText="1"/>
    </x:xf>
    <x:xf numFmtId="0" fontId="37" fillId="60" borderId="0" xfId="0" applyNumberFormat="1" applyFont="1" applyFill="1" applyBorder="1" applyAlignment="1">
      <x:alignment horizontal="left" vertical="top" wrapText="1"/>
    </x:xf>
    <x:xf numFmtId="0" fontId="37" fillId="60" borderId="41" xfId="0" applyNumberFormat="1" applyFont="1" applyFill="1" applyBorder="1" applyAlignment="1">
      <x:alignment horizontal="center" vertical="top" wrapText="1"/>
    </x:xf>
    <x:xf numFmtId="0" fontId="10" fillId="56" borderId="34" xfId="0" applyNumberFormat="1" applyFont="1" applyFill="1" applyBorder="1" applyAlignment="1">
      <x:alignment horizontal="center" vertical="center" wrapText="1"/>
    </x:xf>
    <x:xf numFmtId="0" fontId="10" fillId="56" borderId="46" xfId="0" applyNumberFormat="1" applyFont="1" applyFill="1" applyBorder="1" applyAlignment="1">
      <x:alignment horizontal="center" vertical="center" wrapText="1"/>
    </x:xf>
    <x:xf numFmtId="0" fontId="10" fillId="56" borderId="32" xfId="0" applyNumberFormat="1" applyFont="1" applyFill="1" applyBorder="1" applyAlignment="1">
      <x:alignment horizontal="center" vertical="center" wrapText="1"/>
    </x:xf>
    <x:xf numFmtId="0" fontId="5" fillId="56" borderId="0" xfId="0" applyNumberFormat="1" applyFont="1" applyFill="1" applyBorder="1" applyAlignment="1">
      <x:alignment horizontal="left" vertical="center"/>
    </x:xf>
    <x:xf numFmtId="0" fontId="9" fillId="56" borderId="32" xfId="0" applyNumberFormat="1" applyFont="1" applyFill="1" applyBorder="1" applyAlignment="1">
      <x:alignment horizontal="center" vertical="center"/>
    </x:xf>
    <x:xf numFmtId="0" fontId="9" fillId="56" borderId="41" xfId="0" applyNumberFormat="1" applyFont="1" applyFill="1" applyBorder="1" applyAlignment="1">
      <x:alignment horizontal="center" vertical="center"/>
    </x:xf>
    <x:xf numFmtId="0" fontId="10" fillId="56" borderId="41" xfId="0" applyNumberFormat="1" applyFont="1" applyFill="1" applyBorder="1" applyAlignment="1">
      <x:alignment horizontal="center" vertical="center" wrapText="1"/>
    </x:xf>
    <x:xf numFmtId="0" fontId="31" fillId="56" borderId="0" xfId="0" applyNumberFormat="1" applyFont="1" applyFill="1" applyBorder="1" applyAlignment="1">
      <x:alignment horizontal="left" vertical="center"/>
    </x:xf>
    <x:xf numFmtId="0" fontId="31" fillId="56" borderId="32" xfId="0" applyNumberFormat="1" applyFont="1" applyFill="1" applyBorder="1" applyAlignment="1">
      <x:alignment horizontal="center" vertical="center"/>
    </x:xf>
    <x:xf numFmtId="0" fontId="31" fillId="56" borderId="41" xfId="0" applyNumberFormat="1" applyFont="1" applyFill="1" applyBorder="1" applyAlignment="1">
      <x:alignment horizontal="center" vertical="center"/>
    </x:xf>
    <x:xf numFmtId="0" fontId="31" fillId="56" borderId="0" xfId="0" applyNumberFormat="1" applyFont="1" applyFill="1" applyBorder="1" applyAlignment="1">
      <x:alignment horizontal="left" vertical="center" wrapText="1"/>
    </x:xf>
    <x:xf numFmtId="0" fontId="31" fillId="56" borderId="0" xfId="0" applyNumberFormat="1" applyFont="1" applyFill="1" applyBorder="1" applyAlignment="1">
      <x:alignment horizontal="left" vertical="top" wrapText="1"/>
    </x:xf>
    <x:xf numFmtId="0" fontId="10" fillId="61" borderId="32" xfId="0" applyNumberFormat="1" applyFont="1" applyFill="1" applyBorder="1" applyAlignment="1">
      <x:alignment horizontal="center" vertical="center" wrapText="1"/>
    </x:xf>
    <x:xf numFmtId="0" fontId="10" fillId="61" borderId="34" xfId="0" applyNumberFormat="1" applyFont="1" applyFill="1" applyBorder="1" applyAlignment="1">
      <x:alignment horizontal="center" vertical="center" wrapText="1"/>
    </x:xf>
    <x:xf numFmtId="0" fontId="10" fillId="61" borderId="41" xfId="0" applyNumberFormat="1" applyFont="1" applyFill="1" applyBorder="1" applyAlignment="1">
      <x:alignment horizontal="center" vertical="center" wrapText="1"/>
    </x:xf>
    <x:xf numFmtId="0" fontId="10" fillId="61" borderId="38" xfId="0" applyNumberFormat="1" applyFont="1" applyFill="1" applyBorder="1" applyAlignment="1">
      <x:alignment horizontal="center" vertical="center" wrapText="1"/>
    </x:xf>
    <x:xf numFmtId="0" fontId="10" fillId="61" borderId="40" xfId="0" applyNumberFormat="1" applyFont="1" applyFill="1" applyBorder="1" applyAlignment="1">
      <x:alignment horizontal="center" vertical="center" wrapText="1"/>
    </x:xf>
    <x:xf numFmtId="0" fontId="10" fillId="61" borderId="45" xfId="0" applyNumberFormat="1" applyFont="1" applyFill="1" applyBorder="1" applyAlignment="1">
      <x:alignment horizontal="center" vertical="center" wrapText="1"/>
    </x:xf>
    <x:xf numFmtId="0" fontId="0" fillId="61" borderId="0" xfId="0" applyNumberFormat="1" applyFont="1" applyFill="1" applyBorder="1"/>
    <x:xf numFmtId="0" fontId="5" fillId="61" borderId="0" xfId="0" applyNumberFormat="1" applyFont="1" applyFill="1" applyBorder="1" applyAlignment="1">
      <x:alignment horizontal="left" vertical="center"/>
    </x:xf>
    <x:xf numFmtId="0" fontId="9" fillId="61" borderId="41" xfId="0" applyNumberFormat="1" applyFont="1" applyFill="1" applyBorder="1" applyAlignment="1">
      <x:alignment horizontal="center" vertical="center"/>
    </x:xf>
    <x:xf numFmtId="0" fontId="9" fillId="61" borderId="34" xfId="0" applyNumberFormat="1" applyFont="1" applyFill="1" applyBorder="1" applyAlignment="1">
      <x:alignment horizontal="center" vertical="center"/>
    </x:xf>
    <x:xf numFmtId="0" fontId="9" fillId="61" borderId="32" xfId="0" applyNumberFormat="1" applyFont="1" applyFill="1" applyBorder="1" applyAlignment="1">
      <x:alignment horizontal="center" vertical="center"/>
    </x:xf>
    <x:xf numFmtId="0" fontId="39" fillId="61" borderId="32" xfId="0" applyNumberFormat="1" applyFont="1" applyFill="1" applyBorder="1" applyAlignment="1">
      <x:alignment horizontal="center" vertical="center" wrapText="1"/>
    </x:xf>
    <x:xf numFmtId="0" fontId="39" fillId="61" borderId="34" xfId="0" applyNumberFormat="1" applyFont="1" applyFill="1" applyBorder="1" applyAlignment="1">
      <x:alignment horizontal="center" vertical="center" wrapText="1"/>
    </x:xf>
    <x:xf numFmtId="0" fontId="39" fillId="61" borderId="41" xfId="0" applyNumberFormat="1" applyFont="1" applyFill="1" applyBorder="1" applyAlignment="1">
      <x:alignment horizontal="center" vertical="center" wrapText="1"/>
    </x:xf>
    <x:xf numFmtId="0" fontId="39" fillId="61" borderId="38" xfId="0" applyNumberFormat="1" applyFont="1" applyFill="1" applyBorder="1" applyAlignment="1">
      <x:alignment horizontal="center" vertical="center" wrapText="1"/>
    </x:xf>
    <x:xf numFmtId="0" fontId="39" fillId="61" borderId="40" xfId="0" applyNumberFormat="1" applyFont="1" applyFill="1" applyBorder="1" applyAlignment="1">
      <x:alignment horizontal="center" vertical="center" wrapText="1"/>
    </x:xf>
    <x:xf numFmtId="0" fontId="39" fillId="61" borderId="45" xfId="0" applyNumberFormat="1" applyFont="1" applyFill="1" applyBorder="1" applyAlignment="1">
      <x:alignment horizontal="center" vertical="center" wrapText="1"/>
    </x:xf>
    <x:xf numFmtId="0" fontId="40" fillId="61" borderId="0" xfId="0" applyNumberFormat="1" applyFont="1" applyFill="1" applyBorder="1"/>
    <x:xf numFmtId="0" fontId="39" fillId="61" borderId="0" xfId="0" applyNumberFormat="1" applyFont="1" applyFill="1" applyBorder="1" applyAlignment="1">
      <x:alignment horizontal="left" vertical="center"/>
    </x:xf>
    <x:xf numFmtId="0" fontId="39" fillId="61" borderId="41" xfId="0" applyNumberFormat="1" applyFont="1" applyFill="1" applyBorder="1" applyAlignment="1">
      <x:alignment horizontal="center" vertical="center"/>
    </x:xf>
    <x:xf numFmtId="0" fontId="39" fillId="61" borderId="34" xfId="0" applyNumberFormat="1" applyFont="1" applyFill="1" applyBorder="1" applyAlignment="1">
      <x:alignment horizontal="center" vertical="center"/>
    </x:xf>
    <x:xf numFmtId="0" fontId="39" fillId="61" borderId="32" xfId="0" applyNumberFormat="1" applyFont="1" applyFill="1" applyBorder="1" applyAlignment="1">
      <x:alignment horizontal="center" vertical="center"/>
    </x:xf>
    <x:xf numFmtId="0" fontId="40" fillId="61" borderId="0" xfId="0" applyNumberFormat="1" applyFont="1" applyFill="1" applyBorder="1" applyAlignment="1">
      <x:alignment wrapText="1"/>
    </x:xf>
    <x:xf numFmtId="0" fontId="39" fillId="61" borderId="0" xfId="0" applyNumberFormat="1" applyFont="1" applyFill="1" applyBorder="1" applyAlignment="1">
      <x:alignment horizontal="left" vertical="center" wrapText="1"/>
    </x:xf>
    <x:xf numFmtId="0" fontId="39" fillId="61" borderId="32" xfId="0" applyNumberFormat="1" applyFont="1" applyFill="1" applyBorder="1" applyAlignment="1">
      <x:alignment horizontal="center" vertical="top" wrapText="1"/>
    </x:xf>
    <x:xf numFmtId="0" fontId="39" fillId="61" borderId="34" xfId="0" applyNumberFormat="1" applyFont="1" applyFill="1" applyBorder="1" applyAlignment="1">
      <x:alignment horizontal="center" vertical="top" wrapText="1"/>
    </x:xf>
    <x:xf numFmtId="0" fontId="39" fillId="61" borderId="41" xfId="0" applyNumberFormat="1" applyFont="1" applyFill="1" applyBorder="1" applyAlignment="1">
      <x:alignment horizontal="center" vertical="top" wrapText="1"/>
    </x:xf>
    <x:xf numFmtId="0" fontId="39" fillId="61" borderId="38" xfId="0" applyNumberFormat="1" applyFont="1" applyFill="1" applyBorder="1" applyAlignment="1">
      <x:alignment horizontal="center" vertical="top" wrapText="1"/>
    </x:xf>
    <x:xf numFmtId="0" fontId="39" fillId="61" borderId="40" xfId="0" applyNumberFormat="1" applyFont="1" applyFill="1" applyBorder="1" applyAlignment="1">
      <x:alignment horizontal="center" vertical="top" wrapText="1"/>
    </x:xf>
    <x:xf numFmtId="0" fontId="39" fillId="61" borderId="45" xfId="0" applyNumberFormat="1" applyFont="1" applyFill="1" applyBorder="1" applyAlignment="1">
      <x:alignment horizontal="center" vertical="top" wrapText="1"/>
    </x:xf>
    <x:xf numFmtId="0" fontId="40" fillId="61" borderId="0" xfId="0" applyNumberFormat="1" applyFont="1" applyFill="1" applyBorder="1" applyAlignment="1">
      <x:alignment vertical="top" wrapText="1"/>
    </x:xf>
    <x:xf numFmtId="0" fontId="39" fillId="61" borderId="0" xfId="0" applyNumberFormat="1" applyFont="1" applyFill="1" applyBorder="1" applyAlignment="1">
      <x:alignment horizontal="left" vertical="top" wrapText="1"/>
    </x:xf>
    <x:xf numFmtId="0" fontId="0" fillId="57" borderId="4" xfId="0" applyNumberFormat="1" applyFont="1" applyFill="1" applyBorder="1"/>
    <x:xf numFmtId="0" fontId="0" fillId="57" borderId="0" xfId="0" applyNumberFormat="1" applyFont="1" applyFill="1" applyBorder="1"/>
    <x:xf numFmtId="0" fontId="0" fillId="57" borderId="5" xfId="0" applyNumberFormat="1" applyFont="1" applyFill="1" applyBorder="1"/>
    <x:xf numFmtId="0" fontId="36" fillId="57" borderId="4" xfId="0" applyNumberFormat="1" applyFont="1" applyFill="1" applyBorder="1"/>
    <x:xf numFmtId="0" fontId="36" fillId="57" borderId="0" xfId="0" applyNumberFormat="1" applyFont="1" applyFill="1" applyBorder="1"/>
    <x:xf numFmtId="0" fontId="36" fillId="57" borderId="5" xfId="0" applyNumberFormat="1" applyFont="1" applyFill="1" applyBorder="1"/>
    <x:xf numFmtId="0" fontId="5" fillId="62" borderId="4" xfId="0" applyNumberFormat="1" applyFont="1" applyFill="1" applyBorder="1" applyAlignment="1">
      <x:alignment horizontal="left" vertical="center"/>
    </x:xf>
    <x:xf numFmtId="0" fontId="5" fillId="62" borderId="0" xfId="0" applyNumberFormat="1" applyFont="1" applyFill="1" applyBorder="1" applyAlignment="1">
      <x:alignment horizontal="left" vertical="center"/>
    </x:xf>
    <x:xf numFmtId="0" fontId="2" fillId="62" borderId="4" xfId="0" applyNumberFormat="1" applyFont="1" applyFill="1" applyBorder="1" applyAlignment="1">
      <x:alignment horizontal="center" vertical="center" wrapText="1"/>
    </x:xf>
    <x:xf numFmtId="0" fontId="2" fillId="62" borderId="0" xfId="0" applyNumberFormat="1" applyFont="1" applyFill="1" applyBorder="1" applyAlignment="1">
      <x:alignment horizontal="center" vertical="center" wrapText="1"/>
    </x:xf>
    <x:xf numFmtId="0" fontId="12" fillId="62" borderId="35" xfId="0" applyNumberFormat="1" applyFont="1" applyFill="1" applyBorder="1" applyAlignment="1">
      <x:alignment vertical="top" wrapText="1"/>
    </x:xf>
    <x:xf numFmtId="0" fontId="12" fillId="62" borderId="42" xfId="0" applyNumberFormat="1" applyFont="1" applyFill="1" applyBorder="1" applyAlignment="1">
      <x:alignment vertical="top" wrapText="1"/>
    </x:xf>
    <x:xf numFmtId="0" fontId="12" fillId="62" borderId="37" xfId="0" applyNumberFormat="1" applyFont="1" applyFill="1" applyBorder="1" applyAlignment="1">
      <x:alignment vertical="top" wrapText="1"/>
    </x:xf>
    <x:xf numFmtId="0" fontId="12" fillId="62" borderId="43" xfId="0" applyNumberFormat="1" applyFont="1" applyFill="1" applyBorder="1" applyAlignment="1">
      <x:alignment vertical="top" wrapText="1"/>
    </x:xf>
    <x:xf numFmtId="0" fontId="12" fillId="62" xfId="0" applyNumberFormat="1" applyFont="1" applyFill="1" applyBorder="0" applyAlignment="1">
      <x:alignment vertical="top" wrapText="1"/>
    </x:xf>
    <x:xf numFmtId="0" fontId="12" fillId="62" borderId="44" xfId="0" applyNumberFormat="1" applyFont="1" applyFill="1" applyBorder="1" applyAlignment="1">
      <x:alignment vertical="top" wrapText="1"/>
    </x:xf>
    <x:xf numFmtId="0" fontId="2" fillId="62" borderId="43" xfId="0" applyNumberFormat="1" applyFont="1" applyFill="1" applyBorder="1" applyAlignment="1">
      <x:alignment vertical="center" wrapText="1"/>
    </x:xf>
    <x:xf numFmtId="0" fontId="2" fillId="62" xfId="0" applyNumberFormat="1" applyFont="1" applyFill="1" applyBorder="0" applyAlignment="1">
      <x:alignment vertical="center" wrapText="1"/>
    </x:xf>
    <x:xf numFmtId="0" fontId="2" fillId="62" borderId="44" xfId="0" applyNumberFormat="1" applyFont="1" applyFill="1" applyBorder="1" applyAlignment="1">
      <x:alignment vertical="center" wrapText="1"/>
    </x:xf>
    <x:xf numFmtId="0" fontId="41" fillId="62" borderId="4" xfId="0" applyNumberFormat="1" applyFont="1" applyFill="1" applyBorder="1" applyAlignment="1">
      <x:alignment horizontal="left" vertical="center"/>
    </x:xf>
    <x:xf numFmtId="0" fontId="41" fillId="62" borderId="0" xfId="0" applyNumberFormat="1" applyFont="1" applyFill="1" applyBorder="1" applyAlignment="1">
      <x:alignment horizontal="left" vertical="center"/>
    </x:xf>
    <x:xf numFmtId="0" fontId="41" fillId="62" borderId="4" xfId="0" applyNumberFormat="1" applyFont="1" applyFill="1" applyBorder="1" applyAlignment="1">
      <x:alignment horizontal="center" vertical="center" wrapText="1"/>
    </x:xf>
    <x:xf numFmtId="0" fontId="41" fillId="62" borderId="0" xfId="0" applyNumberFormat="1" applyFont="1" applyFill="1" applyBorder="1" applyAlignment="1">
      <x:alignment horizontal="center" vertical="center" wrapText="1"/>
    </x:xf>
    <x:xf numFmtId="0" fontId="42" fillId="62" borderId="35" xfId="0" applyNumberFormat="1" applyFont="1" applyFill="1" applyBorder="1" applyAlignment="1">
      <x:alignment vertical="top" wrapText="1"/>
    </x:xf>
    <x:xf numFmtId="0" fontId="42" fillId="62" borderId="42" xfId="0" applyNumberFormat="1" applyFont="1" applyFill="1" applyBorder="1" applyAlignment="1">
      <x:alignment vertical="top" wrapText="1"/>
    </x:xf>
    <x:xf numFmtId="0" fontId="42" fillId="62" borderId="37" xfId="0" applyNumberFormat="1" applyFont="1" applyFill="1" applyBorder="1" applyAlignment="1">
      <x:alignment vertical="top" wrapText="1"/>
    </x:xf>
    <x:xf numFmtId="0" fontId="42" fillId="62" borderId="43" xfId="0" applyNumberFormat="1" applyFont="1" applyFill="1" applyBorder="1" applyAlignment="1">
      <x:alignment vertical="top" wrapText="1"/>
    </x:xf>
    <x:xf numFmtId="0" fontId="42" fillId="62" xfId="0" applyNumberFormat="1" applyFont="1" applyFill="1" applyBorder="0" applyAlignment="1">
      <x:alignment vertical="top" wrapText="1"/>
    </x:xf>
    <x:xf numFmtId="0" fontId="42" fillId="62" borderId="44" xfId="0" applyNumberFormat="1" applyFont="1" applyFill="1" applyBorder="1" applyAlignment="1">
      <x:alignment vertical="top" wrapText="1"/>
    </x:xf>
    <x:xf numFmtId="0" fontId="41" fillId="62" borderId="43" xfId="0" applyNumberFormat="1" applyFont="1" applyFill="1" applyBorder="1" applyAlignment="1">
      <x:alignment vertical="center" wrapText="1"/>
    </x:xf>
    <x:xf numFmtId="0" fontId="41" fillId="62" xfId="0" applyNumberFormat="1" applyFont="1" applyFill="1" applyBorder="0" applyAlignment="1">
      <x:alignment vertical="center" wrapText="1"/>
    </x:xf>
    <x:xf numFmtId="0" fontId="41" fillId="62" borderId="44" xfId="0" applyNumberFormat="1" applyFont="1" applyFill="1" applyBorder="1" applyAlignment="1">
      <x:alignment vertical="center" wrapText="1"/>
    </x:xf>
    <x:xf numFmtId="0" fontId="41" fillId="62" borderId="4" xfId="0" applyNumberFormat="1" applyFont="1" applyFill="1" applyBorder="1" applyAlignment="1">
      <x:alignment horizontal="left" vertical="center" wrapText="1"/>
    </x:xf>
    <x:xf numFmtId="0" fontId="41" fillId="62" borderId="0" xfId="0" applyNumberFormat="1" applyFont="1" applyFill="1" applyBorder="1" applyAlignment="1">
      <x:alignment horizontal="left" vertical="center" wrapText="1"/>
    </x:xf>
    <x:xf numFmtId="0" fontId="41" fillId="62" borderId="4" xfId="0" applyNumberFormat="1" applyFont="1" applyFill="1" applyBorder="1" applyAlignment="1">
      <x:alignment horizontal="left" vertical="top" wrapText="1"/>
    </x:xf>
    <x:xf numFmtId="0" fontId="41" fillId="62" borderId="0" xfId="0" applyNumberFormat="1" applyFont="1" applyFill="1" applyBorder="1" applyAlignment="1">
      <x:alignment horizontal="left" vertical="top" wrapText="1"/>
    </x:xf>
    <x:xf numFmtId="0" fontId="41" fillId="62" borderId="4" xfId="0" applyNumberFormat="1" applyFont="1" applyFill="1" applyBorder="1" applyAlignment="1">
      <x:alignment horizontal="center" vertical="top" wrapText="1"/>
    </x:xf>
    <x:xf numFmtId="0" fontId="41" fillId="62" borderId="0" xfId="0" applyNumberFormat="1" applyFont="1" applyFill="1" applyBorder="1" applyAlignment="1">
      <x:alignment horizontal="center" vertical="top" wrapText="1"/>
    </x:xf>
    <x:xf numFmtId="0" fontId="41" fillId="62" borderId="43" xfId="0" applyNumberFormat="1" applyFont="1" applyFill="1" applyBorder="1" applyAlignment="1">
      <x:alignment vertical="top" wrapText="1"/>
    </x:xf>
    <x:xf numFmtId="0" fontId="41" fillId="62" xfId="0" applyNumberFormat="1" applyFont="1" applyFill="1" applyBorder="0" applyAlignment="1">
      <x:alignment vertical="top" wrapText="1"/>
    </x:xf>
    <x:xf numFmtId="0" fontId="41" fillId="62" borderId="44" xfId="0" applyNumberFormat="1" applyFont="1" applyFill="1" applyBorder="1" applyAlignment="1">
      <x:alignment vertical="top" wrapText="1"/>
    </x:xf>
    <x:xf numFmtId="0" fontId="5" fillId="60" borderId="5" xfId="0" applyNumberFormat="1" applyFont="1" applyFill="1" applyBorder="1" applyAlignment="1">
      <x:alignment horizontal="left" vertical="center"/>
    </x:xf>
    <x:xf numFmtId="0" fontId="2" fillId="60" borderId="0" xfId="0" applyNumberFormat="1" applyFont="1" applyFill="1" applyBorder="1" applyAlignment="1">
      <x:alignment horizontal="center" vertical="center" wrapText="1"/>
    </x:xf>
    <x:xf numFmtId="0" fontId="2" fillId="60" borderId="5" xfId="0" applyNumberFormat="1" applyFont="1" applyFill="1" applyBorder="1" applyAlignment="1">
      <x:alignment horizontal="center" vertical="center" wrapText="1"/>
    </x:xf>
    <x:xf numFmtId="0" fontId="12" fillId="60" borderId="35" xfId="0" applyNumberFormat="1" applyFont="1" applyFill="1" applyBorder="1" applyAlignment="1">
      <x:alignment vertical="top" wrapText="1"/>
    </x:xf>
    <x:xf numFmtId="0" fontId="12" fillId="60" borderId="42" xfId="0" applyNumberFormat="1" applyFont="1" applyFill="1" applyBorder="1" applyAlignment="1">
      <x:alignment vertical="top" wrapText="1"/>
    </x:xf>
    <x:xf numFmtId="0" fontId="12" fillId="60" borderId="37" xfId="0" applyNumberFormat="1" applyFont="1" applyFill="1" applyBorder="1" applyAlignment="1">
      <x:alignment vertical="top" wrapText="1"/>
    </x:xf>
    <x:xf numFmtId="0" fontId="12" fillId="60" borderId="43" xfId="0" applyNumberFormat="1" applyFont="1" applyFill="1" applyBorder="1" applyAlignment="1">
      <x:alignment vertical="top" wrapText="1"/>
    </x:xf>
    <x:xf numFmtId="0" fontId="12" fillId="60" xfId="0" applyNumberFormat="1" applyFont="1" applyFill="1" applyBorder="0" applyAlignment="1">
      <x:alignment vertical="top" wrapText="1"/>
    </x:xf>
    <x:xf numFmtId="0" fontId="12" fillId="60" borderId="44" xfId="0" applyNumberFormat="1" applyFont="1" applyFill="1" applyBorder="1" applyAlignment="1">
      <x:alignment vertical="top" wrapText="1"/>
    </x:xf>
    <x:xf numFmtId="0" fontId="2" fillId="60" borderId="43" xfId="0" applyNumberFormat="1" applyFont="1" applyFill="1" applyBorder="1" applyAlignment="1">
      <x:alignment vertical="center" wrapText="1"/>
    </x:xf>
    <x:xf numFmtId="0" fontId="2" fillId="60" xfId="0" applyNumberFormat="1" applyFont="1" applyFill="1" applyBorder="0" applyAlignment="1">
      <x:alignment vertical="center" wrapText="1"/>
    </x:xf>
    <x:xf numFmtId="0" fontId="2" fillId="60" borderId="44" xfId="0" applyNumberFormat="1" applyFont="1" applyFill="1" applyBorder="1" applyAlignment="1">
      <x:alignment vertical="center" wrapText="1"/>
    </x:xf>
    <x:xf numFmtId="0" fontId="37" fillId="60" borderId="5" xfId="0" applyNumberFormat="1" applyFont="1" applyFill="1" applyBorder="1" applyAlignment="1">
      <x:alignment horizontal="left" vertical="center"/>
    </x:xf>
    <x:xf numFmtId="0" fontId="37" fillId="60" borderId="0" xfId="0" applyNumberFormat="1" applyFont="1" applyFill="1" applyBorder="1" applyAlignment="1">
      <x:alignment horizontal="center" vertical="center" wrapText="1"/>
    </x:xf>
    <x:xf numFmtId="0" fontId="37" fillId="60" borderId="5" xfId="0" applyNumberFormat="1" applyFont="1" applyFill="1" applyBorder="1" applyAlignment="1">
      <x:alignment horizontal="center" vertical="center" wrapText="1"/>
    </x:xf>
    <x:xf numFmtId="0" fontId="38" fillId="60" borderId="35" xfId="0" applyNumberFormat="1" applyFont="1" applyFill="1" applyBorder="1" applyAlignment="1">
      <x:alignment vertical="top" wrapText="1"/>
    </x:xf>
    <x:xf numFmtId="0" fontId="38" fillId="60" borderId="42" xfId="0" applyNumberFormat="1" applyFont="1" applyFill="1" applyBorder="1" applyAlignment="1">
      <x:alignment vertical="top" wrapText="1"/>
    </x:xf>
    <x:xf numFmtId="0" fontId="38" fillId="60" borderId="37" xfId="0" applyNumberFormat="1" applyFont="1" applyFill="1" applyBorder="1" applyAlignment="1">
      <x:alignment vertical="top" wrapText="1"/>
    </x:xf>
    <x:xf numFmtId="0" fontId="38" fillId="60" borderId="43" xfId="0" applyNumberFormat="1" applyFont="1" applyFill="1" applyBorder="1" applyAlignment="1">
      <x:alignment vertical="top" wrapText="1"/>
    </x:xf>
    <x:xf numFmtId="0" fontId="38" fillId="60" xfId="0" applyNumberFormat="1" applyFont="1" applyFill="1" applyBorder="0" applyAlignment="1">
      <x:alignment vertical="top" wrapText="1"/>
    </x:xf>
    <x:xf numFmtId="0" fontId="38" fillId="60" borderId="44" xfId="0" applyNumberFormat="1" applyFont="1" applyFill="1" applyBorder="1" applyAlignment="1">
      <x:alignment vertical="top" wrapText="1"/>
    </x:xf>
    <x:xf numFmtId="0" fontId="37" fillId="60" borderId="43" xfId="0" applyNumberFormat="1" applyFont="1" applyFill="1" applyBorder="1" applyAlignment="1">
      <x:alignment vertical="center" wrapText="1"/>
    </x:xf>
    <x:xf numFmtId="0" fontId="37" fillId="60" xfId="0" applyNumberFormat="1" applyFont="1" applyFill="1" applyBorder="0" applyAlignment="1">
      <x:alignment vertical="center" wrapText="1"/>
    </x:xf>
    <x:xf numFmtId="0" fontId="37" fillId="60" borderId="44" xfId="0" applyNumberFormat="1" applyFont="1" applyFill="1" applyBorder="1" applyAlignment="1">
      <x:alignment vertical="center" wrapText="1"/>
    </x:xf>
    <x:xf numFmtId="0" fontId="37" fillId="60" borderId="5" xfId="0" applyNumberFormat="1" applyFont="1" applyFill="1" applyBorder="1" applyAlignment="1">
      <x:alignment horizontal="left" vertical="center" wrapText="1"/>
    </x:xf>
    <x:xf numFmtId="0" fontId="37" fillId="60" borderId="5" xfId="0" applyNumberFormat="1" applyFont="1" applyFill="1" applyBorder="1" applyAlignment="1">
      <x:alignment horizontal="left" vertical="top" wrapText="1"/>
    </x:xf>
    <x:xf numFmtId="0" fontId="37" fillId="60" borderId="0" xfId="0" applyNumberFormat="1" applyFont="1" applyFill="1" applyBorder="1" applyAlignment="1">
      <x:alignment horizontal="center" vertical="top" wrapText="1"/>
    </x:xf>
    <x:xf numFmtId="0" fontId="37" fillId="60" borderId="5" xfId="0" applyNumberFormat="1" applyFont="1" applyFill="1" applyBorder="1" applyAlignment="1">
      <x:alignment horizontal="center" vertical="top" wrapText="1"/>
    </x:xf>
    <x:xf numFmtId="0" fontId="37" fillId="60" borderId="43" xfId="0" applyNumberFormat="1" applyFont="1" applyFill="1" applyBorder="1" applyAlignment="1">
      <x:alignment vertical="top" wrapText="1"/>
    </x:xf>
    <x:xf numFmtId="0" fontId="37" fillId="60" xfId="0" applyNumberFormat="1" applyFont="1" applyFill="1" applyBorder="0" applyAlignment="1">
      <x:alignment vertical="top" wrapText="1"/>
    </x:xf>
    <x:xf numFmtId="0" fontId="37" fillId="60" borderId="44" xfId="0" applyNumberFormat="1" applyFont="1" applyFill="1" applyBorder="1" applyAlignment="1">
      <x:alignment vertical="top" wrapText="1"/>
    </x:xf>
    <x:xf numFmtId="0" fontId="5" fillId="63" borderId="0" xfId="0" applyNumberFormat="1" applyFont="1" applyFill="1" applyBorder="1" applyAlignment="1">
      <x:alignment horizontal="left" vertical="center"/>
    </x:xf>
    <x:xf numFmtId="0" fontId="2" fillId="63" borderId="0" xfId="0" applyNumberFormat="1" applyFont="1" applyFill="1" applyBorder="1" applyAlignment="1">
      <x:alignment horizontal="center" vertical="center" wrapText="1"/>
    </x:xf>
    <x:xf numFmtId="0" fontId="12" fillId="63" borderId="35" xfId="0" applyNumberFormat="1" applyFont="1" applyFill="1" applyBorder="1" applyAlignment="1">
      <x:alignment vertical="top" wrapText="1"/>
    </x:xf>
    <x:xf numFmtId="0" fontId="12" fillId="63" borderId="42" xfId="0" applyNumberFormat="1" applyFont="1" applyFill="1" applyBorder="1" applyAlignment="1">
      <x:alignment vertical="top" wrapText="1"/>
    </x:xf>
    <x:xf numFmtId="0" fontId="12" fillId="63" borderId="37" xfId="0" applyNumberFormat="1" applyFont="1" applyFill="1" applyBorder="1" applyAlignment="1">
      <x:alignment vertical="top" wrapText="1"/>
    </x:xf>
    <x:xf numFmtId="0" fontId="12" fillId="63" borderId="43" xfId="0" applyNumberFormat="1" applyFont="1" applyFill="1" applyBorder="1" applyAlignment="1">
      <x:alignment vertical="top" wrapText="1"/>
    </x:xf>
    <x:xf numFmtId="0" fontId="12" fillId="63" xfId="0" applyNumberFormat="1" applyFont="1" applyFill="1" applyBorder="0" applyAlignment="1">
      <x:alignment vertical="top" wrapText="1"/>
    </x:xf>
    <x:xf numFmtId="0" fontId="12" fillId="63" borderId="44" xfId="0" applyNumberFormat="1" applyFont="1" applyFill="1" applyBorder="1" applyAlignment="1">
      <x:alignment vertical="top" wrapText="1"/>
    </x:xf>
    <x:xf numFmtId="0" fontId="2" fillId="63" borderId="43" xfId="0" applyNumberFormat="1" applyFont="1" applyFill="1" applyBorder="1" applyAlignment="1">
      <x:alignment vertical="center" wrapText="1"/>
    </x:xf>
    <x:xf numFmtId="0" fontId="2" fillId="63" xfId="0" applyNumberFormat="1" applyFont="1" applyFill="1" applyBorder="0" applyAlignment="1">
      <x:alignment vertical="center" wrapText="1"/>
    </x:xf>
    <x:xf numFmtId="0" fontId="2" fillId="63" borderId="44" xfId="0" applyNumberFormat="1" applyFont="1" applyFill="1" applyBorder="1" applyAlignment="1">
      <x:alignment vertical="center" wrapText="1"/>
    </x:xf>
    <x:xf numFmtId="0" fontId="43" fillId="63" borderId="0" xfId="0" applyNumberFormat="1" applyFont="1" applyFill="1" applyBorder="1" applyAlignment="1">
      <x:alignment horizontal="left" vertical="center"/>
    </x:xf>
    <x:xf numFmtId="0" fontId="43" fillId="63" borderId="0" xfId="0" applyNumberFormat="1" applyFont="1" applyFill="1" applyBorder="1" applyAlignment="1">
      <x:alignment horizontal="center" vertical="center" wrapText="1"/>
    </x:xf>
    <x:xf numFmtId="0" fontId="44" fillId="63" borderId="35" xfId="0" applyNumberFormat="1" applyFont="1" applyFill="1" applyBorder="1" applyAlignment="1">
      <x:alignment vertical="top" wrapText="1"/>
    </x:xf>
    <x:xf numFmtId="0" fontId="44" fillId="63" borderId="42" xfId="0" applyNumberFormat="1" applyFont="1" applyFill="1" applyBorder="1" applyAlignment="1">
      <x:alignment vertical="top" wrapText="1"/>
    </x:xf>
    <x:xf numFmtId="0" fontId="44" fillId="63" borderId="37" xfId="0" applyNumberFormat="1" applyFont="1" applyFill="1" applyBorder="1" applyAlignment="1">
      <x:alignment vertical="top" wrapText="1"/>
    </x:xf>
    <x:xf numFmtId="0" fontId="44" fillId="63" borderId="43" xfId="0" applyNumberFormat="1" applyFont="1" applyFill="1" applyBorder="1" applyAlignment="1">
      <x:alignment vertical="top" wrapText="1"/>
    </x:xf>
    <x:xf numFmtId="0" fontId="44" fillId="63" xfId="0" applyNumberFormat="1" applyFont="1" applyFill="1" applyBorder="0" applyAlignment="1">
      <x:alignment vertical="top" wrapText="1"/>
    </x:xf>
    <x:xf numFmtId="0" fontId="44" fillId="63" borderId="44" xfId="0" applyNumberFormat="1" applyFont="1" applyFill="1" applyBorder="1" applyAlignment="1">
      <x:alignment vertical="top" wrapText="1"/>
    </x:xf>
    <x:xf numFmtId="0" fontId="43" fillId="63" borderId="43" xfId="0" applyNumberFormat="1" applyFont="1" applyFill="1" applyBorder="1" applyAlignment="1">
      <x:alignment vertical="center" wrapText="1"/>
    </x:xf>
    <x:xf numFmtId="0" fontId="43" fillId="63" xfId="0" applyNumberFormat="1" applyFont="1" applyFill="1" applyBorder="0" applyAlignment="1">
      <x:alignment vertical="center" wrapText="1"/>
    </x:xf>
    <x:xf numFmtId="0" fontId="43" fillId="63" borderId="44" xfId="0" applyNumberFormat="1" applyFont="1" applyFill="1" applyBorder="1" applyAlignment="1">
      <x:alignment vertical="center" wrapText="1"/>
    </x:xf>
    <x:xf numFmtId="0" fontId="43" fillId="63" borderId="0" xfId="0" applyNumberFormat="1" applyFont="1" applyFill="1" applyBorder="1" applyAlignment="1">
      <x:alignment horizontal="left" vertical="center" wrapText="1"/>
    </x:xf>
    <x:xf numFmtId="0" fontId="43" fillId="63" borderId="0" xfId="0" applyNumberFormat="1" applyFont="1" applyFill="1" applyBorder="1" applyAlignment="1">
      <x:alignment horizontal="left" vertical="top" wrapText="1"/>
    </x:xf>
    <x:xf numFmtId="0" fontId="43" fillId="63" borderId="0" xfId="0" applyNumberFormat="1" applyFont="1" applyFill="1" applyBorder="1" applyAlignment="1">
      <x:alignment horizontal="center" vertical="top" wrapText="1"/>
    </x:xf>
    <x:xf numFmtId="0" fontId="43" fillId="63" borderId="43" xfId="0" applyNumberFormat="1" applyFont="1" applyFill="1" applyBorder="1" applyAlignment="1">
      <x:alignment vertical="top" wrapText="1"/>
    </x:xf>
    <x:xf numFmtId="0" fontId="43" fillId="63" xfId="0" applyNumberFormat="1" applyFont="1" applyFill="1" applyBorder="0" applyAlignment="1">
      <x:alignment vertical="top" wrapText="1"/>
    </x:xf>
    <x:xf numFmtId="0" fontId="43" fillId="63" borderId="44" xfId="0" applyNumberFormat="1" applyFont="1" applyFill="1" applyBorder="1" applyAlignment="1">
      <x:alignment vertical="top" wrapText="1"/>
    </x:xf>
    <x:xf numFmtId="0" fontId="5" fillId="59" borderId="0" xfId="0" applyNumberFormat="1" applyFont="1" applyFill="1" applyBorder="1" applyAlignment="1">
      <x:alignment horizontal="left" vertical="center"/>
    </x:xf>
    <x:xf numFmtId="0" fontId="2" fillId="59" borderId="0" xfId="0" applyNumberFormat="1" applyFont="1" applyFill="1" applyBorder="1" applyAlignment="1">
      <x:alignment horizontal="center" vertical="center" wrapText="1"/>
    </x:xf>
    <x:xf numFmtId="0" fontId="13" fillId="59" borderId="35" xfId="0" applyNumberFormat="1" applyFont="1" applyFill="1" applyBorder="1" applyAlignment="1">
      <x:alignment vertical="top" wrapText="1"/>
    </x:xf>
    <x:xf numFmtId="0" fontId="13" fillId="59" borderId="42" xfId="0" applyNumberFormat="1" applyFont="1" applyFill="1" applyBorder="1" applyAlignment="1">
      <x:alignment vertical="top" wrapText="1"/>
    </x:xf>
    <x:xf numFmtId="0" fontId="13" fillId="59" borderId="37" xfId="0" applyNumberFormat="1" applyFont="1" applyFill="1" applyBorder="1" applyAlignment="1">
      <x:alignment vertical="top" wrapText="1"/>
    </x:xf>
    <x:xf numFmtId="0" fontId="13" fillId="59" borderId="43" xfId="0" applyNumberFormat="1" applyFont="1" applyFill="1" applyBorder="1" applyAlignment="1">
      <x:alignment vertical="top" wrapText="1"/>
    </x:xf>
    <x:xf numFmtId="0" fontId="13" fillId="59" xfId="0" applyNumberFormat="1" applyFont="1" applyFill="1" applyBorder="0" applyAlignment="1">
      <x:alignment vertical="top" wrapText="1"/>
    </x:xf>
    <x:xf numFmtId="0" fontId="13" fillId="59" borderId="44" xfId="0" applyNumberFormat="1" applyFont="1" applyFill="1" applyBorder="1" applyAlignment="1">
      <x:alignment vertical="top" wrapText="1"/>
    </x:xf>
    <x:xf numFmtId="0" fontId="9" fillId="59" borderId="43" xfId="0" applyNumberFormat="1" applyFont="1" applyFill="1" applyBorder="1" applyAlignment="1">
      <x:alignment vertical="center" wrapText="1"/>
    </x:xf>
    <x:xf numFmtId="0" fontId="9" fillId="59" xfId="0" applyNumberFormat="1" applyFont="1" applyFill="1" applyBorder="0" applyAlignment="1">
      <x:alignment vertical="center" wrapText="1"/>
    </x:xf>
    <x:xf numFmtId="0" fontId="9" fillId="59" borderId="44" xfId="0" applyNumberFormat="1" applyFont="1" applyFill="1" applyBorder="1" applyAlignment="1">
      <x:alignment vertical="center" wrapText="1"/>
    </x:xf>
    <x:xf numFmtId="0" fontId="34" fillId="59" borderId="0" xfId="0" applyNumberFormat="1" applyFont="1" applyFill="1" applyBorder="1" applyAlignment="1">
      <x:alignment horizontal="left" vertical="center"/>
    </x:xf>
    <x:xf numFmtId="0" fontId="34" fillId="59" borderId="0" xfId="0" applyNumberFormat="1" applyFont="1" applyFill="1" applyBorder="1" applyAlignment="1">
      <x:alignment horizontal="center" vertical="center" wrapText="1"/>
    </x:xf>
    <x:xf numFmtId="0" fontId="34" fillId="59" borderId="35" xfId="0" applyNumberFormat="1" applyFont="1" applyFill="1" applyBorder="1" applyAlignment="1">
      <x:alignment vertical="top" wrapText="1"/>
    </x:xf>
    <x:xf numFmtId="0" fontId="34" fillId="59" borderId="42" xfId="0" applyNumberFormat="1" applyFont="1" applyFill="1" applyBorder="1" applyAlignment="1">
      <x:alignment vertical="top" wrapText="1"/>
    </x:xf>
    <x:xf numFmtId="0" fontId="34" fillId="59" borderId="37" xfId="0" applyNumberFormat="1" applyFont="1" applyFill="1" applyBorder="1" applyAlignment="1">
      <x:alignment vertical="top" wrapText="1"/>
    </x:xf>
    <x:xf numFmtId="0" fontId="34" fillId="59" borderId="43" xfId="0" applyNumberFormat="1" applyFont="1" applyFill="1" applyBorder="1" applyAlignment="1">
      <x:alignment vertical="top" wrapText="1"/>
    </x:xf>
    <x:xf numFmtId="0" fontId="34" fillId="59" xfId="0" applyNumberFormat="1" applyFont="1" applyFill="1" applyBorder="0" applyAlignment="1">
      <x:alignment vertical="top" wrapText="1"/>
    </x:xf>
    <x:xf numFmtId="0" fontId="34" fillId="59" borderId="44" xfId="0" applyNumberFormat="1" applyFont="1" applyFill="1" applyBorder="1" applyAlignment="1">
      <x:alignment vertical="top" wrapText="1"/>
    </x:xf>
    <x:xf numFmtId="0" fontId="34" fillId="59" borderId="43" xfId="0" applyNumberFormat="1" applyFont="1" applyFill="1" applyBorder="1" applyAlignment="1">
      <x:alignment vertical="center" wrapText="1"/>
    </x:xf>
    <x:xf numFmtId="0" fontId="34" fillId="59" xfId="0" applyNumberFormat="1" applyFont="1" applyFill="1" applyBorder="0" applyAlignment="1">
      <x:alignment vertical="center" wrapText="1"/>
    </x:xf>
    <x:xf numFmtId="0" fontId="34" fillId="59" borderId="44" xfId="0" applyNumberFormat="1" applyFont="1" applyFill="1" applyBorder="1" applyAlignment="1">
      <x:alignment vertical="center" wrapText="1"/>
    </x:xf>
    <x:xf numFmtId="0" fontId="34" fillId="59" borderId="0" xfId="0" applyNumberFormat="1" applyFont="1" applyFill="1" applyBorder="1" applyAlignment="1">
      <x:alignment horizontal="left" vertical="center" wrapText="1"/>
    </x:xf>
    <x:xf numFmtId="0" fontId="34" fillId="59" borderId="0" xfId="0" applyNumberFormat="1" applyFont="1" applyFill="1" applyBorder="1" applyAlignment="1">
      <x:alignment horizontal="left" vertical="top" wrapText="1"/>
    </x:xf>
    <x:xf numFmtId="0" fontId="34" fillId="59" borderId="0" xfId="0" applyNumberFormat="1" applyFont="1" applyFill="1" applyBorder="1" applyAlignment="1">
      <x:alignment horizontal="center" vertical="top" wrapText="1"/>
    </x:xf>
    <x:xf numFmtId="0" fontId="0" fillId="55" borderId="4" xfId="0" applyNumberFormat="1" applyFont="1" applyFill="1" applyBorder="1"/>
    <x:xf numFmtId="0" fontId="0" fillId="55" borderId="5" xfId="0" applyNumberFormat="1" applyFont="1" applyFill="1" applyBorder="1"/>
    <x:xf numFmtId="0" fontId="36" fillId="55" borderId="4" xfId="0" applyNumberFormat="1" applyFont="1" applyFill="1" applyBorder="1"/>
    <x:xf numFmtId="0" fontId="36" fillId="55" borderId="0" xfId="0" applyNumberFormat="1" applyFont="1" applyFill="1" applyBorder="1"/>
    <x:xf numFmtId="0" fontId="36" fillId="55" borderId="5" xfId="0" applyNumberFormat="1" applyFont="1" applyFill="1" applyBorder="1"/>
    <x:xf numFmtId="0" fontId="5" fillId="56" borderId="4" xfId="0" applyNumberFormat="1" applyFont="1" applyFill="1" applyBorder="1" applyAlignment="1">
      <x:alignment horizontal="left" vertical="center"/>
    </x:xf>
    <x:xf numFmtId="0" fontId="2" fillId="56" borderId="55" xfId="0" applyNumberFormat="1" applyFont="1" applyFill="1" applyBorder="1" applyAlignment="1">
      <x:alignment horizontal="center" vertical="center" wrapText="1"/>
    </x:xf>
    <x:xf numFmtId="0" fontId="2" fillId="56" borderId="58" xfId="0" applyNumberFormat="1" applyFont="1" applyFill="1" applyBorder="1" applyAlignment="1">
      <x:alignment horizontal="center" vertical="center" wrapText="1"/>
    </x:xf>
    <x:xf numFmtId="0" fontId="2" fillId="56" borderId="56" xfId="0" applyNumberFormat="1" applyFont="1" applyFill="1" applyBorder="1" applyAlignment="1">
      <x:alignment horizontal="center" vertical="center" wrapText="1"/>
    </x:xf>
    <x:xf numFmtId="0" fontId="2" fillId="56" borderId="38" xfId="0" applyNumberFormat="1" applyFont="1" applyFill="1" applyBorder="1" applyAlignment="1">
      <x:alignment horizontal="center" vertical="center" wrapText="1"/>
    </x:xf>
    <x:xf numFmtId="0" fontId="2" fillId="56" borderId="45" xfId="0" applyNumberFormat="1" applyFont="1" applyFill="1" applyBorder="1" applyAlignment="1">
      <x:alignment horizontal="center" vertical="center" wrapText="1"/>
    </x:xf>
    <x:xf numFmtId="0" fontId="2" fillId="56" borderId="40" xfId="0" applyNumberFormat="1" applyFont="1" applyFill="1" applyBorder="1" applyAlignment="1">
      <x:alignment horizontal="center" vertical="center" wrapText="1"/>
    </x:xf>
    <x:xf numFmtId="0" fontId="2" fillId="56" borderId="35" xfId="0" applyNumberFormat="1" applyFont="1" applyFill="1" applyBorder="1" applyAlignment="1">
      <x:alignment horizontal="center" vertical="center" wrapText="1"/>
    </x:xf>
    <x:xf numFmtId="0" fontId="2" fillId="56" borderId="42" xfId="0" applyNumberFormat="1" applyFont="1" applyFill="1" applyBorder="1" applyAlignment="1">
      <x:alignment horizontal="center" vertical="center" wrapText="1"/>
    </x:xf>
    <x:xf numFmtId="0" fontId="2" fillId="56" borderId="37" xfId="0" applyNumberFormat="1" applyFont="1" applyFill="1" applyBorder="1" applyAlignment="1">
      <x:alignment horizontal="center" vertical="center" wrapText="1"/>
    </x:xf>
    <x:xf numFmtId="0" fontId="31" fillId="56" borderId="4" xfId="0" applyNumberFormat="1" applyFont="1" applyFill="1" applyBorder="1" applyAlignment="1">
      <x:alignment horizontal="left" vertical="center"/>
    </x:xf>
    <x:xf numFmtId="0" fontId="31" fillId="56" borderId="55" xfId="0" applyNumberFormat="1" applyFont="1" applyFill="1" applyBorder="1" applyAlignment="1">
      <x:alignment horizontal="center" vertical="center" wrapText="1"/>
    </x:xf>
    <x:xf numFmtId="0" fontId="31" fillId="56" borderId="58" xfId="0" applyNumberFormat="1" applyFont="1" applyFill="1" applyBorder="1" applyAlignment="1">
      <x:alignment horizontal="center" vertical="center" wrapText="1"/>
    </x:xf>
    <x:xf numFmtId="0" fontId="31" fillId="56" borderId="56" xfId="0" applyNumberFormat="1" applyFont="1" applyFill="1" applyBorder="1" applyAlignment="1">
      <x:alignment horizontal="center" vertical="center" wrapText="1"/>
    </x:xf>
    <x:xf numFmtId="0" fontId="31" fillId="56" borderId="4" xfId="0" applyNumberFormat="1" applyFont="1" applyFill="1" applyBorder="1" applyAlignment="1">
      <x:alignment horizontal="left" vertical="center" wrapText="1"/>
    </x:xf>
    <x:xf numFmtId="0" fontId="31" fillId="56" borderId="4" xfId="0" applyNumberFormat="1" applyFont="1" applyFill="1" applyBorder="1" applyAlignment="1">
      <x:alignment horizontal="left" vertical="top" wrapText="1"/>
    </x:xf>
    <x:xf numFmtId="0" fontId="31" fillId="56" borderId="55" xfId="0" applyNumberFormat="1" applyFont="1" applyFill="1" applyBorder="1" applyAlignment="1">
      <x:alignment horizontal="center" vertical="top" wrapText="1"/>
    </x:xf>
    <x:xf numFmtId="0" fontId="31" fillId="56" borderId="58" xfId="0" applyNumberFormat="1" applyFont="1" applyFill="1" applyBorder="1" applyAlignment="1">
      <x:alignment horizontal="center" vertical="top" wrapText="1"/>
    </x:xf>
    <x:xf numFmtId="0" fontId="31" fillId="56" borderId="56" xfId="0" applyNumberFormat="1" applyFont="1" applyFill="1" applyBorder="1" applyAlignment="1">
      <x:alignment horizontal="center" vertical="top" wrapText="1"/>
    </x:xf>
    <x:xf numFmtId="0" fontId="5" fillId="63" borderId="5" xfId="0" applyNumberFormat="1" applyFont="1" applyFill="1" applyBorder="1" applyAlignment="1">
      <x:alignment horizontal="left" vertical="center"/>
    </x:xf>
    <x:xf numFmtId="0" fontId="2" fillId="63" borderId="56" xfId="0" applyNumberFormat="1" applyFont="1" applyFill="1" applyBorder="1" applyAlignment="1">
      <x:alignment horizontal="center" vertical="center" wrapText="1"/>
    </x:xf>
    <x:xf numFmtId="0" fontId="2" fillId="63" borderId="35" xfId="0" applyNumberFormat="1" applyFont="1" applyFill="1" applyBorder="1" applyAlignment="1">
      <x:alignment horizontal="center" vertical="center" wrapText="1"/>
    </x:xf>
    <x:xf numFmtId="0" fontId="2" fillId="63" borderId="42" xfId="0" applyNumberFormat="1" applyFont="1" applyFill="1" applyBorder="1" applyAlignment="1">
      <x:alignment horizontal="center" vertical="center" wrapText="1"/>
    </x:xf>
    <x:xf numFmtId="0" fontId="2" fillId="63" borderId="37" xfId="0" applyNumberFormat="1" applyFont="1" applyFill="1" applyBorder="1" applyAlignment="1">
      <x:alignment horizontal="center" vertical="center" wrapText="1"/>
    </x:xf>
    <x:xf numFmtId="0" fontId="2" fillId="63" borderId="40" xfId="0" applyNumberFormat="1" applyFont="1" applyFill="1" applyBorder="1" applyAlignment="1">
      <x:alignment horizontal="center" vertical="center" wrapText="1"/>
    </x:xf>
    <x:xf numFmtId="0" fontId="2" fillId="63" borderId="38" xfId="0" applyNumberFormat="1" applyFont="1" applyFill="1" applyBorder="1" applyAlignment="1">
      <x:alignment horizontal="center" vertical="center" wrapText="1"/>
    </x:xf>
    <x:xf numFmtId="0" fontId="2" fillId="63" borderId="45" xfId="0" applyNumberFormat="1" applyFont="1" applyFill="1" applyBorder="1" applyAlignment="1">
      <x:alignment horizontal="center" vertical="center" wrapText="1"/>
    </x:xf>
    <x:xf numFmtId="0" fontId="0" fillId="63" borderId="0" xfId="0" applyNumberFormat="1" applyFont="1" applyFill="1" applyBorder="1"/>
    <x:xf numFmtId="0" fontId="43" fillId="63" borderId="5" xfId="0" applyNumberFormat="1" applyFont="1" applyFill="1" applyBorder="1" applyAlignment="1">
      <x:alignment horizontal="left" vertical="center"/>
    </x:xf>
    <x:xf numFmtId="0" fontId="43" fillId="63" borderId="56" xfId="0" applyNumberFormat="1" applyFont="1" applyFill="1" applyBorder="1" applyAlignment="1">
      <x:alignment horizontal="center" vertical="center" wrapText="1"/>
    </x:xf>
    <x:xf numFmtId="0" fontId="43" fillId="63" borderId="35" xfId="0" applyNumberFormat="1" applyFont="1" applyFill="1" applyBorder="1" applyAlignment="1">
      <x:alignment horizontal="center" vertical="center" wrapText="1"/>
    </x:xf>
    <x:xf numFmtId="0" fontId="43" fillId="63" borderId="42" xfId="0" applyNumberFormat="1" applyFont="1" applyFill="1" applyBorder="1" applyAlignment="1">
      <x:alignment horizontal="center" vertical="center" wrapText="1"/>
    </x:xf>
    <x:xf numFmtId="0" fontId="43" fillId="63" borderId="37" xfId="0" applyNumberFormat="1" applyFont="1" applyFill="1" applyBorder="1" applyAlignment="1">
      <x:alignment horizontal="center" vertical="center" wrapText="1"/>
    </x:xf>
    <x:xf numFmtId="0" fontId="43" fillId="63" borderId="40" xfId="0" applyNumberFormat="1" applyFont="1" applyFill="1" applyBorder="1" applyAlignment="1">
      <x:alignment horizontal="center" vertical="center" wrapText="1"/>
    </x:xf>
    <x:xf numFmtId="0" fontId="43" fillId="63" borderId="38" xfId="0" applyNumberFormat="1" applyFont="1" applyFill="1" applyBorder="1" applyAlignment="1">
      <x:alignment horizontal="center" vertical="center" wrapText="1"/>
    </x:xf>
    <x:xf numFmtId="0" fontId="43" fillId="63" borderId="45" xfId="0" applyNumberFormat="1" applyFont="1" applyFill="1" applyBorder="1" applyAlignment="1">
      <x:alignment horizontal="center" vertical="center" wrapText="1"/>
    </x:xf>
    <x:xf numFmtId="0" fontId="44" fillId="63" borderId="0" xfId="0" applyNumberFormat="1" applyFont="1" applyFill="1" applyBorder="1"/>
    <x:xf numFmtId="0" fontId="43" fillId="63" borderId="5" xfId="0" applyNumberFormat="1" applyFont="1" applyFill="1" applyBorder="1" applyAlignment="1">
      <x:alignment horizontal="left" vertical="center" wrapText="1"/>
    </x:xf>
    <x:xf numFmtId="0" fontId="44" fillId="63" borderId="0" xfId="0" applyNumberFormat="1" applyFont="1" applyFill="1" applyBorder="1" applyAlignment="1">
      <x:alignment wrapText="1"/>
    </x:xf>
    <x:xf numFmtId="0" fontId="43" fillId="63" borderId="5" xfId="0" applyNumberFormat="1" applyFont="1" applyFill="1" applyBorder="1" applyAlignment="1">
      <x:alignment horizontal="left" vertical="top" wrapText="1"/>
    </x:xf>
    <x:xf numFmtId="0" fontId="43" fillId="63" borderId="56" xfId="0" applyNumberFormat="1" applyFont="1" applyFill="1" applyBorder="1" applyAlignment="1">
      <x:alignment horizontal="center" vertical="top" wrapText="1"/>
    </x:xf>
    <x:xf numFmtId="0" fontId="43" fillId="63" borderId="35" xfId="0" applyNumberFormat="1" applyFont="1" applyFill="1" applyBorder="1" applyAlignment="1">
      <x:alignment horizontal="center" vertical="top" wrapText="1"/>
    </x:xf>
    <x:xf numFmtId="0" fontId="43" fillId="63" borderId="42" xfId="0" applyNumberFormat="1" applyFont="1" applyFill="1" applyBorder="1" applyAlignment="1">
      <x:alignment horizontal="center" vertical="top" wrapText="1"/>
    </x:xf>
    <x:xf numFmtId="0" fontId="43" fillId="63" borderId="37" xfId="0" applyNumberFormat="1" applyFont="1" applyFill="1" applyBorder="1" applyAlignment="1">
      <x:alignment horizontal="center" vertical="top" wrapText="1"/>
    </x:xf>
    <x:xf numFmtId="0" fontId="43" fillId="63" borderId="40" xfId="0" applyNumberFormat="1" applyFont="1" applyFill="1" applyBorder="1" applyAlignment="1">
      <x:alignment horizontal="center" vertical="top" wrapText="1"/>
    </x:xf>
    <x:xf numFmtId="0" fontId="43" fillId="63" borderId="38" xfId="0" applyNumberFormat="1" applyFont="1" applyFill="1" applyBorder="1" applyAlignment="1">
      <x:alignment horizontal="center" vertical="top" wrapText="1"/>
    </x:xf>
    <x:xf numFmtId="0" fontId="43" fillId="63" borderId="45" xfId="0" applyNumberFormat="1" applyFont="1" applyFill="1" applyBorder="1" applyAlignment="1">
      <x:alignment horizontal="center" vertical="top" wrapText="1"/>
    </x:xf>
    <x:xf numFmtId="0" fontId="44" fillId="63" borderId="0" xfId="0" applyNumberFormat="1" applyFont="1" applyFill="1" applyBorder="1" applyAlignment="1">
      <x:alignment vertical="top" wrapText="1"/>
    </x:xf>
    <x:xf numFmtId="0" fontId="2" fillId="61" borderId="42" xfId="0" applyNumberFormat="1" applyFont="1" applyFill="1" applyBorder="1" applyAlignment="1">
      <x:alignment horizontal="center" vertical="center" wrapText="1"/>
    </x:xf>
    <x:xf numFmtId="0" fontId="2" fillId="61" borderId="37" xfId="0" applyNumberFormat="1" applyFont="1" applyFill="1" applyBorder="1" applyAlignment="1">
      <x:alignment horizontal="center" vertical="center" wrapText="1"/>
    </x:xf>
    <x:xf numFmtId="0" fontId="2" fillId="61" borderId="35" xfId="0" applyNumberFormat="1" applyFont="1" applyFill="1" applyBorder="1" applyAlignment="1">
      <x:alignment horizontal="center" vertical="center" wrapText="1"/>
    </x:xf>
    <x:xf numFmtId="0" fontId="2" fillId="61" borderId="45" xfId="0" applyNumberFormat="1" applyFont="1" applyFill="1" applyBorder="1" applyAlignment="1">
      <x:alignment horizontal="center" vertical="center" wrapText="1"/>
    </x:xf>
    <x:xf numFmtId="0" fontId="2" fillId="61" borderId="40" xfId="0" applyNumberFormat="1" applyFont="1" applyFill="1" applyBorder="1" applyAlignment="1">
      <x:alignment horizontal="center" vertical="center" wrapText="1"/>
    </x:xf>
    <x:xf numFmtId="0" fontId="2" fillId="61" borderId="38" xfId="0" applyNumberFormat="1" applyFont="1" applyFill="1" applyBorder="1" applyAlignment="1">
      <x:alignment horizontal="center" vertical="center" wrapText="1"/>
    </x:xf>
    <x:xf numFmtId="0" fontId="39" fillId="61" borderId="42" xfId="0" applyNumberFormat="1" applyFont="1" applyFill="1" applyBorder="1" applyAlignment="1">
      <x:alignment horizontal="center" vertical="center" wrapText="1"/>
    </x:xf>
    <x:xf numFmtId="0" fontId="39" fillId="61" borderId="37" xfId="0" applyNumberFormat="1" applyFont="1" applyFill="1" applyBorder="1" applyAlignment="1">
      <x:alignment horizontal="center" vertical="center" wrapText="1"/>
    </x:xf>
    <x:xf numFmtId="0" fontId="39" fillId="61" borderId="35" xfId="0" applyNumberFormat="1" applyFont="1" applyFill="1" applyBorder="1" applyAlignment="1">
      <x:alignment horizontal="center" vertical="center" wrapText="1"/>
    </x:xf>
    <x:xf numFmtId="0" fontId="39" fillId="61" borderId="42" xfId="0" applyNumberFormat="1" applyFont="1" applyFill="1" applyBorder="1" applyAlignment="1">
      <x:alignment horizontal="center" vertical="top" wrapText="1"/>
    </x:xf>
    <x:xf numFmtId="0" fontId="39" fillId="61" borderId="37" xfId="0" applyNumberFormat="1" applyFont="1" applyFill="1" applyBorder="1" applyAlignment="1">
      <x:alignment horizontal="center" vertical="top" wrapText="1"/>
    </x:xf>
    <x:xf numFmtId="0" fontId="39" fillId="61" borderId="35" xfId="0" applyNumberFormat="1" applyFont="1" applyFill="1" applyBorder="1" applyAlignment="1">
      <x:alignment horizontal="center" vertical="top" wrapText="1"/>
    </x:xf>
    <x:xf numFmtId="0" fontId="0" fillId="57" borderId="0" xfId="0" applyNumberFormat="1" applyFont="1" applyFill="1" applyBorder="1" applyAlignment="1">
      <x:alignment wrapText="1"/>
    </x:xf>
    <x:xf numFmtId="0" fontId="36" fillId="57" borderId="0" xfId="0" applyNumberFormat="1" applyFont="1" applyFill="1" applyBorder="1" applyAlignment="1">
      <x:alignment wrapText="1"/>
    </x:xf>
    <x:xf numFmtId="0" fontId="5" fillId="64" borderId="0" xfId="0" applyNumberFormat="1" applyFont="1" applyFill="1" applyBorder="1" applyAlignment="1">
      <x:alignment horizontal="left" vertical="center"/>
    </x:xf>
    <x:xf numFmtId="0" fontId="14" fillId="64" borderId="35" xfId="0" applyNumberFormat="1" applyFont="1" applyFill="1" applyBorder="1" applyAlignment="1">
      <x:alignment horizontal="center" vertical="center"/>
    </x:xf>
    <x:xf numFmtId="0" fontId="14" fillId="64" borderId="42" xfId="0" applyNumberFormat="1" applyFont="1" applyFill="1" applyBorder="1" applyAlignment="1">
      <x:alignment horizontal="center" vertical="center"/>
    </x:xf>
    <x:xf numFmtId="0" fontId="14" fillId="64" borderId="37" xfId="0" applyNumberFormat="1" applyFont="1" applyFill="1" applyBorder="1" applyAlignment="1">
      <x:alignment horizontal="center" vertical="center"/>
    </x:xf>
    <x:xf numFmtId="0" fontId="15" fillId="64" borderId="35" xfId="0" applyNumberFormat="1" applyFont="1" applyFill="1" applyBorder="1" applyAlignment="1">
      <x:alignment horizontal="center" vertical="center"/>
    </x:xf>
    <x:xf numFmtId="0" fontId="15" fillId="64" borderId="42" xfId="0" applyNumberFormat="1" applyFont="1" applyFill="1" applyBorder="1" applyAlignment="1">
      <x:alignment horizontal="center" vertical="center"/>
    </x:xf>
    <x:xf numFmtId="0" fontId="15" fillId="64" borderId="37" xfId="0" applyNumberFormat="1" applyFont="1" applyFill="1" applyBorder="1" applyAlignment="1">
      <x:alignment horizontal="center" vertical="center"/>
    </x:xf>
    <x:xf numFmtId="0" fontId="16" fillId="64" borderId="35" xfId="0" applyNumberFormat="1" applyFont="1" applyFill="1" applyBorder="1" applyAlignment="1">
      <x:alignment horizontal="center" vertical="center"/>
    </x:xf>
    <x:xf numFmtId="0" fontId="16" fillId="64" borderId="42" xfId="0" applyNumberFormat="1" applyFont="1" applyFill="1" applyBorder="1" applyAlignment="1">
      <x:alignment horizontal="center" vertical="center"/>
    </x:xf>
    <x:xf numFmtId="0" fontId="16" fillId="64" borderId="37" xfId="0" applyNumberFormat="1" applyFont="1" applyFill="1" applyBorder="1" applyAlignment="1">
      <x:alignment horizontal="center" vertical="center"/>
    </x:xf>
    <x:xf numFmtId="0" fontId="17" fillId="64" borderId="35" xfId="0" applyNumberFormat="1" applyFont="1" applyFill="1" applyBorder="1" applyAlignment="1">
      <x:alignment horizontal="center" vertical="center"/>
    </x:xf>
    <x:xf numFmtId="0" fontId="17" fillId="64" borderId="42" xfId="0" applyNumberFormat="1" applyFont="1" applyFill="1" applyBorder="1" applyAlignment="1">
      <x:alignment horizontal="center" vertical="center"/>
    </x:xf>
    <x:xf numFmtId="0" fontId="17" fillId="64" borderId="37" xfId="0" applyNumberFormat="1" applyFont="1" applyFill="1" applyBorder="1" applyAlignment="1">
      <x:alignment horizontal="center" vertical="center"/>
    </x:xf>
    <x:xf numFmtId="0" fontId="18" fillId="64" borderId="35" xfId="0" applyNumberFormat="1" applyFont="1" applyFill="1" applyBorder="1" applyAlignment="1">
      <x:alignment horizontal="center" vertical="center"/>
    </x:xf>
    <x:xf numFmtId="0" fontId="18" fillId="64" borderId="42" xfId="0" applyNumberFormat="1" applyFont="1" applyFill="1" applyBorder="1" applyAlignment="1">
      <x:alignment horizontal="center" vertical="center"/>
    </x:xf>
    <x:xf numFmtId="0" fontId="18" fillId="64" borderId="37" xfId="0" applyNumberFormat="1" applyFont="1" applyFill="1" applyBorder="1" applyAlignment="1">
      <x:alignment horizontal="center" vertical="center"/>
    </x:xf>
    <x:xf numFmtId="0" fontId="14" fillId="64" borderId="38" xfId="0" applyNumberFormat="1" applyFont="1" applyFill="1" applyBorder="1" applyAlignment="1">
      <x:alignment horizontal="center" vertical="center"/>
    </x:xf>
    <x:xf numFmtId="0" fontId="14" fillId="64" borderId="45" xfId="0" applyNumberFormat="1" applyFont="1" applyFill="1" applyBorder="1" applyAlignment="1">
      <x:alignment horizontal="center" vertical="center"/>
    </x:xf>
    <x:xf numFmtId="0" fontId="14" fillId="64" borderId="40" xfId="0" applyNumberFormat="1" applyFont="1" applyFill="1" applyBorder="1" applyAlignment="1">
      <x:alignment horizontal="center" vertical="center"/>
    </x:xf>
    <x:xf numFmtId="0" fontId="15" fillId="64" borderId="38" xfId="0" applyNumberFormat="1" applyFont="1" applyFill="1" applyBorder="1" applyAlignment="1">
      <x:alignment horizontal="center" vertical="center"/>
    </x:xf>
    <x:xf numFmtId="0" fontId="15" fillId="64" borderId="45" xfId="0" applyNumberFormat="1" applyFont="1" applyFill="1" applyBorder="1" applyAlignment="1">
      <x:alignment horizontal="center" vertical="center"/>
    </x:xf>
    <x:xf numFmtId="0" fontId="15" fillId="64" borderId="40" xfId="0" applyNumberFormat="1" applyFont="1" applyFill="1" applyBorder="1" applyAlignment="1">
      <x:alignment horizontal="center" vertical="center"/>
    </x:xf>
    <x:xf numFmtId="0" fontId="16" fillId="64" borderId="38" xfId="0" applyNumberFormat="1" applyFont="1" applyFill="1" applyBorder="1" applyAlignment="1">
      <x:alignment horizontal="center" vertical="center"/>
    </x:xf>
    <x:xf numFmtId="0" fontId="16" fillId="64" borderId="45" xfId="0" applyNumberFormat="1" applyFont="1" applyFill="1" applyBorder="1" applyAlignment="1">
      <x:alignment horizontal="center" vertical="center"/>
    </x:xf>
    <x:xf numFmtId="0" fontId="16" fillId="64" borderId="40" xfId="0" applyNumberFormat="1" applyFont="1" applyFill="1" applyBorder="1" applyAlignment="1">
      <x:alignment horizontal="center" vertical="center"/>
    </x:xf>
    <x:xf numFmtId="0" fontId="17" fillId="64" borderId="38" xfId="0" applyNumberFormat="1" applyFont="1" applyFill="1" applyBorder="1" applyAlignment="1">
      <x:alignment horizontal="center" vertical="center"/>
    </x:xf>
    <x:xf numFmtId="0" fontId="17" fillId="64" borderId="45" xfId="0" applyNumberFormat="1" applyFont="1" applyFill="1" applyBorder="1" applyAlignment="1">
      <x:alignment horizontal="center" vertical="center"/>
    </x:xf>
    <x:xf numFmtId="0" fontId="17" fillId="64" borderId="40" xfId="0" applyNumberFormat="1" applyFont="1" applyFill="1" applyBorder="1" applyAlignment="1">
      <x:alignment horizontal="center" vertical="center"/>
    </x:xf>
    <x:xf numFmtId="0" fontId="18" fillId="64" borderId="38" xfId="0" applyNumberFormat="1" applyFont="1" applyFill="1" applyBorder="1" applyAlignment="1">
      <x:alignment horizontal="center" vertical="center"/>
    </x:xf>
    <x:xf numFmtId="0" fontId="18" fillId="64" borderId="45" xfId="0" applyNumberFormat="1" applyFont="1" applyFill="1" applyBorder="1" applyAlignment="1">
      <x:alignment horizontal="center" vertical="center"/>
    </x:xf>
    <x:xf numFmtId="0" fontId="18" fillId="64" borderId="40" xfId="0" applyNumberFormat="1" applyFont="1" applyFill="1" applyBorder="1" applyAlignment="1">
      <x:alignment horizontal="center" vertical="center"/>
    </x:xf>
    <x:xf numFmtId="0" fontId="18" fillId="64" borderId="35" xfId="0" applyNumberFormat="1" applyFont="1" applyFill="1" applyBorder="1" applyAlignment="1">
      <x:alignment wrapText="1"/>
    </x:xf>
    <x:xf numFmtId="0" fontId="18" fillId="64" borderId="42" xfId="0" applyNumberFormat="1" applyFont="1" applyFill="1" applyBorder="1" applyAlignment="1">
      <x:alignment wrapText="1"/>
    </x:xf>
    <x:xf numFmtId="0" fontId="18" fillId="64" borderId="37" xfId="0" applyNumberFormat="1" applyFont="1" applyFill="1" applyBorder="1" applyAlignment="1">
      <x:alignment wrapText="1"/>
    </x:xf>
    <x:xf numFmtId="0" fontId="18" fillId="64" borderId="38" xfId="0" applyNumberFormat="1" applyFont="1" applyFill="1" applyBorder="1" applyAlignment="1">
      <x:alignment wrapText="1"/>
    </x:xf>
    <x:xf numFmtId="0" fontId="18" fillId="64" borderId="45" xfId="0" applyNumberFormat="1" applyFont="1" applyFill="1" applyBorder="1" applyAlignment="1">
      <x:alignment wrapText="1"/>
    </x:xf>
    <x:xf numFmtId="0" fontId="18" fillId="64" borderId="40" xfId="0" applyNumberFormat="1" applyFont="1" applyFill="1" applyBorder="1" applyAlignment="1">
      <x:alignment wrapText="1"/>
    </x:xf>
    <x:xf numFmtId="0" fontId="41" fillId="64" borderId="0" xfId="0" applyNumberFormat="1" applyFont="1" applyFill="1" applyBorder="1" applyAlignment="1">
      <x:alignment horizontal="left" vertical="center"/>
    </x:xf>
    <x:xf numFmtId="0" fontId="41" fillId="64" borderId="35" xfId="0" applyNumberFormat="1" applyFont="1" applyFill="1" applyBorder="1" applyAlignment="1">
      <x:alignment horizontal="center" vertical="center"/>
    </x:xf>
    <x:xf numFmtId="0" fontId="41" fillId="64" borderId="42" xfId="0" applyNumberFormat="1" applyFont="1" applyFill="1" applyBorder="1" applyAlignment="1">
      <x:alignment horizontal="center" vertical="center"/>
    </x:xf>
    <x:xf numFmtId="0" fontId="41" fillId="64" borderId="37" xfId="0" applyNumberFormat="1" applyFont="1" applyFill="1" applyBorder="1" applyAlignment="1">
      <x:alignment horizontal="center" vertical="center"/>
    </x:xf>
    <x:xf numFmtId="0" fontId="41" fillId="64" borderId="38" xfId="0" applyNumberFormat="1" applyFont="1" applyFill="1" applyBorder="1" applyAlignment="1">
      <x:alignment horizontal="center" vertical="center"/>
    </x:xf>
    <x:xf numFmtId="0" fontId="41" fillId="64" borderId="45" xfId="0" applyNumberFormat="1" applyFont="1" applyFill="1" applyBorder="1" applyAlignment="1">
      <x:alignment horizontal="center" vertical="center"/>
    </x:xf>
    <x:xf numFmtId="0" fontId="41" fillId="64" borderId="40" xfId="0" applyNumberFormat="1" applyFont="1" applyFill="1" applyBorder="1" applyAlignment="1">
      <x:alignment horizontal="center" vertical="center"/>
    </x:xf>
    <x:xf numFmtId="0" fontId="41" fillId="64" borderId="35" xfId="0" applyNumberFormat="1" applyFont="1" applyFill="1" applyBorder="1" applyAlignment="1">
      <x:alignment wrapText="1"/>
    </x:xf>
    <x:xf numFmtId="0" fontId="41" fillId="64" borderId="42" xfId="0" applyNumberFormat="1" applyFont="1" applyFill="1" applyBorder="1" applyAlignment="1">
      <x:alignment wrapText="1"/>
    </x:xf>
    <x:xf numFmtId="0" fontId="41" fillId="64" borderId="37" xfId="0" applyNumberFormat="1" applyFont="1" applyFill="1" applyBorder="1" applyAlignment="1">
      <x:alignment wrapText="1"/>
    </x:xf>
    <x:xf numFmtId="0" fontId="41" fillId="64" borderId="38" xfId="0" applyNumberFormat="1" applyFont="1" applyFill="1" applyBorder="1" applyAlignment="1">
      <x:alignment wrapText="1"/>
    </x:xf>
    <x:xf numFmtId="0" fontId="41" fillId="64" borderId="45" xfId="0" applyNumberFormat="1" applyFont="1" applyFill="1" applyBorder="1" applyAlignment="1">
      <x:alignment wrapText="1"/>
    </x:xf>
    <x:xf numFmtId="0" fontId="41" fillId="64" borderId="40" xfId="0" applyNumberFormat="1" applyFont="1" applyFill="1" applyBorder="1" applyAlignment="1">
      <x:alignment wrapText="1"/>
    </x:xf>
    <x:xf numFmtId="0" fontId="41" fillId="64" borderId="0" xfId="0" applyNumberFormat="1" applyFont="1" applyFill="1" applyBorder="1" applyAlignment="1">
      <x:alignment horizontal="left" vertical="center" wrapText="1"/>
    </x:xf>
    <x:xf numFmtId="0" fontId="41" fillId="64" borderId="35" xfId="0" applyNumberFormat="1" applyFont="1" applyFill="1" applyBorder="1" applyAlignment="1">
      <x:alignment horizontal="center" vertical="center" wrapText="1"/>
    </x:xf>
    <x:xf numFmtId="0" fontId="41" fillId="64" borderId="42" xfId="0" applyNumberFormat="1" applyFont="1" applyFill="1" applyBorder="1" applyAlignment="1">
      <x:alignment horizontal="center" vertical="center" wrapText="1"/>
    </x:xf>
    <x:xf numFmtId="0" fontId="41" fillId="64" borderId="37" xfId="0" applyNumberFormat="1" applyFont="1" applyFill="1" applyBorder="1" applyAlignment="1">
      <x:alignment horizontal="center" vertical="center" wrapText="1"/>
    </x:xf>
    <x:xf numFmtId="0" fontId="41" fillId="64" borderId="38" xfId="0" applyNumberFormat="1" applyFont="1" applyFill="1" applyBorder="1" applyAlignment="1">
      <x:alignment horizontal="center" vertical="center" wrapText="1"/>
    </x:xf>
    <x:xf numFmtId="0" fontId="41" fillId="64" borderId="45" xfId="0" applyNumberFormat="1" applyFont="1" applyFill="1" applyBorder="1" applyAlignment="1">
      <x:alignment horizontal="center" vertical="center" wrapText="1"/>
    </x:xf>
    <x:xf numFmtId="0" fontId="41" fillId="64" borderId="40" xfId="0" applyNumberFormat="1" applyFont="1" applyFill="1" applyBorder="1" applyAlignment="1">
      <x:alignment horizontal="center" vertical="center" wrapText="1"/>
    </x:xf>
    <x:xf numFmtId="0" fontId="41" fillId="64" borderId="0" xfId="0" applyNumberFormat="1" applyFont="1" applyFill="1" applyBorder="1" applyAlignment="1">
      <x:alignment horizontal="left" vertical="top" wrapText="1"/>
    </x:xf>
    <x:xf numFmtId="0" fontId="41" fillId="64" borderId="35" xfId="0" applyNumberFormat="1" applyFont="1" applyFill="1" applyBorder="1" applyAlignment="1">
      <x:alignment horizontal="center" vertical="top" wrapText="1"/>
    </x:xf>
    <x:xf numFmtId="0" fontId="41" fillId="64" borderId="42" xfId="0" applyNumberFormat="1" applyFont="1" applyFill="1" applyBorder="1" applyAlignment="1">
      <x:alignment horizontal="center" vertical="top" wrapText="1"/>
    </x:xf>
    <x:xf numFmtId="0" fontId="41" fillId="64" borderId="37" xfId="0" applyNumberFormat="1" applyFont="1" applyFill="1" applyBorder="1" applyAlignment="1">
      <x:alignment horizontal="center" vertical="top" wrapText="1"/>
    </x:xf>
    <x:xf numFmtId="0" fontId="41" fillId="64" borderId="38" xfId="0" applyNumberFormat="1" applyFont="1" applyFill="1" applyBorder="1" applyAlignment="1">
      <x:alignment horizontal="center" vertical="top" wrapText="1"/>
    </x:xf>
    <x:xf numFmtId="0" fontId="41" fillId="64" borderId="45" xfId="0" applyNumberFormat="1" applyFont="1" applyFill="1" applyBorder="1" applyAlignment="1">
      <x:alignment horizontal="center" vertical="top" wrapText="1"/>
    </x:xf>
    <x:xf numFmtId="0" fontId="41" fillId="64" borderId="40" xfId="0" applyNumberFormat="1" applyFont="1" applyFill="1" applyBorder="1" applyAlignment="1">
      <x:alignment horizontal="center" vertical="top" wrapText="1"/>
    </x:xf>
    <x:xf numFmtId="0" fontId="41" fillId="64" borderId="35" xfId="0" applyNumberFormat="1" applyFont="1" applyFill="1" applyBorder="1" applyAlignment="1">
      <x:alignment vertical="top" wrapText="1"/>
    </x:xf>
    <x:xf numFmtId="0" fontId="41" fillId="64" borderId="42" xfId="0" applyNumberFormat="1" applyFont="1" applyFill="1" applyBorder="1" applyAlignment="1">
      <x:alignment vertical="top" wrapText="1"/>
    </x:xf>
    <x:xf numFmtId="0" fontId="41" fillId="64" borderId="37" xfId="0" applyNumberFormat="1" applyFont="1" applyFill="1" applyBorder="1" applyAlignment="1">
      <x:alignment vertical="top" wrapText="1"/>
    </x:xf>
    <x:xf numFmtId="0" fontId="41" fillId="64" borderId="38" xfId="0" applyNumberFormat="1" applyFont="1" applyFill="1" applyBorder="1" applyAlignment="1">
      <x:alignment vertical="top" wrapText="1"/>
    </x:xf>
    <x:xf numFmtId="0" fontId="41" fillId="64" borderId="45" xfId="0" applyNumberFormat="1" applyFont="1" applyFill="1" applyBorder="1" applyAlignment="1">
      <x:alignment vertical="top" wrapText="1"/>
    </x:xf>
    <x:xf numFmtId="0" fontId="41" fillId="64" borderId="40" xfId="0" applyNumberFormat="1" applyFont="1" applyFill="1" applyBorder="1" applyAlignment="1">
      <x:alignment vertical="top" wrapText="1"/>
    </x:xf>
    <x:xf numFmtId="0" fontId="0" fillId="62" borderId="0" xfId="0" applyNumberFormat="1" applyFont="1" applyFill="1" applyBorder="1"/>
    <x:xf numFmtId="0" fontId="42" fillId="62" borderId="0" xfId="0" applyNumberFormat="1" applyFont="1" applyFill="1" applyBorder="1"/>
    <x:xf numFmtId="0" fontId="42" fillId="62" borderId="0" xfId="0" applyNumberFormat="1" applyFont="1" applyFill="1" applyBorder="1" applyAlignment="1">
      <x:alignment wrapText="1"/>
    </x:xf>
    <x:xf numFmtId="0" fontId="1" fillId="57" borderId="0" xfId="0" applyNumberFormat="1" applyFont="1" applyFill="1" applyBorder="1" applyAlignment="1">
      <x:alignment horizontal="left" vertical="center" wrapText="1"/>
    </x:xf>
    <x:xf numFmtId="0" fontId="5" fillId="12" borderId="0" xfId="0" applyNumberFormat="1" applyFont="1" applyFill="1" applyBorder="1" applyAlignment="1">
      <x:alignment horizontal="left" vertical="center" wrapText="1"/>
    </x:xf>
    <x:xf numFmtId="0" fontId="36" fillId="55" borderId="33" xfId="0" applyNumberFormat="1" applyFont="1" applyFill="1" applyBorder="1" applyAlignment="1">
      <x:alignment horizontal="center" vertical="center" wrapText="1"/>
    </x:xf>
    <x:xf numFmtId="0" fontId="36" fillId="57" borderId="4" xfId="0" applyNumberFormat="1" applyFont="1" applyFill="1" applyBorder="1" applyAlignment="1">
      <x:alignment wrapText="1"/>
    </x:xf>
    <x:xf numFmtId="0" fontId="36" fillId="57" borderId="5" xfId="0" applyNumberFormat="1" applyFont="1" applyFill="1" applyBorder="1" applyAlignment="1">
      <x:alignment wrapText="1"/>
    </x:xf>
    <x:xf numFmtId="0" fontId="36" fillId="55" borderId="4" xfId="0" applyNumberFormat="1" applyFont="1" applyFill="1" applyBorder="1" applyAlignment="1">
      <x:alignment wrapText="1"/>
    </x:xf>
    <x:xf numFmtId="0" fontId="36" fillId="55" borderId="0" xfId="0" applyNumberFormat="1" applyFont="1" applyFill="1" applyBorder="1" applyAlignment="1">
      <x:alignment wrapText="1"/>
    </x:xf>
    <x:xf numFmtId="0" fontId="36" fillId="55" borderId="5" xfId="0" applyNumberFormat="1" applyFont="1" applyFill="1" applyBorder="1" applyAlignment="1">
      <x:alignment wrapText="1"/>
    </x:xf>
    <x:xf numFmtId="0" fontId="5" fillId="57" borderId="0" xfId="0" applyNumberFormat="1" applyFont="1" applyFill="1" applyBorder="1"/>
    <x:xf numFmtId="0" fontId="5" fillId="57" borderId="0" xfId="0" applyNumberFormat="1" applyFont="1" applyFill="1" applyBorder="1" applyAlignment="1">
      <x:alignment wrapText="1"/>
    </x:xf>
    <x:xf numFmtId="0" fontId="0" fillId="59" borderId="0" xfId="0" applyNumberFormat="1" applyFont="1" applyFill="1" applyBorder="1" applyAlignment="1">
      <x:alignment wrapText="1"/>
    </x:xf>
    <x:xf numFmtId="0" fontId="0" fillId="56" borderId="0" xfId="0" applyNumberFormat="1" applyFont="1" applyFill="1" applyBorder="1" applyAlignment="1">
      <x:alignment wrapText="1"/>
    </x:xf>
    <x:xf numFmtId="0" fontId="0" fillId="61" borderId="0" xfId="0" applyNumberFormat="1" applyFont="1" applyFill="1" applyBorder="1" applyAlignment="1">
      <x:alignment wrapText="1"/>
    </x:xf>
    <x:xf numFmtId="0" fontId="0" fillId="62" borderId="0" xfId="0" applyNumberFormat="1" applyFont="1" applyFill="1" applyBorder="1" applyAlignment="1">
      <x:alignment wrapText="1"/>
    </x:xf>
    <x:xf numFmtId="0" fontId="22" fillId="57" borderId="0" xfId="0" applyNumberFormat="1" applyFont="1" applyFill="1" applyBorder="1"/>
    <x:xf numFmtId="0" fontId="0" fillId="58" borderId="0" xfId="0" applyNumberFormat="1" applyFont="1" applyFill="1" applyBorder="1"/>
    <x:xf numFmtId="0" fontId="45" fillId="58" borderId="0" xfId="0" applyNumberFormat="1" applyFont="1" applyFill="1" applyBorder="1"/>
    <x:xf numFmtId="0" fontId="45" fillId="58" borderId="0" xfId="0" applyNumberFormat="1" applyFont="1" applyFill="1" applyBorder="1" applyAlignment="1">
      <x:alignment wrapText="1"/>
    </x:xf>
    <x:xf numFmtId="0" fontId="0" fillId="65" borderId="0" xfId="0" applyNumberFormat="1" applyFont="1" applyFill="1" applyBorder="1"/>
    <x:xf numFmtId="0" fontId="46" fillId="65" borderId="0" xfId="0" applyNumberFormat="1" applyFont="1" applyFill="1" applyBorder="1"/>
    <x:xf numFmtId="0" fontId="46" fillId="65" borderId="0" xfId="0" applyNumberFormat="1" applyFont="1" applyFill="1" applyBorder="1" applyAlignment="1">
      <x:alignment wrapText="1"/>
    </x:xf>
    <x:xf numFmtId="0" fontId="46" fillId="65" borderId="0" xfId="0" applyNumberFormat="1" applyFont="1" applyFill="1" applyBorder="1" applyAlignment="1">
      <x:alignment vertical="top" wrapText="1"/>
    </x:xf>
    <x:xf numFmtId="0" fontId="22" fillId="57" borderId="0" xfId="0" applyNumberFormat="1" applyFont="1" applyFill="1" applyBorder="1" applyAlignment="1">
      <x:alignment wrapText="1"/>
    </x:xf>
    <x:xf numFmtId="0" fontId="0" fillId="58" borderId="0" xfId="0" applyNumberFormat="1" applyFont="1" applyFill="1" applyBorder="1" applyAlignment="1">
      <x:alignment wrapText="1"/>
    </x:xf>
    <x:xf numFmtId="0" fontId="6" fillId="57" borderId="0" xfId="0" applyNumberFormat="1" applyFont="1" applyFill="1" applyBorder="1" applyAlignment="1">
      <x:alignment horizontal="left" vertical="center"/>
    </x:xf>
    <x:xf numFmtId="0" fontId="36" fillId="57" borderId="0" xfId="0" applyNumberFormat="1" applyFont="1" applyFill="1" applyBorder="1" applyAlignment="1">
      <x:alignment horizontal="left" vertical="center"/>
    </x:xf>
    <x:xf numFmtId="0" fontId="0" fillId="66" borderId="0" xfId="0" applyNumberFormat="1" applyFont="1" applyFill="1" applyBorder="1"/>
    <x:xf numFmtId="0" fontId="5" fillId="66" borderId="0" xfId="0" applyNumberFormat="1" applyFont="1" applyFill="1" applyBorder="1"/>
    <x:xf numFmtId="0" fontId="5" fillId="66" borderId="0" xfId="0" applyNumberFormat="1" applyFont="1" applyFill="1" applyBorder="1" applyAlignment="1">
      <x:alignment wrapText="1"/>
    </x:xf>
    <x:xf numFmtId="0" fontId="0" fillId="67" borderId="0" xfId="0" applyNumberFormat="1" applyFont="1" applyFill="1" applyBorder="1" applyAlignment="1">
      <x:alignment wrapText="1"/>
    </x:xf>
    <x:xf numFmtId="0" fontId="38" fillId="67" borderId="0" xfId="0" applyNumberFormat="1" applyFont="1" applyFill="1" applyBorder="1" applyAlignment="1">
      <x:alignment wrapText="1"/>
    </x:xf>
    <x:xf numFmtId="0" fontId="0" fillId="68" borderId="0" xfId="0" applyNumberFormat="1" applyFont="1" applyFill="1" applyBorder="1" applyAlignment="1">
      <x:alignment wrapText="1"/>
    </x:xf>
    <x:xf numFmtId="0" fontId="33" fillId="68" borderId="0" xfId="0" applyNumberFormat="1" applyFont="1" applyFill="1" applyBorder="1" applyAlignment="1">
      <x:alignment wrapText="1"/>
    </x:xf>
    <x:xf numFmtId="0" fontId="0" fillId="69" borderId="0" xfId="0" applyNumberFormat="1" applyFont="1" applyFill="1" applyBorder="1" applyAlignment="1">
      <x:alignment wrapText="1"/>
    </x:xf>
    <x:xf numFmtId="0" fontId="40" fillId="69" borderId="0" xfId="0" applyNumberFormat="1" applyFont="1" applyFill="1" applyBorder="1" applyAlignment="1">
      <x:alignment wrapText="1"/>
    </x:xf>
    <x:xf numFmtId="0" fontId="0" fillId="70" borderId="0" xfId="0" applyNumberFormat="1" applyFont="1" applyFill="1" applyBorder="1" applyAlignment="1">
      <x:alignment wrapText="1"/>
    </x:xf>
    <x:xf numFmtId="0" fontId="44" fillId="70" borderId="0" xfId="0" applyNumberFormat="1" applyFont="1" applyFill="1" applyBorder="1" applyAlignment="1">
      <x:alignment wrapText="1"/>
    </x:xf>
    <x:xf numFmtId="0" fontId="0" fillId="71" borderId="0" xfId="0" applyNumberFormat="1" applyFont="1" applyFill="1" applyBorder="1" applyAlignment="1">
      <x:alignment wrapText="1"/>
    </x:xf>
    <x:xf numFmtId="0" fontId="35" fillId="71" borderId="0" xfId="0" applyNumberFormat="1" applyFont="1" applyFill="1" applyBorder="1" applyAlignment="1">
      <x:alignment wrapText="1"/>
    </x:xf>
    <x:xf numFmtId="0" fontId="0" fillId="72" borderId="0" xfId="0" applyNumberFormat="1" applyFont="1" applyFill="1" applyBorder="1" applyAlignment="1">
      <x:alignment wrapText="1"/>
    </x:xf>
    <x:xf numFmtId="0" fontId="42" fillId="72" borderId="0" xfId="0" applyNumberFormat="1" applyFont="1" applyFill="1" applyBorder="1" applyAlignment="1">
      <x:alignment wrapText="1"/>
    </x:xf>
    <x:xf numFmtId="0" fontId="0" fillId="73" borderId="0" xfId="0" applyNumberFormat="1" applyFont="1" applyFill="1" applyBorder="1"/>
    <x:xf numFmtId="0" fontId="47" fillId="73" borderId="0" xfId="0" applyNumberFormat="1" applyFont="1" applyFill="1" applyBorder="1"/>
    <x:xf numFmtId="0" fontId="0" fillId="68" borderId="0" xfId="0" applyNumberFormat="1" applyFont="1" applyFill="1" applyBorder="1"/>
    <x:xf numFmtId="0" fontId="33" fillId="68" borderId="0" xfId="0" applyNumberFormat="1" applyFont="1" applyFill="1" applyBorder="1"/>
    <x:xf numFmtId="0" fontId="0" fillId="67" borderId="0" xfId="0" applyNumberFormat="1" applyFont="1" applyFill="1" applyBorder="1"/>
    <x:xf numFmtId="0" fontId="38" fillId="67" borderId="0" xfId="0" applyNumberFormat="1" applyFont="1" applyFill="1" applyBorder="1"/>
    <x:xf numFmtId="0" fontId="0" fillId="69" borderId="0" xfId="0" applyNumberFormat="1" applyFont="1" applyFill="1" applyBorder="1"/>
    <x:xf numFmtId="0" fontId="40" fillId="69" borderId="0" xfId="0" applyNumberFormat="1" applyFont="1" applyFill="1" applyBorder="1"/>
    <x:xf numFmtId="0" fontId="0" fillId="71" borderId="0" xfId="0" applyNumberFormat="1" applyFont="1" applyFill="1" applyBorder="1"/>
    <x:xf numFmtId="0" fontId="35" fillId="71" borderId="0" xfId="0" applyNumberFormat="1" applyFont="1" applyFill="1" applyBorder="1"/>
    <x:xf numFmtId="0" fontId="0" fillId="74" borderId="0" xfId="0" applyNumberFormat="1" applyFont="1" applyFill="1" applyBorder="1"/>
    <x:xf numFmtId="0" fontId="36" fillId="74" borderId="0" xfId="0" applyNumberFormat="1" applyFont="1" applyFill="1" applyBorder="1"/>
    <x:xf numFmtId="0" fontId="0" fillId="75" borderId="0" xfId="0" applyNumberFormat="1" applyFont="1" applyFill="1" applyBorder="1"/>
    <x:xf numFmtId="0" fontId="36" fillId="75" borderId="0" xfId="0" applyNumberFormat="1" applyFont="1" applyFill="1" applyBorder="1"/>
    <x:xf numFmtId="0" fontId="0" fillId="70" borderId="0" xfId="0" applyNumberFormat="1" applyFont="1" applyFill="1" applyBorder="1"/>
    <x:xf numFmtId="0" fontId="44" fillId="70" borderId="0" xfId="0" applyNumberFormat="1" applyFont="1" applyFill="1" applyBorder="1"/>
    <x:xf numFmtId="0" fontId="0" fillId="72" borderId="0" xfId="0" applyNumberFormat="1" applyFont="1" applyFill="1" applyBorder="1"/>
    <x:xf numFmtId="0" fontId="42" fillId="72" borderId="0" xfId="0" applyNumberFormat="1" applyFont="1" applyFill="1" applyBorder="1"/>
    <x:xf numFmtId="0" fontId="47" fillId="73" borderId="0" xfId="0" applyNumberFormat="1" applyFont="1" applyFill="1" applyBorder="1" applyAlignment="1">
      <x:alignment wrapText="1"/>
    </x:xf>
    <x:xf numFmtId="0" fontId="36" fillId="74" borderId="0" xfId="0" applyNumberFormat="1" applyFont="1" applyFill="1" applyBorder="1" applyAlignment="1">
      <x:alignment wrapText="1"/>
    </x:xf>
    <x:xf numFmtId="0" fontId="36" fillId="75" borderId="0" xfId="0" applyNumberFormat="1" applyFont="1" applyFill="1" applyBorder="1" applyAlignment="1">
      <x:alignment wrapText="1"/>
    </x:xf>
    <x:xf numFmtId="0" fontId="0" fillId="76" borderId="0" xfId="0" applyNumberFormat="1" applyFont="1" applyFill="1" applyBorder="1"/>
    <x:xf numFmtId="0" fontId="47" fillId="76" borderId="0" xfId="0" applyNumberFormat="1" applyFont="1" applyFill="1" applyBorder="1"/>
    <x:xf numFmtId="0" fontId="0" fillId="77" borderId="0" xfId="0" applyNumberFormat="1" applyFont="1" applyFill="1" applyBorder="1"/>
    <x:xf numFmtId="0" fontId="45" fillId="77" borderId="0" xfId="0" applyNumberFormat="1" applyFont="1" applyFill="1" applyBorder="1"/>
    <x:xf numFmtId="0" fontId="45" fillId="77" borderId="0" xfId="0" applyNumberFormat="1" applyFont="1" applyFill="1" applyBorder="1" applyAlignment="1">
      <x:alignment wrapText="1"/>
    </x:xf>
    <x:xf numFmtId="0" fontId="47" fillId="76" borderId="0" xfId="0" applyNumberFormat="1" applyFont="1" applyFill="1" applyBorder="1" applyAlignment="1">
      <x:alignment wrapText="1"/>
    </x:xf>
    <x:xf numFmtId="0" fontId="47" fillId="74" borderId="0" xfId="0" applyNumberFormat="1" applyFont="1" applyFill="1" applyBorder="1"/>
    <x:xf numFmtId="0" fontId="47" fillId="74" borderId="0" xfId="0" applyNumberFormat="1" applyFont="1" applyFill="1" applyBorder="1" applyAlignment="1">
      <x:alignment wrapText="1"/>
    </x:xf>
    <x:xf numFmtId="0" fontId="48" fillId="68" borderId="0" xfId="0" applyNumberFormat="1" applyFont="1" applyFill="1" applyBorder="1"/>
    <x:xf numFmtId="0" fontId="48" fillId="68" borderId="0" xfId="0" applyNumberFormat="1" applyFont="1" applyFill="1" applyBorder="1" applyAlignment="1">
      <x:alignment wrapText="1"/>
    </x:xf>
    <x:xf numFmtId="0" fontId="48" fillId="68" borderId="0" xfId="0" applyNumberFormat="1" applyFont="1" applyFill="1" applyBorder="1" applyAlignment="1">
      <x:alignment vertical="top" wrapText="1"/>
    </x:xf>
    <x:xf numFmtId="0" fontId="49" fillId="69" borderId="0" xfId="0" applyNumberFormat="1" applyFont="1" applyFill="1" applyBorder="1"/>
    <x:xf numFmtId="0" fontId="49" fillId="69" borderId="0" xfId="0" applyNumberFormat="1" applyFont="1" applyFill="1" applyBorder="1" applyAlignment="1">
      <x:alignment wrapText="1"/>
    </x:xf>
    <x:xf numFmtId="0" fontId="49" fillId="69" borderId="0" xfId="0" applyNumberFormat="1" applyFont="1" applyFill="1" applyBorder="1" applyAlignment="1">
      <x:alignment vertical="top" wrapText="1"/>
    </x:xf>
    <x:xf numFmtId="0" fontId="50" fillId="67" borderId="0" xfId="0" applyNumberFormat="1" applyFont="1" applyFill="1" applyBorder="1"/>
    <x:xf numFmtId="0" fontId="50" fillId="67" borderId="0" xfId="0" applyNumberFormat="1" applyFont="1" applyFill="1" applyBorder="1" applyAlignment="1">
      <x:alignment wrapText="1"/>
    </x:xf>
    <x:xf numFmtId="0" fontId="50" fillId="67" borderId="0" xfId="0" applyNumberFormat="1" applyFont="1" applyFill="1" applyBorder="1" applyAlignment="1">
      <x:alignment vertical="top" wrapText="1"/>
    </x:xf>
    <x:xf numFmtId="0" fontId="51" fillId="70" borderId="0" xfId="0" applyNumberFormat="1" applyFont="1" applyFill="1" applyBorder="1"/>
    <x:xf numFmtId="0" fontId="51" fillId="70" borderId="0" xfId="0" applyNumberFormat="1" applyFont="1" applyFill="1" applyBorder="1" applyAlignment="1">
      <x:alignment wrapText="1"/>
    </x:xf>
    <x:xf numFmtId="0" fontId="51" fillId="70" borderId="0" xfId="0" applyNumberFormat="1" applyFont="1" applyFill="1" applyBorder="1" applyAlignment="1">
      <x:alignment vertical="top" wrapText="1"/>
    </x:xf>
    <x:xf numFmtId="0" fontId="0" fillId="60" borderId="0" xfId="0" applyNumberFormat="1" applyFont="1" applyFill="1" applyBorder="1" applyAlignment="1">
      <x:alignment wrapText="1"/>
    </x:xf>
    <x:xf numFmtId="0" fontId="0" fillId="63" borderId="0" xfId="0" applyNumberFormat="1" applyFont="1" applyFill="1" applyBorder="1" applyAlignment="1">
      <x:alignment wrapText="1"/>
    </x:xf>
    <x:xf numFmtId="0" fontId="47" fillId="55" borderId="0" xfId="0" applyNumberFormat="1" applyFont="1" applyFill="1" applyBorder="1"/>
    <x:xf numFmtId="0" fontId="47" fillId="55" borderId="0" xfId="0" applyNumberFormat="1" applyFont="1" applyFill="1" applyBorder="1" applyAlignment="1">
      <x:alignment wrapText="1"/>
    </x:xf>
    <x:xf numFmtId="0" fontId="48" fillId="56" borderId="0" xfId="0" applyNumberFormat="1" applyFont="1" applyFill="1" applyBorder="1"/>
    <x:xf numFmtId="0" fontId="48" fillId="56" borderId="0" xfId="0" applyNumberFormat="1" applyFont="1" applyFill="1" applyBorder="1" applyAlignment="1">
      <x:alignment wrapText="1"/>
    </x:xf>
    <x:xf numFmtId="0" fontId="48" fillId="56" borderId="0" xfId="0" applyNumberFormat="1" applyFont="1" applyFill="1" applyBorder="1" applyAlignment="1">
      <x:alignment vertical="top" wrapText="1"/>
    </x:xf>
    <x:xf numFmtId="0" fontId="49" fillId="61" borderId="0" xfId="0" applyNumberFormat="1" applyFont="1" applyFill="1" applyBorder="1"/>
    <x:xf numFmtId="0" fontId="49" fillId="61" borderId="0" xfId="0" applyNumberFormat="1" applyFont="1" applyFill="1" applyBorder="1" applyAlignment="1">
      <x:alignment wrapText="1"/>
    </x:xf>
    <x:xf numFmtId="0" fontId="49" fillId="61" borderId="0" xfId="0" applyNumberFormat="1" applyFont="1" applyFill="1" applyBorder="1" applyAlignment="1">
      <x:alignment vertical="top" wrapText="1"/>
    </x:xf>
    <x:xf numFmtId="0" fontId="50" fillId="60" borderId="0" xfId="0" applyNumberFormat="1" applyFont="1" applyFill="1" applyBorder="1"/>
    <x:xf numFmtId="0" fontId="50" fillId="60" borderId="0" xfId="0" applyNumberFormat="1" applyFont="1" applyFill="1" applyBorder="1" applyAlignment="1">
      <x:alignment wrapText="1"/>
    </x:xf>
    <x:xf numFmtId="0" fontId="50" fillId="60" borderId="0" xfId="0" applyNumberFormat="1" applyFont="1" applyFill="1" applyBorder="1" applyAlignment="1">
      <x:alignment vertical="top" wrapText="1"/>
    </x:xf>
    <x:xf numFmtId="0" fontId="51" fillId="63" borderId="0" xfId="0" applyNumberFormat="1" applyFont="1" applyFill="1" applyBorder="1"/>
    <x:xf numFmtId="0" fontId="51" fillId="63" borderId="0" xfId="0" applyNumberFormat="1" applyFont="1" applyFill="1" applyBorder="1" applyAlignment="1">
      <x:alignment wrapText="1"/>
    </x:xf>
    <x:xf numFmtId="0" fontId="51" fillId="63" borderId="0" xfId="0" applyNumberFormat="1" applyFont="1" applyFill="1" applyBorder="1" applyAlignment="1">
      <x:alignment vertical="top" wrapText="1"/>
    </x:xf>
    <x:xf numFmtId="0" fontId="0" fillId="78" borderId="0" xfId="0" applyNumberFormat="1" applyFont="1" applyFill="1" applyBorder="1"/>
    <x:xf numFmtId="0" fontId="5" fillId="78" borderId="0" xfId="0" applyNumberFormat="1" applyFont="1" applyFill="1" applyBorder="1"/>
    <x:xf numFmtId="0" fontId="5" fillId="78" borderId="0" xfId="0" applyNumberFormat="1" applyFont="1" applyFill="1" applyBorder="1" applyAlignment="1">
      <x:alignment wrapText="1"/>
    </x:xf>
    <x:xf numFmtId="0" fontId="0" fillId="79" borderId="0" xfId="0" applyNumberFormat="1" applyFont="1" applyFill="1" applyBorder="1"/>
    <x:xf numFmtId="0" fontId="5" fillId="79" borderId="0" xfId="0" applyNumberFormat="1" applyFont="1" applyFill="1" applyBorder="1"/>
    <x:xf numFmtId="0" fontId="5" fillId="79" borderId="0" xfId="0" applyNumberFormat="1" applyFont="1" applyFill="1" applyBorder="1" applyAlignment="1">
      <x:alignment wrapText="1"/>
    </x:xf>
    <x:xf numFmtId="0" fontId="0" fillId="80" borderId="0" xfId="0" applyNumberFormat="1" applyFont="1" applyFill="1" applyBorder="1"/>
    <x:xf numFmtId="0" fontId="52" fillId="80" borderId="0" xfId="0" applyNumberFormat="1" applyFont="1" applyFill="1" applyBorder="1"/>
    <x:xf numFmtId="0" fontId="52" fillId="80" borderId="0" xfId="0" applyNumberFormat="1" applyFont="1" applyFill="1" applyBorder="1" applyAlignment="1">
      <x:alignment wrapText="1"/>
    </x:xf>
    <x:xf numFmtId="0" fontId="0" fillId="81" borderId="0" xfId="0" applyNumberFormat="1" applyFont="1" applyFill="1" applyBorder="1"/>
    <x:xf numFmtId="0" fontId="53" fillId="81" borderId="0" xfId="0" applyNumberFormat="1" applyFont="1" applyFill="1" applyBorder="1"/>
    <x:xf numFmtId="0" fontId="53" fillId="81" borderId="0" xfId="0" applyNumberFormat="1" applyFont="1" applyFill="1" applyBorder="1" applyAlignment="1">
      <x:alignment wrapText="1"/>
    </x:xf>
    <x:xf numFmtId="0" fontId="52" fillId="56" borderId="0" xfId="0" applyNumberFormat="1" applyFont="1" applyFill="1" applyBorder="1"/>
    <x:xf numFmtId="0" fontId="52" fillId="56" borderId="0" xfId="0" applyNumberFormat="1" applyFont="1" applyFill="1" applyBorder="1" applyAlignment="1">
      <x:alignment wrapText="1"/>
    </x:xf>
    <x:xf numFmtId="0" fontId="53" fillId="60" borderId="0" xfId="0" applyNumberFormat="1" applyFont="1" applyFill="1" applyBorder="1"/>
    <x:xf numFmtId="0" fontId="53" fillId="60" borderId="0" xfId="0" applyNumberFormat="1" applyFont="1" applyFill="1" applyBorder="1" applyAlignment="1">
      <x:alignment wrapText="1"/>
    </x:xf>
    <x:xf numFmtId="0" fontId="0" fillId="82" borderId="0" xfId="0" applyNumberFormat="1" applyFont="1" applyFill="1" applyBorder="1"/>
    <x:xf numFmtId="0" fontId="5" fillId="82" borderId="0" xfId="0" applyNumberFormat="1" applyFont="1" applyFill="1" applyBorder="1"/>
    <x:xf numFmtId="0" fontId="5" fillId="82" borderId="0" xfId="0" applyNumberFormat="1" applyFont="1" applyFill="1" applyBorder="1" applyAlignment="1">
      <x:alignment wrapText="1"/>
    </x:xf>
    <x:xf numFmtId="0" fontId="0" fillId="83" borderId="0" xfId="0" applyNumberFormat="1" applyFont="1" applyFill="1" applyBorder="1"/>
    <x:xf numFmtId="0" fontId="5" fillId="83" borderId="0" xfId="0" applyNumberFormat="1" applyFont="1" applyFill="1" applyBorder="1"/>
    <x:xf numFmtId="0" fontId="5" fillId="83" borderId="0" xfId="0" applyNumberFormat="1" applyFont="1" applyFill="1" applyBorder="1" applyAlignment="1">
      <x:alignment wrapText="1"/>
    </x:xf>
    <x:xf numFmtId="0" fontId="0" fillId="84" borderId="0" xfId="0" applyNumberFormat="1" applyFont="1" applyFill="1" applyBorder="1"/>
    <x:xf numFmtId="0" fontId="54" fillId="84" borderId="0" xfId="0" applyNumberFormat="1" applyFont="1" applyFill="1" applyBorder="1"/>
    <x:xf numFmtId="0" fontId="54" fillId="84" borderId="0" xfId="0" applyNumberFormat="1" applyFont="1" applyFill="1" applyBorder="1" applyAlignment="1">
      <x:alignment wrapText="1"/>
    </x:xf>
    <x:xf numFmtId="0" fontId="0" fillId="85" borderId="0" xfId="0" applyNumberFormat="1" applyFont="1" applyFill="1" applyBorder="1"/>
    <x:xf numFmtId="0" fontId="53" fillId="85" borderId="0" xfId="0" applyNumberFormat="1" applyFont="1" applyFill="1" applyBorder="1"/>
    <x:xf numFmtId="0" fontId="53" fillId="85" borderId="0" xfId="0" applyNumberFormat="1" applyFont="1" applyFill="1" applyBorder="1" applyAlignment="1">
      <x:alignment wrapText="1"/>
    </x:xf>
  </x:cellXfs>
  <x:cellStyles count="1">
    <x:cellStyle name="Normal" xfId="0"/>
  </x:cellStyles>
  <x:dxfs count="81">
    <x:dxf>
      <x:fill>
        <x:patternFill>
          <x:bgColor rgb="FFF4CCCC"/>
        </x:patternFill>
      </x:fill>
    </x:dxf>
    <x:dxf>
      <x:fill>
        <x:patternFill>
          <x:bgColor rgb="FFFCE5CD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CE5CD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F7"/>
        </x:patternFill>
      </x:fill>
    </x:dxf>
    <x:dxf>
      <x:fill>
        <x:patternFill>
          <x:bgColor rgb="FFFCE5CD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E6B8AF"/>
        </x:patternFill>
      </x:fill>
    </x:dxf>
    <x:dxf>
      <x:fill>
        <x:patternFill>
          <x:bgColor rgb="FFD9D2E9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CE5CD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CE5CD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D9D2E9"/>
        </x:patternFill>
      </x:fill>
    </x:dxf>
    <x:dxf>
      <x:fill>
        <x:patternFill>
          <x:bgColor rgb="FFD9EAF7"/>
        </x:patternFill>
      </x:fill>
    </x:dxf>
    <x:dxf>
      <x:fill>
        <x:patternFill>
          <x:bgColor rgb="FFF7F9FB"/>
        </x:patternFill>
      </x:fill>
    </x:dxf>
    <x:dxf>
      <x:font>
        <x:b/>
        <x:sz val="13"/>
        <x:color rgb="FF2E7D32"/>
      </x:font>
      <x:fill>
        <x:patternFill>
          <x:bgColor rgb="FFE7F4E8"/>
        </x:patternFill>
      </x:fill>
    </x:dxf>
    <x:dxf>
      <x:font>
        <x:b/>
        <x:sz val="13"/>
        <x:color rgb="FFA66A00"/>
      </x:font>
      <x:fill>
        <x:patternFill>
          <x:bgColor rgb="FFFFF6D9"/>
        </x:patternFill>
      </x:fill>
    </x:dxf>
    <x:dxf>
      <x:font>
        <x:b/>
        <x:sz val="13"/>
        <x:color rgb="FFC62828"/>
      </x:font>
      <x:fill>
        <x:patternFill>
          <x:bgColor rgb="FFFDECEC"/>
        </x:patternFill>
      </x:fill>
    </x:dxf>
    <x:dxf>
      <x:fill>
        <x:patternFill>
          <x:bgColor rgb="FFDCEEFF"/>
        </x:patternFill>
      </x:fill>
    </x:dxf>
    <x:dxf>
      <x:font>
        <x:b/>
        <x:color rgb="FF2E7D32"/>
      </x:font>
      <x:fill>
        <x:patternFill>
          <x:bgColor rgb="FFE7F4E8"/>
        </x:patternFill>
      </x:fill>
    </x:dxf>
    <x:dxf>
      <x:font>
        <x:b/>
        <x:color rgb="FFC62828"/>
      </x:font>
      <x:fill>
        <x:patternFill>
          <x:bgColor rgb="FFFDECEC"/>
        </x:patternFill>
      </x:fill>
    </x:dxf>
    <x:dxf>
      <x:font>
        <x:b/>
        <x:color rgb="FFA66A00"/>
      </x:font>
      <x:fill>
        <x:patternFill>
          <x:bgColor rgb="FFFFF6D9"/>
        </x:patternFill>
      </x:fill>
    </x:dxf>
    <x:dxf>
      <x:font>
        <x:b/>
        <x:color rgb="FF2E7D32"/>
      </x:font>
      <x:fill>
        <x:patternFill>
          <x:bgColor rgb="FFE7F4E8"/>
        </x:patternFill>
      </x:fill>
    </x:dxf>
    <x:dxf>
      <x:font>
        <x:b/>
        <x:color rgb="FF2E7D32"/>
      </x:font>
      <x:fill>
        <x:patternFill>
          <x:bgColor rgb="FFE7F4E8"/>
        </x:patternFill>
      </x:fill>
    </x:dxf>
    <x:dxf>
      <x:font>
        <x:b/>
        <x:color rgb="FF2E7D32"/>
      </x:font>
      <x:fill>
        <x:patternFill>
          <x:bgColor rgb="FFE7F4E8"/>
        </x:patternFill>
      </x:fill>
    </x:dxf>
    <x:dxf>
      <x:font>
        <x:b/>
        <x:color rgb="FF2E7D32"/>
      </x:font>
      <x:fill>
        <x:patternFill>
          <x:bgColor rgb="FFE7F4E8"/>
        </x:patternFill>
      </x:fill>
    </x:dxf>
    <x:dxf>
      <x:font>
        <x:b/>
        <x:color rgb="FF2E7D32"/>
      </x:font>
      <x:fill>
        <x:patternFill>
          <x:bgColor rgb="FFE7F4E8"/>
        </x:patternFill>
      </x:fill>
    </x:dxf>
    <x:dxf>
      <x:font>
        <x:b/>
        <x:color rgb="FF2E7D32"/>
      </x:font>
      <x:fill>
        <x:patternFill>
          <x:bgColor rgb="FFE7F4E8"/>
        </x:patternFill>
      </x:fill>
    </x:dxf>
    <x:dxf>
      <x:font>
        <x:b/>
        <x:color rgb="FF2E7D32"/>
      </x:font>
      <x:fill>
        <x:patternFill>
          <x:bgColor rgb="FFE7F4E8"/>
        </x:patternFill>
      </x:fill>
    </x:dxf>
    <x:dxf>
      <x:font>
        <x:b/>
        <x:color rgb="FF2E7D32"/>
      </x:font>
      <x:fill>
        <x:patternFill>
          <x:bgColor rgb="FFE7F4E8"/>
        </x:patternFill>
      </x:fill>
    </x:dxf>
    <x:dxf>
      <x:font>
        <x:b/>
      </x:font>
      <x:fill>
        <x:patternFill>
          <x:bgColor rgb="FFFFFBEA"/>
        </x:patternFill>
      </x:fill>
    </x:dxf>
    <x:dxf>
      <x:font>
        <x:b/>
      </x:font>
      <x:fill>
        <x:patternFill>
          <x:bgColor rgb="FFFFFBEA"/>
        </x:patternFill>
      </x:fill>
    </x:dxf>
    <x:dxf>
      <x:font>
        <x:b/>
        <x:color rgb="FF2E7D32"/>
      </x:font>
      <x:fill>
        <x:patternFill>
          <x:bgColor rgb="FFE8F5E9"/>
        </x:patternFill>
      </x:fill>
    </x:dxf>
    <x:dxf>
      <x:font>
        <x:b/>
      </x:font>
      <x:fill>
        <x:patternFill>
          <x:bgColor rgb="FFFFFBEA"/>
        </x:patternFill>
      </x:fill>
    </x:dxf>
    <x:dxf>
      <x:fill>
        <x:patternFill>
          <x:bgColor rgb="FFE7F4E8"/>
        </x:patternFill>
      </x:fill>
    </x:dxf>
    <x:dxf>
      <x:fill>
        <x:patternFill>
          <x:bgColor rgb="FFEEF2F6"/>
        </x:patternFill>
      </x:fill>
    </x:dxf>
    <x:dxf>
      <x:font>
        <x:b/>
        <x:color rgb="FF2E7D32"/>
      </x:font>
      <x:fill>
        <x:patternFill>
          <x:bgColor rgb="FFE7F4E8"/>
        </x:patternFill>
      </x:fill>
    </x:dxf>
    <x:dxf>
      <x:font>
        <x:b/>
        <x:color rgb="FFA66A00"/>
      </x:font>
      <x:fill>
        <x:patternFill>
          <x:bgColor rgb="FFFFF6D9"/>
        </x:patternFill>
      </x:fill>
    </x:dxf>
    <x:dxf>
      <x:font>
        <x:b/>
        <x:color rgb="FFC62828"/>
      </x:font>
      <x:fill>
        <x:patternFill>
          <x:bgColor rgb="FFFDECEC"/>
        </x:patternFill>
      </x:fill>
    </x:dxf>
    <x:dxf>
      <x:font>
        <x:b/>
        <x:color rgb="FF6A1B9A"/>
      </x:font>
      <x:fill>
        <x:patternFill>
          <x:bgColor rgb="FFF1E6F7"/>
        </x:patternFill>
      </x:fill>
    </x:dxf>
    <x:dxf>
      <x:font>
        <x:b/>
        <x:color rgb="FF2E7D32"/>
      </x:font>
      <x:fill>
        <x:patternFill>
          <x:bgColor rgb="FFE7F4E8"/>
        </x:patternFill>
      </x:fill>
    </x:dxf>
    <x:dxf>
      <x:font>
        <x:b/>
        <x:color rgb="FFA66A00"/>
      </x:font>
      <x:fill>
        <x:patternFill>
          <x:bgColor rgb="FFFFF6D9"/>
        </x:patternFill>
      </x:fill>
    </x:dxf>
    <x:dxf>
      <x:font>
        <x:b/>
        <x:color rgb="FFC62828"/>
      </x:font>
      <x:fill>
        <x:patternFill>
          <x:bgColor rgb="FFFDECEC"/>
        </x:patternFill>
      </x:fill>
    </x:dxf>
    <x:dxf>
      <x:font>
        <x:b/>
        <x:color rgb="FF2E7D32"/>
      </x:font>
      <x:fill>
        <x:patternFill>
          <x:bgColor rgb="FFE7F4E8"/>
        </x:patternFill>
      </x:fill>
    </x:dxf>
    <x:dxf>
      <x:font>
        <x:b/>
        <x:color rgb="FFC62828"/>
      </x:font>
      <x:fill>
        <x:patternFill>
          <x:bgColor rgb="FFFDECEC"/>
        </x:patternFill>
      </x:fill>
    </x:dxf>
    <x:dxf>
      <x:font>
        <x:b/>
        <x:color rgb="FF52606D"/>
      </x:font>
      <x:fill>
        <x:patternFill>
          <x:bgColor rgb="FFEEF2F6"/>
        </x:patternFill>
      </x:fill>
    </x:dxf>
    <x:dxf>
      <x:font>
        <x:b/>
        <x:color rgb="FF2E7D32"/>
      </x:font>
      <x:fill>
        <x:patternFill>
          <x:bgColor rgb="FFE7F4E8"/>
        </x:patternFill>
      </x:fill>
    </x:dxf>
    <x:dxf>
      <x:font>
        <x:b/>
        <x:color rgb="FFA66A00"/>
      </x:font>
      <x:fill>
        <x:patternFill>
          <x:bgColor rgb="FFFFF6D9"/>
        </x:patternFill>
      </x:fill>
    </x:dxf>
    <x:dxf>
      <x:font>
        <x:b/>
        <x:color rgb="FFC62828"/>
      </x:font>
      <x:fill>
        <x:patternFill>
          <x:bgColor rgb="FFFDECEC"/>
        </x:patternFill>
      </x:fill>
    </x:dxf>
    <x:dxf>
      <x:font>
        <x:b/>
        <x:sz val="13"/>
        <x:color rgb="FF52606D"/>
      </x:font>
      <x:fill>
        <x:patternFill>
          <x:bgColor rgb="FFEEF2F6"/>
        </x:patternFill>
      </x:fill>
    </x:dxf>
    <x:dxf>
      <x:font>
        <x:b/>
        <x:color rgb="FFC62828"/>
      </x:font>
      <x:fill>
        <x:patternFill>
          <x:bgColor rgb="FFFDECEC"/>
        </x:patternFill>
      </x:fill>
    </x:dxf>
    <x:dxf>
      <x:font>
        <x:b/>
        <x:color rgb="FFE65100"/>
      </x:font>
      <x:fill>
        <x:patternFill>
          <x:bgColor rgb="FFFFF0E6"/>
        </x:patternFill>
      </x:fill>
    </x:dxf>
    <x:dxf>
      <x:font>
        <x:b/>
        <x:color rgb="FFA66A00"/>
      </x:font>
      <x:fill>
        <x:patternFill>
          <x:bgColor rgb="FFFFF6D9"/>
        </x:patternFill>
      </x:fill>
    </x:dxf>
    <x:dxf>
      <x:font>
        <x:b/>
        <x:color rgb="FF52606D"/>
      </x:font>
      <x:fill>
        <x:patternFill>
          <x:bgColor rgb="FFEEF2F6"/>
        </x:patternFill>
      </x:fill>
    </x:dxf>
    <x:dxf>
      <x:font>
        <x:b/>
        <x:color rgb="FF2E7D32"/>
      </x:font>
      <x:fill>
        <x:patternFill>
          <x:bgColor rgb="FFE7F4E8"/>
        </x:patternFill>
      </x:fill>
    </x:dxf>
    <x:dxf>
      <x:font>
        <x:b/>
        <x:color rgb="FFE65100"/>
      </x:font>
      <x:fill>
        <x:patternFill>
          <x:bgColor rgb="FFFFF0E6"/>
        </x:patternFill>
      </x:fill>
    </x:dxf>
    <x:dxf>
      <x:font>
        <x:b/>
        <x:color rgb="FFA66A00"/>
      </x:font>
      <x:fill>
        <x:patternFill>
          <x:bgColor rgb="FFFFF6D9"/>
        </x:patternFill>
      </x:fill>
    </x:dxf>
    <x:dxf>
      <x:font>
        <x:b/>
        <x:color rgb="FF2E7D32"/>
      </x:font>
      <x:fill>
        <x:patternFill>
          <x:bgColor rgb="FFE7F4E8"/>
        </x:patternFill>
      </x:fill>
    </x:dxf>
    <x:dxf>
      <x:font>
        <x:b/>
        <x:color rgb="FFE65100"/>
      </x:font>
      <x:fill>
        <x:patternFill>
          <x:bgColor rgb="FFFFF0E6"/>
        </x:patternFill>
      </x:fill>
    </x:dxf>
    <x:dxf>
      <x:font>
        <x:b/>
        <x:color rgb="FFA66A00"/>
      </x:font>
      <x:fill>
        <x:patternFill>
          <x:bgColor rgb="FFFFF6D9"/>
        </x:patternFill>
      </x:fill>
    </x:dxf>
    <x:dxf>
      <x:font>
        <x:b/>
        <x:color rgb="FF52606D"/>
      </x:font>
      <x:fill>
        <x:patternFill>
          <x:bgColor rgb="FFEEF2F6"/>
        </x:patternFill>
      </x:fill>
    </x:dxf>
    <x:dxf>
      <x:font>
        <x:b/>
        <x:color rgb="FF2E7D32"/>
      </x:font>
      <x:fill>
        <x:patternFill>
          <x:bgColor rgb="FFE7F4E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27764a6ede7459d" /><Relationship Type="http://schemas.openxmlformats.org/officeDocument/2006/relationships/theme" Target="/xl/theme/theme1.xml" Id="R6b668c28d3524fe3" /><Relationship Type="http://schemas.openxmlformats.org/officeDocument/2006/relationships/sharedStrings" Target="/xl/sharedStrings.xml" Id="R28e0ff0b94b045ea" /><Relationship Type="http://schemas.openxmlformats.org/officeDocument/2006/relationships/worksheet" Target="/xl/worksheets/sheet1.xml" Id="Rc1328b1b9598446b" /><Relationship Type="http://schemas.openxmlformats.org/officeDocument/2006/relationships/worksheet" Target="/xl/worksheets/sheet2.xml" Id="R5caab7fd55314c83" /><Relationship Type="http://schemas.openxmlformats.org/officeDocument/2006/relationships/worksheet" Target="/xl/worksheets/sheet3.xml" Id="Rd31a84be5c2d4460" /><Relationship Type="http://schemas.openxmlformats.org/officeDocument/2006/relationships/worksheet" Target="/xl/worksheets/sheet4.xml" Id="Rfe66b8e7bacd46fb" /><Relationship Type="http://schemas.openxmlformats.org/officeDocument/2006/relationships/worksheet" Target="/xl/worksheets/sheet5.xml" Id="R6a358819108040c3" /><Relationship Type="http://schemas.openxmlformats.org/officeDocument/2006/relationships/worksheet" Target="/xl/worksheets/sheet6.xml" Id="R973918be77294e59" /><Relationship Type="http://schemas.openxmlformats.org/officeDocument/2006/relationships/worksheet" Target="/xl/worksheets/sheet7.xml" Id="R360b52c75e5d44db" /><Relationship Type="http://schemas.openxmlformats.org/officeDocument/2006/relationships/worksheet" Target="/xl/worksheets/sheet8.xml" Id="R9515fb641217409a" /><Relationship Type="http://schemas.openxmlformats.org/officeDocument/2006/relationships/worksheet" Target="/xl/worksheets/sheet9.xml" Id="Rc7cd63fdd5314eb2" /><Relationship Type="http://schemas.openxmlformats.org/officeDocument/2006/relationships/worksheet" Target="/xl/worksheets/sheet10.xml" Id="Rf5f6f382c69349e7" /><Relationship Type="http://schemas.openxmlformats.org/officeDocument/2006/relationships/worksheet" Target="/xl/worksheets/sheet11.xml" Id="R234b47093edc498f" /><Relationship Type="http://schemas.openxmlformats.org/officeDocument/2006/relationships/worksheet" Target="/xl/worksheets/sheet12.xml" Id="R77344e2974224de7" /><Relationship Type="http://schemas.openxmlformats.org/officeDocument/2006/relationships/worksheet" Target="/xl/worksheets/sheet13.xml" Id="R6de448a0c20546ce" /><Relationship Type="http://schemas.openxmlformats.org/officeDocument/2006/relationships/worksheet" Target="/xl/worksheets/sheet14.xml" Id="Rdda21ab018b74276" /><Relationship Type="http://schemas.openxmlformats.org/officeDocument/2006/relationships/worksheet" Target="/xl/worksheets/sheet15.xml" Id="Rbf1e7baa17ba4749" /><Relationship Type="http://schemas.openxmlformats.org/officeDocument/2006/relationships/worksheet" Target="/xl/worksheets/sheet16.xml" Id="R356dea0542a343e8" /><Relationship Type="http://schemas.openxmlformats.org/officeDocument/2006/relationships/worksheet" Target="/xl/worksheets/sheet17.xml" Id="Re7d415e7aca84fb2" /><Relationship Type="http://schemas.openxmlformats.org/officeDocument/2006/relationships/worksheet" Target="/xl/worksheets/sheet18.xml" Id="R99ac971a3d3f4636" /><Relationship Type="http://schemas.openxmlformats.org/officeDocument/2006/relationships/worksheet" Target="/xl/worksheets/sheet19.xml" Id="R58cc8333fe204c2b" /><Relationship Type="http://schemas.openxmlformats.org/officeDocument/2006/relationships/worksheet" Target="/xl/worksheets/sheet20.xml" Id="Rb5d96fb169c948d7" /><Relationship Type="http://schemas.openxmlformats.org/officeDocument/2006/relationships/worksheet" Target="/xl/worksheets/sheet21.xml" Id="Red6cbe65dcd948ee" /><Relationship Type="http://schemas.openxmlformats.org/officeDocument/2006/relationships/worksheet" Target="/xl/worksheets/sheet22.xml" Id="Rdc530b9d05e640b0" /><Relationship Type="http://schemas.openxmlformats.org/officeDocument/2006/relationships/worksheet" Target="/xl/worksheets/sheet23.xml" Id="R9755481f41f14240" /><Relationship Type="http://schemas.openxmlformats.org/officeDocument/2006/relationships/worksheet" Target="/xl/worksheets/sheet24.xml" Id="R8822dcaa2719413c" /><Relationship Type="http://schemas.openxmlformats.org/officeDocument/2006/relationships/worksheet" Target="/xl/worksheets/sheet25.xml" Id="Re16b9a81c7994e70" /><Relationship Type="http://schemas.openxmlformats.org/officeDocument/2006/relationships/worksheet" Target="/xl/worksheets/sheet26.xml" Id="Rbed138d0b96746cd" /><Relationship Type="http://schemas.openxmlformats.org/officeDocument/2006/relationships/worksheet" Target="/xl/worksheets/sheet27.xml" Id="R282a3706a60c4c24" /><Relationship Type="http://schemas.openxmlformats.org/officeDocument/2006/relationships/worksheet" Target="/xl/worksheets/sheet28.xml" Id="R3634318bdd3e4e7b" /><Relationship Type="http://schemas.openxmlformats.org/officeDocument/2006/relationships/worksheet" Target="/xl/worksheets/sheet29.xml" Id="R4bc793198beb4b74" /><Relationship Type="http://schemas.openxmlformats.org/officeDocument/2006/relationships/worksheet" Target="/xl/worksheets/sheet30.xml" Id="Rab29fbfd4a194727" /><Relationship Type="http://schemas.openxmlformats.org/officeDocument/2006/relationships/worksheet" Target="/xl/worksheets/sheet31.xml" Id="R25299aa8bbf64a3a" /><Relationship Type="http://schemas.openxmlformats.org/officeDocument/2006/relationships/worksheet" Target="/xl/worksheets/sheet32.xml" Id="R050fa2bf76dd4216" /><Relationship Type="http://schemas.openxmlformats.org/officeDocument/2006/relationships/worksheet" Target="/xl/worksheets/sheet33.xml" Id="Rbd121832b9fe4c07" /><Relationship Type="http://schemas.openxmlformats.org/officeDocument/2006/relationships/worksheet" Target="/xl/worksheets/sheet34.xml" Id="Rece67474560e4b4b" /><Relationship Type="http://schemas.openxmlformats.org/officeDocument/2006/relationships/worksheet" Target="/xl/worksheets/sheet35.xml" Id="Rcb4f37c710e949e6" /><Relationship Type="http://schemas.openxmlformats.org/officeDocument/2006/relationships/worksheet" Target="/xl/worksheets/sheet36.xml" Id="R4d237203867a4bce" /><Relationship Type="http://schemas.openxmlformats.org/officeDocument/2006/relationships/worksheet" Target="/xl/worksheets/sheet37.xml" Id="Rd19c837d325f48d8" /><Relationship Type="http://schemas.openxmlformats.org/officeDocument/2006/relationships/worksheet" Target="/xl/worksheets/sheet38.xml" Id="Rf642ecddce824cf9" /><Relationship Type="http://schemas.openxmlformats.org/officeDocument/2006/relationships/worksheet" Target="/xl/worksheets/sheet39.xml" Id="R4905dedee491465d" /><Relationship Type="http://schemas.openxmlformats.org/officeDocument/2006/relationships/worksheet" Target="/xl/worksheets/sheet40.xml" Id="R534bf5620b9e48da" /><Relationship Type="http://schemas.openxmlformats.org/officeDocument/2006/relationships/worksheet" Target="/xl/worksheets/sheet41.xml" Id="R6577486e6fa249d4" /><Relationship Type="http://schemas.openxmlformats.org/officeDocument/2006/relationships/worksheet" Target="/xl/worksheets/sheet42.xml" Id="Rd819409e2d194527" /><Relationship Type="http://schemas.openxmlformats.org/officeDocument/2006/relationships/worksheet" Target="/xl/worksheets/sheet43.xml" Id="R4d4f6a36c7dc4c57" /><Relationship Type="http://schemas.openxmlformats.org/officeDocument/2006/relationships/worksheet" Target="/xl/worksheets/sheet44.xml" Id="R0861956a33574214" /><Relationship Type="http://schemas.openxmlformats.org/officeDocument/2006/relationships/worksheet" Target="/xl/worksheets/sheet45.xml" Id="R72ad05363f9e4646" /><Relationship Type="http://schemas.openxmlformats.org/officeDocument/2006/relationships/worksheet" Target="/xl/worksheets/sheet46.xml" Id="R66253019a9654f8f" /><Relationship Type="http://schemas.openxmlformats.org/officeDocument/2006/relationships/worksheet" Target="/xl/worksheets/sheet47.xml" Id="R032ebac681bf49c5" /><Relationship Type="http://schemas.openxmlformats.org/officeDocument/2006/relationships/worksheet" Target="/xl/worksheets/sheet48.xml" Id="R9c0fa3a0494e4468" /><Relationship Type="http://schemas.openxmlformats.org/officeDocument/2006/relationships/worksheet" Target="/xl/worksheets/sheet49.xml" Id="R6cfa0f2dd353424e" /><Relationship Type="http://schemas.openxmlformats.org/officeDocument/2006/relationships/worksheet" Target="/xl/worksheets/sheet50.xml" Id="Rf6cc4f8d32cb4235" /><Relationship Type="http://schemas.openxmlformats.org/officeDocument/2006/relationships/worksheet" Target="/xl/worksheets/sheet51.xml" Id="R6514809e49494cda" /><Relationship Type="http://schemas.openxmlformats.org/officeDocument/2006/relationships/worksheet" Target="/xl/worksheets/sheet52.xml" Id="Re1a6812a2ceb4b49" /><Relationship Type="http://schemas.openxmlformats.org/officeDocument/2006/relationships/worksheet" Target="/xl/worksheets/sheet53.xml" Id="R7743b5e297864b70" /><Relationship Type="http://schemas.openxmlformats.org/officeDocument/2006/relationships/worksheet" Target="/xl/worksheets/sheet54.xml" Id="Rcdb529970e4743fe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69846660f03d4280" /><Relationship Type="http://schemas.openxmlformats.org/officeDocument/2006/relationships/chart" Target="/xl/drawings/charts/chart2.xml" Id="R540404a5aff74738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3.xml" Id="Rc9b9a6c696a04e29" /><Relationship Type="http://schemas.openxmlformats.org/officeDocument/2006/relationships/chart" Target="/xl/drawings/charts/chart4.xml" Id="Rb1a62b9fdd4644e7" /><Relationship Type="http://schemas.openxmlformats.org/officeDocument/2006/relationships/chart" Target="/xl/drawings/charts/chart5.xml" Id="R372fc3cc71a7402c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PPFD-Zielkurve</a:t>
            </a:r>
          </a:p>
        </c:rich>
      </c:tx>
    </c:title>
    <c:plotArea>
      <c:lineChart>
        <c:grouping val="standard"/>
        <c:varyColors val="0"/>
        <c:ser>
          <c:idx val="0"/>
          <c:order val="0"/>
          <c:tx>
            <c:v>PPFD</c:v>
          </c:tx>
          <c:marker>
            <c:symbol val="none"/>
          </c:marker>
          <c:cat>
            <c:strRef>
              <c:f>'00_Dashboard'!$Q$3:$Q$14</c:f>
              <c:strCache>
                <c:ptCount val="0"/>
              </c:strCache>
            </c:strRef>
          </c:cat>
          <c:val>
            <c:numRef>
              <c:f>'00_Dashboard'!$R$3:$R$14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Klima-Zielkurve</a:t>
            </a:r>
          </a:p>
        </c:rich>
      </c:tx>
    </c:title>
    <c:plotArea>
      <c:lineChart>
        <c:grouping val="standard"/>
        <c:varyColors val="0"/>
        <c:ser>
          <c:idx val="0"/>
          <c:order val="0"/>
          <c:tx>
            <c:v>Temp</c:v>
          </c:tx>
          <c:marker>
            <c:symbol val="none"/>
          </c:marker>
          <c:cat>
            <c:strRef>
              <c:f>'00_Dashboard'!$U$3:$U$14</c:f>
              <c:strCache>
                <c:ptCount val="0"/>
              </c:strCache>
            </c:strRef>
          </c:cat>
          <c:val>
            <c:numRef>
              <c:f>'00_Dashboard'!$V$3:$V$14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LF</c:v>
          </c:tx>
          <c:marker>
            <c:symbol val="none"/>
          </c:marker>
          <c:cat>
            <c:strRef>
              <c:f>'00_Dashboard'!$U$3:$U$14</c:f>
              <c:strCache>
                <c:ptCount val="0"/>
              </c:strCache>
            </c:strRef>
          </c:cat>
          <c:val>
            <c:numRef>
              <c:f>'00_Dashboard'!$W$3:$W$14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PPFD &amp; Watt je Woche</a:t>
            </a:r>
          </a:p>
        </c:rich>
      </c:tx>
    </c:title>
    <c:plotArea>
      <c:lineChart>
        <c:grouping val="standard"/>
        <c:varyColors val="0"/>
        <c:ser>
          <c:idx val="0"/>
          <c:order val="0"/>
          <c:tx>
            <c:v>PPFD</c:v>
          </c:tx>
          <c:marker>
            <c:symbol val="none"/>
          </c:marker>
          <c:cat>
            <c:strRef>
              <c:f>'03_Weekly_Master'!$V$3:$V$14</c:f>
              <c:strCache>
                <c:ptCount val="0"/>
              </c:strCache>
            </c:strRef>
          </c:cat>
          <c:val>
            <c:numRef>
              <c:f>'03_Weekly_Master'!$W$3:$W$14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Watt</c:v>
          </c:tx>
          <c:marker>
            <c:symbol val="none"/>
          </c:marker>
          <c:cat>
            <c:strRef>
              <c:f>'03_Weekly_Master'!$V$3:$V$14</c:f>
              <c:strCache>
                <c:ptCount val="0"/>
              </c:strCache>
            </c:strRef>
          </c:cat>
          <c:val>
            <c:numRef>
              <c:f>'03_Weekly_Master'!$X$3:$X$14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Temperatur &amp; LF je Woche</a:t>
            </a:r>
          </a:p>
        </c:rich>
      </c:tx>
    </c:title>
    <c:plotArea>
      <c:lineChart>
        <c:grouping val="standard"/>
        <c:varyColors val="0"/>
        <c:ser>
          <c:idx val="0"/>
          <c:order val="0"/>
          <c:tx>
            <c:v>Temp</c:v>
          </c:tx>
          <c:marker>
            <c:symbol val="none"/>
          </c:marker>
          <c:cat>
            <c:strRef>
              <c:f>'03_Weekly_Master'!$Z$3:$Z$14</c:f>
              <c:strCache>
                <c:ptCount val="0"/>
              </c:strCache>
            </c:strRef>
          </c:cat>
          <c:val>
            <c:numRef>
              <c:f>'03_Weekly_Master'!$AA$3:$AA$14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LF</c:v>
          </c:tx>
          <c:marker>
            <c:symbol val="none"/>
          </c:marker>
          <c:cat>
            <c:strRef>
              <c:f>'03_Weekly_Master'!$Z$3:$Z$14</c:f>
              <c:strCache>
                <c:ptCount val="0"/>
              </c:strCache>
            </c:strRef>
          </c:cat>
          <c:val>
            <c:numRef>
              <c:f>'03_Weekly_Master'!$AB$3:$AB$14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5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EC-Zielkurve</a:t>
            </a:r>
          </a:p>
        </c:rich>
      </c:tx>
    </c:title>
    <c:plotArea>
      <c:lineChart>
        <c:grouping val="standard"/>
        <c:varyColors val="0"/>
        <c:ser>
          <c:idx val="0"/>
          <c:order val="0"/>
          <c:tx>
            <c:v>EC</c:v>
          </c:tx>
          <c:marker>
            <c:symbol val="none"/>
          </c:marker>
          <c:cat>
            <c:strRef>
              <c:f>'03_Weekly_Master'!$AD$3:$AD$14</c:f>
              <c:strCache>
                <c:ptCount val="0"/>
              </c:strCache>
            </c:strRef>
          </c:cat>
          <c:val>
            <c:numRef>
              <c:f>'03_Weekly_Master'!$AE$3:$AE$14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37</xdr:row>
      <xdr:rowOff>0</xdr:rowOff>
    </xdr:from>
    <xdr:to>
      <xdr:col>7</xdr:col>
      <xdr:colOff>0</xdr:colOff>
      <xdr:row>52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9846660f03d4280"/>
        </a:graphicData>
      </a:graphic>
    </xdr:graphicFrame>
    <xdr:clientData/>
  </xdr:twoCellAnchor>
  <xdr:twoCellAnchor>
    <xdr:from>
      <xdr:col>8</xdr:col>
      <xdr:colOff>0</xdr:colOff>
      <xdr:row>37</xdr:row>
      <xdr:rowOff>0</xdr:rowOff>
    </xdr:from>
    <xdr:to>
      <xdr:col>15</xdr:col>
      <xdr:colOff>0</xdr:colOff>
      <xdr:row>52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40404a5aff74738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21</xdr:col>
      <xdr:colOff>0</xdr:colOff>
      <xdr:row>15</xdr:row>
      <xdr:rowOff>0</xdr:rowOff>
    </xdr:from>
    <xdr:to>
      <xdr:col>30</xdr:col>
      <xdr:colOff>0</xdr:colOff>
      <xdr:row>31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9b9a6c696a04e29"/>
        </a:graphicData>
      </a:graphic>
    </xdr:graphicFrame>
    <xdr:clientData/>
  </xdr:twoCellAnchor>
  <xdr:twoCellAnchor>
    <xdr:from>
      <xdr:col>21</xdr:col>
      <xdr:colOff>0</xdr:colOff>
      <xdr:row>32</xdr:row>
      <xdr:rowOff>0</xdr:rowOff>
    </xdr:from>
    <xdr:to>
      <xdr:col>30</xdr:col>
      <xdr:colOff>0</xdr:colOff>
      <xdr:row>48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1a62b9fdd4644e7"/>
        </a:graphicData>
      </a:graphic>
    </xdr:graphicFrame>
    <xdr:clientData/>
  </xdr:twoCellAnchor>
  <xdr:twoCellAnchor>
    <xdr:from>
      <xdr:col>31</xdr:col>
      <xdr:colOff>0</xdr:colOff>
      <xdr:row>15</xdr:row>
      <xdr:rowOff>0</xdr:rowOff>
    </xdr:from>
    <xdr:to>
      <xdr:col>38</xdr:col>
      <xdr:colOff>0</xdr:colOff>
      <xdr:row>31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72fc3cc71a7402c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DailyMasterTable" displayName="DailyMasterTable" ref="A1:AH82" headerRowCount="1" totalsRowCount="0" totalsRowShown="0">
  <x:tableColumns count="34">
    <x:tableColumn id="1" name="Tag"/>
    <x:tableColumn id="2" name="Datum"/>
    <x:tableColumn id="3" name="Woche"/>
    <x:tableColumn id="4" name="Monat"/>
    <x:tableColumn id="5" name="Phase"/>
    <x:tableColumn id="6" name="Tagesziel"/>
    <x:tableColumn id="7" name="Licht h"/>
    <x:tableColumn id="8" name="Watt"/>
    <x:tableColumn id="9" name="PPFD"/>
    <x:tableColumn id="10" name="DLI"/>
    <x:tableColumn id="11" name="Lamp.abst. cm"/>
    <x:tableColumn id="12" name="Temp Licht °C"/>
    <x:tableColumn id="13" name="Temp Dunkel °C"/>
    <x:tableColumn id="14" name="LF %"/>
    <x:tableColumn id="15" name="VPD kPa"/>
    <x:tableColumn id="16" name="EC Ziel"/>
    <x:tableColumn id="17" name="pH Ziel"/>
    <x:tableColumn id="18" name="Wasser min L"/>
    <x:tableColumn id="19" name="Wasser max L"/>
    <x:tableColumn id="20" name="Bewässerungsmodus"/>
    <x:tableColumn id="21" name="Basis"/>
    <x:tableColumn id="22" name="Basis ml/L"/>
    <x:tableColumn id="23" name="Wurzel Complex ml/L"/>
    <x:tableColumn id="24" name="PowerZyme ml/L"/>
    <x:tableColumn id="25" name="SuperVit ml/L"/>
    <x:tableColumn id="26" name="Hesilicio ml/L"/>
    <x:tableColumn id="27" name="HESI Boost ml/L"/>
    <x:tableColumn id="28" name="PK13/14 ml/L"/>
    <x:tableColumn id="29" name="Voodoo ml/L"/>
    <x:tableColumn id="30" name="AN Option"/>
    <x:tableColumn id="31" name="Training / Canopy"/>
    <x:tableColumn id="32" name="QA / Aktion"/>
    <x:tableColumn id="33" name="Stop-/Alarmregel"/>
    <x:tableColumn id="34" name="Quelle/Statu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WeeklyMasterTable" displayName="WeeklyMasterTable" ref="A1:T13" headerRowCount="1" totalsRowCount="0" totalsRowShown="0">
  <x:tableColumns count="20">
    <x:tableColumn id="1" name="Woche"/>
    <x:tableColumn id="2" name="Tage"/>
    <x:tableColumn id="3" name="Leitphase"/>
    <x:tableColumn id="4" name="PPFD"/>
    <x:tableColumn id="5" name="Watt"/>
    <x:tableColumn id="6" name="DLI"/>
    <x:tableColumn id="7" name="Temp an"/>
    <x:tableColumn id="8" name="Temp aus"/>
    <x:tableColumn id="9" name="LF"/>
    <x:tableColumn id="10" name="VPD"/>
    <x:tableColumn id="11" name="EC"/>
    <x:tableColumn id="12" name="pH"/>
    <x:tableColumn id="13" name="Wasserband L/Tag"/>
    <x:tableColumn id="14" name="HESI Basis"/>
    <x:tableColumn id="15" name="Root/Enzyme"/>
    <x:tableColumn id="16" name="Bloom/PK"/>
    <x:tableColumn id="17" name="AN Reference"/>
    <x:tableColumn id="18" name="Training"/>
    <x:tableColumn id="19" name="Wochen-QA"/>
    <x:tableColumn id="20" name="Gate / Entscheidung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HESIReferenceTable" displayName="HESIReferenceTable" ref="A1:L10" headerRowCount="1" totalsRowCount="0" totalsRowShown="0">
  <x:tableColumns count="12">
    <x:tableColumn id="1" name="Produkt"/>
    <x:tableColumn id="2" name="Funktion"/>
    <x:tableColumn id="3" name="Herstellerdosis"/>
    <x:tableColumn id="4" name="UKD Reference"/>
    <x:tableColumn id="5" name="Phase/Fenster"/>
    <x:tableColumn id="6" name="Reservoir"/>
    <x:tableColumn id="7" name="Redundanz"/>
    <x:tableColumn id="8" name="Stop-Regel"/>
    <x:tableColumn id="9" name="Quelle"/>
    <x:tableColumn id="10" name="Evidenz"/>
    <x:tableColumn id="11" name="Kommentar"/>
    <x:tableColumn id="12" name="Statu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DailyLogTable" displayName="DailyLogTable" ref="A1:Z82" headerRowCount="1" totalsRowCount="0" totalsRowShown="0">
  <x:tableColumns count="26">
    <x:tableColumn id="1" name="Tag"/>
    <x:tableColumn id="2" name="Datum"/>
    <x:tableColumn id="3" name="Phase"/>
    <x:tableColumn id="4" name="Temp max"/>
    <x:tableColumn id="5" name="Temp min"/>
    <x:tableColumn id="6" name="LF max"/>
    <x:tableColumn id="7" name="LF min"/>
    <x:tableColumn id="8" name="VPD"/>
    <x:tableColumn id="9" name="PPFD"/>
    <x:tableColumn id="10" name="Watt"/>
    <x:tableColumn id="11" name="pH in"/>
    <x:tableColumn id="12" name="EC in"/>
    <x:tableColumn id="13" name="pH drain"/>
    <x:tableColumn id="14" name="EC drain"/>
    <x:tableColumn id="15" name="ΔEC"/>
    <x:tableColumn id="16" name="Wasser L"/>
    <x:tableColumn id="17" name="Reservoir L"/>
    <x:tableColumn id="18" name="Pflanzenhöhe cm"/>
    <x:tableColumn id="19" name="Canopy B cm"/>
    <x:tableColumn id="20" name="Canopy T cm"/>
    <x:tableColumn id="21" name="Blumat"/>
    <x:tableColumn id="22" name="Geruch/AKF"/>
    <x:tableColumn id="23" name="Pest"/>
    <x:tableColumn id="24" name="Stress 0-5"/>
    <x:tableColumn id="25" name="Status"/>
    <x:tableColumn id="26" name="Notizen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AllProductsMaster" displayName="AllProductsMaster" ref="A1:L73" headerRowCount="1" totalsRowCount="0" totalsRowShown="0">
  <x:tableColumns count="12">
    <x:tableColumn id="1" name="Hersteller"/>
    <x:tableColumn id="2" name="Produkt"/>
    <x:tableColumn id="3" name="Kategorie"/>
    <x:tableColumn id="4" name="Funktion"/>
    <x:tableColumn id="5" name="Phase"/>
    <x:tableColumn id="6" name="Medium"/>
    <x:tableColumn id="7" name="Offizielle Dosis / Einsatz"/>
    <x:tableColumn id="8" name="UKD-Status"/>
    <x:tableColumn id="9" name="Blumat-Tank"/>
    <x:tableColumn id="10" name="Chemische/Funktionale Hinweise"/>
    <x:tableColumn id="11" name="UKD-Kompatibilitätsurteil"/>
    <x:tableColumn id="12" name="Quell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070d79e69e00472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0a7ae1df160140c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2.xml" Id="R0a336235ee974ce1" /><Relationship Type="http://schemas.openxmlformats.org/officeDocument/2006/relationships/table" Target="/xl/tables/table2.xml" Id="Rf1f742963af4448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3.xml" Id="Rbcfae9b720cc4dc3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4.xml" Id="R554accb01ade4c59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5.xml" Id="R1bbf5e9045c84ebf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2" hidden="0" customWidth="1"/>
    <x:col min="4" max="4" width="12" hidden="0" customWidth="1"/>
    <x:col min="5" max="5" width="12" hidden="0" customWidth="1"/>
    <x:col min="6" max="6" width="14" hidden="0" customWidth="1"/>
    <x:col min="7" max="7" width="12" hidden="0" customWidth="1"/>
    <x:col min="9" max="9" width="12" hidden="0" customWidth="1"/>
    <x:col min="10" max="10" width="12" hidden="0" customWidth="1"/>
    <x:col min="11" max="11" width="14" hidden="0" customWidth="1"/>
    <x:col min="12" max="12" width="12" hidden="0" customWidth="1"/>
    <x:col min="13" max="13" width="12" hidden="0" customWidth="1"/>
    <x:col min="14" max="14" width="12" hidden="0" customWidth="1"/>
    <x:col min="16" max="16" width="11" hidden="0" customWidth="1"/>
    <x:col min="17" max="17" width="10" hidden="0" customWidth="1"/>
    <x:col min="18" max="18" width="10" hidden="0" customWidth="1"/>
    <x:col min="19" max="19" width="10" hidden="0" customWidth="1"/>
    <x:col min="20" max="20" width="10" hidden="0" customWidth="1"/>
    <x:col min="21" max="21" width="10" hidden="0" customWidth="1"/>
    <x:col min="22" max="22" width="10" hidden="0" customWidth="1"/>
    <x:col min="23" max="23" width="10" hidden="0" customWidth="1"/>
    <x:col min="24" max="24" width="11" hidden="0" customWidth="1"/>
    <x:col min="25" max="25" width="11" hidden="0" customWidth="1"/>
    <x:col min="26" max="26" width="11" hidden="0" customWidth="1"/>
    <x:col min="27" max="27" width="11" hidden="0" customWidth="1"/>
    <x:col min="3" max="3" width="12" hidden="0" customWidth="1"/>
    <x:col min="8" max="8" width="12" hidden="0" customWidth="1"/>
    <x:col min="15" max="15" width="12" hidden="0" customWidth="1"/>
  </x:cols>
  <x:sheetData>
    <x:row r="1" ht="28" customHeight="1">
      <x:c r="A1" s="2339" t="str">
        <x:v>UKD GROW MASTERPLAN v11.3 · MIXED AUTOFLOWER · 3×9 L</x:v>
      </x:c>
      <x:c r="B1" s="2339"/>
      <x:c r="C1" s="2339"/>
      <x:c r="D1" s="2339"/>
      <x:c r="E1" s="2339"/>
      <x:c r="F1" s="2339"/>
      <x:c r="G1" s="2339"/>
      <x:c r="H1" s="2339"/>
      <x:c r="I1" s="2339"/>
      <x:c r="J1" s="2339"/>
      <x:c r="K1" s="2339"/>
      <x:c r="L1" s="2339"/>
      <x:c r="M1" s="2339"/>
      <x:c r="N1" s="2339"/>
      <x:c r="O1" s="2339"/>
    </x:row>
    <x:row r="2" ht="30" customHeight="1">
      <x:c r="A2" s="1817" t="str">
        <x:v>Double Grape + Banana Purple Punch + GG. #4 · Eazy Plug → Eazy Block → UGro Pot9 Rhiza</x:v>
      </x:c>
      <x:c r="B2" s="1817"/>
      <x:c r="C2" s="1817"/>
      <x:c r="D2" s="1817"/>
      <x:c r="E2" s="1817"/>
      <x:c r="F2" s="1817"/>
      <x:c r="G2" s="1817"/>
      <x:c r="H2" s="1817"/>
      <x:c r="I2" s="1817"/>
      <x:c r="J2" s="1817"/>
      <x:c r="K2" s="1817"/>
      <x:c r="L2" s="1817"/>
      <x:c r="M2" s="1817"/>
      <x:c r="N2" s="1817"/>
      <x:c r="O2" s="1817"/>
      <x:c r="Q2" t="str">
        <x:v>Woche</x:v>
      </x:c>
      <x:c r="R2" t="str">
        <x:v>PPFD</x:v>
      </x:c>
      <x:c r="S2" t="str">
        <x:v>EC</x:v>
      </x:c>
      <x:c r="U2" t="str">
        <x:v>Woche</x:v>
      </x:c>
      <x:c r="V2" t="str">
        <x:v>Temp</x:v>
      </x:c>
      <x:c r="W2" t="str">
        <x:v>LF</x:v>
      </x:c>
    </x:row>
    <x:row r="3">
      <x:c r="A3" s="14"/>
      <x:c r="B3" s="14"/>
      <x:c r="C3" s="60"/>
      <x:c r="D3" s="14"/>
      <x:c r="E3" s="14"/>
      <x:c r="F3" s="14"/>
      <x:c r="G3" s="14"/>
      <x:c r="H3" s="60"/>
      <x:c r="I3" s="14"/>
      <x:c r="J3" s="14"/>
      <x:c r="K3" s="14"/>
      <x:c r="L3" s="14"/>
      <x:c r="M3" s="14"/>
      <x:c r="N3" s="14"/>
      <x:c r="O3" s="60"/>
      <x:c r="Q3" t="n">
        <x:v>1</x:v>
      </x:c>
      <x:c r="R3" t="n">
        <x:v>180</x:v>
      </x:c>
      <x:c r="S3" t="n">
        <x:v>0.7</x:v>
      </x:c>
      <x:c r="U3" t="n">
        <x:v>1</x:v>
      </x:c>
      <x:c r="V3" t="n">
        <x:v>25</x:v>
      </x:c>
      <x:c r="W3" t="n">
        <x:v>72</x:v>
      </x:c>
    </x:row>
    <x:row r="4" ht="22" customHeight="1">
      <x:c r="A4" s="1881" t="str">
        <x:v>GOAL
Eine sichere Tagesentscheidung aus EINER Sicht:
1. Status verstehen
2. fehlende Messung erkennen
3. nächste Aktion ausführen
4. Ergebnis protokollieren
Guided / Advanced / Expert ändern nur Erklärungstiefe, niemals die fachliche Wahrheit.</x:v>
      </x:c>
      <x:c r="B4" s="1882"/>
      <x:c r="C4" s="1883"/>
      <x:c r="D4" s="1881"/>
      <x:c r="E4" s="1884"/>
      <x:c r="F4" s="1883"/>
      <x:c r="G4" s="1885"/>
      <x:c r="H4" s="711"/>
      <x:c r="I4" s="1963" t="str">
        <x:v>PROBLEM, DAS v9 LÖST
- v8 war detailreich, aber Einstieg und 'Was jetzt?' waren zu indirekt.
- App-Laufzeit ist im Quellstand noch v6, während XLSX/PDF bereits v8 waren.
- App hat aktuell 12 Routen, nicht 21; Setup und Log sind noch keine eigenen Routen.
- Mehrere Daily-Formeln referenzierten die Textspalte GM Phase statt den numerischen Bloom-Tag.
- Propagation Eazy Plug/Block -&gt; UGro Rhiza war nicht als eigener Setup-Pfad modelliert.</x:v>
      </x:c>
      <x:c r="J4" s="1964"/>
      <x:c r="K4" s="1965"/>
      <x:c r="L4" s="1966"/>
      <x:c r="M4" s="1964"/>
      <x:c r="N4" s="1967"/>
      <x:c r="O4" s="1966"/>
      <x:c r="Q4" t="n">
        <x:v>2</x:v>
      </x:c>
      <x:c r="R4" t="n">
        <x:v>250</x:v>
      </x:c>
      <x:c r="S4" t="n">
        <x:v>0.9</x:v>
      </x:c>
      <x:c r="U4" t="n">
        <x:v>2</x:v>
      </x:c>
      <x:c r="V4" t="n">
        <x:v>25.5</x:v>
      </x:c>
      <x:c r="W4" t="n">
        <x:v>67</x:v>
      </x:c>
    </x:row>
    <x:row r="5" ht="22" customHeight="1">
      <x:c r="A5" s="1886"/>
      <x:c r="B5" s="1887"/>
      <x:c r="C5" s="1888"/>
      <x:c r="D5" s="1889"/>
      <x:c r="E5" s="1890"/>
      <x:c r="F5" s="1891"/>
      <x:c r="G5" s="1892"/>
      <x:c r="H5" s="488"/>
      <x:c r="I5" s="1968"/>
      <x:c r="J5" s="1969"/>
      <x:c r="K5" s="1970"/>
      <x:c r="L5" s="1971"/>
      <x:c r="M5" s="1969"/>
      <x:c r="N5" s="1972"/>
      <x:c r="O5" s="1971"/>
      <x:c r="Q5" t="n">
        <x:v>3</x:v>
      </x:c>
      <x:c r="R5" t="n">
        <x:v>350</x:v>
      </x:c>
      <x:c r="S5" t="n">
        <x:v>1.2</x:v>
      </x:c>
      <x:c r="U5" t="n">
        <x:v>3</x:v>
      </x:c>
      <x:c r="V5" t="n">
        <x:v>25.5</x:v>
      </x:c>
      <x:c r="W5" t="n">
        <x:v>62</x:v>
      </x:c>
    </x:row>
    <x:row r="6" ht="22" customHeight="1">
      <x:c r="A6" s="1893"/>
      <x:c r="B6" s="1894"/>
      <x:c r="C6" s="1895"/>
      <x:c r="D6" s="1896"/>
      <x:c r="E6" s="1897"/>
      <x:c r="F6" s="1898"/>
      <x:c r="G6" s="1899"/>
      <x:c r="H6" s="491"/>
      <x:c r="I6" s="1973"/>
      <x:c r="J6" s="1974"/>
      <x:c r="K6" s="1975"/>
      <x:c r="L6" s="1976"/>
      <x:c r="M6" s="1974"/>
      <x:c r="N6" s="1977"/>
      <x:c r="O6" s="1976"/>
      <x:c r="Q6" t="n">
        <x:v>4</x:v>
      </x:c>
      <x:c r="R6" t="n">
        <x:v>450</x:v>
      </x:c>
      <x:c r="S6" t="n">
        <x:v>1.4</x:v>
      </x:c>
      <x:c r="U6" t="n">
        <x:v>4</x:v>
      </x:c>
      <x:c r="V6" t="n">
        <x:v>25.5</x:v>
      </x:c>
      <x:c r="W6" t="n">
        <x:v>58</x:v>
      </x:c>
    </x:row>
    <x:row r="7" ht="22" customHeight="1">
      <x:c r="A7" s="1868"/>
      <x:c r="B7" s="1869"/>
      <x:c r="C7" s="1900"/>
      <x:c r="D7" s="1901"/>
      <x:c r="E7" s="1902"/>
      <x:c r="F7" s="1903"/>
      <x:c r="G7" s="1904"/>
      <x:c r="H7" s="494"/>
      <x:c r="I7" s="1978"/>
      <x:c r="J7" s="1979"/>
      <x:c r="K7" s="1980"/>
      <x:c r="L7" s="1981"/>
      <x:c r="M7" s="1979"/>
      <x:c r="N7" s="1982"/>
      <x:c r="O7" s="1981"/>
      <x:c r="Q7" t="n">
        <x:v>5</x:v>
      </x:c>
      <x:c r="R7" t="n">
        <x:v>550</x:v>
      </x:c>
      <x:c r="S7" t="n">
        <x:v>1.6</x:v>
      </x:c>
      <x:c r="U7" t="n">
        <x:v>5</x:v>
      </x:c>
      <x:c r="V7" t="n">
        <x:v>25</x:v>
      </x:c>
      <x:c r="W7" t="n">
        <x:v>53</x:v>
      </x:c>
    </x:row>
    <x:row r="8" ht="22" customHeight="1">
      <x:c r="A8" s="1875"/>
      <x:c r="B8" s="1876"/>
      <x:c r="C8" s="1905"/>
      <x:c r="D8" s="1875"/>
      <x:c r="E8" s="1878"/>
      <x:c r="F8" s="1878"/>
      <x:c r="G8" s="1876"/>
      <x:c r="H8" s="60"/>
      <x:c r="I8" s="1983"/>
      <x:c r="J8" s="1984"/>
      <x:c r="K8" s="1984"/>
      <x:c r="L8" s="1984"/>
      <x:c r="M8" s="1984"/>
      <x:c r="N8" s="1985"/>
      <x:c r="O8" s="1986"/>
      <x:c r="Q8" t="n">
        <x:v>6</x:v>
      </x:c>
      <x:c r="R8" t="n">
        <x:v>600</x:v>
      </x:c>
      <x:c r="S8" t="n">
        <x:v>1.7</x:v>
      </x:c>
      <x:c r="U8" t="n">
        <x:v>6</x:v>
      </x:c>
      <x:c r="V8" t="n">
        <x:v>25</x:v>
      </x:c>
      <x:c r="W8" t="n">
        <x:v>50</x:v>
      </x:c>
    </x:row>
    <x:row r="9" ht="22" customHeight="1">
      <x:c r="A9" s="600"/>
      <x:c r="B9" s="601"/>
      <x:c r="C9" s="2340"/>
      <x:c r="D9" s="600"/>
      <x:c r="E9" s="603"/>
      <x:c r="F9" s="603"/>
      <x:c r="G9" s="601"/>
      <x:c r="H9" s="2340"/>
      <x:c r="I9" s="600"/>
      <x:c r="J9" s="2340"/>
      <x:c r="K9" s="2340"/>
      <x:c r="L9" s="2340"/>
      <x:c r="M9" s="2340"/>
      <x:c r="N9" s="601"/>
      <x:c r="O9" s="2340"/>
      <x:c r="Q9" t="n">
        <x:v>7</x:v>
      </x:c>
      <x:c r="R9" t="n">
        <x:v>625</x:v>
      </x:c>
      <x:c r="S9" t="n">
        <x:v>1.8</x:v>
      </x:c>
      <x:c r="U9" t="n">
        <x:v>7</x:v>
      </x:c>
      <x:c r="V9" t="n">
        <x:v>24.5</x:v>
      </x:c>
      <x:c r="W9" t="n">
        <x:v>47</x:v>
      </x:c>
    </x:row>
    <x:row r="10" ht="22" customHeight="1">
      <x:c r="A10" s="1994" t="str">
        <x:v>START HERE · HEUTE IN 3 SCHRITTEN</x:v>
      </x:c>
      <x:c r="B10" s="1995"/>
      <x:c r="C10" s="1994"/>
      <x:c r="D10" s="1997"/>
      <x:c r="E10" s="1994"/>
      <x:c r="F10" s="1995"/>
      <x:c r="G10" s="1998"/>
      <x:c r="H10" s="1995"/>
      <x:c r="I10" s="1994"/>
      <x:c r="J10" s="1995"/>
      <x:c r="K10" s="1994"/>
      <x:c r="L10" s="1995"/>
      <x:c r="M10" s="1994"/>
      <x:c r="N10" s="2341"/>
      <x:c r="O10" s="1995"/>
      <x:c r="Q10" t="n">
        <x:v>8</x:v>
      </x:c>
      <x:c r="R10" t="n">
        <x:v>625</x:v>
      </x:c>
      <x:c r="S10" t="n">
        <x:v>1.8</x:v>
      </x:c>
      <x:c r="U10" t="n">
        <x:v>8</x:v>
      </x:c>
      <x:c r="V10" t="n">
        <x:v>24.5</x:v>
      </x:c>
      <x:c r="W10" t="n">
        <x:v>47</x:v>
      </x:c>
    </x:row>
    <x:row r="11" ht="22" customHeight="1">
      <x:c r="A11" s="2022" t="str">
        <x:f>"1 · MESSEN / PRÜFEN"&amp;CHAR(10)&amp;CHAR(10)&amp;"Phase: "&amp;INDEX('02_Daily_Master'!$E$2:$E$82,'01_Run_Config'!$B$5+1)&amp;CHAR(10)&amp;"Wasserchemie: "&amp;'01_Run_Config'!$E$34&amp;CHAR(10)&amp;"pH-Meter: "&amp;'01_Run_Config'!$G$14&amp;CHAR(10)&amp;"EC-Meter: "&amp;'01_Run_Config'!$G$15&amp;CHAR(10)&amp;"Propagation: "&amp;'01_Run_Config'!$B$67&amp;" -&gt; "&amp;'01_Run_Config'!$B$68&amp;CHAR(10)&amp;CHAR(10)&amp;"Regel: Erst fehlende oder fragliche Eingaben klären; Kalender ist keine Freigabe."</x:f>
        <x:v>1 · MESSEN / PRÜFEN
Phase: Keimung
Wasserchemie: UNKNOWN
pH-Meter: offen
EC-Meter: offen
Propagation: Eazy Plug Mini -&gt; Eazy Block Standard
Regel: Erst fehlende oder fragliche Eingaben klären; Kalender ist keine Freigabe.</x:v>
      </x:c>
      <x:c r="B11" s="2023"/>
      <x:c r="C11" s="2022"/>
      <x:c r="D11" s="2024"/>
      <x:c r="E11" s="2022"/>
      <x:c r="F11" s="1883" t="str">
        <x:f>"2 · ENTSCHEIDEN / AUSFÜHREN"&amp;CHAR(10)&amp;CHAR(10)&amp;"Basis: "&amp;INDEX('02_Daily_Master'!$U$2:$U$82,'01_Run_Config'!$B$5+1)&amp;" · "&amp;TEXT(INDEX('02_Daily_Master'!$V$2:$V$82,'01_Run_Config'!$B$5+1),"0.00")&amp;" ml/L"&amp;CHAR(10)&amp;"Root: "&amp;TEXT(INDEX('02_Daily_Master'!$W$2:$W$82,'01_Run_Config'!$B$5+1),"0.00")&amp;" · PowerZyme: "&amp;TEXT(INDEX('02_Daily_Master'!$X$2:$X$82,'01_Run_Config'!$B$5+1),"0.00")&amp;CHAR(10)&amp;"Boost/PK: "&amp;TEXT(INDEX('02_Daily_Master'!$AA$2:$AA$82,'01_Run_Config'!$B$5+1),"0.00")&amp;" / "&amp;TEXT(INDEX('02_Daily_Master'!$AB$2:$AB$82,'01_Run_Config'!$B$5+1),"0.00")&amp;CHAR(10)&amp;"AN heute: "&amp;INDEX('02_Daily_Master'!$BH$2:$BH$82,'01_Run_Config'!$B$5+1)&amp;CHAR(10)&amp;CHAR(10)&amp;"Coverage/Gate: "&amp;INDEX('02_Daily_Master'!$BG$2:$BG$82,'01_Run_Config'!$B$5+1)</x:f>
        <x:v>2 · ENTSCHEIDEN / AUSFÜHREN
Basis: Kein Basisdünger · 0.00 ml/L
Root: 2.50 · PowerZyme: 0.00
Boost/PK: 0.00 / 0.00
AN heute: keine AN-Dosis heute
Coverage/Gate: OK</x:v>
      </x:c>
      <x:c r="G11" s="1885"/>
      <x:c r="H11" s="1883"/>
      <x:c r="I11" s="1881"/>
      <x:c r="J11" s="1883"/>
      <x:c r="K11" s="2066" t="str">
        <x:f>"3 · LOGGEN / NÄCHSTEN SCHRITT SETZEN"&amp;CHAR(10)&amp;CHAR(10)&amp;"Heute loggen: tatsächliche Bewässerung, Input-pH/EC, Drain/Topfstatus, Beobachtung, Abweichung."&amp;CHAR(10)&amp;CHAR(10)&amp;"STOP-Regel:"&amp;CHAR(10)&amp;INDEX('02_Daily_Master'!$AG$2:$AG$82,'01_Run_Config'!$B$5+1)&amp;CHAR(10)&amp;CHAR(10)&amp;"Danach: Ist-Wert != Soll-Wert sichtbar halten; Korrekturen als neues Ereignis, nicht überschreiben."</x:f>
        <x:v>3 · LOGGEN / NÄCHSTEN SCHRITT SETZEN
Heute loggen: tatsächliche Bewässerung, Input-pH/EC, Drain/Topfstatus, Beobachtung, Abweichung.
STOP-Regel:
EC nicht erhöhen bei steigender Diagnose-Drain-EC; PPFD nicht erhöhen bei Stress; Wasserband nie erzwingen; nie mehrere neue Booster gleichzeitig.
Danach: Ist-Wert != Soll-Wert sichtbar halten; Korrekturen als neues Ereignis, nicht überschreiben.</x:v>
      </x:c>
      <x:c r="L11" s="2067"/>
      <x:c r="M11" s="2066"/>
      <x:c r="N11" s="2068"/>
      <x:c r="O11" s="2067"/>
      <x:c r="Q11" t="n">
        <x:v>9</x:v>
      </x:c>
      <x:c r="R11" t="n">
        <x:v>600</x:v>
      </x:c>
      <x:c r="S11" t="n">
        <x:v>1.6</x:v>
      </x:c>
      <x:c r="U11" t="n">
        <x:v>9</x:v>
      </x:c>
      <x:c r="V11" t="n">
        <x:v>24</x:v>
      </x:c>
      <x:c r="W11" t="n">
        <x:v>45</x:v>
      </x:c>
    </x:row>
    <x:row r="12" ht="22" customHeight="1">
      <x:c r="A12" s="2025"/>
      <x:c r="B12" s="2026"/>
      <x:c r="C12" s="2025"/>
      <x:c r="D12" s="2026"/>
      <x:c r="E12" s="2025"/>
      <x:c r="F12" s="1903"/>
      <x:c r="G12" s="1901"/>
      <x:c r="H12" s="1903"/>
      <x:c r="I12" s="1901"/>
      <x:c r="J12" s="1903"/>
      <x:c r="K12" s="2069"/>
      <x:c r="L12" s="2070"/>
      <x:c r="M12" s="2069"/>
      <x:c r="N12" s="2071"/>
      <x:c r="O12" s="2070"/>
      <x:c r="Q12" t="n">
        <x:v>10</x:v>
      </x:c>
      <x:c r="R12" t="n">
        <x:v>550</x:v>
      </x:c>
      <x:c r="S12" t="n">
        <x:v>1.4</x:v>
      </x:c>
      <x:c r="U12" t="n">
        <x:v>10</x:v>
      </x:c>
      <x:c r="V12" t="n">
        <x:v>23.5</x:v>
      </x:c>
      <x:c r="W12" t="n">
        <x:v>43</x:v>
      </x:c>
    </x:row>
    <x:row r="13" ht="22" customHeight="1">
      <x:c r="A13" s="2027"/>
      <x:c r="B13" s="2027"/>
      <x:c r="C13" s="2027"/>
      <x:c r="D13" s="2027"/>
      <x:c r="E13" s="2027"/>
      <x:c r="F13" s="1905"/>
      <x:c r="G13" s="1905"/>
      <x:c r="H13" s="1905"/>
      <x:c r="I13" s="1905"/>
      <x:c r="J13" s="1905"/>
      <x:c r="K13" s="2072"/>
      <x:c r="L13" s="2072"/>
      <x:c r="M13" s="2072"/>
      <x:c r="N13" s="2072"/>
      <x:c r="O13" s="2072"/>
      <x:c r="Q13" t="n">
        <x:v>11</x:v>
      </x:c>
      <x:c r="R13" t="n">
        <x:v>500</x:v>
      </x:c>
      <x:c r="S13" t="n">
        <x:v>1.2</x:v>
      </x:c>
      <x:c r="U13" t="n">
        <x:v>11</x:v>
      </x:c>
      <x:c r="V13" t="n">
        <x:v>23</x:v>
      </x:c>
      <x:c r="W13" t="n">
        <x:v>42</x:v>
      </x:c>
    </x:row>
    <x:row r="14" ht="22" customHeight="1">
      <x:c r="A14" s="2028"/>
      <x:c r="B14" s="2028"/>
      <x:c r="C14" s="2028"/>
      <x:c r="D14" s="2028"/>
      <x:c r="E14" s="2028"/>
      <x:c r="F14" s="2041"/>
      <x:c r="G14" s="2041"/>
      <x:c r="H14" s="2041"/>
      <x:c r="I14" s="2041"/>
      <x:c r="J14" s="2041"/>
      <x:c r="K14" s="2073"/>
      <x:c r="L14" s="2073"/>
      <x:c r="M14" s="2073"/>
      <x:c r="N14" s="2073"/>
      <x:c r="O14" s="2073"/>
      <x:c r="Q14" t="n">
        <x:v>12</x:v>
      </x:c>
      <x:c r="R14" t="n">
        <x:v>450</x:v>
      </x:c>
      <x:c r="S14" t="n">
        <x:v>1</x:v>
      </x:c>
      <x:c r="U14" t="n">
        <x:v>12</x:v>
      </x:c>
      <x:c r="V14" t="n">
        <x:v>22.5</x:v>
      </x:c>
      <x:c r="W14" t="n">
        <x:v>42</x:v>
      </x:c>
    </x:row>
    <x:row r="15" ht="22" customHeight="1">
      <x:c r="A15" s="2022"/>
      <x:c r="B15" s="2029"/>
      <x:c r="C15" s="2023"/>
      <x:c r="D15" s="2022"/>
      <x:c r="E15" s="2029"/>
      <x:c r="F15" s="1883"/>
      <x:c r="G15" s="1881"/>
      <x:c r="H15" s="1884"/>
      <x:c r="I15" s="1883"/>
      <x:c r="J15" s="1881"/>
      <x:c r="K15" s="2068"/>
      <x:c r="L15" s="2067"/>
      <x:c r="M15" s="2066"/>
      <x:c r="N15" s="2068"/>
      <x:c r="O15" s="2067"/>
      <x:c r="P15" s="196"/>
      <x:c r="Q15" s="196"/>
      <x:c r="R15" s="196"/>
      <x:c r="T15" s="196"/>
      <x:c r="U15" s="196"/>
      <x:c r="V15" s="196"/>
      <x:c r="X15" s="196"/>
      <x:c r="Y15" s="196"/>
      <x:c r="Z15" s="196"/>
      <x:c r="AA15" s="196"/>
    </x:row>
    <x:row r="16" ht="22" customHeight="1">
      <x:c r="A16" s="2022"/>
      <x:c r="B16" s="2029"/>
      <x:c r="C16" s="2023"/>
      <x:c r="D16" s="2022"/>
      <x:c r="E16" s="2029"/>
      <x:c r="F16" s="1883"/>
      <x:c r="G16" s="1881"/>
      <x:c r="H16" s="1884"/>
      <x:c r="I16" s="1883"/>
      <x:c r="J16" s="1881"/>
      <x:c r="K16" s="2068"/>
      <x:c r="L16" s="2067"/>
      <x:c r="M16" s="2066"/>
      <x:c r="N16" s="2068"/>
      <x:c r="O16" s="2067"/>
      <x:c r="P16"/>
      <x:c r="Q16"/>
      <x:c r="R16"/>
      <x:c r="T16"/>
      <x:c r="U16"/>
      <x:c r="V16"/>
      <x:c r="X16"/>
      <x:c r="Y16"/>
      <x:c r="Z16"/>
      <x:c r="AA16"/>
    </x:row>
    <x:row r="17" ht="22" customHeight="1">
      <x:c r="A17" s="733"/>
      <x:c r="B17" s="494"/>
      <x:c r="C17" s="734"/>
      <x:c r="D17" s="733"/>
      <x:c r="E17" s="494"/>
      <x:c r="F17" s="734"/>
      <x:c r="G17" s="382"/>
      <x:c r="H17" s="756"/>
      <x:c r="I17" s="384"/>
      <x:c r="J17" s="382"/>
      <x:c r="K17" s="756"/>
      <x:c r="L17" s="384"/>
      <x:c r="M17" s="443"/>
      <x:c r="N17" s="444"/>
      <x:c r="O17" s="445"/>
      <x:c r="P17"/>
      <x:c r="Q17"/>
      <x:c r="R17"/>
      <x:c r="T17"/>
      <x:c r="U17"/>
      <x:c r="V17"/>
      <x:c r="X17"/>
      <x:c r="Y17"/>
      <x:c r="Z17"/>
      <x:c r="AA17"/>
    </x:row>
    <x:row r="18" ht="22" customHeight="1">
      <x:c r="A18" s="2342" t="str">
        <x:v>HEUTE / JETZT · ZIELWERTE, STATUS UND BLOCKER</x:v>
      </x:c>
      <x:c r="B18" s="2265"/>
      <x:c r="C18" s="2265"/>
      <x:c r="D18" s="2265"/>
      <x:c r="E18" s="2265"/>
      <x:c r="F18" s="2343"/>
      <x:c r="G18" s="2265"/>
      <x:c r="H18" s="2265"/>
      <x:c r="I18" s="2265"/>
      <x:c r="J18" s="2265"/>
      <x:c r="K18" s="2265"/>
      <x:c r="L18" s="2265"/>
      <x:c r="M18" s="2265"/>
      <x:c r="N18" s="2265"/>
      <x:c r="O18" s="2265"/>
      <x:c r="P18"/>
      <x:c r="Q18"/>
      <x:c r="R18"/>
      <x:c r="T18"/>
      <x:c r="U18"/>
      <x:c r="V18"/>
      <x:c r="X18"/>
      <x:c r="Y18"/>
      <x:c r="Z18"/>
      <x:c r="AA18"/>
    </x:row>
    <x:row r="19" ht="22" customHeight="1">
      <x:c r="A19" s="2108" t="str">
        <x:f>"RUN"&amp;CHAR(10)&amp;CHAR(10)&amp;"Tag "&amp;'01_Run_Config'!$B$5&amp;" / "&amp;'01_Run_Config'!$B$7&amp;CHAR(10)&amp;"Phase: "&amp;INDEX('02_Daily_Master'!$E$2:$E$82,'01_Run_Config'!$B$5+1)&amp;CHAR(10)&amp;"Ziel: "&amp;INDEX('02_Daily_Master'!$F$2:$F$82,'01_Run_Config'!$B$5+1)&amp;CHAR(10)&amp;"Medium: "&amp;'01_Run_Config'!$B$69</x:f>
        <x:v>RUN
Tag 0 / 80
Phase: Keimung
Ziel: Keimung + Wurzelstart
Medium: UGro Pot9 Professional Rhiza 9L</x:v>
      </x:c>
      <x:c r="B19" s="2109"/>
      <x:c r="C19" s="2109"/>
      <x:c r="D19" s="2028" t="str">
        <x:f>"TARGETS"&amp;CHAR(10)&amp;CHAR(10)&amp;"PPFD "&amp;TEXT(INDEX('02_Daily_Master'!$I$2:$I$82,'01_Run_Config'!$B$5+1),"0")&amp;" · DLI "&amp;TEXT(INDEX('02_Daily_Master'!$J$2:$J$82,'01_Run_Config'!$B$5+1),"0.0")&amp;CHAR(10)&amp;"Temp "&amp;TEXT(INDEX('02_Daily_Master'!$L$2:$L$82,'01_Run_Config'!$B$5+1),"0.0")&amp;" °C · rF "&amp;TEXT(INDEX('02_Daily_Master'!$N$2:$N$82,'01_Run_Config'!$B$5+1),"0")&amp;"%"&amp;CHAR(10)&amp;"EC "&amp;TEXT(INDEX('02_Daily_Master'!$P$2:$P$82,'01_Run_Config'!$B$5+1),"0.00")&amp;" · pH "&amp;TEXT(INDEX('02_Daily_Master'!$Q$2:$Q$82,'01_Run_Config'!$B$5+1),"0.0")&amp;CHAR(10)&amp;"Wasserband "&amp;TEXT(INDEX('02_Daily_Master'!$R$2:$R$82,'01_Run_Config'!$B$5+1),"0.00")&amp;"–"&amp;TEXT(INDEX('02_Daily_Master'!$S$2:$S$82,'01_Run_Config'!$B$5+1),"0.00")&amp;" L"</x:f>
        <x:v>TARGETS
PPFD 160 · DLI 10.4
Temp 25.0 °C · rF 73%
EC 0.55 · pH 5.9
Wasserband 0.03–0.08 L</x:v>
      </x:c>
      <x:c r="E19" s="2028"/>
      <x:c r="F19" s="2140"/>
      <x:c r="G19" s="2169" t="str">
        <x:f>"STACK"&amp;CHAR(10)&amp;CHAR(10)&amp;"HESI: "&amp;'01_Run_Config'!$B$18&amp;CHAR(10)&amp;"Microbiome: "&amp;'01_Run_Config'!$B$46&amp;CHAR(10)&amp;"Si/pH: "&amp;'01_Run_Config'!$B$51&amp;CHAR(10)&amp;"CalMag: "&amp;'01_Run_Config'!$B$54&amp;CHAR(10)&amp;"Tasty Terpenes: "&amp;'01_Run_Config'!$B$53</x:f>
        <x:v>STACK
HESI: UKD HESI + Owned AN 2026-08-10
Microbiome: Voodoo + Tarantula
Si/pH: Athena Balance conditional
CalMag: AN Sensi CalMag Xtra conditional
Tasty Terpenes: OWNED / A-B OFF</x:v>
      </x:c>
      <x:c r="H19" s="2169"/>
      <x:c r="I19" s="2169"/>
      <x:c r="J19" s="2169"/>
      <x:c r="K19" s="2197" t="str">
        <x:f>"BLOCKERS / UNKNOWN"&amp;CHAR(10)&amp;CHAR(10)&amp;"Hybrid coverage: "&amp;'01_Run_Config'!$E$57&amp;CHAR(10)&amp;"Water chemistry: "&amp;'01_Run_Config'!$E$34&amp;CHAR(10)&amp;"Propagation readiness: "&amp;'01_Run_Config'!$E$75&amp;CHAR(10)&amp;"Athena: "&amp;'01_Run_Config'!$E$35&amp;CHAR(10)&amp;"CalMag: "&amp;'01_Run_Config'!$E$54</x:f>
        <x:v>BLOCKERS / UNKNOWN
Hybrid coverage: OK
Water chemistry: UNKNOWN
Propagation readiness: OPEN
Athena: OFF/SAFE
CalMag: SAFE / DOSE 0</x:v>
      </x:c>
      <x:c r="L19" s="2197"/>
      <x:c r="M19" s="2197"/>
      <x:c r="N19" s="2197"/>
      <x:c r="O19" s="2197"/>
      <x:c r="P19"/>
      <x:c r="Q19"/>
      <x:c r="R19"/>
      <x:c r="T19"/>
      <x:c r="U19"/>
      <x:c r="V19"/>
      <x:c r="X19"/>
      <x:c r="Y19"/>
      <x:c r="Z19"/>
      <x:c r="AA19"/>
    </x:row>
    <x:row r="20" ht="22" customHeight="1">
      <x:c r="A20" s="2110"/>
      <x:c r="B20" s="2111"/>
      <x:c r="C20" s="2111"/>
      <x:c r="D20" s="2141"/>
      <x:c r="E20" s="2141"/>
      <x:c r="F20" s="2142"/>
      <x:c r="G20" s="2170"/>
      <x:c r="H20" s="2170"/>
      <x:c r="I20" s="2170"/>
      <x:c r="J20" s="2170"/>
      <x:c r="K20" s="2198"/>
      <x:c r="L20" s="2198"/>
      <x:c r="M20" s="2198"/>
      <x:c r="N20" s="2198"/>
      <x:c r="O20" s="2198"/>
      <x:c r="P20"/>
      <x:c r="Q20"/>
      <x:c r="R20"/>
      <x:c r="T20"/>
      <x:c r="U20"/>
      <x:c r="V20"/>
      <x:c r="X20"/>
      <x:c r="Y20"/>
      <x:c r="Z20"/>
      <x:c r="AA20"/>
    </x:row>
    <x:row r="21" ht="22" customHeight="1">
      <x:c r="A21" s="2097"/>
      <x:c r="B21" s="2098"/>
      <x:c r="C21" s="2099"/>
      <x:c r="D21" s="2130"/>
      <x:c r="E21" s="2131"/>
      <x:c r="F21" s="2132"/>
      <x:c r="G21" s="2159"/>
      <x:c r="H21" s="2160"/>
      <x:c r="I21" s="2160"/>
      <x:c r="J21" s="2161"/>
      <x:c r="K21" s="2187"/>
      <x:c r="L21" s="2188"/>
      <x:c r="M21" s="2188"/>
      <x:c r="N21" s="2188"/>
      <x:c r="O21" s="2189"/>
      <x:c r="P21"/>
      <x:c r="Q21"/>
      <x:c r="R21"/>
      <x:c r="T21"/>
      <x:c r="U21"/>
      <x:c r="V21"/>
      <x:c r="X21"/>
      <x:c r="Y21"/>
      <x:c r="Z21"/>
      <x:c r="AA21"/>
    </x:row>
    <x:row r="22" ht="22" customHeight="1">
      <x:c r="A22" s="2100"/>
      <x:c r="B22" s="2101"/>
      <x:c r="C22" s="2102"/>
      <x:c r="D22" s="2133"/>
      <x:c r="E22" s="2134"/>
      <x:c r="F22" s="2135"/>
      <x:c r="G22" s="2162"/>
      <x:c r="H22" s="2163"/>
      <x:c r="I22" s="2163"/>
      <x:c r="J22" s="2164"/>
      <x:c r="K22" s="2190"/>
      <x:c r="L22" s="2191"/>
      <x:c r="M22" s="2191"/>
      <x:c r="N22" s="2191"/>
      <x:c r="O22" s="2192"/>
      <x:c r="P22"/>
      <x:c r="Q22"/>
      <x:c r="R22"/>
      <x:c r="T22"/>
      <x:c r="U22"/>
      <x:c r="V22"/>
      <x:c r="X22"/>
      <x:c r="Y22"/>
      <x:c r="Z22"/>
      <x:c r="AA22"/>
    </x:row>
    <x:row r="23" ht="22" customHeight="1">
      <x:c r="A23" s="2112"/>
      <x:c r="B23" s="2113"/>
      <x:c r="C23" s="2114"/>
      <x:c r="D23" s="2143"/>
      <x:c r="E23" s="2144"/>
      <x:c r="F23" s="2145"/>
      <x:c r="G23" s="2171"/>
      <x:c r="H23" s="2172"/>
      <x:c r="I23" s="2172"/>
      <x:c r="J23" s="2173"/>
      <x:c r="K23" s="2190"/>
      <x:c r="L23" s="2191"/>
      <x:c r="M23" s="2191"/>
      <x:c r="N23" s="2191"/>
      <x:c r="O23" s="2192"/>
      <x:c r="P23"/>
      <x:c r="Q23"/>
      <x:c r="R23"/>
      <x:c r="T23"/>
      <x:c r="U23"/>
      <x:c r="V23"/>
      <x:c r="X23"/>
      <x:c r="Y23"/>
      <x:c r="Z23"/>
      <x:c r="AA23"/>
    </x:row>
    <x:row r="24" ht="22" customHeight="1">
      <x:c r="A24" s="822"/>
      <x:c r="B24" s="823"/>
      <x:c r="C24" s="824"/>
      <x:c r="D24" s="853"/>
      <x:c r="E24" s="854"/>
      <x:c r="F24" s="855"/>
      <x:c r="G24" s="881"/>
      <x:c r="H24" s="882"/>
      <x:c r="I24" s="882"/>
      <x:c r="J24" s="883"/>
      <x:c r="K24" s="910"/>
      <x:c r="L24" s="911"/>
      <x:c r="M24" s="911"/>
      <x:c r="N24" s="911"/>
      <x:c r="O24" s="912"/>
      <x:c r="P24"/>
      <x:c r="Q24"/>
      <x:c r="R24"/>
      <x:c r="T24"/>
      <x:c r="U24"/>
      <x:c r="V24"/>
      <x:c r="X24"/>
      <x:c r="Y24"/>
      <x:c r="Z24"/>
      <x:c r="AA24"/>
    </x:row>
    <x:row r="25" ht="22" customHeight="1">
      <x:c r="A25" s="2344" t="str">
        <x:v>AKTUELLES SETUP · BEKANNT / UNBEKANNT / NOCH ZU BESTÄTIGEN</x:v>
      </x:c>
      <x:c r="B25" s="2345"/>
      <x:c r="C25" s="2345"/>
      <x:c r="D25" s="2345"/>
      <x:c r="E25" s="2345"/>
      <x:c r="F25" s="2346"/>
      <x:c r="G25" s="2345"/>
      <x:c r="H25" s="2345"/>
      <x:c r="I25" s="2345"/>
      <x:c r="J25" s="2345"/>
      <x:c r="K25" s="2345"/>
      <x:c r="L25" s="2345"/>
      <x:c r="M25" s="2345"/>
      <x:c r="N25" s="2345"/>
      <x:c r="O25" s="2345"/>
      <x:c r="P25"/>
      <x:c r="Q25"/>
      <x:c r="R25"/>
      <x:c r="T25"/>
      <x:c r="U25"/>
      <x:c r="V25"/>
      <x:c r="X25"/>
      <x:c r="Y25"/>
      <x:c r="Z25"/>
      <x:c r="AA25"/>
    </x:row>
    <x:row r="26" ht="22" customHeight="1">
      <x:c r="A26" s="2219" t="str">
        <x:f>"PROPAGATION"&amp;CHAR(10)&amp;CHAR(10)&amp;'01_Run_Config'!$B$67&amp;" -&gt; "&amp;'01_Run_Config'!$B$68&amp;" -&gt; "&amp;'01_Run_Config'!$B$69&amp;CHAR(10)&amp;CHAR(10)&amp;"Eazy reference: "&amp;'01_Run_Config'!$B$70&amp;CHAR(10)&amp;"Rule: "&amp;'01_Run_Config'!$B$73</x:f>
        <x:v>PROPAGATION
Eazy Plug Mini -&gt; Eazy Block Standard -&gt; UGro Pot9 Professional Rhiza 9L
Eazy reference: pH 5.9 · EC 1.0 mS/cm (1:1.5)
Rule: Do not chase block pH</x:v>
      </x:c>
      <x:c r="B26" s="2041"/>
      <x:c r="C26" s="2041"/>
      <x:c r="D26" s="2041"/>
      <x:c r="E26" s="2041"/>
      <x:c r="F26" s="2243" t="str">
        <x:v>OWNED STOCK
HESI: TNT, Coco, Wurzel Complex, PowerZyme, SuperVit, Boost, PK13/14
AN: Voodoo Juice + Tarantula selected
Conditional: Athena Balance, Sensi Cal Mag Xtra
Owned but OFF: Tasty Terpenes
Tiny remainder / no repurchase: CarboLoad</x:v>
      </x:c>
      <x:c r="G26" s="2169"/>
      <x:c r="H26" s="2169"/>
      <x:c r="I26" s="2169"/>
      <x:c r="J26" s="2169"/>
      <x:c r="K26" s="2073" t="str">
        <x:v>SETUP READINESS
Still missing / to verify:
- water Ca / Mg / HCO3
- meter calibration status
- exact Eazy sizes
- exact UGro Rhiza format/fill volume
- lamp model / PPFD map
- actual run log + photos
Unknown is allowed. Unknown must never become an invented dose.</x:v>
      </x:c>
      <x:c r="L26" s="2073"/>
      <x:c r="M26" s="2073"/>
      <x:c r="N26" s="2073"/>
      <x:c r="O26" s="2073"/>
      <x:c r="P26"/>
      <x:c r="Q26"/>
      <x:c r="R26"/>
      <x:c r="T26"/>
      <x:c r="U26"/>
      <x:c r="V26"/>
      <x:c r="X26"/>
      <x:c r="Y26"/>
      <x:c r="Z26"/>
      <x:c r="AA26"/>
    </x:row>
    <x:row r="27" ht="22" customHeight="1">
      <x:c r="A27" s="2220"/>
      <x:c r="B27" s="2221"/>
      <x:c r="C27" s="2222"/>
      <x:c r="D27" s="2220"/>
      <x:c r="E27" s="2221"/>
      <x:c r="F27" s="2244"/>
      <x:c r="G27" s="2245"/>
      <x:c r="H27" s="2246"/>
      <x:c r="I27" s="2247"/>
      <x:c r="J27" s="2245"/>
      <x:c r="K27" s="2261"/>
      <x:c r="L27" s="2262"/>
      <x:c r="M27" s="2263"/>
      <x:c r="N27" s="2261"/>
      <x:c r="O27" s="2262"/>
      <x:c r="P27"/>
      <x:c r="Q27"/>
      <x:c r="R27"/>
      <x:c r="T27"/>
      <x:c r="U27"/>
      <x:c r="V27"/>
      <x:c r="X27"/>
      <x:c r="Y27"/>
      <x:c r="Z27"/>
      <x:c r="AA27"/>
    </x:row>
    <x:row r="28" ht="22" customHeight="1">
      <x:c r="A28" s="1901"/>
      <x:c r="B28" s="1902"/>
      <x:c r="C28" s="1903"/>
      <x:c r="D28" s="1901"/>
      <x:c r="E28" s="1902"/>
      <x:c r="F28" s="2248"/>
      <x:c r="G28" s="2249"/>
      <x:c r="H28" s="2250"/>
      <x:c r="I28" s="2248"/>
      <x:c r="J28" s="2249"/>
      <x:c r="K28" s="2071"/>
      <x:c r="L28" s="2070"/>
      <x:c r="M28" s="2069"/>
      <x:c r="N28" s="2071"/>
      <x:c r="O28" s="2070"/>
    </x:row>
    <x:row r="29" ht="22" customHeight="1">
      <x:c r="A29" s="1905"/>
      <x:c r="B29" s="1905"/>
      <x:c r="C29" s="1905"/>
      <x:c r="D29" s="1905"/>
      <x:c r="E29" s="1905"/>
      <x:c r="F29" s="2251"/>
      <x:c r="G29" s="2251"/>
      <x:c r="H29" s="2251"/>
      <x:c r="I29" s="2251"/>
      <x:c r="J29" s="2251"/>
      <x:c r="K29" s="2072"/>
      <x:c r="L29" s="2072"/>
      <x:c r="M29" s="2072"/>
      <x:c r="N29" s="2072"/>
      <x:c r="O29" s="2072"/>
    </x:row>
    <x:row r="30" ht="22" customHeight="1">
      <x:c r="A30" s="1889"/>
      <x:c r="B30" s="1890"/>
      <x:c r="C30" s="1891"/>
      <x:c r="D30" s="1889"/>
      <x:c r="E30" s="1890"/>
      <x:c r="F30" s="2247"/>
      <x:c r="G30" s="2245"/>
      <x:c r="H30" s="2246"/>
      <x:c r="I30" s="2247"/>
      <x:c r="J30" s="2245"/>
      <x:c r="K30" s="2261"/>
      <x:c r="L30" s="2262"/>
      <x:c r="M30" s="2263"/>
      <x:c r="N30" s="2261"/>
      <x:c r="O30" s="2262"/>
    </x:row>
    <x:row r="31" ht="22" customHeight="1">
      <x:c r="A31" s="1796"/>
      <x:c r="B31" s="1797"/>
      <x:c r="C31" s="1798"/>
      <x:c r="D31" s="1796"/>
      <x:c r="E31" s="1797"/>
      <x:c r="F31" s="1798"/>
      <x:c r="G31" s="1796"/>
      <x:c r="H31" s="1797"/>
      <x:c r="I31" s="1798"/>
      <x:c r="J31" s="1796"/>
      <x:c r="K31" s="1797"/>
      <x:c r="L31" s="1798"/>
      <x:c r="M31" s="1796"/>
      <x:c r="N31" s="1797"/>
      <x:c r="O31" s="1798"/>
    </x:row>
    <x:row r="32" ht="22" customHeight="1">
      <x:c r="A32" s="2265" t="str">
        <x:v>HOW TO USE THIS WORKBOOK · ONE CANONICAL JOURNEY</x:v>
      </x:c>
      <x:c r="B32" s="2265"/>
      <x:c r="C32" s="2265"/>
      <x:c r="D32" s="2265"/>
      <x:c r="E32" s="2265"/>
      <x:c r="F32" s="2265"/>
      <x:c r="G32" s="2265"/>
      <x:c r="H32" s="2265"/>
      <x:c r="I32" s="2265"/>
      <x:c r="J32" s="2265"/>
      <x:c r="K32" s="2265"/>
      <x:c r="L32" s="2265"/>
      <x:c r="M32" s="2265"/>
      <x:c r="N32" s="2265"/>
      <x:c r="O32" s="2265"/>
    </x:row>
    <x:row r="33" ht="22" customHeight="1">
      <x:c r="A33" s="2323" t="str">
        <x:v>1 START HERE / 00_Dashboard -&gt; next action + blockers + where to look
2 TODAY / 36_TODAY_OPERATOR -&gt; today in plain language with local term explanations
3 SETUP / 37_SETUP_OPERATOR -&gt; known / unknown / blockers before run activation
4 MIX / 38_MIX_OPERATOR -&gt; today's resolved mix, sequence and terms
5 LOG / 39_LOG_GUIDE + 12_Daily_Log -&gt; actual measurements/actions, not plan targets
6 REVIEW / 03_Weekly_Master + timeline -&gt; phase, trends, next trigger, deviations
7 WHY? / 34_CONTEXT_HELP_MAP + evidence/source sheets -&gt; definitions, scope and reason
Rule: if operator view and canonical master disagree, RELEASE BLOCK - fix canonical source and regenerate.</x:v>
      </x:c>
      <x:c r="B33" s="2323"/>
      <x:c r="C33" s="2323"/>
      <x:c r="D33" s="2323"/>
      <x:c r="E33" s="2323"/>
      <x:c r="F33" s="2323"/>
      <x:c r="G33" s="2323"/>
      <x:c r="H33" s="2323"/>
      <x:c r="I33" s="2323"/>
      <x:c r="J33" s="2323"/>
      <x:c r="K33" s="2323"/>
      <x:c r="L33" s="2323"/>
      <x:c r="M33" s="2323"/>
      <x:c r="N33" s="2323"/>
      <x:c r="O33" s="2323"/>
    </x:row>
    <x:row r="34" ht="22" customHeight="1">
      <x:c r="A34" s="2324"/>
      <x:c r="B34" s="2325"/>
      <x:c r="C34" s="2326"/>
      <x:c r="D34" s="2324"/>
      <x:c r="E34" s="2325"/>
      <x:c r="F34" s="2326"/>
      <x:c r="G34" s="2324"/>
      <x:c r="H34" s="2325"/>
      <x:c r="I34" s="2326"/>
      <x:c r="J34" s="2324"/>
      <x:c r="K34" s="2325"/>
      <x:c r="L34" s="2326"/>
      <x:c r="M34" s="2324"/>
      <x:c r="N34" s="2325"/>
      <x:c r="O34" s="2326"/>
    </x:row>
    <x:row r="35" ht="22" customHeight="1">
      <x:c r="A35" s="2327"/>
      <x:c r="B35" s="2328"/>
      <x:c r="C35" s="2329"/>
      <x:c r="D35" s="2327"/>
      <x:c r="E35" s="2328"/>
      <x:c r="F35" s="2329"/>
      <x:c r="G35" s="2327"/>
      <x:c r="H35" s="2328"/>
      <x:c r="I35" s="2329"/>
      <x:c r="J35" s="2327"/>
      <x:c r="K35" s="2328"/>
      <x:c r="L35" s="2329"/>
      <x:c r="M35" s="2327"/>
      <x:c r="N35" s="2328"/>
      <x:c r="O35" s="2329"/>
    </x:row>
    <x:row r="36" ht="22" customHeight="1">
      <x:c r="A36" s="2330"/>
      <x:c r="B36" s="2331"/>
      <x:c r="C36" s="2331"/>
      <x:c r="D36" s="2331"/>
      <x:c r="E36" s="2331"/>
      <x:c r="F36" s="2331"/>
      <x:c r="G36" s="2331"/>
      <x:c r="H36" s="2331"/>
      <x:c r="I36" s="2331"/>
      <x:c r="J36" s="2331"/>
      <x:c r="K36" s="2331"/>
      <x:c r="L36" s="2331"/>
      <x:c r="M36" s="2331"/>
      <x:c r="N36" s="2331"/>
      <x:c r="O36" s="2332"/>
    </x:row>
    <x:row r="37" ht="22" customHeight="1">
      <x:c r="A37" s="2333"/>
      <x:c r="B37" s="2334"/>
      <x:c r="C37" s="2334"/>
      <x:c r="D37" s="2334"/>
      <x:c r="E37" s="2334"/>
      <x:c r="F37" s="2334"/>
      <x:c r="G37" s="2334"/>
      <x:c r="H37" s="2334"/>
      <x:c r="I37" s="2334"/>
      <x:c r="J37" s="2334"/>
      <x:c r="K37" s="2334"/>
      <x:c r="L37" s="2334"/>
      <x:c r="M37" s="2334"/>
      <x:c r="N37" s="2334"/>
      <x:c r="O37" s="2335"/>
    </x:row>
    <x:row r="38" ht="22" customHeight="1">
      <x:c r="A38" s="60"/>
      <x:c r="B38" s="60"/>
      <x:c r="C38" s="60"/>
      <x:c r="D38" s="60"/>
      <x:c r="E38" s="60"/>
      <x:c r="F38" s="60"/>
      <x:c r="G38" s="60"/>
      <x:c r="H38" s="60"/>
      <x:c r="I38" s="60"/>
      <x:c r="J38" s="60"/>
      <x:c r="K38" s="60"/>
      <x:c r="L38" s="60"/>
      <x:c r="M38" s="60"/>
      <x:c r="N38" s="60"/>
      <x:c r="O38" s="60"/>
    </x:row>
    <x:row r="39" ht="22" customHeight="1">
      <x:c r="A39" s="2265" t="str">
        <x:v>STATUS- UND EVIDENZLEGENDE</x:v>
      </x:c>
      <x:c r="B39" s="2265"/>
      <x:c r="C39" s="2265"/>
      <x:c r="D39" s="2265"/>
      <x:c r="E39" s="2265"/>
      <x:c r="F39" s="2265"/>
      <x:c r="G39" s="2265"/>
      <x:c r="H39" s="2265"/>
      <x:c r="I39" s="2265"/>
      <x:c r="J39" s="2265"/>
      <x:c r="K39" s="2265"/>
      <x:c r="L39" s="2265"/>
      <x:c r="M39" s="2265"/>
      <x:c r="N39" s="2265"/>
      <x:c r="O39" s="2265"/>
    </x:row>
    <x:row r="40" ht="22" customHeight="1">
      <x:c r="A40" s="2020" t="str">
        <x:v>PLANWERT / ZIEL
Geplanter Wert oder Bereich.
Nicht automatisch gemessen oder freigegeben.</x:v>
      </x:c>
      <x:c r="B40" s="2020"/>
      <x:c r="C40" s="2020"/>
      <x:c r="D40" s="1880" t="str">
        <x:v>GEMESSEN / ISTWERT
Tatsächlich gemessen.
Braucht Zeitpunkt, Einheit und Messmethode.</x:v>
      </x:c>
      <x:c r="E40" s="1880"/>
      <x:c r="F40" s="1880"/>
      <x:c r="G40" s="2338" t="str">
        <x:v>NUTZEREINGABE / UNBEKANNT
Setup-Fakt oder offene Lücke.
Nutzereingabe ist keine Evidenz. Unbekannt bleibt unbekannt.</x:v>
      </x:c>
      <x:c r="H40" s="2338"/>
      <x:c r="I40" s="2338"/>
      <x:c r="J40" s="2242" t="str">
        <x:v>HERSTELLER / UKD
Herstellerangabe getrennt von UKD-Engineering-Regel.
Keine stille Vermischung.</x:v>
      </x:c>
      <x:c r="K40" s="2242"/>
      <x:c r="L40" s="2242"/>
      <x:c r="M40" s="1962" t="str">
        <x:v>GESPERRT / EXPERIMENT
Kein automatischer operativer Pfad.
Blocker bleibt sichtbar; Experiment braucht bewusste Aktivierung + Log.</x:v>
      </x:c>
      <x:c r="N40" s="1962"/>
      <x:c r="O40" s="1962"/>
    </x:row>
    <x:row r="41" ht="22" customHeight="1">
      <x:c r="A41" s="2020"/>
      <x:c r="B41" s="2020"/>
      <x:c r="C41" s="2020"/>
      <x:c r="D41" s="1880"/>
      <x:c r="E41" s="1880"/>
      <x:c r="F41" s="1880"/>
      <x:c r="G41" s="2338"/>
      <x:c r="H41" s="2338"/>
      <x:c r="I41" s="2338"/>
      <x:c r="J41" s="2242"/>
      <x:c r="K41" s="2242"/>
      <x:c r="L41" s="2242"/>
      <x:c r="M41" s="1962"/>
      <x:c r="N41" s="1962"/>
      <x:c r="O41" s="1962"/>
    </x:row>
    <x:row r="42" ht="22" customHeight="1">
      <x:c r="A42" s="2020"/>
      <x:c r="B42" s="2020"/>
      <x:c r="C42" s="2020"/>
      <x:c r="D42" s="1880"/>
      <x:c r="E42" s="1880"/>
      <x:c r="F42" s="1880"/>
      <x:c r="G42" s="2338"/>
      <x:c r="H42" s="2338"/>
      <x:c r="I42" s="2338"/>
      <x:c r="J42" s="2242"/>
      <x:c r="K42" s="2242"/>
      <x:c r="L42" s="2242"/>
      <x:c r="M42" s="1962"/>
      <x:c r="N42" s="1962"/>
      <x:c r="O42" s="1962"/>
    </x:row>
    <x:row r="43" ht="22" customHeight="1">
      <x:c r="A43" s="2020"/>
      <x:c r="B43" s="2020"/>
      <x:c r="C43" s="2020"/>
      <x:c r="D43" s="1880"/>
      <x:c r="E43" s="1880"/>
      <x:c r="F43" s="1880"/>
      <x:c r="G43" s="2338"/>
      <x:c r="H43" s="2338"/>
      <x:c r="I43" s="2338"/>
      <x:c r="J43" s="2242"/>
      <x:c r="K43" s="2242"/>
      <x:c r="L43" s="2242"/>
      <x:c r="M43" s="1962"/>
      <x:c r="N43" s="1962"/>
      <x:c r="O43" s="1962"/>
    </x:row>
    <x:row r="44" ht="22" customHeight="1">
      <x:c r="A44" s="2020"/>
      <x:c r="B44" s="2020"/>
      <x:c r="C44" s="2020"/>
      <x:c r="D44" s="1880"/>
      <x:c r="E44" s="1880"/>
      <x:c r="F44" s="1880"/>
      <x:c r="G44" s="2338"/>
      <x:c r="H44" s="2338"/>
      <x:c r="I44" s="2338"/>
      <x:c r="J44" s="2242"/>
      <x:c r="K44" s="2242"/>
      <x:c r="L44" s="2242"/>
      <x:c r="M44" s="1962"/>
      <x:c r="N44" s="1962"/>
      <x:c r="O44" s="1962"/>
    </x:row>
    <x:row r="45" ht="22" customHeight="1">
      <x:c r="A45" s="2020"/>
      <x:c r="B45" s="2020"/>
      <x:c r="C45" s="2020"/>
      <x:c r="D45" s="1880"/>
      <x:c r="E45" s="1880"/>
      <x:c r="F45" s="1880"/>
      <x:c r="G45" s="2338"/>
      <x:c r="H45" s="2338"/>
      <x:c r="I45" s="2338"/>
      <x:c r="J45" s="2242"/>
      <x:c r="K45" s="2242"/>
      <x:c r="L45" s="2242"/>
      <x:c r="M45" s="1962"/>
      <x:c r="N45" s="1962"/>
      <x:c r="O45" s="1962"/>
    </x:row>
    <x:row r="47" ht="28" customHeight="1">
      <x:c r="A47" s="2393" t="str">
        <x:v>WO FINDE ICH WAS? · Aufgabe -&gt; richtige Sektion</x:v>
      </x:c>
      <x:c r="B47" s="2393"/>
      <x:c r="C47" s="2393"/>
      <x:c r="D47" s="2393"/>
      <x:c r="E47" s="2393"/>
      <x:c r="F47" s="2393"/>
      <x:c r="G47" s="2393"/>
      <x:c r="H47" s="2393"/>
      <x:c r="I47" s="2393"/>
      <x:c r="J47" s="2393"/>
      <x:c r="K47" s="2393"/>
      <x:c r="L47" s="2393"/>
      <x:c r="M47" s="2393"/>
      <x:c r="N47" s="2393"/>
      <x:c r="O47" s="2393"/>
    </x:row>
    <x:row r="48" ht="28" customHeight="1">
      <x:c r="A48" s="2411" t="str">
        <x:v>HEUTE
Was jetzt messen / geben / beobachten?
→ 36_TODAY_OPERATOR</x:v>
      </x:c>
      <x:c r="B48" s="2411"/>
      <x:c r="C48" s="2411"/>
      <x:c r="D48" s="2414" t="str">
        <x:v>SETUP
Was ist bekannt, unbekannt oder blockiert?
→ 37_SETUP_OPERATOR</x:v>
      </x:c>
      <x:c r="E48" s="2414"/>
      <x:c r="F48" s="2414"/>
      <x:c r="G48" s="2417" t="str">
        <x:v>MIX
Wie mische ich den heutigen Stack?
→ 38_MIX_OPERATOR</x:v>
      </x:c>
      <x:c r="H48" s="2417"/>
      <x:c r="I48" s="2417"/>
      <x:c r="J48" s="2414" t="str">
        <x:v>LOG
Wo trage ich echte Messwerte/Aktionen ein?
→ 39_LOG_GUIDE + 12_Daily_Log</x:v>
      </x:c>
      <x:c r="K48" s="2414"/>
      <x:c r="L48" s="2414"/>
      <x:c r="M48" s="2420" t="str">
        <x:v>BEGRIFF / WARUM
Was bedeutet EC/VPD/DLI? Woher kommt die Regel?
→ 34_CONTEXT_HELP_MAP + 22_Sources</x:v>
      </x:c>
      <x:c r="N48" s="2420"/>
      <x:c r="O48" s="2420"/>
    </x:row>
    <x:row r="49" ht="28" customHeight="1">
      <x:c r="A49" s="2411"/>
      <x:c r="B49" s="2411"/>
      <x:c r="C49" s="2411"/>
      <x:c r="D49" s="2414"/>
      <x:c r="E49" s="2414"/>
      <x:c r="F49" s="2414"/>
      <x:c r="G49" s="2417"/>
      <x:c r="H49" s="2417"/>
      <x:c r="I49" s="2417"/>
      <x:c r="J49" s="2414"/>
      <x:c r="K49" s="2414"/>
      <x:c r="L49" s="2414"/>
      <x:c r="M49" s="2420"/>
      <x:c r="N49" s="2420"/>
      <x:c r="O49" s="2420"/>
    </x:row>
    <x:row r="50" ht="28" customHeight="1">
      <x:c r="A50" s="2411"/>
      <x:c r="B50" s="2411"/>
      <x:c r="C50" s="2411"/>
      <x:c r="D50" s="2414"/>
      <x:c r="E50" s="2414"/>
      <x:c r="F50" s="2414"/>
      <x:c r="G50" s="2417"/>
      <x:c r="H50" s="2417"/>
      <x:c r="I50" s="2417"/>
      <x:c r="J50" s="2414"/>
      <x:c r="K50" s="2414"/>
      <x:c r="L50" s="2414"/>
      <x:c r="M50" s="2420"/>
      <x:c r="N50" s="2420"/>
      <x:c r="O50" s="2420"/>
    </x:row>
    <x:row r="51" ht="28" customHeight="1">
      <x:c r="A51" s="2411"/>
      <x:c r="B51" s="2411"/>
      <x:c r="C51" s="2411"/>
      <x:c r="D51" s="2414"/>
      <x:c r="E51" s="2414"/>
      <x:c r="F51" s="2414"/>
      <x:c r="G51" s="2417"/>
      <x:c r="H51" s="2417"/>
      <x:c r="I51" s="2417"/>
      <x:c r="J51" s="2414"/>
      <x:c r="K51" s="2414"/>
      <x:c r="L51" s="2414"/>
      <x:c r="M51" s="2420"/>
      <x:c r="N51" s="2420"/>
      <x:c r="O51" s="2420"/>
    </x:row>
    <x:row r="52" ht="28" customHeight="1">
      <x:c r="A52" s="2411"/>
      <x:c r="B52" s="2411"/>
      <x:c r="C52" s="2411"/>
      <x:c r="D52" s="2414"/>
      <x:c r="E52" s="2414"/>
      <x:c r="F52" s="2414"/>
      <x:c r="G52" s="2417"/>
      <x:c r="H52" s="2417"/>
      <x:c r="I52" s="2417"/>
      <x:c r="J52" s="2414"/>
      <x:c r="K52" s="2414"/>
      <x:c r="L52" s="2414"/>
      <x:c r="M52" s="2420"/>
      <x:c r="N52" s="2420"/>
      <x:c r="O52" s="2420"/>
    </x:row>
    <x:row r="53" ht="28" customHeight="1">
      <x:c r="A53" s="2411"/>
      <x:c r="B53" s="2411"/>
      <x:c r="C53" s="2411"/>
      <x:c r="D53" s="2414"/>
      <x:c r="E53" s="2414"/>
      <x:c r="F53" s="2414"/>
      <x:c r="G53" s="2417"/>
      <x:c r="H53" s="2417"/>
      <x:c r="I53" s="2417"/>
      <x:c r="J53" s="2414"/>
      <x:c r="K53" s="2414"/>
      <x:c r="L53" s="2414"/>
      <x:c r="M53" s="2420"/>
      <x:c r="N53" s="2420"/>
      <x:c r="O53" s="2420"/>
    </x:row>
    <x:row r="54" ht="28" customHeight="1"/>
    <x:row r="55" ht="28" customHeight="1">
      <x:c r="A55" s="2379" t="str">
        <x:v>FACHBEGRIFF-PRINZIP v10
Im Operator-Bereich wird zuerst der verständliche Name gezeigt und die Abkürzung in Klammern: z. B. 'Nährsalzstärke (EC)', 'Lichtstärke am Blätterdach (PPFD)', 'Tageslichtmenge (DLI)', 'Luftfeuchtigkeit (rF)' und 'Trocknungsdruck der Luft (VPD)'. Die technische Originalbezeichnung bleibt in Master-/Rohdaten und im Context Help Map erhalten.</x:v>
      </x:c>
      <x:c r="B55" s="2379"/>
      <x:c r="C55" s="2379"/>
      <x:c r="D55" s="2379"/>
      <x:c r="E55" s="2379"/>
      <x:c r="F55" s="2379"/>
      <x:c r="G55" s="2379"/>
      <x:c r="H55" s="2379"/>
      <x:c r="I55" s="2379"/>
      <x:c r="J55" s="2379"/>
      <x:c r="K55" s="2379"/>
      <x:c r="L55" s="2379"/>
      <x:c r="M55" s="2379"/>
      <x:c r="N55" s="2379"/>
      <x:c r="O55" s="2379"/>
    </x:row>
    <x:row r="56" ht="28" customHeight="1">
      <x:c r="A56" s="2379"/>
      <x:c r="B56" s="2379"/>
      <x:c r="C56" s="2379"/>
      <x:c r="D56" s="2379"/>
      <x:c r="E56" s="2379"/>
      <x:c r="F56" s="2379"/>
      <x:c r="G56" s="2379"/>
      <x:c r="H56" s="2379"/>
      <x:c r="I56" s="2379"/>
      <x:c r="J56" s="2379"/>
      <x:c r="K56" s="2379"/>
      <x:c r="L56" s="2379"/>
      <x:c r="M56" s="2379"/>
      <x:c r="N56" s="2379"/>
      <x:c r="O56" s="2379"/>
    </x:row>
    <x:row r="57" ht="28" customHeight="1">
      <x:c r="A57" s="2379"/>
      <x:c r="B57" s="2379"/>
      <x:c r="C57" s="2379"/>
      <x:c r="D57" s="2379"/>
      <x:c r="E57" s="2379"/>
      <x:c r="F57" s="2379"/>
      <x:c r="G57" s="2379"/>
      <x:c r="H57" s="2379"/>
      <x:c r="I57" s="2379"/>
      <x:c r="J57" s="2379"/>
      <x:c r="K57" s="2379"/>
      <x:c r="L57" s="2379"/>
      <x:c r="M57" s="2379"/>
      <x:c r="N57" s="2379"/>
      <x:c r="O57" s="2379"/>
    </x:row>
    <x:row r="58" ht="28" customHeight="1">
      <x:c r="A58" s="2379"/>
      <x:c r="B58" s="2379"/>
      <x:c r="C58" s="2379"/>
      <x:c r="D58" s="2379"/>
      <x:c r="E58" s="2379"/>
      <x:c r="F58" s="2379"/>
      <x:c r="G58" s="2379"/>
      <x:c r="H58" s="2379"/>
      <x:c r="I58" s="2379"/>
      <x:c r="J58" s="2379"/>
      <x:c r="K58" s="2379"/>
      <x:c r="L58" s="2379"/>
      <x:c r="M58" s="2379"/>
      <x:c r="N58" s="2379"/>
      <x:c r="O58" s="2379"/>
    </x:row>
    <x:row r="59" ht="28" customHeight="1">
      <x:c r="A59" s="2379"/>
      <x:c r="B59" s="2379"/>
      <x:c r="C59" s="2379"/>
      <x:c r="D59" s="2379"/>
      <x:c r="E59" s="2379"/>
      <x:c r="F59" s="2379"/>
      <x:c r="G59" s="2379"/>
      <x:c r="H59" s="2379"/>
      <x:c r="I59" s="2379"/>
      <x:c r="J59" s="2379"/>
      <x:c r="K59" s="2379"/>
      <x:c r="L59" s="2379"/>
      <x:c r="M59" s="2379"/>
      <x:c r="N59" s="2379"/>
      <x:c r="O59" s="2379"/>
    </x:row>
  </x:sheetData>
  <x:mergeCells>
    <x:mergeCell ref="A9:O9"/>
    <x:mergeCell ref="A24:F24"/>
    <x:mergeCell ref="G24:J24"/>
    <x:mergeCell ref="K24:O24"/>
    <x:mergeCell ref="A31:F31"/>
    <x:mergeCell ref="G31:J31"/>
    <x:mergeCell ref="K31:O31"/>
    <x:mergeCell ref="A1:O1"/>
    <x:mergeCell ref="A2:O2"/>
    <x:mergeCell ref="A4:G8"/>
    <x:mergeCell ref="I4:O8"/>
    <x:mergeCell ref="A10:O10"/>
    <x:mergeCell ref="A11:E16"/>
    <x:mergeCell ref="F11:J16"/>
    <x:mergeCell ref="K11:O16"/>
    <x:mergeCell ref="A18:O18"/>
    <x:mergeCell ref="A19:C23"/>
    <x:mergeCell ref="D19:F23"/>
    <x:mergeCell ref="G19:J23"/>
    <x:mergeCell ref="K19:O23"/>
    <x:mergeCell ref="A25:O25"/>
    <x:mergeCell ref="A26:E30"/>
    <x:mergeCell ref="F26:J30"/>
    <x:mergeCell ref="K26:O30"/>
    <x:mergeCell ref="A32:O32"/>
    <x:mergeCell ref="A33:O37"/>
    <x:mergeCell ref="A39:O39"/>
    <x:mergeCell ref="A40:C45"/>
    <x:mergeCell ref="D40:F45"/>
    <x:mergeCell ref="G40:I45"/>
    <x:mergeCell ref="J40:L45"/>
    <x:mergeCell ref="M40:O45"/>
    <x:mergeCell ref="A47:O47"/>
    <x:mergeCell ref="A48:C53"/>
    <x:mergeCell ref="D48:F53"/>
    <x:mergeCell ref="G48:I53"/>
    <x:mergeCell ref="J48:L53"/>
    <x:mergeCell ref="M48:O53"/>
    <x:mergeCell ref="A55:O59"/>
  </x:mergeCells>
  <x:conditionalFormatting sqref="G4:G10">
    <x:cfRule type="expression" dxfId="0" priority="1">
      <x:formula>G4="KRITISCH"</x:formula>
    </x:cfRule>
    <x:cfRule type="expression" dxfId="1" priority="2">
      <x:formula>G4="HOCH"</x:formula>
    </x:cfRule>
    <x:cfRule type="expression" dxfId="2" priority="3">
      <x:formula>G4="MITTEL"</x:formula>
    </x:cfRule>
  </x:conditionalFormatting>
  <x:conditionalFormatting sqref="G4:G11">
    <x:cfRule type="expression" dxfId="26" priority="4">
      <x:formula>G4="KRITISCH"</x:formula>
    </x:cfRule>
    <x:cfRule type="expression" dxfId="27" priority="5">
      <x:formula>G4="HOCH"</x:formula>
    </x:cfRule>
  </x:conditionalFormatting>
  <x:conditionalFormatting sqref="M5:O7">
    <x:cfRule type="expression" dxfId="34" priority="6">
      <x:formula>M5="OK"</x:formula>
    </x:cfRule>
    <x:cfRule type="expression" dxfId="35" priority="7">
      <x:formula>M5="WARN"</x:formula>
    </x:cfRule>
    <x:cfRule type="expression" dxfId="36" priority="8">
      <x:formula>M5="FAIL"</x:formula>
    </x:cfRule>
    <x:cfRule type="expression" dxfId="68" priority="9">
      <x:formula>M5="OFFEN"</x:formula>
    </x:cfRule>
  </x:conditionalFormatting>
  <x:pageMargins left="0.7" right="0.7" top="0.75" bottom="0.75" header="0.3" footer="0.3"/>
  <x:drawing xmlns:r="http://schemas.openxmlformats.org/officeDocument/2006/relationships" r:id="R070d79e69e004724"/>
</x:worksheet>
</file>

<file path=xl/worksheets/sheet2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4" hidden="0" customWidth="1"/>
    <x:col min="4" max="4" width="16" hidden="0" customWidth="1"/>
    <x:col min="5" max="5" width="18" hidden="0" customWidth="1"/>
    <x:col min="6" max="6" width="42" hidden="0" customWidth="1"/>
    <x:col min="7" max="7" width="40" hidden="0" customWidth="1"/>
    <x:col min="8" max="8" width="28" hidden="0" customWidth="1"/>
    <x:col min="3" max="3" width="3" hidden="0" customWidth="1"/>
  </x:cols>
  <x:sheetData>
    <x:row r="1" ht="32" customHeight="1">
      <x:c r="A1" s="335" t="str">
        <x:v>01 · SETUP &amp; RUN CONTROL</x:v>
      </x:c>
      <x:c r="B1" s="335"/>
      <x:c r="C1" s="335"/>
      <x:c r="D1" s="335"/>
      <x:c r="E1" s="335"/>
      <x:c r="F1" s="335"/>
      <x:c r="G1" s="335"/>
      <x:c r="H1" s="335"/>
    </x:row>
    <x:row r="3">
      <x:c r="A3" s="790" t="str">
        <x:v>RUN INPUTS</x:v>
      </x:c>
      <x:c r="B3" s="790" t="str">
        <x:v>WERT</x:v>
      </x:c>
      <x:c r="D3" s="1188" t="str">
        <x:v>Abgeleitet</x:v>
      </x:c>
      <x:c r="E3" s="1189" t="str">
        <x:v>Formel/Wert</x:v>
      </x:c>
      <x:c r="F3" s="1190" t="str">
        <x:v>Kommentar</x:v>
      </x:c>
      <x:c r="G3" s="790"/>
      <x:c r="H3" s="790"/>
    </x:row>
    <x:row r="4">
      <x:c r="A4" s="1160" t="str">
        <x:v>Startdatum</x:v>
      </x:c>
      <x:c r="B4" s="1172" t="n">
        <x:v>46242</x:v>
      </x:c>
      <x:c r="D4" s="1196" t="str">
        <x:v>Canopy Fläche m²</x:v>
      </x:c>
      <x:c r="E4" s="1197" t="n">
        <x:f>(B8/100)*(B9/100)</x:f>
        <x:v>0.36</x:v>
      </x:c>
      <x:c r="F4" s="1198" t="str">
        <x:v>Breite × Tiefe</x:v>
      </x:c>
    </x:row>
    <x:row r="5">
      <x:c r="A5" s="1162" t="str">
        <x:v>Aktueller Run-Tag</x:v>
      </x:c>
      <x:c r="B5" s="1187" t="n">
        <x:v>0</x:v>
      </x:c>
      <x:c r="D5" s="1162" t="str">
        <x:v>Zeltvolumen m³</x:v>
      </x:c>
      <x:c r="E5" s="1199" t="n">
        <x:f>(B8/100)*(B9/100)*(B10/100)</x:f>
        <x:v>0.648</x:v>
      </x:c>
      <x:c r="F5" s="1200" t="str">
        <x:v>Breite × Tiefe × Höhe</x:v>
      </x:c>
    </x:row>
    <x:row r="6">
      <x:c r="A6" s="1162" t="str">
        <x:v>Genetik</x:v>
      </x:c>
      <x:c r="B6" s="1173" t="str">
        <x:v>1× Double Grape Auto + 1× Banana Purple Punch Auto + 1× GG. #4 Auto (Sensible Seeds listing / BSB Genetics - Packung verifizieren)</x:v>
      </x:c>
      <x:c r="D6" s="1162" t="str">
        <x:v>Max. W/m²</x:v>
      </x:c>
      <x:c r="E6" s="1199" t="n">
        <x:f>B11/E4</x:f>
        <x:v>388.8888888888889</x:v>
      </x:c>
      <x:c r="F6" s="1200" t="str">
        <x:v>Misch-Run: Phänotyp, FlowerInitiation, Bewässerung und Harvest Readiness pro Pflanze getrennt erfassen.</x:v>
      </x:c>
    </x:row>
    <x:row r="7">
      <x:c r="A7" s="1162" t="str">
        <x:v>Statisches Atlas-Ende / spätester Watch-Punkt (kein gemeinsamer Harvest-Trigger)</x:v>
      </x:c>
      <x:c r="B7" s="1173" t="n">
        <x:v>80</x:v>
      </x:c>
      <x:c r="D7" s="1162" t="str">
        <x:v>Current Phase</x:v>
      </x:c>
      <x:c r="E7" s="1201" t="str">
        <x:f>VLOOKUP(B5,'02_Daily_Master'!$A$2:$AP$82,5,FALSE)</x:f>
        <x:v>Keimung</x:v>
      </x:c>
      <x:c r="F7" s="1200" t="str">
        <x:v>Jede Pflanze kann früher/später reif werden. Separate HarvestEvents zulassen; übrige Pflanzen laufen weiter.</x:v>
      </x:c>
    </x:row>
    <x:row r="8">
      <x:c r="A8" s="1162" t="str">
        <x:v>Zelt Breite cm</x:v>
      </x:c>
      <x:c r="B8" s="1173" t="n">
        <x:v>60</x:v>
      </x:c>
      <x:c r="D8" s="1162" t="str">
        <x:v>Current PPFD</x:v>
      </x:c>
      <x:c r="E8" s="1201" t="n">
        <x:f>VLOOKUP(B5,'02_Daily_Master'!$A$2:$AP$82,9,FALSE)</x:f>
        <x:v>160</x:v>
      </x:c>
      <x:c r="F8" s="1200" t="str">
        <x:v>aus Tagesplan</x:v>
      </x:c>
    </x:row>
    <x:row r="9">
      <x:c r="A9" s="1162" t="str">
        <x:v>Zelt Tiefe cm</x:v>
      </x:c>
      <x:c r="B9" s="1173" t="n">
        <x:v>60</x:v>
      </x:c>
      <x:c r="D9" s="1162" t="str">
        <x:v>Current EC</x:v>
      </x:c>
      <x:c r="E9" s="1201" t="n">
        <x:f>VLOOKUP(B5,'02_Daily_Master'!$A$2:$AP$82,16,FALSE)</x:f>
        <x:v>0.55</x:v>
      </x:c>
      <x:c r="F9" s="1200" t="str">
        <x:v>aus Tagesplan</x:v>
      </x:c>
    </x:row>
    <x:row r="10">
      <x:c r="A10" s="1162" t="str">
        <x:v>Zelt Höhe cm</x:v>
      </x:c>
      <x:c r="B10" s="1173" t="n">
        <x:v>180</x:v>
      </x:c>
      <x:c r="D10" s="1162" t="str">
        <x:v>Current pH</x:v>
      </x:c>
      <x:c r="E10" s="1201" t="n">
        <x:f>VLOOKUP(B5,'02_Daily_Master'!$A$2:$AP$82,17,FALSE)</x:f>
        <x:v>5.9</x:v>
      </x:c>
      <x:c r="F10" s="1200" t="str">
        <x:v>aus Tagesplan</x:v>
      </x:c>
    </x:row>
    <x:row r="11">
      <x:c r="A11" s="1162" t="str">
        <x:v>LED max W</x:v>
      </x:c>
      <x:c r="B11" s="1173" t="n">
        <x:v>140</x:v>
      </x:c>
      <x:c r="D11" s="1164" t="str">
        <x:v>Legal Plant Limit</x:v>
      </x:c>
      <x:c r="E11" s="1202" t="n">
        <x:v>3</x:v>
      </x:c>
      <x:c r="F11" s="1203" t="str">
        <x:v>pro erwachsene Person am Wohnsitz; Stand 2026</x:v>
      </x:c>
    </x:row>
    <x:row r="12">
      <x:c r="A12" s="1162" t="str">
        <x:v>Lichtstunden/Tag</x:v>
      </x:c>
      <x:c r="B12" s="1173" t="n">
        <x:v>18</x:v>
      </x:c>
    </x:row>
    <x:row r="13">
      <x:c r="A13" s="1162" t="str">
        <x:v>Topfvolumen L</x:v>
      </x:c>
      <x:c r="B13" s="1173" t="n">
        <x:v>9</x:v>
      </x:c>
      <x:c r="D13" s="790" t="str">
        <x:v>Sicherheits-/Qualitätsinput</x:v>
      </x:c>
      <x:c r="E13" s="790" t="str">
        <x:v>Soll</x:v>
      </x:c>
      <x:c r="F13" s="790" t="str">
        <x:v>Warum</x:v>
      </x:c>
      <x:c r="G13" s="790" t="str">
        <x:v>Status</x:v>
      </x:c>
      <x:c r="H13" s="790" t="str">
        <x:v>Aktion</x:v>
      </x:c>
    </x:row>
    <x:row r="14">
      <x:c r="A14" s="1162" t="str">
        <x:v>Medium</x:v>
      </x:c>
      <x:c r="B14" s="1173" t="str">
        <x:v>UGro Pot9 Professional Rhiza 9L</x:v>
      </x:c>
      <x:c r="D14" s="1160" t="str">
        <x:v>pH-Meter kalibriert</x:v>
      </x:c>
      <x:c r="E14" s="1206" t="str">
        <x:v>wöchentlich</x:v>
      </x:c>
      <x:c r="F14" s="1206" t="str">
        <x:v>pH-Fehler sehen wie Nährstoffmangel aus</x:v>
      </x:c>
      <x:c r="G14" s="1206" t="str">
        <x:v>offen</x:v>
      </x:c>
      <x:c r="H14" s="1207" t="str">
        <x:v>Kalibrierlösung pH 4/7</x:v>
      </x:c>
    </x:row>
    <x:row r="15">
      <x:c r="A15" s="1162" t="str">
        <x:v>Wasser-Typ</x:v>
      </x:c>
      <x:c r="B15" s="1173" t="str">
        <x:v>Unbekannt / messen</x:v>
      </x:c>
      <x:c r="D15" s="1162" t="str">
        <x:v>EC-Meter geprüft</x:v>
      </x:c>
      <x:c r="E15" s="1201" t="str">
        <x:v>wöchentlich</x:v>
      </x:c>
      <x:c r="F15" s="1201" t="str">
        <x:v>Salzmanagement in Coco</x:v>
      </x:c>
      <x:c r="G15" s="1201" t="str">
        <x:v>offen</x:v>
      </x:c>
      <x:c r="H15" s="1200" t="str">
        <x:v>Referenzlösung</x:v>
      </x:c>
    </x:row>
    <x:row r="16">
      <x:c r="A16" s="1162" t="str">
        <x:v>Ausgangs-EC mS/cm</x:v>
      </x:c>
      <x:c r="B16" s="1173" t="n">
        <x:v>0.3</x:v>
      </x:c>
      <x:c r="D16" s="1162" t="str">
        <x:v>Leckagesensor</x:v>
      </x:c>
      <x:c r="E16" s="1201" t="str">
        <x:v>empfohlen bei automatischer Bewässerung</x:v>
      </x:c>
      <x:c r="F16" s="1201" t="str">
        <x:v>Schadensbegrenzung; ersetzt keine Herstellerfreigabe eines Systems</x:v>
      </x:c>
      <x:c r="G16" s="1201" t="str">
        <x:v>offen</x:v>
      </x:c>
      <x:c r="H16" s="1200" t="str">
        <x:v>unter Wanne / kritischem Wasserpfad</x:v>
      </x:c>
    </x:row>
    <x:row r="17">
      <x:c r="A17" s="1162" t="str">
        <x:v>CalMag Plan ml/L</x:v>
      </x:c>
      <x:c r="B17" s="1173" t="n">
        <x:v>0</x:v>
      </x:c>
      <x:c r="D17" s="1162" t="str">
        <x:v>Auffangwanne</x:v>
      </x:c>
      <x:c r="E17" s="1201" t="str">
        <x:v>bei automatischer Bewässerung dimensionieren</x:v>
      </x:c>
      <x:c r="F17" s="1201" t="str">
        <x:v>Schadensbegrenzung bei Leckage</x:v>
      </x:c>
      <x:c r="G17" s="1201" t="str">
        <x:v>offen</x:v>
      </x:c>
      <x:c r="H17" s="1200" t="str">
        <x:v>Dimensionieren</x:v>
      </x:c>
    </x:row>
    <x:row r="18">
      <x:c r="A18" s="1164" t="str">
        <x:v>Operativer Planmodus</x:v>
      </x:c>
      <x:c r="B18" s="1174" t="str">
        <x:v>UKD HESI + Owned AN 2026-08-10</x:v>
      </x:c>
      <x:c r="D18" s="1164" t="str">
        <x:v>AKF / Unterdruck</x:v>
      </x:c>
      <x:c r="E18" s="1202" t="str">
        <x:v>kontinuierlich</x:v>
      </x:c>
      <x:c r="F18" s="1202" t="str">
        <x:v>Geruchs- und Sicherheitsmanagement</x:v>
      </x:c>
      <x:c r="G18" s="1202" t="str">
        <x:v>offen</x:v>
      </x:c>
      <x:c r="H18" s="1203" t="str">
        <x:v>Funktionsprüfung</x:v>
      </x:c>
    </x:row>
    <x:row r="20">
      <x:c r="A20" s="1209" t="str">
        <x:v>pH-/Silizium-Konfiguration</x:v>
      </x:c>
      <x:c r="B20" s="1209" t="str">
        <x:v>Wert</x:v>
      </x:c>
    </x:row>
    <x:row r="21">
      <x:c r="A21" s="32" t="str">
        <x:v>Athena Balance verwenden?</x:v>
      </x:c>
      <x:c r="B21" s="1181" t="str">
        <x:v>Nur nach Messung / Default AUS</x:v>
      </x:c>
    </x:row>
    <x:row r="22">
      <x:c r="A22" s="34" t="str">
        <x:v>Athena Balance Titration ml/L</x:v>
      </x:c>
      <x:c r="B22" s="1182" t="n">
        <x:v>0</x:v>
      </x:c>
    </x:row>
    <x:row r="23">
      <x:c r="A23" s="34" t="str">
        <x:v>pH Ziel Endmix</x:v>
      </x:c>
      <x:c r="B23" s="1182" t="n">
        <x:v>5.9</x:v>
      </x:c>
    </x:row>
    <x:row r="24">
      <x:c r="A24" s="34" t="str">
        <x:v>pH Down Produkt</x:v>
      </x:c>
      <x:c r="B24" s="1182" t="str">
        <x:v>phosphorsäurebasiert / Konzentration notieren</x:v>
      </x:c>
    </x:row>
    <x:row r="25">
      <x:c r="A25" s="34" t="str">
        <x:v>pH Down tatsächliche Dosis ml/L</x:v>
      </x:c>
      <x:c r="B25" s="1182" t="n">
        <x:v>0</x:v>
      </x:c>
    </x:row>
    <x:row r="26">
      <x:c r="A26" s="34" t="str">
        <x:v>Silizium-Alternative</x:v>
      </x:c>
      <x:c r="B26" s="1182" t="str">
        <x:f>B51</x:f>
        <x:v>Athena Balance conditional</x:v>
      </x:c>
    </x:row>
    <x:row r="27">
      <x:c r="A27" s="34" t="str">
        <x:v>AN Grand-Master Status (Info)</x:v>
      </x:c>
      <x:c r="B27" s="1182" t="str">
        <x:v>Inventory preset: HESI core + Voodoo/Tarantula; GM reference only</x:v>
      </x:c>
    </x:row>
    <x:row r="28">
      <x:c r="A28" s="34" t="str">
        <x:v>GM Pilot-Faktor vs. Label (Info)</x:v>
      </x:c>
      <x:c r="B28" s="1183" t="n">
        <x:v>0.5</x:v>
      </x:c>
    </x:row>
    <x:row r="29">
      <x:c r="A29" s="36" t="str">
        <x:v>Hinweis</x:v>
      </x:c>
      <x:c r="B29" s="37" t="str">
        <x:v>v7: HESI bleibt kanonische Basis. AN-Produkte werden nur als explizite Ergänzung, Alternative oder Diagnose-/A/B-Modul zugeschaltet. Hersteller-Kompatibilität mit Fremdbasen ist kein Wirksamkeitsnachweis. Direkte Funktionsduplikate werden nicht gestapelt.</x:v>
      </x:c>
    </x:row>
    <x:row r="31">
      <x:c r="A31" s="1380" t="str">
        <x:v>AUDIT-KORREKTUREN · PHÄNOLOGIE, WASSERCHEMIE, VPD &amp; ENERGIE</x:v>
      </x:c>
      <x:c r="B31" s="1380"/>
      <x:c r="C31" s="1380"/>
      <x:c r="D31" s="1701" t="str">
        <x:v>CONTENT SAFETY GATES · fail-closed where inputs are unknown</x:v>
      </x:c>
      <x:c r="E31" s="1702"/>
      <x:c r="F31" s="1702"/>
      <x:c r="G31" s="1702"/>
      <x:c r="H31" s="1703"/>
    </x:row>
    <x:row r="32">
      <x:c r="A32" s="1154" t="str">
        <x:v>Nährstoffstart frühester Referenztag</x:v>
      </x:c>
      <x:c r="B32" s="1385" t="n">
        <x:v>4</x:v>
      </x:c>
      <x:c r="D32" s="1704" t="str">
        <x:v>Gate</x:v>
      </x:c>
      <x:c r="E32" s="1705" t="str">
        <x:v>Status</x:v>
      </x:c>
      <x:c r="F32" s="1705" t="str">
        <x:v>Kalender-Untergrenze, keine Freigabe. Bei Eazy Plug/Block erst Propagation-/Pflanzengate prüfen.</x:v>
      </x:c>
      <x:c r="G32" s="1705" t="str">
        <x:v>Action</x:v>
      </x:c>
      <x:c r="H32" s="1706" t="str">
        <x:v>Evidence</x:v>
      </x:c>
    </x:row>
    <x:row r="33">
      <x:c r="A33" s="1156" t="str">
        <x:v>Blüte-Trigger Tag (PROJEKTION; operational nur nach Beobachtung)</x:v>
      </x:c>
      <x:c r="B33" s="1386" t="n">
        <x:f>IF(ISNUMBER(B83),B83,28)</x:f>
        <x:v>28</x:v>
      </x:c>
      <x:c r="D33" s="1707" t="str">
        <x:v>Trigger order</x:v>
      </x:c>
      <x:c r="E33" s="1708" t="str">
        <x:f>IF(AND(ISNUMBER($B$32),ISNUMBER($B$33),$B$32&gt;=0,$B$33&gt;$B$32,$B$33&lt;=$B$7),"OK","BLOCK")</x:f>
        <x:v>OK</x:v>
      </x:c>
      <x:c r="F33" s="1708" t="str">
        <x:v>Auto: Day 28 ist Planprojektion, kein biologischer Trigger. Operational BT1 muss aus beobachtetem FlowerInitiation-Event kommen.</x:v>
      </x:c>
      <x:c r="G33" s="1708" t="str">
        <x:v>REQUIRES CONFIRMATION</x:v>
      </x:c>
      <x:c r="H33" s="1709" t="str">
        <x:v>Mephisto breeder + autoflower literature + UKD</x:v>
      </x:c>
    </x:row>
    <x:row r="34">
      <x:c r="A34" s="1156" t="str">
        <x:v>Blatt-ΔT °C (Schätzung)</x:v>
      </x:c>
      <x:c r="B34" s="1386" t="n">
        <x:v>-1</x:v>
      </x:c>
      <x:c r="D34" s="1707" t="str">
        <x:v>Water chemistry</x:v>
      </x:c>
      <x:c r="E34" s="1708" t="str">
        <x:f>IF(AND(ISNUMBER($B$35),ISNUMBER($B$36),ISNUMBER($B$37),ISNUMBER($B$38)),"MEASURED","UNKNOWN")</x:f>
        <x:v>UNKNOWN</x:v>
      </x:c>
      <x:c r="F34" s="1708" t="str">
        <x:v>Athena-/CalMag-Entscheidungen sind ohne gemessenen Source-pH, Ca, Mg und HCO3/Alkalinität unterbestimmt.</x:v>
      </x:c>
      <x:c r="G34" s="1708" t="str">
        <x:v>Wasserwerte messen oder Labor-/Versorgerdaten eintragen; bis dahin Balance-Dosis 0.</x:v>
      </x:c>
      <x:c r="H34" s="1709" t="str">
        <x:v>Chemistry + manufacturer</x:v>
      </x:c>
    </x:row>
    <x:row r="35">
      <x:c r="A35" s="1156" t="str">
        <x:v>Ausgangs-pH Wasser</x:v>
      </x:c>
      <x:c r="B35" s="1386" t="str">
        <x:v>unbekannt</x:v>
      </x:c>
      <x:c r="D35" s="1707" t="str">
        <x:v>Athena Balance</x:v>
      </x:c>
      <x:c r="E35" s="1708" t="str">
        <x:f>IF($B$22=0,"OFF/SAFE",IF($E$34="MEASURED","TEST ONLY","BLOCK"))</x:f>
        <x:v>OFF/SAFE</x:v>
      </x:c>
      <x:c r="F35" s="1708" t="str">
        <x:v>Kein universeller offizieller ml/L-Kalenderwert; Einsatz nur als gemessene pH-Anhebung/Testbatch.</x:v>
      </x:c>
      <x:c r="G35" s="1708" t="str">
        <x:v>Bei BLOCK nicht dosieren; erst Baseline-Endmix ohne Balance messen.</x:v>
      </x:c>
      <x:c r="H35" s="1709" t="str">
        <x:v>Athena manufacturer</x:v>
      </x:c>
    </x:row>
    <x:row r="36">
      <x:c r="A36" s="1156" t="str">
        <x:v>Ca Wasser mg/L</x:v>
      </x:c>
      <x:c r="B36" s="1386" t="str">
        <x:v>unbekannt</x:v>
      </x:c>
      <x:c r="D36" s="1707" t="str">
        <x:v>Configured pH setpoint</x:v>
      </x:c>
      <x:c r="E36" s="1708" t="str">
        <x:f>IF(AND(ISNUMBER($B$23),$B$23&gt;=5.8,$B$23&lt;=6.2),"IN BAND","REVIEW")</x:f>
        <x:v>IN BAND</x:v>
      </x:c>
      <x:c r="F36" s="1708" t="str">
        <x:v>5.9 ist UKD-Arbeitssetpoint innerhalb HESI-Coco-Herstellerband 5.8–6.2, kein universelles Optimum.</x:v>
      </x:c>
      <x:c r="G36" s="1708" t="str">
        <x:v>Nicht auf 5.90 'jagen'; Messunsicherheit und Drift berücksichtigen.</x:v>
      </x:c>
      <x:c r="H36" s="1709" t="str">
        <x:v>HESI manufacturer</x:v>
      </x:c>
    </x:row>
    <x:row r="37">
      <x:c r="A37" s="1156" t="str">
        <x:v>Mg Wasser mg/L</x:v>
      </x:c>
      <x:c r="B37" s="1386" t="str">
        <x:v>unbekannt</x:v>
      </x:c>
      <x:c r="D37" s="1707" t="str">
        <x:v>Irrigation volume</x:v>
      </x:c>
      <x:c r="E37" s="1708" t="str">
        <x:v>ADAPTIVE</x:v>
      </x:c>
      <x:c r="F37" s="1708" t="str">
        <x:v>Liter/Tag-Bänder sind Start-/Beobachtungswerte; Pflanzen-, Klima- und Wurzelzustand bestimmen realen Bedarf.</x:v>
      </x:c>
      <x:c r="G37" s="1708" t="str">
        <x:v>Volumenband nie erzwingen; Topfmasse/Feuchte, Pflanzenreaktion und Diagnose-Drain priorisieren.</x:v>
      </x:c>
      <x:c r="H37" s="1709" t="str">
        <x:v>UKD safety</x:v>
      </x:c>
    </x:row>
    <x:row r="38">
      <x:c r="A38" s="1156" t="str">
        <x:v>HCO3 / Alkalinität</x:v>
      </x:c>
      <x:c r="B38" s="1386" t="str">
        <x:v>unbekannt</x:v>
      </x:c>
      <x:c r="D38" s="1710" t="str">
        <x:v>Deep Research import</x:v>
      </x:c>
      <x:c r="E38" s="1711" t="str">
        <x:v>FILTERED</x:v>
      </x:c>
      <x:c r="F38" s="1711" t="str">
        <x:v>Externe Research-Synthesen sind Sekundärinput und können Scope-/Rechtsfehler enthalten.</x:v>
      </x:c>
      <x:c r="G38" s="1711" t="str">
        <x:v>Nur nach Primärquellen-Verifikation in operative Regeln übernehmen.</x:v>
      </x:c>
      <x:c r="H38" s="1712" t="str">
        <x:v>Audit method</x:v>
      </x:c>
    </x:row>
    <x:row r="39">
      <x:c r="A39" s="1156" t="str">
        <x:v>Strompreis €/kWh (optional)</x:v>
      </x:c>
      <x:c r="B39" s="1386" t="n">
        <x:v>0</x:v>
      </x:c>
    </x:row>
    <x:row r="40">
      <x:c r="A40" s="1156" t="str">
        <x:v>Reference-Bewässerung</x:v>
      </x:c>
      <x:c r="B40" s="1386" t="str">
        <x:v>Manuell / indoor-freigegebene Automation</x:v>
      </x:c>
    </x:row>
    <x:row r="41">
      <x:c r="A41" s="1156" t="str">
        <x:v>CO₂ Umgebung ppm (optional)</x:v>
      </x:c>
      <x:c r="B41" s="1387" t="str">
        <x:v>nicht gemessen</x:v>
      </x:c>
    </x:row>
    <x:row r="42">
      <x:c r="A42" s="1158" t="str">
        <x:v>Methodik</x:v>
      </x:c>
      <x:c r="B42" s="1195" t="str">
        <x:v>Nährstoff-/Blüte-Trigger sind Eingaben. Klima/Licht sind konservative Plantrajektorie; Pflanzenreaktion überschreibt Kalender.</x:v>
      </x:c>
    </x:row>
    <x:row r="43">
      <x:c r="A43" s="1393" t="str">
        <x:v>SYSTEMSCHALTER-AUDIT v7: Der operative Motor ist HESI-basiert. AN wird nur über die expliziten Module unten aktiviert. Voodoo ist das einzige AN-Core-Modul im Default; PK/Carbo/Enzym/Si sind gegenseitig ausschließende Alternativpfade.</x:v>
      </x:c>
      <x:c r="B43" s="1394"/>
      <x:c r="C43" s="1394"/>
      <x:c r="D43" s="1394"/>
      <x:c r="E43" s="1394"/>
      <x:c r="F43" s="1394"/>
      <x:c r="G43" s="1394"/>
      <x:c r="H43" s="1395"/>
    </x:row>
    <x:row r="44">
      <x:c r="A44" s="1754" t="str">
        <x:v>HYBRID-PRESET / MODULSCHALTER</x:v>
      </x:c>
      <x:c r="B44" s="1755" t="str">
        <x:v>WERT</x:v>
      </x:c>
      <x:c r="C44" s="1674"/>
      <x:c r="D44" s="1755" t="str">
        <x:v>HYBRID SAFETY / COVERAGE GATES</x:v>
      </x:c>
      <x:c r="E44" s="1755" t="str">
        <x:v>STATUS</x:v>
      </x:c>
      <x:c r="F44" s="1755" t="str">
        <x:v>WARUM</x:v>
      </x:c>
      <x:c r="G44" s="1755" t="str">
        <x:v>AKTION</x:v>
      </x:c>
      <x:c r="H44" s="1763" t="str">
        <x:v>EVIDENZ</x:v>
      </x:c>
    </x:row>
    <x:row r="45" ht="28" customHeight="1">
      <x:c r="A45" s="1758" t="str">
        <x:v>Hybrid-Profil</x:v>
      </x:c>
      <x:c r="B45" s="1599" t="str">
        <x:v>UKD Owned-Stock Hybrid</x:v>
      </x:c>
      <x:c r="C45" s="1599"/>
      <x:c r="D45" s="1765" t="str">
        <x:v>Hybrid profile</x:v>
      </x:c>
      <x:c r="E45" s="1599" t="str">
        <x:v>OK</x:v>
      </x:c>
      <x:c r="F45" s="1599" t="str">
        <x:v>Core = HESI + explizite AN-Module; kein unsichtbarer Full-GM-Stack.</x:v>
      </x:c>
      <x:c r="G45" s="1599" t="str">
        <x:v>Module unten prüfen.</x:v>
      </x:c>
      <x:c r="H45" s="1600" t="str">
        <x:v>UKD architecture</x:v>
      </x:c>
    </x:row>
    <x:row r="46" ht="28" customHeight="1">
      <x:c r="A46" s="1760" t="str">
        <x:v>AN Mikrobiom-Modul</x:v>
      </x:c>
      <x:c r="B46" s="60" t="str">
        <x:v>Voodoo + Tarantula</x:v>
      </x:c>
      <x:c r="C46" s="60"/>
      <x:c r="D46" s="1760" t="str">
        <x:v>Microbiome redundancy</x:v>
      </x:c>
      <x:c r="E46" s="60" t="str">
        <x:f>IF(B46="Voodoo + Piranha + Tarantula","REVIEW",IF(B46="Voodoo + Tarantula","OK / SELECTED","OK"))</x:f>
        <x:v>OK / SELECTED</x:v>
      </x:c>
      <x:c r="F46" s="60" t="str">
        <x:v>Piranha/Tarantula erweitern den Mikrobenpfad und erhöhen Redundanz/Variablen.</x:v>
      </x:c>
      <x:c r="G46" s="60" t="str">
        <x:v>Bei Trio nur als bewusster A/B-Pfad.</x:v>
      </x:c>
      <x:c r="H46" s="60" t="str">
        <x:v>AN manufacturer + UKD</x:v>
      </x:c>
    </x:row>
    <x:row r="47" ht="28" customHeight="1">
      <x:c r="A47" s="1760" t="str">
        <x:v>AN B-52 Modul</x:v>
      </x:c>
      <x:c r="B47" s="60" t="str">
        <x:v>OFF</x:v>
      </x:c>
      <x:c r="C47" s="60"/>
      <x:c r="D47" s="1760" t="str">
        <x:v>B-52 overlap</x:v>
      </x:c>
      <x:c r="E47" s="60" t="str">
        <x:f>IF(B47="ON / A-B","REVIEW","OK")</x:f>
        <x:v>OK</x:v>
      </x:c>
      <x:c r="F47" s="60" t="str">
        <x:v>B-52 (B-Vitamine/Kelp/Huminsäure) überschneidet sich funktionell mit HESI Wurzel Complex/SuperVit.</x:v>
      </x:c>
      <x:c r="G47" s="60" t="str">
        <x:v>Nur isolierter A/B-Test.</x:v>
      </x:c>
      <x:c r="H47" s="60" t="str">
        <x:v>AN/HESI manufacturer</x:v>
      </x:c>
    </x:row>
    <x:row r="48" ht="28" customHeight="1">
      <x:c r="A48" s="1760" t="str">
        <x:v>Carbo-/Bloom-Biostim</x:v>
      </x:c>
      <x:c r="B48" s="60" t="str">
        <x:v>HESI Boost (default)</x:v>
      </x:c>
      <x:c r="C48" s="60"/>
      <x:c r="D48" s="1760" t="str">
        <x:v>Carbo overlap</x:v>
      </x:c>
      <x:c r="E48" s="60" t="str">
        <x:f>IF(B48="AN Bud Candy (replaces HESI Boost)","ALT PATH","OK")</x:f>
        <x:v>OK</x:v>
      </x:c>
      <x:c r="F48" s="60" t="str">
        <x:v>Bud Candy und HESI Boost liefern beide Kohlenhydrat-/Biostim-Funktion.</x:v>
      </x:c>
      <x:c r="G48" s="60" t="str">
        <x:v>Einen Pfad wählen.</x:v>
      </x:c>
      <x:c r="H48" s="60" t="str">
        <x:v>AN/HESI manufacturer</x:v>
      </x:c>
    </x:row>
    <x:row r="49" ht="28" customHeight="1">
      <x:c r="A49" s="1760" t="str">
        <x:v>AN Bud Factor X</x:v>
      </x:c>
      <x:c r="B49" s="60" t="str">
        <x:v>OFF</x:v>
      </x:c>
      <x:c r="C49" s="60"/>
      <x:c r="D49" s="1760" t="str">
        <x:v>Bud Factor X</x:v>
      </x:c>
      <x:c r="E49" s="60" t="str">
        <x:f>IF(B49="ON / EXPERIMENTAL","EXPERIMENTAL","OFF")</x:f>
        <x:v>OFF</x:v>
      </x:c>
      <x:c r="F49" s="60" t="str">
        <x:v>Hersteller-Kompatibilität ist belegt; unabhängige Hybrid-Wirksamkeit nicht.</x:v>
      </x:c>
      <x:c r="G49" s="60" t="str">
        <x:v>Nur EXPERIMENTAL/A-B.</x:v>
      </x:c>
      <x:c r="H49" s="60" t="str">
        <x:v>AN manufacturer</x:v>
      </x:c>
    </x:row>
    <x:row r="50" ht="28" customHeight="1">
      <x:c r="A50" s="1760" t="str">
        <x:v>Enzym-Modul</x:v>
      </x:c>
      <x:c r="B50" s="60" t="str">
        <x:v>HESI PowerZyme</x:v>
      </x:c>
      <x:c r="C50" s="60"/>
      <x:c r="D50" s="1760" t="str">
        <x:v>Enzyme overlap</x:v>
      </x:c>
      <x:c r="E50" s="60" t="str">
        <x:f>IF(B50="AN Sensizym","ALT PATH","OK")</x:f>
        <x:v>OK</x:v>
      </x:c>
      <x:c r="F50" s="60" t="str">
        <x:v>PowerZyme und Sensizym sind Enzym-/Root-zone-Conditioner.</x:v>
      </x:c>
      <x:c r="G50" s="60" t="str">
        <x:v>Nicht stapeln; Alternative wählen.</x:v>
      </x:c>
      <x:c r="H50" s="60" t="str">
        <x:v>AN/HESI manufacturer</x:v>
      </x:c>
    </x:row>
    <x:row r="51" ht="28" customHeight="1">
      <x:c r="A51" s="1760" t="str">
        <x:v>Silizium-Modul</x:v>
      </x:c>
      <x:c r="B51" s="60" t="str">
        <x:v>Athena Balance conditional</x:v>
      </x:c>
      <x:c r="C51" s="60"/>
      <x:c r="D51" s="1760" t="str">
        <x:v>Silica overlap</x:v>
      </x:c>
      <x:c r="E51" s="60" t="str">
        <x:f>IF(AND(B51="AN Rhino Skin",OR(B22&gt;0,B21&lt;&gt;"Nur nach Messung / Default AUS")),"BLOCK",IF(OR(B51="AN Rhino Skin",B51="HESI Hesilicio",B51="OFF"),"ALT PATH","OK"))</x:f>
        <x:v>OK</x:v>
      </x:c>
      <x:c r="F51" s="60" t="str">
        <x:v>Athena/Hesilicio/Rhino Skin sind Si-Pfade.</x:v>
      </x:c>
      <x:c r="G51" s="60" t="str">
        <x:v>Maximal einen Si-Pfad aktiv.</x:v>
      </x:c>
      <x:c r="H51" s="60" t="str">
        <x:v>Manufacturer + UKD</x:v>
      </x:c>
    </x:row>
    <x:row r="52" ht="28" customHeight="1">
      <x:c r="A52" s="1760" t="str">
        <x:v>Bloom-PK-Pfad</x:v>
      </x:c>
      <x:c r="B52" s="60" t="str">
        <x:v>HESI PK13/14</x:v>
      </x:c>
      <x:c r="C52" s="60"/>
      <x:c r="D52" s="1760" t="str">
        <x:v>PK overlap</x:v>
      </x:c>
      <x:c r="E52" s="60" t="str">
        <x:f>IF(B52="AN Bud Ignitor &gt; Big Bud &gt; Overdrive","ALT PATH","OK")</x:f>
        <x:v>OK</x:v>
      </x:c>
      <x:c r="F52" s="60" t="str">
        <x:v>HESI PK und Bud Ignitor/Big Bud/Overdrive sind PK-Pfade.</x:v>
      </x:c>
      <x:c r="G52" s="60" t="str">
        <x:v>Nicht additiv stapeln.</x:v>
      </x:c>
      <x:c r="H52" s="60" t="str">
        <x:v>AN/HESI manufacturer</x:v>
      </x:c>
    </x:row>
    <x:row r="53" ht="28" customHeight="1">
      <x:c r="A53" s="1760" t="str">
        <x:v>AN Tasty Terpenes</x:v>
      </x:c>
      <x:c r="B53" s="60" t="str">
        <x:v>OWNED / A-B OFF</x:v>
      </x:c>
      <x:c r="C53" s="60"/>
      <x:c r="D53" s="1760" t="str">
        <x:v>Tasty Terpenes</x:v>
      </x:c>
      <x:c r="E53" s="60" t="str">
        <x:f>IF(B53="ON / EXPERIMENTAL","EXPERIMENTAL","OWNED / OFF")</x:f>
        <x:v>OWNED / OFF</x:v>
      </x:c>
      <x:c r="F53" s="60" t="str">
        <x:v>Kelp/K/Alfalfa überlappt teilweise mit anderen Biostims/PK.</x:v>
      </x:c>
      <x:c r="G53" s="60" t="str">
        <x:v>Nur EXPERIMENTAL/A-B.</x:v>
      </x:c>
      <x:c r="H53" s="60" t="str">
        <x:v>AN manufacturer</x:v>
      </x:c>
    </x:row>
    <x:row r="54" ht="28" customHeight="1">
      <x:c r="A54" s="1760" t="str">
        <x:v>CalMag-Quelle</x:v>
      </x:c>
      <x:c r="B54" s="60" t="str">
        <x:v>AN Sensi CalMag Xtra conditional</x:v>
      </x:c>
      <x:c r="C54" s="60"/>
      <x:c r="D54" s="1760" t="str">
        <x:v>CalMag</x:v>
      </x:c>
      <x:c r="E54" s="60" t="str">
        <x:f>IF(B54="OFF","OFF",IF(B17=0,"SAFE / DOSE 0",IF(OR(NOT(ISNUMBER(B36)),NOT(ISNUMBER(B37)),NOT(ISNUMBER(B38))),"BLOCK","CONDITIONAL")))</x:f>
        <x:v>SAFE / DOSE 0</x:v>
      </x:c>
      <x:c r="F54" s="60" t="str">
        <x:v>CalMag ohne Wasserchemie bleibt unterbestimmt.</x:v>
      </x:c>
      <x:c r="G54" s="60" t="str">
        <x:v>Source-pH/Ca/Mg/HCO3 messen.</x:v>
      </x:c>
      <x:c r="H54" s="60" t="str">
        <x:v>Water chemistry</x:v>
      </x:c>
    </x:row>
    <x:row r="55" ht="28" customHeight="1">
      <x:c r="A55" s="1760" t="str">
        <x:v>AN Revive</x:v>
      </x:c>
      <x:c r="B55" s="60" t="str">
        <x:v>OFF / diagnostic only</x:v>
      </x:c>
      <x:c r="C55" s="60"/>
      <x:c r="D55" s="1760" t="str">
        <x:v>Revive</x:v>
      </x:c>
      <x:c r="E55" s="60" t="str">
        <x:f>IF(B55="ARMED / diagnostic only","ARMED","OFF")</x:f>
        <x:v>OFF</x:v>
      </x:c>
      <x:c r="F55" s="60" t="str">
        <x:v>Revive ist Plant-Aid/Rescue, kein Kalender-Booster.</x:v>
      </x:c>
      <x:c r="G55" s="60" t="str">
        <x:v>Nur Diagnoseereignis; Aktion protokollieren.</x:v>
      </x:c>
      <x:c r="H55" s="60" t="str">
        <x:v>AN manufacturer</x:v>
      </x:c>
    </x:row>
    <x:row r="56" ht="28" customHeight="1">
      <x:c r="A56" s="1760" t="str">
        <x:v>Full Grand Master</x:v>
      </x:c>
      <x:c r="B56" s="60" t="str">
        <x:v>REFERENCE ONLY / BLOCK</x:v>
      </x:c>
      <x:c r="C56" s="60"/>
      <x:c r="D56" s="1760" t="str">
        <x:v>Full Grand Master</x:v>
      </x:c>
      <x:c r="E56" s="60" t="str">
        <x:v>SAFE / REFERENCE ONLY</x:v>
      </x:c>
      <x:c r="F56" s="60" t="str">
        <x:v>Full GM bleibt Vergleichsmodul, nicht HESI-Add-on.</x:v>
      </x:c>
      <x:c r="G56" s="60" t="str">
        <x:v>Keine automatische Aktivierung.</x:v>
      </x:c>
      <x:c r="H56" s="60" t="str">
        <x:v>UKD safety</x:v>
      </x:c>
    </x:row>
    <x:row r="57" ht="28" customHeight="1">
      <x:c r="A57" s="1760" t="str">
        <x:v>Preset-Regel</x:v>
      </x:c>
      <x:c r="B57" s="60" t="str">
        <x:v>Kein stilles Produkt: jedes Preset-Produkt muss ACTIVE, ZERO_BY_STAGE, ALT, BLOCKED oder EXPERIMENTAL sein.</x:v>
      </x:c>
      <x:c r="C57" s="60"/>
      <x:c r="D57" s="1760" t="str">
        <x:v>PRESET COVERAGE</x:v>
      </x:c>
      <x:c r="E57" s="60" t="str">
        <x:f>IF(COUNTIF(E46:E55,"BLOCK")&gt;0,"BLOCK",IF(OR(COUNTIF(E46:E55,"REVIEW")&gt;0,COUNTIF(E46:E55,"EXPERIMENTAL")&gt;0),"REVIEW","OK"))</x:f>
        <x:v>OK</x:v>
      </x:c>
      <x:c r="F57" s="60" t="str">
        <x:v>Block/Review verhindert stille Konflikte.</x:v>
      </x:c>
      <x:c r="G57" s="60" t="str">
        <x:v>Vor Mix/Daily prüfen.</x:v>
      </x:c>
      <x:c r="H57" s="60" t="str">
        <x:v>UKD validation</x:v>
      </x:c>
    </x:row>
    <x:row r="58" ht="28" customHeight="1">
      <x:c r="A58" s="1760" t="str">
        <x:v>App-Import</x:v>
      </x:c>
      <x:c r="B58" s="60" t="str">
        <x:v>Siehe 27_HESI_AN_Hybrid für normalisierte Produkt-/Modulschlüssel.</x:v>
      </x:c>
      <x:c r="C58" s="60"/>
      <x:c r="D58" s="1760" t="str">
        <x:v>Coverage rule</x:v>
      </x:c>
      <x:c r="E58" s="60" t="str">
        <x:v>ACTIVE</x:v>
      </x:c>
      <x:c r="F58" s="60" t="str">
        <x:v>Jedes auswählbare Modul ist im Daily/Mix explizit sichtbar.</x:v>
      </x:c>
      <x:c r="G58" s="60" t="str">
        <x:v>Bei fehlender Coverage Release blockieren.</x:v>
      </x:c>
      <x:c r="H58" s="60" t="str">
        <x:v>UKD v7</x:v>
      </x:c>
    </x:row>
    <x:row r="59" ht="32" customHeight="1">
      <x:c r="A59" s="1801" t="str">
        <x:v>CURRENT INVENTORY OVERRIDE · 2026-08-10</x:v>
      </x:c>
      <x:c r="B59" s="1801"/>
      <x:c r="C59" s="1801"/>
      <x:c r="D59" s="1801" t="str">
        <x:v>Stock/Plan</x:v>
      </x:c>
      <x:c r="E59" s="1801" t="str">
        <x:v>Status</x:v>
      </x:c>
      <x:c r="F59" s="1801" t="str">
        <x:v>Reason</x:v>
      </x:c>
      <x:c r="G59" s="1801" t="str">
        <x:v>Action</x:v>
      </x:c>
      <x:c r="H59" s="1801" t="str">
        <x:v>Source</x:v>
      </x:c>
    </x:row>
    <x:row r="60" ht="32" customHeight="1">
      <x:c r="A60" s="60" t="str">
        <x:v>CarboLoad</x:v>
      </x:c>
      <x:c r="B60" s="60" t="str">
        <x:v>tiny remainder</x:v>
      </x:c>
      <x:c r="C60" s="60"/>
      <x:c r="D60" s="60" t="str">
        <x:v>Not default</x:v>
      </x:c>
      <x:c r="E60" s="60" t="str">
        <x:v>NO REPURCHASE NOW</x:v>
      </x:c>
      <x:c r="F60" s="60" t="str">
        <x:v>HESI Boost already supplies sugars/biostim; CarboLoad adds another carbohydrate path.</x:v>
      </x:c>
      <x:c r="G60" s="60" t="str">
        <x:v>Reserve for later A/B only; do not add merely to use leftovers.</x:v>
      </x:c>
      <x:c r="H60" s="60" t="str">
        <x:v>AN + HESI manufacturer</x:v>
      </x:c>
    </x:row>
    <x:row r="61" ht="32" customHeight="1">
      <x:c r="A61" s="60" t="str">
        <x:v>Tasty Terpenes</x:v>
      </x:c>
      <x:c r="B61" s="60" t="str">
        <x:v>available</x:v>
      </x:c>
      <x:c r="C61" s="60"/>
      <x:c r="D61" s="60" t="str">
        <x:v>Owned / A-B only</x:v>
      </x:c>
      <x:c r="E61" s="60" t="str">
        <x:v>OFF</x:v>
      </x:c>
      <x:c r="F61" s="60" t="str">
        <x:v>K/kelp/alfalfa adds another bloom-biostim variable on top of HESI Boost/PK.</x:v>
      </x:c>
      <x:c r="G61" s="60" t="str">
        <x:v>Keep available, not scheduled in reference run.</x:v>
      </x:c>
      <x:c r="H61" s="60" t="str">
        <x:v>AN manufacturer + UKD</x:v>
      </x:c>
    </x:row>
    <x:row r="62" ht="32" customHeight="1">
      <x:c r="A62" s="60" t="str">
        <x:v>Sensi Cal Mag Xtra</x:v>
      </x:c>
      <x:c r="B62" s="60" t="str">
        <x:v>available</x:v>
      </x:c>
      <x:c r="C62" s="60"/>
      <x:c r="D62" s="60" t="str">
        <x:v>Conditional source</x:v>
      </x:c>
      <x:c r="E62" s="60" t="str">
        <x:v>DOSE 0</x:v>
      </x:c>
      <x:c r="F62" s="60" t="str">
        <x:v>Water Ca/Mg/HCO3 still unknown; inventory does not create a need.</x:v>
      </x:c>
      <x:c r="G62" s="60" t="str">
        <x:v>Use only after water/deficiency gate; dose controlled by CalMag Plan ml/L.</x:v>
      </x:c>
      <x:c r="H62" s="60" t="str">
        <x:v>AN manufacturer + water gate</x:v>
      </x:c>
    </x:row>
    <x:row r="63" ht="32" customHeight="1">
      <x:c r="A63" s="60" t="str">
        <x:v>Voodoo + Tarantula</x:v>
      </x:c>
      <x:c r="B63" s="60" t="str">
        <x:v>available</x:v>
      </x:c>
      <x:c r="C63" s="60"/>
      <x:c r="D63" s="60" t="str">
        <x:v>Selected microbiome</x:v>
      </x:c>
      <x:c r="E63" s="60" t="str">
        <x:v>ACTIVE WINDOWS</x:v>
      </x:c>
      <x:c r="F63" s="60" t="str">
        <x:v>AN explicitly supports combining Tarantula with Voodoo; both are cross-brand compatible.</x:v>
      </x:c>
      <x:c r="G63" s="60" t="str">
        <x:v>Use only in defined fresh UKD windows; no Piranha required.</x:v>
      </x:c>
      <x:c r="H63" s="60" t="str">
        <x:v>AN manufacturer</x:v>
      </x:c>
    </x:row>
    <x:row r="64" ht="32" customHeight="1">
      <x:c r="A64" s="60" t="str">
        <x:v>Athena Balance</x:v>
      </x:c>
      <x:c r="B64" s="60" t="str">
        <x:v>available</x:v>
      </x:c>
      <x:c r="C64" s="60"/>
      <x:c r="D64" s="60" t="str">
        <x:v>Preferred Si/pH buffer</x:v>
      </x:c>
      <x:c r="E64" s="60" t="str">
        <x:v>CONDITIONAL</x:v>
      </x:c>
      <x:c r="F64" s="60" t="str">
        <x:v>Owned and selected, but Athena publishes no universal calendar rate.</x:v>
      </x:c>
      <x:c r="G64" s="60" t="str">
        <x:v>Baseline endmix/water chemistry first; titrate only when needed.</x:v>
      </x:c>
      <x:c r="H64" s="60" t="str">
        <x:v>Athena manufacturer</x:v>
      </x:c>
    </x:row>
    <x:row r="66" ht="32" customHeight="1">
      <x:c r="A66" s="1809" t="str">
        <x:v>PROPAGATION &amp; ROOT-ZONE PATH · v11.2 AUTO</x:v>
      </x:c>
      <x:c r="B66" s="1809"/>
      <x:c r="C66" s="1809"/>
      <x:c r="D66" s="1809" t="str">
        <x:v>GOAL / PROBLEM</x:v>
      </x:c>
      <x:c r="E66" s="1809" t="str">
        <x:v>STATUS</x:v>
      </x:c>
      <x:c r="F66" s="1809" t="str">
        <x:v>WHY</x:v>
      </x:c>
      <x:c r="G66" s="1809" t="str">
        <x:v>ACTION</x:v>
      </x:c>
      <x:c r="H66" s="1809" t="str">
        <x:v>SOURCE</x:v>
      </x:c>
    </x:row>
    <x:row r="67" ht="32" customHeight="1">
      <x:c r="A67" s="1812" t="str">
        <x:v>Propagation Start</x:v>
      </x:c>
      <x:c r="B67" s="60" t="str">
        <x:v>Eazy Plug Mini</x:v>
      </x:c>
      <x:c r="C67" s="60"/>
      <x:c r="D67" s="60" t="str">
        <x:v>GOAL</x:v>
      </x:c>
      <x:c r="E67" s="60" t="str">
        <x:v>KNOWN</x:v>
      </x:c>
      <x:c r="F67" s="60" t="str">
        <x:v>Vorgepufferter Startblock; separates propagation from final coco root zone.</x:v>
      </x:c>
      <x:c r="G67" s="60" t="str">
        <x:v>Produktvariante/Abmessung später exakt erfassen.</x:v>
      </x:c>
      <x:c r="H67" s="60" t="str">
        <x:v>Eazy Plug manufacturer</x:v>
      </x:c>
    </x:row>
    <x:row r="68" ht="32" customHeight="1">
      <x:c r="A68" s="1812" t="str">
        <x:v>Intermediate</x:v>
      </x:c>
      <x:c r="B68" s="60" t="str">
        <x:v>Eazy Block Standard</x:v>
      </x:c>
      <x:c r="C68" s="60"/>
      <x:c r="D68" s="60" t="str">
        <x:v>GOAL</x:v>
      </x:c>
      <x:c r="E68" s="60" t="str">
        <x:v>KNOWN</x:v>
      </x:c>
      <x:c r="F68" s="60" t="str">
        <x:v>Kurze Rooting-/Transplant-Brücke. Eazy empfiehlt Root-through/Transplant in ca. 8–10 Tagen; nicht als 4-Wochen-Stufe behandeln.</x:v>
      </x:c>
      <x:c r="G68" s="60" t="str">
        <x:v>ROOT-STATE GATED</x:v>
      </x:c>
      <x:c r="H68" s="60" t="str">
        <x:v>Eazy Plug manufacturer</x:v>
      </x:c>
    </x:row>
    <x:row r="69" ht="32" customHeight="1">
      <x:c r="A69" s="1812" t="str">
        <x:v>Final medium</x:v>
      </x:c>
      <x:c r="B69" s="60" t="str">
        <x:v>UGro Pot9 Professional Rhiza 9L</x:v>
      </x:c>
      <x:c r="C69" s="60"/>
      <x:c r="D69" s="60" t="str">
        <x:v>GOAL</x:v>
      </x:c>
      <x:c r="E69" s="60" t="str">
        <x:v>KNOWN</x:v>
      </x:c>
      <x:c r="F69" s="60" t="str">
        <x:v>True-buffered coco; Rhiza variant contains endomycorrhizae.</x:v>
      </x:c>
      <x:c r="G69" s="60" t="str">
        <x:v>Exact UGro format/volume in Setup Profile speichern.</x:v>
      </x:c>
      <x:c r="H69" s="60" t="str">
        <x:v>UGro COCO / Simply Organic</x:v>
      </x:c>
    </x:row>
    <x:row r="70" ht="32" customHeight="1">
      <x:c r="A70" s="1812" t="str">
        <x:v>Eazy Plug pH / EC reference</x:v>
      </x:c>
      <x:c r="B70" s="60" t="str">
        <x:v>pH 5.9 · EC 1.0 mS/cm (1:1.5)</x:v>
      </x:c>
      <x:c r="C70" s="60"/>
      <x:c r="D70" s="60" t="str">
        <x:v>PROBLEM</x:v>
      </x:c>
      <x:c r="E70" s="60" t="str">
        <x:v>REFERENCE</x:v>
      </x:c>
      <x:c r="F70" s="60" t="str">
        <x:v>Plug/Block hat bereits predetermined/buffered pH/EC; 'pH des Blocks korrigieren' ist falsches Mentalmodell.</x:v>
      </x:c>
      <x:c r="G70" s="60" t="str">
        <x:v>Irrigation mix beurteilen, Block nicht aggressiv reconditionieren.</x:v>
      </x:c>
      <x:c r="H70" s="60" t="str">
        <x:v>Eazy Plug tech specs / FAQ</x:v>
      </x:c>
    </x:row>
    <x:row r="71" ht="32" customHeight="1">
      <x:c r="A71" s="1812" t="str">
        <x:v>UGro Rhiza pH / EC reference</x:v>
      </x:c>
      <x:c r="B71" s="60" t="str">
        <x:v>pH 5.5–6.5 · EC &lt;0.6 mS/cm (1:1.5)</x:v>
      </x:c>
      <x:c r="C71" s="60"/>
      <x:c r="D71" s="60" t="str">
        <x:v>PROBLEM</x:v>
      </x:c>
      <x:c r="E71" s="60" t="str">
        <x:v>REFERENCE</x:v>
      </x:c>
      <x:c r="F71" s="60" t="str">
        <x:v>Substrat-Spezifikation ist keine fertige Nährlösung und kein universelles Ziel für den Endmix.</x:v>
      </x:c>
      <x:c r="G71" s="60" t="str">
        <x:v>Medium spec getrennt von irrigation target darstellen.</x:v>
      </x:c>
      <x:c r="H71" s="60" t="str">
        <x:v>UGro COCO</x:v>
      </x:c>
    </x:row>
    <x:row r="72" ht="32" customHeight="1">
      <x:c r="A72" s="1812" t="str">
        <x:v>Base-feed activation</x:v>
      </x:c>
      <x:c r="B72" s="60" t="str">
        <x:v>Biological/medium gate</x:v>
      </x:c>
      <x:c r="C72" s="60"/>
      <x:c r="D72" s="60" t="str">
        <x:v>PROBLEM</x:v>
      </x:c>
      <x:c r="E72" s="60" t="str">
        <x:v>REQUIRES CHECK</x:v>
      </x:c>
      <x:c r="F72" s="60" t="str">
        <x:v>Seed + pre-fertilised propagation media make a fixed day-only start unsafe.</x:v>
      </x:c>
      <x:c r="G72" s="60" t="str">
        <x:v>Cotyledon/true-leaf state, plant response and medium/feed context before TNT activation.</x:v>
      </x:c>
      <x:c r="H72" s="60" t="str">
        <x:v>HESI TNT + Eazy Plug</x:v>
      </x:c>
    </x:row>
    <x:row r="73" ht="32" customHeight="1">
      <x:c r="A73" s="1812" t="str">
        <x:v>pH handling propagation</x:v>
      </x:c>
      <x:c r="B73" s="60" t="str">
        <x:v>Do not chase block pH</x:v>
      </x:c>
      <x:c r="C73" s="60"/>
      <x:c r="D73" s="60" t="str">
        <x:v>GOAL</x:v>
      </x:c>
      <x:c r="E73" s="60" t="str">
        <x:v>ACTIVE RULE</x:v>
      </x:c>
      <x:c r="F73" s="60" t="str">
        <x:v>Eazy Plug/Block manufacturer says no pre-correction needed; pH is buffered.</x:v>
      </x:c>
      <x:c r="G73" s="60" t="str">
        <x:v>Only adjust irrigation/fertigation if the complete mix requires it.</x:v>
      </x:c>
      <x:c r="H73" s="60" t="str">
        <x:v>Eazy Plug FAQ</x:v>
      </x:c>
    </x:row>
    <x:row r="74" ht="32" customHeight="1">
      <x:c r="A74" s="1812" t="str">
        <x:v>Transplant trigger</x:v>
      </x:c>
      <x:c r="B74" s="60" t="str">
        <x:v>Root-fill + plant state</x:v>
      </x:c>
      <x:c r="C74" s="60"/>
      <x:c r="D74" s="60" t="str">
        <x:v>PROBLEM</x:v>
      </x:c>
      <x:c r="E74" s="60" t="str">
        <x:v>USER OBSERVATION</x:v>
      </x:c>
      <x:c r="F74" s="60" t="str">
        <x:v>Nicht nach Kalender. Root-visible/root-through + Vitalität + finaler Coco vorbereitet. Herstellerzeit nur als Referenzfenster.</x:v>
      </x:c>
      <x:c r="G74" s="60" t="str">
        <x:v>EVENT-BASED</x:v>
      </x:c>
      <x:c r="H74" s="60" t="str">
        <x:v>UKD process rule</x:v>
      </x:c>
    </x:row>
    <x:row r="75" ht="32" customHeight="1">
      <x:c r="A75" s="1812" t="str">
        <x:v>Setup readiness</x:v>
      </x:c>
      <x:c r="B75" s="60" t="str">
        <x:v>REVIEW</x:v>
      </x:c>
      <x:c r="C75" s="60"/>
      <x:c r="D75" s="60" t="str">
        <x:v>PROBLEM</x:v>
      </x:c>
      <x:c r="E75" s="60" t="str">
        <x:v>OPEN</x:v>
      </x:c>
      <x:c r="F75" s="60" t="str">
        <x:v>Exact Eazy product sizes, water chemistry, meter calibration and final UGro format still need structured setup facts.</x:v>
      </x:c>
      <x:c r="G75" s="60" t="str">
        <x:v>Complete Setup Profile before activating a run snapshot.</x:v>
      </x:c>
      <x:c r="H75" s="60" t="str">
        <x:v>UKD v9 UX</x:v>
      </x:c>
    </x:row>
    <x:row r="76" ht="32" customHeight="1">
      <x:c r="A76" s="1812" t="str">
        <x:v>App handoff</x:v>
      </x:c>
      <x:c r="B76" s="60" t="str">
        <x:v>SetupProfile → RunConfigurationSnapshot</x:v>
      </x:c>
      <x:c r="C76" s="60"/>
      <x:c r="D76" s="60" t="str">
        <x:v>GOAL</x:v>
      </x:c>
      <x:c r="E76" s="60" t="str">
        <x:v>PLANNED</x:v>
      </x:c>
      <x:c r="F76" s="60" t="str">
        <x:v>Propagation path must be immutable per run once activated.</x:v>
      </x:c>
      <x:c r="G76" s="60" t="str">
        <x:v>Implement in app P1 Setup wizard.</x:v>
      </x:c>
      <x:c r="H76" s="60" t="str">
        <x:v>UKD architecture</x:v>
      </x:c>
    </x:row>
    <x:row r="77">
      <x:c r="A77" s="2442" t="str">
        <x:v>AUTOFLOWER MIXED-CULTIVAR STATE INPUTS · v11.3</x:v>
      </x:c>
      <x:c r="B77" s="2442"/>
      <x:c r="C77" s="2442"/>
      <x:c r="D77" s="2442" t="str">
        <x:v>STATUS / INTERPRETATION</x:v>
      </x:c>
      <x:c r="E77" s="2442"/>
      <x:c r="F77" s="2442"/>
      <x:c r="G77" s="2442"/>
      <x:c r="H77" s="2442"/>
    </x:row>
    <x:row r="78">
      <x:c r="A78" s="60" t="str">
        <x:v>Run-Profil</x:v>
      </x:c>
      <x:c r="B78" s="60" t="str">
        <x:v>MIXED-3-AUTO / 3×9 L</x:v>
      </x:c>
      <x:c r="C78" s="60"/>
      <x:c r="D78" s="60" t="str">
        <x:v>SELECTED</x:v>
      </x:c>
      <x:c r="E78" s="60" t="str">
        <x:v>3 Pflanzen; Eazy Plug → Eazy Block → Final Coco</x:v>
      </x:c>
      <x:c r="F78" s="60" t="str">
        <x:v>3 unterschiedliche Autoflower-Genetiken. Keine gemeinsame phänologische Uhr annehmen.</x:v>
      </x:c>
      <x:c r="G78" s="60"/>
      <x:c r="H78" s="60"/>
    </x:row>
    <x:row r="79">
      <x:c r="A79" s="60" t="str">
        <x:v>Finaltopf L</x:v>
      </x:c>
      <x:c r="B79" s="60" t="n">
        <x:v>9</x:v>
      </x:c>
      <x:c r="C79" s="60"/>
      <x:c r="D79" s="60" t="str">
        <x:v>SETUP FACT</x:v>
      </x:c>
      <x:c r="E79" s="60" t="str">
        <x:v>Endtopf nach dem Block; kein weiteres Umtopfen im Referenzpfad.</x:v>
      </x:c>
      <x:c r="F79" s="60"/>
      <x:c r="G79" s="60"/>
      <x:c r="H79" s="60"/>
    </x:row>
    <x:row r="80">
      <x:c r="A80" s="60" t="str">
        <x:v>Eazy Plug → Block Datum/Tag</x:v>
      </x:c>
      <x:c r="B80" s="60" t="str">
        <x:v>UNKNOWN</x:v>
      </x:c>
      <x:c r="C80" s="60"/>
      <x:c r="D80" s="60" t="str">
        <x:v>USER EVENT</x:v>
      </x:c>
      <x:c r="E80" s="60" t="str">
        <x:v>Eintragen, wenn erste Wurzeln sichtbar und Sämling stabil.</x:v>
      </x:c>
      <x:c r="F80" s="60"/>
      <x:c r="G80" s="60"/>
      <x:c r="H80" s="60"/>
    </x:row>
    <x:row r="81">
      <x:c r="A81" s="60" t="str">
        <x:v>Block → Final Coco Datum/Tag</x:v>
      </x:c>
      <x:c r="B81" s="60" t="str">
        <x:v>UNKNOWN</x:v>
      </x:c>
      <x:c r="C81" s="60"/>
      <x:c r="D81" s="60" t="str">
        <x:v>USER EVENT</x:v>
      </x:c>
      <x:c r="E81" s="60" t="str">
        <x:v>Eintragen bei root-ready Block; Herstellerreferenz ~8–10 Tage im Block.</x:v>
      </x:c>
      <x:c r="F81" s="60"/>
      <x:c r="G81" s="60"/>
      <x:c r="H81" s="60"/>
    </x:row>
    <x:row r="82">
      <x:c r="A82" s="60" t="str">
        <x:v>Run-level Preflower (nur Übersicht)</x:v>
      </x:c>
      <x:c r="B82" s="60" t="str">
        <x:v>DERIVED FROM PLANTS</x:v>
      </x:c>
      <x:c r="C82" s="60"/>
      <x:c r="D82" s="60" t="str">
        <x:v>USER OBSERVATION</x:v>
      </x:c>
      <x:c r="E82" s="60" t="str">
        <x:v>Erste klare Pistillen / sichtbarer Übergang; noch nicht zwingend BT1.</x:v>
      </x:c>
      <x:c r="F82" s="60" t="str">
        <x:v>Nicht mehr als operativer Trigger verwenden; pro Pflanze erfassen.</x:v>
      </x:c>
      <x:c r="G82" s="60"/>
      <x:c r="H82" s="60"/>
    </x:row>
    <x:row r="83">
      <x:c r="A83" s="60" t="str">
        <x:v>Run-level BT1</x:v>
      </x:c>
      <x:c r="B83" s="60" t="str">
        <x:v>NOT USED FOR MIXED RUN</x:v>
      </x:c>
      <x:c r="C83" s="60"/>
      <x:c r="D83" s="60" t="str">
        <x:v>P0 EVENT</x:v>
      </x:c>
      <x:c r="E83" s="60" t="str">
        <x:v>UNKNOWN</x:v>
      </x:c>
      <x:c r="F83" s="60" t="str">
        <x:v>P0-Korrektur: Misch-Run braucht plant-spezifische FlowerInitiation. Globaler BT1 ist nur Legacy/Projection.</x:v>
      </x:c>
      <x:c r="G83" s="60" t="str">
        <x:v>BLOCK GLOBAL BLOOM RESOLUTION</x:v>
      </x:c>
      <x:c r="H83" s="60" t="str">
        <x:v>Mixed-cultivar architecture</x:v>
      </x:c>
    </x:row>
    <x:row r="84">
      <x:c r="A84" s="60" t="str">
        <x:v>Harvest readiness</x:v>
      </x:c>
      <x:c r="B84" s="60" t="str">
        <x:v>NOT READY</x:v>
      </x:c>
      <x:c r="C84" s="60"/>
      <x:c r="D84" s="60" t="str">
        <x:v>USER OBSERVATION</x:v>
      </x:c>
      <x:c r="E84" s="60" t="str">
        <x:v>Breeder 70–80d ist Watch-Window, kein Erntetrigger.</x:v>
      </x:c>
      <x:c r="F84" s="60"/>
      <x:c r="G84" s="60"/>
      <x:c r="H84" s="60"/>
    </x:row>
    <x:row r="85">
      <x:c r="A85" s="60" t="str">
        <x:v>Training mode</x:v>
      </x:c>
      <x:c r="B85" s="60" t="str">
        <x:v>Gentle LST / leaf-tuck</x:v>
      </x:c>
      <x:c r="C85" s="60"/>
      <x:c r="D85" s="60" t="str">
        <x:v>SELECTED</x:v>
      </x:c>
      <x:c r="E85" s="60" t="str">
        <x:v>Gentle LST/leaf-tuck only by vigor; no default topping/HST.</x:v>
      </x:c>
      <x:c r="F85" s="60"/>
      <x:c r="G85" s="60"/>
      <x:c r="H85" s="60"/>
    </x:row>
    <x:row r="86">
      <x:c r="A86" s="60" t="str">
        <x:v>Photoperiod profile</x:v>
      </x:c>
      <x:c r="B86" s="60" t="str">
        <x:v>18/6 DEFAULT</x:v>
      </x:c>
      <x:c r="C86" s="60"/>
      <x:c r="D86" s="60" t="str">
        <x:v>SELECTED</x:v>
      </x:c>
      <x:c r="E86" s="60" t="str">
        <x:v>18 h bleibt UKD-Referenz; 20/4 optional, 24/0 experimental.</x:v>
      </x:c>
      <x:c r="F86" s="60"/>
      <x:c r="G86" s="60"/>
      <x:c r="H86" s="60"/>
    </x:row>
    <x:row r="87">
      <x:c r="A87" s="60" t="str">
        <x:v>Plan extension after Day 80</x:v>
      </x:c>
      <x:c r="B87" s="60" t="str">
        <x:v>ENABLED</x:v>
      </x:c>
      <x:c r="C87" s="60"/>
      <x:c r="D87" s="60" t="str">
        <x:v>REQUIRED</x:v>
      </x:c>
      <x:c r="E87" s="60" t="str">
        <x:v>Run darf bei fehlender Reife über Day 80 hinauslaufen.</x:v>
      </x:c>
      <x:c r="F87" s="60"/>
      <x:c r="G87" s="60"/>
      <x:c r="H87" s="60"/>
    </x:row>
    <x:row r="88">
      <x:c r="A88" s="60" t="str">
        <x:v>Operational priority</x:v>
      </x:c>
      <x:c r="B88" s="60" t="str">
        <x:v>PLANT/ROOT STATE &gt; CALENDAR</x:v>
      </x:c>
      <x:c r="C88" s="60"/>
      <x:c r="D88" s="60" t="str">
        <x:v>INVARIANT</x:v>
      </x:c>
      <x:c r="E88" s="60" t="str">
        <x:v>Autoflower hat wenig Kompensationszeit; frühe Störungen nicht durch Kalender erzwingen.</x:v>
      </x:c>
      <x:c r="F88" s="60"/>
      <x:c r="G88" s="60"/>
      <x:c r="H88" s="60"/>
    </x:row>
  </x:sheetData>
  <x:mergeCells>
    <x:mergeCell ref="A1:H1"/>
    <x:mergeCell ref="A31:H31"/>
    <x:mergeCell ref="A43:H43"/>
    <x:mergeCell ref="A44:H45"/>
    <x:mergeCell ref="D31:H31"/>
  </x:mergeCells>
  <x:conditionalFormatting sqref="D4:E11">
    <x:cfRule type="expression" dxfId="37" priority="3">
      <x:formula>ROW()&gt;3</x:formula>
    </x:cfRule>
  </x:conditionalFormatting>
  <x:conditionalFormatting sqref="G14:G18">
    <x:cfRule type="expression" dxfId="38" priority="4">
      <x:formula>G14="OK"</x:formula>
    </x:cfRule>
    <x:cfRule type="expression" dxfId="39" priority="5">
      <x:formula>G14="WARN"</x:formula>
    </x:cfRule>
    <x:cfRule type="expression" dxfId="40" priority="6">
      <x:formula>G14="offen"</x:formula>
    </x:cfRule>
  </x:conditionalFormatting>
  <x:dataValidations count="22">
    <x:dataValidation type="list" sqref="B6">
      <x:formula1>"Double Grape Auto,Banana Purple Punch Auto,Auto Night Queen,Auto Cinderella Jack,Sour Stomper Auto"</x:formula1>
    </x:dataValidation>
    <x:dataValidation type="list" sqref="B14">
      <x:formula1>"Unbekannt / messen,Leitungswasser weich,Leitungswasser mittel/hart,RO / destilliert"</x:formula1>
    </x:dataValidation>
    <x:dataValidation type="list" sqref="B17">
      <x:formula1>"HESI Reference,Full AN pH Perfect,HESI + AN Hybrid A/B"</x:formula1>
    </x:dataValidation>
    <x:dataValidation type="list" sqref="G14:G18">
      <x:formula1>"offen,OK,WARN,N/A"</x:formula1>
    </x:dataValidation>
    <x:dataValidation type="list" sqref="B21">
      <x:formula1>"Auto / nach Wasser,Ja,Nein"</x:formula1>
    </x:dataValidation>
    <x:dataValidation type="list" sqref="B26">
      <x:formula1>"Keine (Balance ist Default-Si wenn genutzt),Hesilicio statt Balance,Rhino Skin statt Balance"</x:formula1>
    </x:dataValidation>
    <x:dataValidation type="decimal" operator="between" sqref="B28">
      <x:formula1>0.25</x:formula1>
      <x:formula2>1</x:formula2>
    </x:dataValidation>
    <x:dataValidation operator="between" sqref="B32">
      <x:formula1>0</x:formula1>
      <x:formula2>21</x:formula2>
    </x:dataValidation>
    <x:dataValidation operator="between" sqref="B33">
      <x:formula1>14</x:formula1>
      <x:formula2>50</x:formula2>
    </x:dataValidation>
    <x:dataValidation type="decimal" operator="between" sqref="B34">
      <x:formula1>-5</x:formula1>
      <x:formula2>5</x:formula2>
    </x:dataValidation>
    <x:dataValidation type="list" sqref="B40">
      <x:formula1>"Manuell / indoor-freigegebene Automation,Manuell,Indoor-freigegebene Automation,Tropf-Blumat OFF-LABEL / Hersteller: nicht Indoor"</x:formula1>
    </x:dataValidation>
    <x:dataValidation type="list" sqref="B45">
      <x:formula1>"UKD Hybrid Core,Custom Hybrid"</x:formula1>
    </x:dataValidation>
    <x:dataValidation type="list" sqref="B46">
      <x:formula1>"OFF,Voodoo only,Voodoo + Tarantula,Voodoo + Piranha + Tarantula"</x:formula1>
    </x:dataValidation>
    <x:dataValidation type="list" sqref="B47">
      <x:formula1>"OFF,ON / A-B"</x:formula1>
    </x:dataValidation>
    <x:dataValidation type="list" sqref="B48">
      <x:formula1>"HESI Boost (default),AN Bud Candy (replaces HESI Boost)"</x:formula1>
    </x:dataValidation>
    <x:dataValidation type="list" sqref="B49">
      <x:formula1>"OFF,ON / EXPERIMENTAL"</x:formula1>
    </x:dataValidation>
    <x:dataValidation type="list" sqref="B50">
      <x:formula1>"HESI PowerZyme,AN Sensizym"</x:formula1>
    </x:dataValidation>
    <x:dataValidation type="list" sqref="B51">
      <x:formula1>"Athena Balance conditional,HESI Hesilicio,AN Rhino Skin,OFF"</x:formula1>
    </x:dataValidation>
    <x:dataValidation type="list" sqref="B52">
      <x:formula1>"HESI PK13/14,AN Bud Ignitor &gt; Big Bud &gt; Overdrive"</x:formula1>
    </x:dataValidation>
    <x:dataValidation type="list" sqref="B53">
      <x:formula1>"OWNED / A-B OFF,ON / EXPERIMENTAL"</x:formula1>
    </x:dataValidation>
    <x:dataValidation type="list" sqref="B54">
      <x:formula1>"HESI CalMag conditional,AN Sensi CalMag Xtra conditional,OFF"</x:formula1>
    </x:dataValidation>
    <x:dataValidation type="list" sqref="B55">
      <x:formula1>"OFF / diagnostic only,ARMED / diagnostic only"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2" hidden="0" customWidth="1"/>
    <x:col min="3" max="3" width="8" hidden="0" customWidth="1"/>
    <x:col min="4" max="4" width="8" hidden="0" customWidth="1"/>
    <x:col min="5" max="5" width="21" hidden="0" customWidth="1"/>
    <x:col min="6" max="6" width="28" hidden="0" customWidth="1"/>
    <x:col min="7" max="7" width="10" hidden="0" customWidth="1"/>
    <x:col min="8" max="8" width="10" hidden="0" customWidth="1"/>
    <x:col min="9" max="9" width="10" hidden="0" customWidth="1"/>
    <x:col min="10" max="10" width="10" hidden="0" customWidth="1"/>
    <x:col min="11" max="11" width="10" hidden="0" customWidth="1"/>
    <x:col min="12" max="12" width="10" hidden="0" customWidth="1"/>
    <x:col min="13" max="13" width="10" hidden="0" customWidth="1"/>
    <x:col min="14" max="14" width="10" hidden="0" customWidth="1"/>
    <x:col min="15" max="15" width="10" hidden="0" customWidth="1"/>
    <x:col min="16" max="16" width="10" hidden="0" customWidth="1"/>
    <x:col min="17" max="17" width="10" hidden="0" customWidth="1"/>
    <x:col min="18" max="18" width="10" hidden="0" customWidth="1"/>
    <x:col min="19" max="19" width="10" hidden="0" customWidth="1"/>
    <x:col min="20" max="20" width="23" hidden="0" customWidth="1"/>
    <x:col min="21" max="21" width="20" hidden="0" customWidth="1"/>
    <x:col min="22" max="22" width="11" hidden="0" customWidth="1"/>
    <x:col min="23" max="23" width="11" hidden="0" customWidth="1"/>
    <x:col min="24" max="24" width="11" hidden="0" customWidth="1"/>
    <x:col min="25" max="25" width="11" hidden="0" customWidth="1"/>
    <x:col min="26" max="26" width="11" hidden="0" customWidth="1"/>
    <x:col min="27" max="27" width="11" hidden="0" customWidth="1"/>
    <x:col min="28" max="28" width="11" hidden="0" customWidth="1"/>
    <x:col min="29" max="29" width="11" hidden="0" customWidth="1"/>
    <x:col min="30" max="30" width="36" hidden="0" customWidth="1"/>
    <x:col min="31" max="31" width="32" hidden="0" customWidth="1"/>
    <x:col min="32" max="32" width="43" hidden="0" customWidth="1"/>
    <x:col min="33" max="33" width="43" hidden="0" customWidth="1"/>
    <x:col min="34" max="34" width="29" hidden="0" customWidth="1"/>
    <x:col min="35" max="35" width="29" hidden="0" customWidth="1"/>
    <x:col min="36" max="36" width="45" hidden="0" customWidth="1"/>
    <x:col min="37" max="37" width="56" hidden="0" customWidth="1"/>
    <x:col min="38" max="38" width="12" hidden="0" customWidth="1"/>
    <x:col min="39" max="39" width="12" hidden="0" customWidth="1"/>
    <x:col min="40" max="40" width="13" hidden="0" customWidth="1"/>
    <x:col min="41" max="41" width="13" hidden="0" customWidth="1"/>
    <x:col min="42" max="42" width="13" hidden="0" customWidth="1"/>
    <x:col min="43" max="43" width="14" hidden="0" customWidth="1"/>
    <x:col min="44" max="44" width="14" hidden="0" customWidth="1"/>
    <x:col min="45" max="45" width="14" hidden="0" customWidth="1"/>
    <x:col min="46" max="46" width="15" hidden="0" customWidth="1"/>
    <x:col min="47" max="47" width="15" hidden="0" customWidth="1"/>
    <x:col min="48" max="48" width="15" hidden="0" customWidth="1"/>
    <x:col min="49" max="49" width="15" hidden="0" customWidth="1"/>
    <x:col min="50" max="50" width="15" hidden="0" customWidth="1"/>
    <x:col min="51" max="51" width="15" hidden="0" customWidth="1"/>
    <x:col min="52" max="52" width="15" hidden="0" customWidth="1"/>
    <x:col min="53" max="53" width="15" hidden="0" customWidth="1"/>
    <x:col min="54" max="54" width="15" hidden="0" customWidth="1"/>
    <x:col min="55" max="55" width="15" hidden="0" customWidth="1"/>
    <x:col min="56" max="56" width="15" hidden="0" customWidth="1"/>
    <x:col min="57" max="57" width="15" hidden="0" customWidth="1"/>
    <x:col min="58" max="58" width="15" hidden="0" customWidth="1"/>
    <x:col min="59" max="59" width="15" hidden="0" customWidth="1"/>
    <x:col min="60" max="60" width="34" hidden="0" customWidth="1"/>
  </x:cols>
  <x:sheetData>
    <x:row r="1" ht="42" customHeight="1">
      <x:c r="A1" s="1455" t="str">
        <x:v>Tag</x:v>
      </x:c>
      <x:c r="B1" s="1455" t="str">
        <x:v>Datum</x:v>
      </x:c>
      <x:c r="C1" s="1455" t="str">
        <x:v>Woche</x:v>
      </x:c>
      <x:c r="D1" s="1455" t="str">
        <x:v>Monat (30-Tage-Blöcke)</x:v>
      </x:c>
      <x:c r="E1" s="1455" t="str">
        <x:v>Planphase (Zeitachse)</x:v>
      </x:c>
      <x:c r="F1" s="1455" t="str">
        <x:v>Tagesziel</x:v>
      </x:c>
      <x:c r="G1" s="1455" t="str">
        <x:v>Licht h</x:v>
      </x:c>
      <x:c r="H1" s="1455" t="str">
        <x:v>Watt</x:v>
      </x:c>
      <x:c r="I1" s="1455" t="str">
        <x:v>PPFD</x:v>
      </x:c>
      <x:c r="J1" s="1455" t="str">
        <x:v>DLI</x:v>
      </x:c>
      <x:c r="K1" s="1455" t="str">
        <x:v>Lamp.abst. cm</x:v>
      </x:c>
      <x:c r="L1" s="1455" t="str">
        <x:v>Temp Licht °C</x:v>
      </x:c>
      <x:c r="M1" s="1455" t="str">
        <x:v>Temp Dunkel °C</x:v>
      </x:c>
      <x:c r="N1" s="1455" t="str">
        <x:v>LF %</x:v>
      </x:c>
      <x:c r="O1" s="1455" t="str">
        <x:v>Leaf-VPD est. kPa</x:v>
      </x:c>
      <x:c r="P1" s="1455" t="str">
        <x:v>EC Ziel</x:v>
      </x:c>
      <x:c r="Q1" s="1455" t="str">
        <x:v>pH Setpoint (HESI band 5.8–6.2)</x:v>
      </x:c>
      <x:c r="R1" s="1455" t="str">
        <x:v>Wasserband min L (Planung)</x:v>
      </x:c>
      <x:c r="S1" s="1455" t="str">
        <x:v>Wasserband max L (Planung)</x:v>
      </x:c>
      <x:c r="T1" s="1455" t="str">
        <x:v>Bewässerungsmodus</x:v>
      </x:c>
      <x:c r="U1" s="1455" t="str">
        <x:v>Basis</x:v>
      </x:c>
      <x:c r="V1" s="1455" t="str">
        <x:v>Basis ml/L</x:v>
      </x:c>
      <x:c r="W1" s="1455" t="str">
        <x:v>Wurzel Complex ml/L</x:v>
      </x:c>
      <x:c r="X1" s="1455" t="str">
        <x:v>PowerZyme ml/L</x:v>
      </x:c>
      <x:c r="Y1" s="1455" t="str">
        <x:v>SuperVit ml/L</x:v>
      </x:c>
      <x:c r="Z1" s="1455" t="str">
        <x:v>Hesilicio ml/L</x:v>
      </x:c>
      <x:c r="AA1" s="1455" t="str">
        <x:v>HESI Boost ml/L</x:v>
      </x:c>
      <x:c r="AB1" s="1455" t="str">
        <x:v>PK13/14 ml/L</x:v>
      </x:c>
      <x:c r="AC1" s="1455" t="str">
        <x:v>Voodoo ml/L</x:v>
      </x:c>
      <x:c r="AD1" s="1455" t="str">
        <x:v>AN Option</x:v>
      </x:c>
      <x:c r="AE1" s="1455" t="str">
        <x:v>Training / Canopy</x:v>
      </x:c>
      <x:c r="AF1" s="1455" t="str">
        <x:v>QA / Aktion</x:v>
      </x:c>
      <x:c r="AG1" s="1455" t="str">
        <x:v>Stop-/Alarmregel</x:v>
      </x:c>
      <x:c r="AH1" s="1455" t="str">
        <x:v>Evidenz / Planstatus</x:v>
      </x:c>
      <x:c r="AI1" s="1455" t="str">
        <x:v>Athena Balance</x:v>
      </x:c>
      <x:c r="AJ1" s="1455" t="str">
        <x:v>GM Phase</x:v>
      </x:c>
      <x:c r="AK1" s="1455" t="str">
        <x:v>UKD GM Empfehlung</x:v>
      </x:c>
      <x:c r="AL1" s="1460" t="str">
        <x:v>Bloom-Tag</x:v>
      </x:c>
      <x:c r="AM1" s="1460" t="str">
        <x:v>Bloom-Woche</x:v>
      </x:c>
      <x:c r="AN1" s="1460" t="str">
        <x:v>Air-VPD kPa</x:v>
      </x:c>
      <x:c r="AO1" s="1460" t="str">
        <x:v>Licht kWh/Tag</x:v>
      </x:c>
      <x:c r="AP1" s="1460" t="str">
        <x:v>Licht kWh kum.</x:v>
      </x:c>
      <x:c r="AQ1" s="1683" t="str">
        <x:v>CalMag Plan ml/L</x:v>
      </x:c>
      <x:c r="AR1" s="1683" t="str">
        <x:v>Athena cfg ml/L</x:v>
      </x:c>
      <x:c r="AS1" s="1683" t="str">
        <x:v>pH Down cfg ml/L</x:v>
      </x:c>
      <x:c r="AT1" s="1768" t="str">
        <x:v>Piranha ml/L</x:v>
      </x:c>
      <x:c r="AU1" s="1768" t="str">
        <x:v>Tarantula ml/L</x:v>
      </x:c>
      <x:c r="AV1" s="1768" t="str">
        <x:v>B-52 ml/L</x:v>
      </x:c>
      <x:c r="AW1" s="1768" t="str">
        <x:v>Bud Candy ml/L</x:v>
      </x:c>
      <x:c r="AX1" s="1768" t="str">
        <x:v>Bud Factor X ml/L</x:v>
      </x:c>
      <x:c r="AY1" s="1768" t="str">
        <x:v>Sensizym ml/L</x:v>
      </x:c>
      <x:c r="AZ1" s="1768" t="str">
        <x:v>Rhino Skin ml/L</x:v>
      </x:c>
      <x:c r="BA1" s="1768" t="str">
        <x:v>Bud Ignitor ml/L</x:v>
      </x:c>
      <x:c r="BB1" s="1768" t="str">
        <x:v>Big Bud ml/L</x:v>
      </x:c>
      <x:c r="BC1" s="1768" t="str">
        <x:v>Overdrive ml/L</x:v>
      </x:c>
      <x:c r="BD1" s="1768" t="str">
        <x:v>Tasty Terpenes ml/L</x:v>
      </x:c>
      <x:c r="BE1" s="1768" t="str">
        <x:v>Sensi CalMag Xtra ml/L</x:v>
      </x:c>
      <x:c r="BF1" s="1768" t="str">
        <x:v>Revive ml/L</x:v>
      </x:c>
      <x:c r="BG1" s="1768" t="str">
        <x:v>Hybrid Coverage</x:v>
      </x:c>
      <x:c r="BH1" s="1768" t="str">
        <x:v>AN aktiv heute</x:v>
      </x:c>
    </x:row>
    <x:row r="2">
      <x:c r="A2" s="32" t="n">
        <x:v>0</x:v>
      </x:c>
      <x:c r="B2" s="128" t="n">
        <x:f>'01_Run_Config'!$B$4+A2</x:f>
        <x:v>46242</x:v>
      </x:c>
      <x:c r="C2" s="62" t="n">
        <x:f>INT(A2/7)+1</x:f>
        <x:v>1</x:v>
      </x:c>
      <x:c r="D2" s="62" t="str">
        <x:f>"M"&amp;MIN(3,INT(A2/30)+1)</x:f>
        <x:v>M1</x:v>
      </x:c>
      <x:c r="E2" s="62" t="str">
        <x:f>IF(A2&lt;4,"Keimung",IF(A2&lt;8,"Etablierung",IF(A2&lt;15,"Early Veg",IF(A2&lt;'01_Run_Config'!$B$33,IF(A2&lt;22,"Veg / LST","Preflower-Watch"),IF(A2-'01_Run_Config'!$B$33&lt;=6,"Transition / Stretch ("&amp;AM2&amp;")",IF(A2-'01_Run_Config'!$B$33&lt;=13,"Early Flower ("&amp;AM2&amp;")",IF(A2-'01_Run_Config'!$B$33&lt;=20,"Flower I ("&amp;AM2&amp;")",IF(A2-'01_Run_Config'!$B$33&lt;=34,"Peak Flower ("&amp;AM2&amp;")",IF(A2-'01_Run_Config'!$B$33&lt;=41,"Late Flower ("&amp;AM2&amp;")",IF(A2-'01_Run_Config'!$B$33&lt;=48,"Ripening ("&amp;AM2&amp;")","Harvest / Extension ("&amp;AM2&amp;")"))))))))))</x:f>
        <x:v>Keimung</x:v>
      </x:c>
      <x:c r="F2" s="62" t="str">
        <x:f>IF(A2&lt;4,"Keimung + Wurzelstart",IF(A2&lt;8,"Sämling etablieren; Wurzelraum erschließen",IF(A2&lt;15,"kompakter Aufbau; LST erst bei Vitalität",IF(A2&lt;'01_Run_Config'!$B$33,"Canopy aufbauen; Preflower beobachten",IF(A2-'01_Run_Config'!$B$33&lt;=6,"Stretch kontrollieren; Bloom-Trigger dokumentieren",IF(A2-'01_Run_Config'!$B$33&lt;=13,"Blütenansatz stabilisieren",IF(A2-'01_Run_Config'!$B$33&lt;=20,"Blütenaufbau ohne neue Stressoren",IF(A2-'01_Run_Config'!$B$33&lt;=34,"stabile Peak-Photosynthese; Klima priorisieren",IF(A2-'01_Run_Config'!$B$33&lt;=41,"Qualität/Schimmelprävention",IF(A2-'01_Run_Config'!$B$33&lt;=48,"Reife ohne Überfütterung","Erntefenster nach Pflanze; keine Kalenderernte"))))))))))</x:f>
        <x:v>Keimung + Wurzelstart</x:v>
      </x:c>
      <x:c r="G2" s="62" t="n">
        <x:v>18</x:v>
      </x:c>
      <x:c r="H2" s="62" t="n">
        <x:v>30</x:v>
      </x:c>
      <x:c r="I2" s="62" t="n">
        <x:v>160</x:v>
      </x:c>
      <x:c r="J2" s="62" t="n">
        <x:f>I2*G2*3600/1000000</x:f>
        <x:v>10.368</x:v>
      </x:c>
      <x:c r="K2" s="62" t="n">
        <x:v>55</x:v>
      </x:c>
      <x:c r="L2" s="62" t="n">
        <x:v>25</x:v>
      </x:c>
      <x:c r="M2" s="62" t="n">
        <x:v>22.5</x:v>
      </x:c>
      <x:c r="N2" s="62" t="n">
        <x:v>73</x:v>
      </x:c>
      <x:c r="O2" s="62" t="n">
        <x:f>ROUND(0.6108*EXP(17.27*(L2+'01_Run_Config'!$B$34)/(L2+'01_Run_Config'!$B$34+237.3))-(N2/100)*0.6108*EXP(17.27*L2/(L2+237.3)),2)</x:f>
        <x:v>0.67</x:v>
      </x:c>
      <x:c r="P2" s="62" t="n">
        <x:f>IF(A2&lt;'01_Run_Config'!$B$32,0.55,IF(A2&lt;'01_Run_Config'!$B$33,IF(A2-'01_Run_Config'!$B$32&lt;=3,0.8,IF(A2-'01_Run_Config'!$B$32&lt;=10,1,IF(A2-'01_Run_Config'!$B$32&lt;=17,1.2,1.4))),IF(A2-'01_Run_Config'!$B$33&lt;=6,1.5,IF(A2-'01_Run_Config'!$B$33&lt;=13,1.6,IF(A2-'01_Run_Config'!$B$33&lt;=20,1.7,IF(A2-'01_Run_Config'!$B$33&lt;=34,1.8,IF(A2-'01_Run_Config'!$B$33&lt;=41,1.6,IF(A2-'01_Run_Config'!$B$33&lt;=48,1.4,1.15))))))))</x:f>
        <x:v>0.55</x:v>
      </x:c>
      <x:c r="Q2" s="62" t="n">
        <x:v>5.9</x:v>
      </x:c>
      <x:c r="R2" s="62" t="n">
        <x:v>0.03</x:v>
      </x:c>
      <x:c r="S2" s="62" t="n">
        <x:v>0.08</x:v>
      </x:c>
      <x:c r="T2" s="62" t="str">
        <x:f>IF(A2&lt;=7,"Manuell",'01_Run_Config'!$B$40)</x:f>
        <x:v>Manuell</x:v>
      </x:c>
      <x:c r="U2" s="62" t="str">
        <x:f>IF(A2&lt;'01_Run_Config'!$B$32,"Kein Basisdünger",IF(A2&lt;'01_Run_Config'!$B$33,"HESI TNT","HESI Coco"))</x:f>
        <x:v>Kein Basisdünger</x:v>
      </x:c>
      <x:c r="V2" s="62" t="n">
        <x:f>IF(A2&lt;'01_Run_Config'!$B$32,0,IF(A2&lt;'01_Run_Config'!$B$33,IF(A2-'01_Run_Config'!$B$32&lt;=3,1.25,IF(A2-'01_Run_Config'!$B$32&lt;=10,2,2.5)),IF(A2-'01_Run_Config'!$B$33&lt;=6,2.5,IF(A2-'01_Run_Config'!$B$33&lt;=13,3.25,IF(A2-'01_Run_Config'!$B$33&lt;=20,3.75,IF(A2-'01_Run_Config'!$B$33&lt;=34,4,IF(A2-'01_Run_Config'!$B$33&lt;=41,3.5,IF(A2-'01_Run_Config'!$B$33&lt;=48,2.5,1.5))))))))</x:f>
        <x:v>0</x:v>
      </x:c>
      <x:c r="W2" s="62" t="n">
        <x:f>IF(A2&lt;=14,2.5,0)</x:f>
        <x:v>2.5</x:v>
      </x:c>
      <x:c r="X2" s="62" t="n">
        <x:f>IF('01_Run_Config'!$B$50="AN Sensizym",0,IF(AND(A2&gt;='01_Run_Config'!$B$32,OR(AL2="",AL2&lt;=49)),2,0))</x:f>
        <x:v>0</x:v>
      </x:c>
      <x:c r="Y2" s="62" t="n">
        <x:f>0.015</x:f>
        <x:v>0.015</x:v>
      </x:c>
      <x:c r="Z2" s="62" t="n">
        <x:f>IF('01_Run_Config'!$B$51="HESI Hesilicio",2,0)</x:f>
        <x:v>0</x:v>
      </x:c>
      <x:c r="AA2" s="62" t="n">
        <x:f>IF('01_Run_Config'!$B$48="AN Bud Candy (replaces HESI Boost)",0,IF(AND(A2&gt;='01_Run_Config'!$B$33,MOD(A2-'01_Run_Config'!$B$33,7)=0),2,0))</x:f>
        <x:v>0</x:v>
      </x:c>
      <x:c r="AB2" s="62" t="n">
        <x:f>IF('01_Run_Config'!$B$52="AN Bud Ignitor &gt; Big Bud &gt; Overdrive",0,IF(AND(ISNUMBER(AL2),AL2&gt;=29,AL2&lt;=42),0.25+((AL2-29)/13)*0.25,0))</x:f>
        <x:v>0</x:v>
      </x:c>
      <x:c r="AC2" s="62" t="n">
        <x:f>IF('01_Run_Config'!$B$46="OFF",0,IF(OR(A2='01_Run_Config'!$B$32,A2='01_Run_Config'!$B$32+7,A2='01_Run_Config'!$B$33+1,A2='01_Run_Config'!$B$33+8),2,0))</x:f>
        <x:v>0</x:v>
      </x:c>
      <x:c r="AD2" s="62" t="str">
        <x:f>IF(BG2="BLOCK","HYBRID BLOCKED - Konfiguration prüfen",IF(SUM(AC2,AT2:BF2)&gt;0,"AN aktiv: "&amp;BH2,"AN: keine Dosis heute / Module aus"))</x:f>
        <x:v>AN: keine Dosis heute / Module aus</x:v>
      </x:c>
      <x:c r="AE2" s="62" t="str">
        <x:v>Kein Training</x:v>
      </x:c>
      <x:c r="AF2" s="62" t="str">
        <x:v>Morgens Klima/Pflanze/Bewässerung/Leck; Mitte Lichtphase Blattwinkel; vor Dunkel LF/Drain/stehendes Wasser. WÖCHENTLICH: pH/EC kalibrieren, Foto, Canopy messen, PPFD-Spotcheck, Reservoir falls genutzt / Tray reinigen.</x:v>
      </x:c>
      <x:c r="AG2" s="62" t="str">
        <x:v>EC nicht erhöhen bei steigender Diagnose-Drain-EC; PPFD nicht erhöhen bei Stress; Wasserband nie erzwingen; nie mehrere neue Booster gleichzeitig.</x:v>
      </x:c>
      <x:c r="AH2" s="33" t="str">
        <x:f>"UKD v9 evidence-guarded: Planwerte sind Ziele/Eligibility, keine automatische Freigabe. Eazy Plug/Block ist vorgepuffert; früher Basisfeed bleibt vom Propagation-/Pflanzengate abhängig. Messdaten und Safety-Gates überschreiben Kalender."</x:f>
        <x:v>UKD v9 evidence-guarded: Planwerte sind Ziele/Eligibility, keine automatische Freigabe. Eazy Plug/Block ist vorgepuffert; früher Basisfeed bleibt vom Propagation-/Pflanzengate abhängig. Messdaten und Safety-Gates überschreiben Kalender.</x:v>
      </x:c>
      <x:c r="AI2" s="32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2" s="62" t="str">
        <x:f>IF(A2&lt;'01_Run_Config'!$B$32,"—",IF(A2&lt;'01_Run_Config'!$B$33,"G"&amp;MIN(4,INT((A2-'01_Run_Config'!$B$32)/7)+1),AM2))</x:f>
        <x:v>—</x:v>
      </x:c>
      <x:c r="AK2" s="33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2" s="60" t="str">
        <x:f>IF(A2&lt;'01_Run_Config'!$B$33,"",A2-'01_Run_Config'!$B$33+1)</x:f>
      </x:c>
      <x:c r="AM2" s="60" t="str">
        <x:f>IF(AL2="","",IF(AL2&gt;49,CHAR(66)&amp;"7+",CHAR(66)&amp;TEXT(INT((AL2-1)/7)+1,"0")))</x:f>
      </x:c>
      <x:c r="AN2" s="60" t="n">
        <x:f>ROUND(0.6108*EXP(17.27*L2/(L2+237.3))*(1-N2/100),2)</x:f>
        <x:v>0.86</x:v>
      </x:c>
      <x:c r="AO2" s="60" t="n">
        <x:f>H2*G2/1000</x:f>
        <x:v>0.54</x:v>
      </x:c>
      <x:c r="AP2" s="60" t="n">
        <x:f>SUM($AO$2:AO2)</x:f>
        <x:v>0.54</x:v>
      </x:c>
      <x:c r="AQ2" t="n">
        <x:f>'01_Run_Config'!$B$17</x:f>
        <x:v>0</x:v>
      </x:c>
      <x:c r="AR2" t="n">
        <x:f>'01_Run_Config'!$B$22</x:f>
        <x:v>0</x:v>
      </x:c>
      <x:c r="AS2" t="n">
        <x:f>'01_Run_Config'!$B$25</x:f>
        <x:v>0</x:v>
      </x:c>
      <x:c r="AT2" t="n">
        <x:f>IF(AND('01_Run_Config'!$B$46="Voodoo + Piranha + Tarantula",AC2&gt;0),2,0)</x:f>
        <x:v>0</x:v>
      </x:c>
      <x:c r="AU2" t="n">
        <x:f>IF(AND(OR('01_Run_Config'!$B$46="Voodoo + Tarantula",'01_Run_Config'!$B$46="Voodoo + Piranha + Tarantula"),AC2&gt;0),2,0)</x:f>
        <x:v>0</x:v>
      </x:c>
      <x:c r="AV2" t="n">
        <x:f>IF('01_Run_Config'!$B$47&lt;&gt;"ON / A-B",0,IF(OR(AND(A2&gt;='01_Run_Config'!$B$32,A2&lt;'01_Run_Config'!$B$33),AND(ISNUMBER(AL2),AL2&gt;=15,AL2&lt;=49)),2,0))</x:f>
        <x:v>0</x:v>
      </x:c>
      <x:c r="AW2" t="n">
        <x:f>IF('01_Run_Config'!$B$48="AN Bud Candy (replaces HESI Boost)",IF(AND(A2&gt;='01_Run_Config'!$B$32,OR(AL2="",AL2&lt;=49)),2,0),0)</x:f>
        <x:v>0</x:v>
      </x:c>
      <x:c r="AX2" t="n">
        <x:f>IF('01_Run_Config'!$B$49&lt;&gt;"ON / EXPERIMENTAL",0,IF(OR(AND(A2&gt;='01_Run_Config'!$B$32+7,A2&lt;'01_Run_Config'!$B$33),AND(ISNUMBER(AL2),AL2&gt;=1,AL2&lt;=49)),2,0))</x:f>
        <x:v>0</x:v>
      </x:c>
      <x:c r="AY2" t="n">
        <x:f>IF('01_Run_Config'!$B$50="AN Sensizym",IF(AND(A2&gt;='01_Run_Config'!$B$32,OR(AL2="",AL2&lt;=49)),2,0),0)</x:f>
        <x:v>0</x:v>
      </x:c>
      <x:c r="AZ2" t="n">
        <x:f>IF('01_Run_Config'!$B$51="AN Rhino Skin",IF(AND(A2&gt;='01_Run_Config'!$B$32,OR(AL2="",AL2&lt;=49)),2,0),0)</x:f>
        <x:v>0</x:v>
      </x:c>
      <x:c r="BA2" t="n">
        <x:f>IF(AND('01_Run_Config'!$B$52="AN Bud Ignitor &gt; Big Bud &gt; Overdrive",ISNUMBER(AL2),AL2&gt;=1,AL2&lt;=14),2,0)</x:f>
        <x:v>0</x:v>
      </x:c>
      <x:c r="BB2" t="n">
        <x:f>IF(AND('01_Run_Config'!$B$52="AN Bud Ignitor &gt; Big Bud &gt; Overdrive",ISNUMBER(AL2),AL2&gt;=8,AL2&lt;=35),2,0)</x:f>
        <x:v>0</x:v>
      </x:c>
      <x:c r="BC2" t="n">
        <x:f>IF(AND('01_Run_Config'!$B$52="AN Bud Ignitor &gt; Big Bud &gt; Overdrive",ISNUMBER(AL2),AL2&gt;=36,AL2&lt;=49),2,0)</x:f>
        <x:v>0</x:v>
      </x:c>
      <x:c r="BD2" t="n">
        <x:f>IF('01_Run_Config'!$B$53="ON / EXPERIMENTAL",IF(OR(AND(A2&gt;='01_Run_Config'!$B$32,A2&lt;'01_Run_Config'!$B$33),AND(ISNUMBER(AL2),AL2&gt;=15,AL2&lt;=49)),2,0),0)</x:f>
        <x:v>0</x:v>
      </x:c>
      <x:c r="BE2" t="n">
        <x:f>IF('01_Run_Config'!$B$54="AN Sensi CalMag Xtra conditional",'01_Run_Config'!$B$17,0)</x:f>
        <x:v>0</x:v>
      </x:c>
      <x:c r="BF2" t="n">
        <x:f>0</x:f>
        <x:v>0</x:v>
      </x:c>
      <x:c r="BG2" t="str">
        <x:f>'01_Run_Config'!$E$57</x:f>
        <x:v>OK</x:v>
      </x:c>
      <x:c r="BH2" t="str">
        <x:f>IF(SUM(AC2,AT2:BF2)=0,"keine AN-Dosis heute",IF(AC2&gt;0,"Voodoo "&amp;AC2&amp;" ml/L; ","")&amp;IF(AT2&gt;0,"Piranha "&amp;AT2&amp;" ml/L; ","")&amp;IF(AU2&gt;0,"Tarantula "&amp;AU2&amp;" ml/L; ","")&amp;IF(AV2&gt;0,"B-52 "&amp;AV2&amp;" ml/L; ","")&amp;IF(AW2&gt;0,"Bud Candy "&amp;AW2&amp;" ml/L; ","")&amp;IF(AX2&gt;0,"Bud Factor X "&amp;AX2&amp;" ml/L; ","")&amp;IF(AY2&gt;0,"Sensizym "&amp;AY2&amp;" ml/L; ","")&amp;IF(AZ2&gt;0,"Rhino Skin "&amp;AZ2&amp;" ml/L; ","")&amp;IF(BA2&gt;0,"Bud Ignitor "&amp;BA2&amp;" ml/L; ","")&amp;IF(BB2&gt;0,"Big Bud "&amp;BB2&amp;" ml/L; ","")&amp;IF(BC2&gt;0,"Overdrive "&amp;BC2&amp;" ml/L; ","")&amp;IF(BD2&gt;0,"Tasty Terpenes "&amp;BD2&amp;" ml/L; ","")&amp;IF(BE2&gt;0,"Sensi CalMag "&amp;BE2&amp;" ml/L",""))</x:f>
        <x:v>keine AN-Dosis heute</x:v>
      </x:c>
    </x:row>
    <x:row r="3">
      <x:c r="A3" s="34" t="n">
        <x:v>1</x:v>
      </x:c>
      <x:c r="B3" s="129" t="n">
        <x:f>'01_Run_Config'!$B$4+A3</x:f>
        <x:v>46243</x:v>
      </x:c>
      <x:c r="C3" s="63" t="n">
        <x:f>INT(A3/7)+1</x:f>
        <x:v>1</x:v>
      </x:c>
      <x:c r="D3" s="63" t="str">
        <x:f>"M"&amp;MIN(3,INT(A3/30)+1)</x:f>
        <x:v>M1</x:v>
      </x:c>
      <x:c r="E3" s="63" t="str">
        <x:f>IF(A3&lt;4,"Keimung",IF(A3&lt;8,"Etablierung",IF(A3&lt;15,"Early Veg",IF(A3&lt;'01_Run_Config'!$B$33,IF(A3&lt;22,"Veg / LST","Preflower-Watch"),IF(A3-'01_Run_Config'!$B$33&lt;=6,"Transition / Stretch ("&amp;AM3&amp;")",IF(A3-'01_Run_Config'!$B$33&lt;=13,"Early Flower ("&amp;AM3&amp;")",IF(A3-'01_Run_Config'!$B$33&lt;=20,"Flower I ("&amp;AM3&amp;")",IF(A3-'01_Run_Config'!$B$33&lt;=34,"Peak Flower ("&amp;AM3&amp;")",IF(A3-'01_Run_Config'!$B$33&lt;=41,"Late Flower ("&amp;AM3&amp;")",IF(A3-'01_Run_Config'!$B$33&lt;=48,"Ripening ("&amp;AM3&amp;")","Harvest / Extension ("&amp;AM3&amp;")"))))))))))</x:f>
        <x:v>Keimung</x:v>
      </x:c>
      <x:c r="F3" s="63" t="str">
        <x:f>IF(A3&lt;4,"Keimung + Wurzelstart",IF(A3&lt;8,"Sämling etablieren; Wurzelraum erschließen",IF(A3&lt;15,"kompakter Aufbau; LST erst bei Vitalität",IF(A3&lt;'01_Run_Config'!$B$33,"Canopy aufbauen; Preflower beobachten",IF(A3-'01_Run_Config'!$B$33&lt;=6,"Stretch kontrollieren; Bloom-Trigger dokumentieren",IF(A3-'01_Run_Config'!$B$33&lt;=13,"Blütenansatz stabilisieren",IF(A3-'01_Run_Config'!$B$33&lt;=20,"Blütenaufbau ohne neue Stressoren",IF(A3-'01_Run_Config'!$B$33&lt;=34,"stabile Peak-Photosynthese; Klima priorisieren",IF(A3-'01_Run_Config'!$B$33&lt;=41,"Qualität/Schimmelprävention",IF(A3-'01_Run_Config'!$B$33&lt;=48,"Reife ohne Überfütterung","Erntefenster nach Pflanze; keine Kalenderernte"))))))))))</x:f>
        <x:v>Keimung + Wurzelstart</x:v>
      </x:c>
      <x:c r="G3" s="63" t="n">
        <x:v>18</x:v>
      </x:c>
      <x:c r="H3" s="63" t="n">
        <x:v>30</x:v>
      </x:c>
      <x:c r="I3" s="63" t="n">
        <x:v>160</x:v>
      </x:c>
      <x:c r="J3" s="63" t="n">
        <x:f>I3*G3*3600/1000000</x:f>
        <x:v>10.368</x:v>
      </x:c>
      <x:c r="K3" s="63" t="n">
        <x:v>55</x:v>
      </x:c>
      <x:c r="L3" s="63" t="n">
        <x:v>25</x:v>
      </x:c>
      <x:c r="M3" s="63" t="n">
        <x:v>22.5</x:v>
      </x:c>
      <x:c r="N3" s="63" t="n">
        <x:v>73</x:v>
      </x:c>
      <x:c r="O3" s="63" t="n">
        <x:f>ROUND(0.6108*EXP(17.27*(L3+'01_Run_Config'!$B$34)/(L3+'01_Run_Config'!$B$34+237.3))-(N3/100)*0.6108*EXP(17.27*L3/(L3+237.3)),2)</x:f>
        <x:v>0.67</x:v>
      </x:c>
      <x:c r="P3" s="63" t="n">
        <x:f>IF(A3&lt;'01_Run_Config'!$B$32,0.55,IF(A3&lt;'01_Run_Config'!$B$33,IF(A3-'01_Run_Config'!$B$32&lt;=3,0.8,IF(A3-'01_Run_Config'!$B$32&lt;=10,1,IF(A3-'01_Run_Config'!$B$32&lt;=17,1.2,1.4))),IF(A3-'01_Run_Config'!$B$33&lt;=6,1.5,IF(A3-'01_Run_Config'!$B$33&lt;=13,1.6,IF(A3-'01_Run_Config'!$B$33&lt;=20,1.7,IF(A3-'01_Run_Config'!$B$33&lt;=34,1.8,IF(A3-'01_Run_Config'!$B$33&lt;=41,1.6,IF(A3-'01_Run_Config'!$B$33&lt;=48,1.4,1.15))))))))</x:f>
        <x:v>0.55</x:v>
      </x:c>
      <x:c r="Q3" s="63" t="n">
        <x:v>5.9</x:v>
      </x:c>
      <x:c r="R3" s="63" t="n">
        <x:v>0.03</x:v>
      </x:c>
      <x:c r="S3" s="63" t="n">
        <x:v>0.08</x:v>
      </x:c>
      <x:c r="T3" s="63" t="str">
        <x:f>IF(A3&lt;=7,"Manuell",'01_Run_Config'!$B$40)</x:f>
        <x:v>Manuell</x:v>
      </x:c>
      <x:c r="U3" s="63" t="str">
        <x:f>IF(A3&lt;'01_Run_Config'!$B$32,"Kein Basisdünger",IF(A3&lt;'01_Run_Config'!$B$33,"HESI TNT","HESI Coco"))</x:f>
        <x:v>Kein Basisdünger</x:v>
      </x:c>
      <x:c r="V3" s="63" t="n">
        <x:f>IF(A3&lt;'01_Run_Config'!$B$32,0,IF(A3&lt;'01_Run_Config'!$B$33,IF(A3-'01_Run_Config'!$B$32&lt;=3,1.25,IF(A3-'01_Run_Config'!$B$32&lt;=10,2,2.5)),IF(A3-'01_Run_Config'!$B$33&lt;=6,2.5,IF(A3-'01_Run_Config'!$B$33&lt;=13,3.25,IF(A3-'01_Run_Config'!$B$33&lt;=20,3.75,IF(A3-'01_Run_Config'!$B$33&lt;=34,4,IF(A3-'01_Run_Config'!$B$33&lt;=41,3.5,IF(A3-'01_Run_Config'!$B$33&lt;=48,2.5,1.5))))))))</x:f>
        <x:v>0</x:v>
      </x:c>
      <x:c r="W3" s="63" t="n">
        <x:f>IF(A3&lt;=14,2.5,0)</x:f>
        <x:v>2.5</x:v>
      </x:c>
      <x:c r="X3" s="63" t="n">
        <x:f>IF('01_Run_Config'!$B$50="AN Sensizym",0,IF(AND(A3&gt;='01_Run_Config'!$B$32,OR(AL3="",AL3&lt;=49)),2,0))</x:f>
        <x:v>0</x:v>
      </x:c>
      <x:c r="Y3" s="63" t="n">
        <x:f>0.015</x:f>
        <x:v>0.015</x:v>
      </x:c>
      <x:c r="Z3" s="63" t="n">
        <x:f>IF('01_Run_Config'!$B$51="HESI Hesilicio",2,0)</x:f>
        <x:v>0</x:v>
      </x:c>
      <x:c r="AA3" s="63" t="n">
        <x:f>IF('01_Run_Config'!$B$48="AN Bud Candy (replaces HESI Boost)",0,IF(AND(A3&gt;='01_Run_Config'!$B$33,MOD(A3-'01_Run_Config'!$B$33,7)=0),2,0))</x:f>
        <x:v>0</x:v>
      </x:c>
      <x:c r="AB3" s="63" t="n">
        <x:f>IF('01_Run_Config'!$B$52="AN Bud Ignitor &gt; Big Bud &gt; Overdrive",0,IF(AND(ISNUMBER(AL3),AL3&gt;=29,AL3&lt;=42),0.25+((AL3-29)/13)*0.25,0))</x:f>
        <x:v>0</x:v>
      </x:c>
      <x:c r="AC3" s="63" t="n">
        <x:f>IF('01_Run_Config'!$B$46="OFF",0,IF(OR(A3='01_Run_Config'!$B$32,A3='01_Run_Config'!$B$32+7,A3='01_Run_Config'!$B$33+1,A3='01_Run_Config'!$B$33+8),2,0))</x:f>
        <x:v>0</x:v>
      </x:c>
      <x:c r="AD3" s="63" t="str">
        <x:f>IF(BG3="BLOCK","HYBRID BLOCKED - Konfiguration prüfen",IF(SUM(AC3,AT3:BF3)&gt;0,"AN aktiv: "&amp;BH3,"AN: keine Dosis heute / Module aus"))</x:f>
        <x:v>AN: keine Dosis heute / Module aus</x:v>
      </x:c>
      <x:c r="AE3" s="63" t="str">
        <x:v>Kein Training</x:v>
      </x:c>
      <x:c r="AF3" s="63" t="str">
        <x:v>Morgens Klima/Pflanze/Bewässerung/Leck; Mitte Lichtphase Blattwinkel; vor Dunkel LF/Drain/stehendes Wasser.</x:v>
      </x:c>
      <x:c r="AG3" s="63" t="str">
        <x:v>EC nicht erhöhen bei steigender Diagnose-Drain-EC; PPFD nicht erhöhen bei Stress; Wasserband nie erzwingen; nie mehrere neue Booster gleichzeitig.</x:v>
      </x:c>
      <x:c r="AH3" s="35" t="str">
        <x:f>"UKD v9 evidence-guarded: Planwerte sind Ziele/Eligibility, keine automatische Freigabe. Eazy Plug/Block ist vorgepuffert; früher Basisfeed bleibt vom Propagation-/Pflanzengate abhängig. Messdaten und Safety-Gates überschreiben Kalender."</x:f>
        <x:v>UKD v9 evidence-guarded: Planwerte sind Ziele/Eligibility, keine automatische Freigabe. Eazy Plug/Block ist vorgepuffert; früher Basisfeed bleibt vom Propagation-/Pflanzengate abhängig. Messdaten und Safety-Gates überschreiben Kalender.</x:v>
      </x:c>
      <x:c r="AI3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3" s="201" t="str">
        <x:f>IF(A3&lt;'01_Run_Config'!$B$32,"—",IF(A3&lt;'01_Run_Config'!$B$33,"G"&amp;MIN(4,INT((A3-'01_Run_Config'!$B$32)/7)+1),AM3))</x:f>
        <x:v>—</x:v>
      </x:c>
      <x:c r="AK3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3" s="60" t="str">
        <x:f>IF(A3&lt;'01_Run_Config'!$B$33,"",A3-'01_Run_Config'!$B$33+1)</x:f>
      </x:c>
      <x:c r="AM3" s="60" t="str">
        <x:f>IF(AL3="","",IF(AL3&gt;49,CHAR(66)&amp;"7+",CHAR(66)&amp;TEXT(INT((AL3-1)/7)+1,"0")))</x:f>
      </x:c>
      <x:c r="AN3" s="60" t="n">
        <x:f>ROUND(0.6108*EXP(17.27*L3/(L3+237.3))*(1-N3/100),2)</x:f>
        <x:v>0.86</x:v>
      </x:c>
      <x:c r="AO3" s="60" t="n">
        <x:f>H3*G3/1000</x:f>
        <x:v>0.54</x:v>
      </x:c>
      <x:c r="AP3" s="60" t="n">
        <x:f>SUM($AO$2:AO3)</x:f>
        <x:v>1.08</x:v>
      </x:c>
      <x:c r="AQ3" t="n">
        <x:f>'01_Run_Config'!$B$17</x:f>
        <x:v>0</x:v>
      </x:c>
      <x:c r="AR3" t="n">
        <x:f>'01_Run_Config'!$B$22</x:f>
        <x:v>0</x:v>
      </x:c>
      <x:c r="AS3" t="n">
        <x:f>'01_Run_Config'!$B$25</x:f>
        <x:v>0</x:v>
      </x:c>
      <x:c r="AT3" t="n">
        <x:f>IF(AND('01_Run_Config'!$B$46="Voodoo + Piranha + Tarantula",AC3&gt;0),2,0)</x:f>
        <x:v>0</x:v>
      </x:c>
      <x:c r="AU3" t="n">
        <x:f>IF(AND(OR('01_Run_Config'!$B$46="Voodoo + Tarantula",'01_Run_Config'!$B$46="Voodoo + Piranha + Tarantula"),AC3&gt;0),2,0)</x:f>
        <x:v>0</x:v>
      </x:c>
      <x:c r="AV3" t="n">
        <x:f>IF('01_Run_Config'!$B$47&lt;&gt;"ON / A-B",0,IF(OR(AND(A3&gt;='01_Run_Config'!$B$32,A3&lt;'01_Run_Config'!$B$33),AND(ISNUMBER(AL3),AL3&gt;=15,AL3&lt;=49)),2,0))</x:f>
        <x:v>0</x:v>
      </x:c>
      <x:c r="AW3" t="n">
        <x:f>IF('01_Run_Config'!$B$48="AN Bud Candy (replaces HESI Boost)",IF(AND(A3&gt;='01_Run_Config'!$B$32,OR(AL3="",AL3&lt;=49)),2,0),0)</x:f>
        <x:v>0</x:v>
      </x:c>
      <x:c r="AX3" t="n">
        <x:f>IF('01_Run_Config'!$B$49&lt;&gt;"ON / EXPERIMENTAL",0,IF(OR(AND(A3&gt;='01_Run_Config'!$B$32+7,A3&lt;'01_Run_Config'!$B$33),AND(ISNUMBER(AL3),AL3&gt;=1,AL3&lt;=49)),2,0))</x:f>
        <x:v>0</x:v>
      </x:c>
      <x:c r="AY3" t="n">
        <x:f>IF('01_Run_Config'!$B$50="AN Sensizym",IF(AND(A3&gt;='01_Run_Config'!$B$32,OR(AL3="",AL3&lt;=49)),2,0),0)</x:f>
        <x:v>0</x:v>
      </x:c>
      <x:c r="AZ3" t="n">
        <x:f>IF('01_Run_Config'!$B$51="AN Rhino Skin",IF(AND(A3&gt;='01_Run_Config'!$B$32,OR(AL3="",AL3&lt;=49)),2,0),0)</x:f>
        <x:v>0</x:v>
      </x:c>
      <x:c r="BA3" t="n">
        <x:f>IF(AND('01_Run_Config'!$B$52="AN Bud Ignitor &gt; Big Bud &gt; Overdrive",ISNUMBER(AL3),AL3&gt;=1,AL3&lt;=14),2,0)</x:f>
        <x:v>0</x:v>
      </x:c>
      <x:c r="BB3" t="n">
        <x:f>IF(AND('01_Run_Config'!$B$52="AN Bud Ignitor &gt; Big Bud &gt; Overdrive",ISNUMBER(AL3),AL3&gt;=8,AL3&lt;=35),2,0)</x:f>
        <x:v>0</x:v>
      </x:c>
      <x:c r="BC3" t="n">
        <x:f>IF(AND('01_Run_Config'!$B$52="AN Bud Ignitor &gt; Big Bud &gt; Overdrive",ISNUMBER(AL3),AL3&gt;=36,AL3&lt;=49),2,0)</x:f>
        <x:v>0</x:v>
      </x:c>
      <x:c r="BD3" t="n">
        <x:f>IF('01_Run_Config'!$B$53="ON / EXPERIMENTAL",IF(OR(AND(A3&gt;='01_Run_Config'!$B$32,A3&lt;'01_Run_Config'!$B$33),AND(ISNUMBER(AL3),AL3&gt;=15,AL3&lt;=49)),2,0),0)</x:f>
        <x:v>0</x:v>
      </x:c>
      <x:c r="BE3" t="n">
        <x:f>IF('01_Run_Config'!$B$54="AN Sensi CalMag Xtra conditional",'01_Run_Config'!$B$17,0)</x:f>
        <x:v>0</x:v>
      </x:c>
      <x:c r="BF3" t="n">
        <x:f>0</x:f>
        <x:v>0</x:v>
      </x:c>
      <x:c r="BG3" t="str">
        <x:f>'01_Run_Config'!$E$57</x:f>
        <x:v>OK</x:v>
      </x:c>
      <x:c r="BH3" t="str">
        <x:f>IF(SUM(AC3,AT3:BF3)=0,"keine AN-Dosis heute",IF(AC3&gt;0,"Voodoo "&amp;AC3&amp;" ml/L; ","")&amp;IF(AT3&gt;0,"Piranha "&amp;AT3&amp;" ml/L; ","")&amp;IF(AU3&gt;0,"Tarantula "&amp;AU3&amp;" ml/L; ","")&amp;IF(AV3&gt;0,"B-52 "&amp;AV3&amp;" ml/L; ","")&amp;IF(AW3&gt;0,"Bud Candy "&amp;AW3&amp;" ml/L; ","")&amp;IF(AX3&gt;0,"Bud Factor X "&amp;AX3&amp;" ml/L; ","")&amp;IF(AY3&gt;0,"Sensizym "&amp;AY3&amp;" ml/L; ","")&amp;IF(AZ3&gt;0,"Rhino Skin "&amp;AZ3&amp;" ml/L; ","")&amp;IF(BA3&gt;0,"Bud Ignitor "&amp;BA3&amp;" ml/L; ","")&amp;IF(BB3&gt;0,"Big Bud "&amp;BB3&amp;" ml/L; ","")&amp;IF(BC3&gt;0,"Overdrive "&amp;BC3&amp;" ml/L; ","")&amp;IF(BD3&gt;0,"Tasty Terpenes "&amp;BD3&amp;" ml/L; ","")&amp;IF(BE3&gt;0,"Sensi CalMag "&amp;BE3&amp;" ml/L",""))</x:f>
        <x:v>keine AN-Dosis heute</x:v>
      </x:c>
    </x:row>
    <x:row r="4">
      <x:c r="A4" s="34" t="n">
        <x:v>2</x:v>
      </x:c>
      <x:c r="B4" s="129" t="n">
        <x:f>'01_Run_Config'!$B$4+A4</x:f>
        <x:v>46244</x:v>
      </x:c>
      <x:c r="C4" s="63" t="n">
        <x:f>INT(A4/7)+1</x:f>
        <x:v>1</x:v>
      </x:c>
      <x:c r="D4" s="63" t="str">
        <x:f>"M"&amp;MIN(3,INT(A4/30)+1)</x:f>
        <x:v>M1</x:v>
      </x:c>
      <x:c r="E4" s="63" t="str">
        <x:f>IF(A4&lt;4,"Keimung",IF(A4&lt;8,"Etablierung",IF(A4&lt;15,"Early Veg",IF(A4&lt;'01_Run_Config'!$B$33,IF(A4&lt;22,"Veg / LST","Preflower-Watch"),IF(A4-'01_Run_Config'!$B$33&lt;=6,"Transition / Stretch ("&amp;AM4&amp;")",IF(A4-'01_Run_Config'!$B$33&lt;=13,"Early Flower ("&amp;AM4&amp;")",IF(A4-'01_Run_Config'!$B$33&lt;=20,"Flower I ("&amp;AM4&amp;")",IF(A4-'01_Run_Config'!$B$33&lt;=34,"Peak Flower ("&amp;AM4&amp;")",IF(A4-'01_Run_Config'!$B$33&lt;=41,"Late Flower ("&amp;AM4&amp;")",IF(A4-'01_Run_Config'!$B$33&lt;=48,"Ripening ("&amp;AM4&amp;")","Harvest / Extension ("&amp;AM4&amp;")"))))))))))</x:f>
        <x:v>Keimung</x:v>
      </x:c>
      <x:c r="F4" s="63" t="str">
        <x:f>IF(A4&lt;4,"Keimung + Wurzelstart",IF(A4&lt;8,"Sämling etablieren; Wurzelraum erschließen",IF(A4&lt;15,"kompakter Aufbau; LST erst bei Vitalität",IF(A4&lt;'01_Run_Config'!$B$33,"Canopy aufbauen; Preflower beobachten",IF(A4-'01_Run_Config'!$B$33&lt;=6,"Stretch kontrollieren; Bloom-Trigger dokumentieren",IF(A4-'01_Run_Config'!$B$33&lt;=13,"Blütenansatz stabilisieren",IF(A4-'01_Run_Config'!$B$33&lt;=20,"Blütenaufbau ohne neue Stressoren",IF(A4-'01_Run_Config'!$B$33&lt;=34,"stabile Peak-Photosynthese; Klima priorisieren",IF(A4-'01_Run_Config'!$B$33&lt;=41,"Qualität/Schimmelprävention",IF(A4-'01_Run_Config'!$B$33&lt;=48,"Reife ohne Überfütterung","Erntefenster nach Pflanze; keine Kalenderernte"))))))))))</x:f>
        <x:v>Keimung + Wurzelstart</x:v>
      </x:c>
      <x:c r="G4" s="63" t="n">
        <x:v>18</x:v>
      </x:c>
      <x:c r="H4" s="63" t="n">
        <x:v>30</x:v>
      </x:c>
      <x:c r="I4" s="63" t="n">
        <x:v>160</x:v>
      </x:c>
      <x:c r="J4" s="63" t="n">
        <x:f>I4*G4*3600/1000000</x:f>
        <x:v>10.368</x:v>
      </x:c>
      <x:c r="K4" s="63" t="n">
        <x:v>55</x:v>
      </x:c>
      <x:c r="L4" s="63" t="n">
        <x:v>25</x:v>
      </x:c>
      <x:c r="M4" s="63" t="n">
        <x:v>22.5</x:v>
      </x:c>
      <x:c r="N4" s="63" t="n">
        <x:v>73</x:v>
      </x:c>
      <x:c r="O4" s="63" t="n">
        <x:f>ROUND(0.6108*EXP(17.27*(L4+'01_Run_Config'!$B$34)/(L4+'01_Run_Config'!$B$34+237.3))-(N4/100)*0.6108*EXP(17.27*L4/(L4+237.3)),2)</x:f>
        <x:v>0.67</x:v>
      </x:c>
      <x:c r="P4" s="63" t="n">
        <x:f>IF(A4&lt;'01_Run_Config'!$B$32,0.55,IF(A4&lt;'01_Run_Config'!$B$33,IF(A4-'01_Run_Config'!$B$32&lt;=3,0.8,IF(A4-'01_Run_Config'!$B$32&lt;=10,1,IF(A4-'01_Run_Config'!$B$32&lt;=17,1.2,1.4))),IF(A4-'01_Run_Config'!$B$33&lt;=6,1.5,IF(A4-'01_Run_Config'!$B$33&lt;=13,1.6,IF(A4-'01_Run_Config'!$B$33&lt;=20,1.7,IF(A4-'01_Run_Config'!$B$33&lt;=34,1.8,IF(A4-'01_Run_Config'!$B$33&lt;=41,1.6,IF(A4-'01_Run_Config'!$B$33&lt;=48,1.4,1.15))))))))</x:f>
        <x:v>0.55</x:v>
      </x:c>
      <x:c r="Q4" s="63" t="n">
        <x:v>5.9</x:v>
      </x:c>
      <x:c r="R4" s="63" t="n">
        <x:v>0.03</x:v>
      </x:c>
      <x:c r="S4" s="63" t="n">
        <x:v>0.08</x:v>
      </x:c>
      <x:c r="T4" s="63" t="str">
        <x:f>IF(A4&lt;=7,"Manuell",'01_Run_Config'!$B$40)</x:f>
        <x:v>Manuell</x:v>
      </x:c>
      <x:c r="U4" s="63" t="str">
        <x:f>IF(A4&lt;'01_Run_Config'!$B$32,"Kein Basisdünger",IF(A4&lt;'01_Run_Config'!$B$33,"HESI TNT","HESI Coco"))</x:f>
        <x:v>Kein Basisdünger</x:v>
      </x:c>
      <x:c r="V4" s="63" t="n">
        <x:f>IF(A4&lt;'01_Run_Config'!$B$32,0,IF(A4&lt;'01_Run_Config'!$B$33,IF(A4-'01_Run_Config'!$B$32&lt;=3,1.25,IF(A4-'01_Run_Config'!$B$32&lt;=10,2,2.5)),IF(A4-'01_Run_Config'!$B$33&lt;=6,2.5,IF(A4-'01_Run_Config'!$B$33&lt;=13,3.25,IF(A4-'01_Run_Config'!$B$33&lt;=20,3.75,IF(A4-'01_Run_Config'!$B$33&lt;=34,4,IF(A4-'01_Run_Config'!$B$33&lt;=41,3.5,IF(A4-'01_Run_Config'!$B$33&lt;=48,2.5,1.5))))))))</x:f>
        <x:v>0</x:v>
      </x:c>
      <x:c r="W4" s="63" t="n">
        <x:f>IF(A4&lt;=14,2.5,0)</x:f>
        <x:v>2.5</x:v>
      </x:c>
      <x:c r="X4" s="63" t="n">
        <x:f>IF('01_Run_Config'!$B$50="AN Sensizym",0,IF(AND(A4&gt;='01_Run_Config'!$B$32,OR(AL4="",AL4&lt;=49)),2,0))</x:f>
        <x:v>0</x:v>
      </x:c>
      <x:c r="Y4" s="63" t="n">
        <x:f>0.015</x:f>
        <x:v>0.015</x:v>
      </x:c>
      <x:c r="Z4" s="63" t="n">
        <x:f>IF('01_Run_Config'!$B$51="HESI Hesilicio",2,0)</x:f>
        <x:v>0</x:v>
      </x:c>
      <x:c r="AA4" s="63" t="n">
        <x:f>IF('01_Run_Config'!$B$48="AN Bud Candy (replaces HESI Boost)",0,IF(AND(A4&gt;='01_Run_Config'!$B$33,MOD(A4-'01_Run_Config'!$B$33,7)=0),2,0))</x:f>
        <x:v>0</x:v>
      </x:c>
      <x:c r="AB4" s="63" t="n">
        <x:f>IF('01_Run_Config'!$B$52="AN Bud Ignitor &gt; Big Bud &gt; Overdrive",0,IF(AND(ISNUMBER(AL4),AL4&gt;=29,AL4&lt;=42),0.25+((AL4-29)/13)*0.25,0))</x:f>
        <x:v>0</x:v>
      </x:c>
      <x:c r="AC4" s="63" t="n">
        <x:f>IF('01_Run_Config'!$B$46="OFF",0,IF(OR(A4='01_Run_Config'!$B$32,A4='01_Run_Config'!$B$32+7,A4='01_Run_Config'!$B$33+1,A4='01_Run_Config'!$B$33+8),2,0))</x:f>
        <x:v>0</x:v>
      </x:c>
      <x:c r="AD4" s="63" t="str">
        <x:f>IF(BG4="BLOCK","HYBRID BLOCKED - Konfiguration prüfen",IF(SUM(AC4,AT4:BF4)&gt;0,"AN aktiv: "&amp;BH4,"AN: keine Dosis heute / Module aus"))</x:f>
        <x:v>AN: keine Dosis heute / Module aus</x:v>
      </x:c>
      <x:c r="AE4" s="63" t="str">
        <x:v>Kein Training</x:v>
      </x:c>
      <x:c r="AF4" s="63" t="str">
        <x:v>Morgens Klima/Pflanze/Bewässerung/Leck; Mitte Lichtphase Blattwinkel; vor Dunkel LF/Drain/stehendes Wasser.</x:v>
      </x:c>
      <x:c r="AG4" s="63" t="str">
        <x:v>EC nicht erhöhen bei steigender Diagnose-Drain-EC; PPFD nicht erhöhen bei Stress; Wasserband nie erzwingen; nie mehrere neue Booster gleichzeitig.</x:v>
      </x:c>
      <x:c r="AH4" s="35" t="str">
        <x:f>"UKD v9 evidence-guarded: Planwerte sind Ziele/Eligibility, keine automatische Freigabe. Eazy Plug/Block ist vorgepuffert; früher Basisfeed bleibt vom Propagation-/Pflanzengate abhängig. Messdaten und Safety-Gates überschreiben Kalender."</x:f>
        <x:v>UKD v9 evidence-guarded: Planwerte sind Ziele/Eligibility, keine automatische Freigabe. Eazy Plug/Block ist vorgepuffert; früher Basisfeed bleibt vom Propagation-/Pflanzengate abhängig. Messdaten und Safety-Gates überschreiben Kalender.</x:v>
      </x:c>
      <x:c r="AI4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4" s="201" t="str">
        <x:f>IF(A4&lt;'01_Run_Config'!$B$32,"—",IF(A4&lt;'01_Run_Config'!$B$33,"G"&amp;MIN(4,INT((A4-'01_Run_Config'!$B$32)/7)+1),AM4))</x:f>
        <x:v>—</x:v>
      </x:c>
      <x:c r="AK4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4" s="60" t="str">
        <x:f>IF(A4&lt;'01_Run_Config'!$B$33,"",A4-'01_Run_Config'!$B$33+1)</x:f>
      </x:c>
      <x:c r="AM4" s="60" t="str">
        <x:f>IF(AL4="","",IF(AL4&gt;49,CHAR(66)&amp;"7+",CHAR(66)&amp;TEXT(INT((AL4-1)/7)+1,"0")))</x:f>
      </x:c>
      <x:c r="AN4" s="60" t="n">
        <x:f>ROUND(0.6108*EXP(17.27*L4/(L4+237.3))*(1-N4/100),2)</x:f>
        <x:v>0.86</x:v>
      </x:c>
      <x:c r="AO4" s="60" t="n">
        <x:f>H4*G4/1000</x:f>
        <x:v>0.54</x:v>
      </x:c>
      <x:c r="AP4" s="60" t="n">
        <x:f>SUM($AO$2:AO4)</x:f>
        <x:v>1.62</x:v>
      </x:c>
      <x:c r="AQ4" t="n">
        <x:f>'01_Run_Config'!$B$17</x:f>
        <x:v>0</x:v>
      </x:c>
      <x:c r="AR4" t="n">
        <x:f>'01_Run_Config'!$B$22</x:f>
        <x:v>0</x:v>
      </x:c>
      <x:c r="AS4" t="n">
        <x:f>'01_Run_Config'!$B$25</x:f>
        <x:v>0</x:v>
      </x:c>
      <x:c r="AT4" t="n">
        <x:f>IF(AND('01_Run_Config'!$B$46="Voodoo + Piranha + Tarantula",AC4&gt;0),2,0)</x:f>
        <x:v>0</x:v>
      </x:c>
      <x:c r="AU4" t="n">
        <x:f>IF(AND(OR('01_Run_Config'!$B$46="Voodoo + Tarantula",'01_Run_Config'!$B$46="Voodoo + Piranha + Tarantula"),AC4&gt;0),2,0)</x:f>
        <x:v>0</x:v>
      </x:c>
      <x:c r="AV4" t="n">
        <x:f>IF('01_Run_Config'!$B$47&lt;&gt;"ON / A-B",0,IF(OR(AND(A4&gt;='01_Run_Config'!$B$32,A4&lt;'01_Run_Config'!$B$33),AND(ISNUMBER(AL4),AL4&gt;=15,AL4&lt;=49)),2,0))</x:f>
        <x:v>0</x:v>
      </x:c>
      <x:c r="AW4" t="n">
        <x:f>IF('01_Run_Config'!$B$48="AN Bud Candy (replaces HESI Boost)",IF(AND(A4&gt;='01_Run_Config'!$B$32,OR(AL4="",AL4&lt;=49)),2,0),0)</x:f>
        <x:v>0</x:v>
      </x:c>
      <x:c r="AX4" t="n">
        <x:f>IF('01_Run_Config'!$B$49&lt;&gt;"ON / EXPERIMENTAL",0,IF(OR(AND(A4&gt;='01_Run_Config'!$B$32+7,A4&lt;'01_Run_Config'!$B$33),AND(ISNUMBER(AL4),AL4&gt;=1,AL4&lt;=49)),2,0))</x:f>
        <x:v>0</x:v>
      </x:c>
      <x:c r="AY4" t="n">
        <x:f>IF('01_Run_Config'!$B$50="AN Sensizym",IF(AND(A4&gt;='01_Run_Config'!$B$32,OR(AL4="",AL4&lt;=49)),2,0),0)</x:f>
        <x:v>0</x:v>
      </x:c>
      <x:c r="AZ4" t="n">
        <x:f>IF('01_Run_Config'!$B$51="AN Rhino Skin",IF(AND(A4&gt;='01_Run_Config'!$B$32,OR(AL4="",AL4&lt;=49)),2,0),0)</x:f>
        <x:v>0</x:v>
      </x:c>
      <x:c r="BA4" t="n">
        <x:f>IF(AND('01_Run_Config'!$B$52="AN Bud Ignitor &gt; Big Bud &gt; Overdrive",ISNUMBER(AL4),AL4&gt;=1,AL4&lt;=14),2,0)</x:f>
        <x:v>0</x:v>
      </x:c>
      <x:c r="BB4" t="n">
        <x:f>IF(AND('01_Run_Config'!$B$52="AN Bud Ignitor &gt; Big Bud &gt; Overdrive",ISNUMBER(AL4),AL4&gt;=8,AL4&lt;=35),2,0)</x:f>
        <x:v>0</x:v>
      </x:c>
      <x:c r="BC4" t="n">
        <x:f>IF(AND('01_Run_Config'!$B$52="AN Bud Ignitor &gt; Big Bud &gt; Overdrive",ISNUMBER(AL4),AL4&gt;=36,AL4&lt;=49),2,0)</x:f>
        <x:v>0</x:v>
      </x:c>
      <x:c r="BD4" t="n">
        <x:f>IF('01_Run_Config'!$B$53="ON / EXPERIMENTAL",IF(OR(AND(A4&gt;='01_Run_Config'!$B$32,A4&lt;'01_Run_Config'!$B$33),AND(ISNUMBER(AL4),AL4&gt;=15,AL4&lt;=49)),2,0),0)</x:f>
        <x:v>0</x:v>
      </x:c>
      <x:c r="BE4" t="n">
        <x:f>IF('01_Run_Config'!$B$54="AN Sensi CalMag Xtra conditional",'01_Run_Config'!$B$17,0)</x:f>
        <x:v>0</x:v>
      </x:c>
      <x:c r="BF4" t="n">
        <x:f>0</x:f>
        <x:v>0</x:v>
      </x:c>
      <x:c r="BG4" t="str">
        <x:f>'01_Run_Config'!$E$57</x:f>
        <x:v>OK</x:v>
      </x:c>
      <x:c r="BH4" t="str">
        <x:f>IF(SUM(AC4,AT4:BF4)=0,"keine AN-Dosis heute",IF(AC4&gt;0,"Voodoo "&amp;AC4&amp;" ml/L; ","")&amp;IF(AT4&gt;0,"Piranha "&amp;AT4&amp;" ml/L; ","")&amp;IF(AU4&gt;0,"Tarantula "&amp;AU4&amp;" ml/L; ","")&amp;IF(AV4&gt;0,"B-52 "&amp;AV4&amp;" ml/L; ","")&amp;IF(AW4&gt;0,"Bud Candy "&amp;AW4&amp;" ml/L; ","")&amp;IF(AX4&gt;0,"Bud Factor X "&amp;AX4&amp;" ml/L; ","")&amp;IF(AY4&gt;0,"Sensizym "&amp;AY4&amp;" ml/L; ","")&amp;IF(AZ4&gt;0,"Rhino Skin "&amp;AZ4&amp;" ml/L; ","")&amp;IF(BA4&gt;0,"Bud Ignitor "&amp;BA4&amp;" ml/L; ","")&amp;IF(BB4&gt;0,"Big Bud "&amp;BB4&amp;" ml/L; ","")&amp;IF(BC4&gt;0,"Overdrive "&amp;BC4&amp;" ml/L; ","")&amp;IF(BD4&gt;0,"Tasty Terpenes "&amp;BD4&amp;" ml/L; ","")&amp;IF(BE4&gt;0,"Sensi CalMag "&amp;BE4&amp;" ml/L",""))</x:f>
        <x:v>keine AN-Dosis heute</x:v>
      </x:c>
    </x:row>
    <x:row r="5">
      <x:c r="A5" s="34" t="n">
        <x:v>3</x:v>
      </x:c>
      <x:c r="B5" s="129" t="n">
        <x:f>'01_Run_Config'!$B$4+A5</x:f>
        <x:v>46245</x:v>
      </x:c>
      <x:c r="C5" s="63" t="n">
        <x:f>INT(A5/7)+1</x:f>
        <x:v>1</x:v>
      </x:c>
      <x:c r="D5" s="63" t="str">
        <x:f>"M"&amp;MIN(3,INT(A5/30)+1)</x:f>
        <x:v>M1</x:v>
      </x:c>
      <x:c r="E5" s="63" t="str">
        <x:f>IF(A5&lt;4,"Keimung",IF(A5&lt;8,"Etablierung",IF(A5&lt;15,"Early Veg",IF(A5&lt;'01_Run_Config'!$B$33,IF(A5&lt;22,"Veg / LST","Preflower-Watch"),IF(A5-'01_Run_Config'!$B$33&lt;=6,"Transition / Stretch ("&amp;AM5&amp;")",IF(A5-'01_Run_Config'!$B$33&lt;=13,"Early Flower ("&amp;AM5&amp;")",IF(A5-'01_Run_Config'!$B$33&lt;=20,"Flower I ("&amp;AM5&amp;")",IF(A5-'01_Run_Config'!$B$33&lt;=34,"Peak Flower ("&amp;AM5&amp;")",IF(A5-'01_Run_Config'!$B$33&lt;=41,"Late Flower ("&amp;AM5&amp;")",IF(A5-'01_Run_Config'!$B$33&lt;=48,"Ripening ("&amp;AM5&amp;")","Harvest / Extension ("&amp;AM5&amp;")"))))))))))</x:f>
        <x:v>Keimung</x:v>
      </x:c>
      <x:c r="F5" s="63" t="str">
        <x:f>IF(A5&lt;4,"Keimung + Wurzelstart",IF(A5&lt;8,"Sämling etablieren; Wurzelraum erschließen",IF(A5&lt;15,"kompakter Aufbau; LST erst bei Vitalität",IF(A5&lt;'01_Run_Config'!$B$33,"Canopy aufbauen; Preflower beobachten",IF(A5-'01_Run_Config'!$B$33&lt;=6,"Stretch kontrollieren; Bloom-Trigger dokumentieren",IF(A5-'01_Run_Config'!$B$33&lt;=13,"Blütenansatz stabilisieren",IF(A5-'01_Run_Config'!$B$33&lt;=20,"Blütenaufbau ohne neue Stressoren",IF(A5-'01_Run_Config'!$B$33&lt;=34,"stabile Peak-Photosynthese; Klima priorisieren",IF(A5-'01_Run_Config'!$B$33&lt;=41,"Qualität/Schimmelprävention",IF(A5-'01_Run_Config'!$B$33&lt;=48,"Reife ohne Überfütterung","Erntefenster nach Pflanze; keine Kalenderernte"))))))))))</x:f>
        <x:v>Keimung + Wurzelstart</x:v>
      </x:c>
      <x:c r="G5" s="63" t="n">
        <x:v>18</x:v>
      </x:c>
      <x:c r="H5" s="63" t="n">
        <x:v>30</x:v>
      </x:c>
      <x:c r="I5" s="63" t="n">
        <x:v>160</x:v>
      </x:c>
      <x:c r="J5" s="63" t="n">
        <x:f>I5*G5*3600/1000000</x:f>
        <x:v>10.368</x:v>
      </x:c>
      <x:c r="K5" s="63" t="n">
        <x:v>55</x:v>
      </x:c>
      <x:c r="L5" s="63" t="n">
        <x:v>25</x:v>
      </x:c>
      <x:c r="M5" s="63" t="n">
        <x:v>22.5</x:v>
      </x:c>
      <x:c r="N5" s="63" t="n">
        <x:v>73</x:v>
      </x:c>
      <x:c r="O5" s="63" t="n">
        <x:f>ROUND(0.6108*EXP(17.27*(L5+'01_Run_Config'!$B$34)/(L5+'01_Run_Config'!$B$34+237.3))-(N5/100)*0.6108*EXP(17.27*L5/(L5+237.3)),2)</x:f>
        <x:v>0.67</x:v>
      </x:c>
      <x:c r="P5" s="63" t="n">
        <x:f>IF(A5&lt;'01_Run_Config'!$B$32,0.55,IF(A5&lt;'01_Run_Config'!$B$33,IF(A5-'01_Run_Config'!$B$32&lt;=3,0.8,IF(A5-'01_Run_Config'!$B$32&lt;=10,1,IF(A5-'01_Run_Config'!$B$32&lt;=17,1.2,1.4))),IF(A5-'01_Run_Config'!$B$33&lt;=6,1.5,IF(A5-'01_Run_Config'!$B$33&lt;=13,1.6,IF(A5-'01_Run_Config'!$B$33&lt;=20,1.7,IF(A5-'01_Run_Config'!$B$33&lt;=34,1.8,IF(A5-'01_Run_Config'!$B$33&lt;=41,1.6,IF(A5-'01_Run_Config'!$B$33&lt;=48,1.4,1.15))))))))</x:f>
        <x:v>0.55</x:v>
      </x:c>
      <x:c r="Q5" s="63" t="n">
        <x:v>5.9</x:v>
      </x:c>
      <x:c r="R5" s="63" t="n">
        <x:v>0.03</x:v>
      </x:c>
      <x:c r="S5" s="63" t="n">
        <x:v>0.08</x:v>
      </x:c>
      <x:c r="T5" s="63" t="str">
        <x:f>IF(A5&lt;=7,"Manuell",'01_Run_Config'!$B$40)</x:f>
        <x:v>Manuell</x:v>
      </x:c>
      <x:c r="U5" s="63" t="str">
        <x:f>IF(A5&lt;'01_Run_Config'!$B$32,"Kein Basisdünger",IF(A5&lt;'01_Run_Config'!$B$33,"HESI TNT","HESI Coco"))</x:f>
        <x:v>Kein Basisdünger</x:v>
      </x:c>
      <x:c r="V5" s="63" t="n">
        <x:f>IF(A5&lt;'01_Run_Config'!$B$32,0,IF(A5&lt;'01_Run_Config'!$B$33,IF(A5-'01_Run_Config'!$B$32&lt;=3,1.25,IF(A5-'01_Run_Config'!$B$32&lt;=10,2,2.5)),IF(A5-'01_Run_Config'!$B$33&lt;=6,2.5,IF(A5-'01_Run_Config'!$B$33&lt;=13,3.25,IF(A5-'01_Run_Config'!$B$33&lt;=20,3.75,IF(A5-'01_Run_Config'!$B$33&lt;=34,4,IF(A5-'01_Run_Config'!$B$33&lt;=41,3.5,IF(A5-'01_Run_Config'!$B$33&lt;=48,2.5,1.5))))))))</x:f>
        <x:v>0</x:v>
      </x:c>
      <x:c r="W5" s="63" t="n">
        <x:f>IF(A5&lt;=14,2.5,0)</x:f>
        <x:v>2.5</x:v>
      </x:c>
      <x:c r="X5" s="63" t="n">
        <x:f>IF('01_Run_Config'!$B$50="AN Sensizym",0,IF(AND(A5&gt;='01_Run_Config'!$B$32,OR(AL5="",AL5&lt;=49)),2,0))</x:f>
        <x:v>0</x:v>
      </x:c>
      <x:c r="Y5" s="63" t="n">
        <x:f>0.015</x:f>
        <x:v>0.015</x:v>
      </x:c>
      <x:c r="Z5" s="63" t="n">
        <x:f>IF('01_Run_Config'!$B$51="HESI Hesilicio",2,0)</x:f>
        <x:v>0</x:v>
      </x:c>
      <x:c r="AA5" s="63" t="n">
        <x:f>IF('01_Run_Config'!$B$48="AN Bud Candy (replaces HESI Boost)",0,IF(AND(A5&gt;='01_Run_Config'!$B$33,MOD(A5-'01_Run_Config'!$B$33,7)=0),2,0))</x:f>
        <x:v>0</x:v>
      </x:c>
      <x:c r="AB5" s="63" t="n">
        <x:f>IF('01_Run_Config'!$B$52="AN Bud Ignitor &gt; Big Bud &gt; Overdrive",0,IF(AND(ISNUMBER(AL5),AL5&gt;=29,AL5&lt;=42),0.25+((AL5-29)/13)*0.25,0))</x:f>
        <x:v>0</x:v>
      </x:c>
      <x:c r="AC5" s="63" t="n">
        <x:f>IF('01_Run_Config'!$B$46="OFF",0,IF(OR(A5='01_Run_Config'!$B$32,A5='01_Run_Config'!$B$32+7,A5='01_Run_Config'!$B$33+1,A5='01_Run_Config'!$B$33+8),2,0))</x:f>
        <x:v>0</x:v>
      </x:c>
      <x:c r="AD5" s="63" t="str">
        <x:f>IF(BG5="BLOCK","HYBRID BLOCKED - Konfiguration prüfen",IF(SUM(AC5,AT5:BF5)&gt;0,"AN aktiv: "&amp;BH5,"AN: keine Dosis heute / Module aus"))</x:f>
        <x:v>AN: keine Dosis heute / Module aus</x:v>
      </x:c>
      <x:c r="AE5" s="63" t="str">
        <x:v>Kein Training</x:v>
      </x:c>
      <x:c r="AF5" s="63" t="str">
        <x:v>Morgens Klima/Pflanze/Bewässerung/Leck; Mitte Lichtphase Blattwinkel; vor Dunkel LF/Drain/stehendes Wasser.</x:v>
      </x:c>
      <x:c r="AG5" s="63" t="str">
        <x:v>EC nicht erhöhen bei steigender Diagnose-Drain-EC; PPFD nicht erhöhen bei Stress; Wasserband nie erzwingen; nie mehrere neue Booster gleichzeitig.</x:v>
      </x:c>
      <x:c r="AH5" s="35" t="str">
        <x:f>"UKD v9 evidence-guarded: Planwerte sind Ziele/Eligibility, keine automatische Freigabe. Eazy Plug/Block ist vorgepuffert; früher Basisfeed bleibt vom Propagation-/Pflanzengate abhängig. Messdaten und Safety-Gates überschreiben Kalender."</x:f>
        <x:v>UKD v9 evidence-guarded: Planwerte sind Ziele/Eligibility, keine automatische Freigabe. Eazy Plug/Block ist vorgepuffert; früher Basisfeed bleibt vom Propagation-/Pflanzengate abhängig. Messdaten und Safety-Gates überschreiben Kalender.</x:v>
      </x:c>
      <x:c r="AI5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5" s="201" t="str">
        <x:f>IF(A5&lt;'01_Run_Config'!$B$32,"—",IF(A5&lt;'01_Run_Config'!$B$33,"G"&amp;MIN(4,INT((A5-'01_Run_Config'!$B$32)/7)+1),AM5))</x:f>
        <x:v>—</x:v>
      </x:c>
      <x:c r="AK5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5" s="60" t="str">
        <x:f>IF(A5&lt;'01_Run_Config'!$B$33,"",A5-'01_Run_Config'!$B$33+1)</x:f>
      </x:c>
      <x:c r="AM5" s="60" t="str">
        <x:f>IF(AL5="","",IF(AL5&gt;49,CHAR(66)&amp;"7+",CHAR(66)&amp;TEXT(INT((AL5-1)/7)+1,"0")))</x:f>
      </x:c>
      <x:c r="AN5" s="60" t="n">
        <x:f>ROUND(0.6108*EXP(17.27*L5/(L5+237.3))*(1-N5/100),2)</x:f>
        <x:v>0.86</x:v>
      </x:c>
      <x:c r="AO5" s="60" t="n">
        <x:f>H5*G5/1000</x:f>
        <x:v>0.54</x:v>
      </x:c>
      <x:c r="AP5" s="60" t="n">
        <x:f>SUM($AO$2:AO5)</x:f>
        <x:v>2.16</x:v>
      </x:c>
      <x:c r="AQ5" t="n">
        <x:f>'01_Run_Config'!$B$17</x:f>
        <x:v>0</x:v>
      </x:c>
      <x:c r="AR5" t="n">
        <x:f>'01_Run_Config'!$B$22</x:f>
        <x:v>0</x:v>
      </x:c>
      <x:c r="AS5" t="n">
        <x:f>'01_Run_Config'!$B$25</x:f>
        <x:v>0</x:v>
      </x:c>
      <x:c r="AT5" t="n">
        <x:f>IF(AND('01_Run_Config'!$B$46="Voodoo + Piranha + Tarantula",AC5&gt;0),2,0)</x:f>
        <x:v>0</x:v>
      </x:c>
      <x:c r="AU5" t="n">
        <x:f>IF(AND(OR('01_Run_Config'!$B$46="Voodoo + Tarantula",'01_Run_Config'!$B$46="Voodoo + Piranha + Tarantula"),AC5&gt;0),2,0)</x:f>
        <x:v>0</x:v>
      </x:c>
      <x:c r="AV5" t="n">
        <x:f>IF('01_Run_Config'!$B$47&lt;&gt;"ON / A-B",0,IF(OR(AND(A5&gt;='01_Run_Config'!$B$32,A5&lt;'01_Run_Config'!$B$33),AND(ISNUMBER(AL5),AL5&gt;=15,AL5&lt;=49)),2,0))</x:f>
        <x:v>0</x:v>
      </x:c>
      <x:c r="AW5" t="n">
        <x:f>IF('01_Run_Config'!$B$48="AN Bud Candy (replaces HESI Boost)",IF(AND(A5&gt;='01_Run_Config'!$B$32,OR(AL5="",AL5&lt;=49)),2,0),0)</x:f>
        <x:v>0</x:v>
      </x:c>
      <x:c r="AX5" t="n">
        <x:f>IF('01_Run_Config'!$B$49&lt;&gt;"ON / EXPERIMENTAL",0,IF(OR(AND(A5&gt;='01_Run_Config'!$B$32+7,A5&lt;'01_Run_Config'!$B$33),AND(ISNUMBER(AL5),AL5&gt;=1,AL5&lt;=49)),2,0))</x:f>
        <x:v>0</x:v>
      </x:c>
      <x:c r="AY5" t="n">
        <x:f>IF('01_Run_Config'!$B$50="AN Sensizym",IF(AND(A5&gt;='01_Run_Config'!$B$32,OR(AL5="",AL5&lt;=49)),2,0),0)</x:f>
        <x:v>0</x:v>
      </x:c>
      <x:c r="AZ5" t="n">
        <x:f>IF('01_Run_Config'!$B$51="AN Rhino Skin",IF(AND(A5&gt;='01_Run_Config'!$B$32,OR(AL5="",AL5&lt;=49)),2,0),0)</x:f>
        <x:v>0</x:v>
      </x:c>
      <x:c r="BA5" t="n">
        <x:f>IF(AND('01_Run_Config'!$B$52="AN Bud Ignitor &gt; Big Bud &gt; Overdrive",ISNUMBER(AL5),AL5&gt;=1,AL5&lt;=14),2,0)</x:f>
        <x:v>0</x:v>
      </x:c>
      <x:c r="BB5" t="n">
        <x:f>IF(AND('01_Run_Config'!$B$52="AN Bud Ignitor &gt; Big Bud &gt; Overdrive",ISNUMBER(AL5),AL5&gt;=8,AL5&lt;=35),2,0)</x:f>
        <x:v>0</x:v>
      </x:c>
      <x:c r="BC5" t="n">
        <x:f>IF(AND('01_Run_Config'!$B$52="AN Bud Ignitor &gt; Big Bud &gt; Overdrive",ISNUMBER(AL5),AL5&gt;=36,AL5&lt;=49),2,0)</x:f>
        <x:v>0</x:v>
      </x:c>
      <x:c r="BD5" t="n">
        <x:f>IF('01_Run_Config'!$B$53="ON / EXPERIMENTAL",IF(OR(AND(A5&gt;='01_Run_Config'!$B$32,A5&lt;'01_Run_Config'!$B$33),AND(ISNUMBER(AL5),AL5&gt;=15,AL5&lt;=49)),2,0),0)</x:f>
        <x:v>0</x:v>
      </x:c>
      <x:c r="BE5" t="n">
        <x:f>IF('01_Run_Config'!$B$54="AN Sensi CalMag Xtra conditional",'01_Run_Config'!$B$17,0)</x:f>
        <x:v>0</x:v>
      </x:c>
      <x:c r="BF5" t="n">
        <x:f>0</x:f>
        <x:v>0</x:v>
      </x:c>
      <x:c r="BG5" t="str">
        <x:f>'01_Run_Config'!$E$57</x:f>
        <x:v>OK</x:v>
      </x:c>
      <x:c r="BH5" t="str">
        <x:f>IF(SUM(AC5,AT5:BF5)=0,"keine AN-Dosis heute",IF(AC5&gt;0,"Voodoo "&amp;AC5&amp;" ml/L; ","")&amp;IF(AT5&gt;0,"Piranha "&amp;AT5&amp;" ml/L; ","")&amp;IF(AU5&gt;0,"Tarantula "&amp;AU5&amp;" ml/L; ","")&amp;IF(AV5&gt;0,"B-52 "&amp;AV5&amp;" ml/L; ","")&amp;IF(AW5&gt;0,"Bud Candy "&amp;AW5&amp;" ml/L; ","")&amp;IF(AX5&gt;0,"Bud Factor X "&amp;AX5&amp;" ml/L; ","")&amp;IF(AY5&gt;0,"Sensizym "&amp;AY5&amp;" ml/L; ","")&amp;IF(AZ5&gt;0,"Rhino Skin "&amp;AZ5&amp;" ml/L; ","")&amp;IF(BA5&gt;0,"Bud Ignitor "&amp;BA5&amp;" ml/L; ","")&amp;IF(BB5&gt;0,"Big Bud "&amp;BB5&amp;" ml/L; ","")&amp;IF(BC5&gt;0,"Overdrive "&amp;BC5&amp;" ml/L; ","")&amp;IF(BD5&gt;0,"Tasty Terpenes "&amp;BD5&amp;" ml/L; ","")&amp;IF(BE5&gt;0,"Sensi CalMag "&amp;BE5&amp;" ml/L",""))</x:f>
        <x:v>keine AN-Dosis heute</x:v>
      </x:c>
    </x:row>
    <x:row r="6">
      <x:c r="A6" s="34" t="n">
        <x:v>4</x:v>
      </x:c>
      <x:c r="B6" s="129" t="n">
        <x:f>'01_Run_Config'!$B$4+A6</x:f>
        <x:v>46246</x:v>
      </x:c>
      <x:c r="C6" s="63" t="n">
        <x:f>INT(A6/7)+1</x:f>
        <x:v>1</x:v>
      </x:c>
      <x:c r="D6" s="63" t="str">
        <x:f>"M"&amp;MIN(3,INT(A6/30)+1)</x:f>
        <x:v>M1</x:v>
      </x:c>
      <x:c r="E6" s="63" t="str">
        <x:f>IF(A6&lt;4,"Keimung",IF(A6&lt;8,"Etablierung",IF(A6&lt;15,"Early Veg",IF(A6&lt;'01_Run_Config'!$B$33,IF(A6&lt;22,"Veg / LST","Preflower-Watch"),IF(A6-'01_Run_Config'!$B$33&lt;=6,"Transition / Stretch ("&amp;AM6&amp;")",IF(A6-'01_Run_Config'!$B$33&lt;=13,"Early Flower ("&amp;AM6&amp;")",IF(A6-'01_Run_Config'!$B$33&lt;=20,"Flower I ("&amp;AM6&amp;")",IF(A6-'01_Run_Config'!$B$33&lt;=34,"Peak Flower ("&amp;AM6&amp;")",IF(A6-'01_Run_Config'!$B$33&lt;=41,"Late Flower ("&amp;AM6&amp;")",IF(A6-'01_Run_Config'!$B$33&lt;=48,"Ripening ("&amp;AM6&amp;")","Harvest / Extension ("&amp;AM6&amp;")"))))))))))</x:f>
        <x:v>Etablierung</x:v>
      </x:c>
      <x:c r="F6" s="63" t="str">
        <x:f>IF(A6&lt;4,"Keimung + Wurzelstart",IF(A6&lt;8,"Sämling etablieren; Wurzelraum erschließen",IF(A6&lt;15,"kompakter Aufbau; LST erst bei Vitalität",IF(A6&lt;'01_Run_Config'!$B$33,"Canopy aufbauen; Preflower beobachten",IF(A6-'01_Run_Config'!$B$33&lt;=6,"Stretch kontrollieren; Bloom-Trigger dokumentieren",IF(A6-'01_Run_Config'!$B$33&lt;=13,"Blütenansatz stabilisieren",IF(A6-'01_Run_Config'!$B$33&lt;=20,"Blütenaufbau ohne neue Stressoren",IF(A6-'01_Run_Config'!$B$33&lt;=34,"stabile Peak-Photosynthese; Klima priorisieren",IF(A6-'01_Run_Config'!$B$33&lt;=41,"Qualität/Schimmelprävention",IF(A6-'01_Run_Config'!$B$33&lt;=48,"Reife ohne Überfütterung","Erntefenster nach Pflanze; keine Kalenderernte"))))))))))</x:f>
        <x:v>Sämling etablieren; Wurzelraum erschließen</x:v>
      </x:c>
      <x:c r="G6" s="63" t="n">
        <x:v>18</x:v>
      </x:c>
      <x:c r="H6" s="63" t="n">
        <x:v>40</x:v>
      </x:c>
      <x:c r="I6" s="63" t="n">
        <x:v>200</x:v>
      </x:c>
      <x:c r="J6" s="63" t="n">
        <x:f>I6*G6*3600/1000000</x:f>
        <x:v>12.96</x:v>
      </x:c>
      <x:c r="K6" s="63" t="n">
        <x:v>52</x:v>
      </x:c>
      <x:c r="L6" s="63" t="n">
        <x:v>25</x:v>
      </x:c>
      <x:c r="M6" s="63" t="n">
        <x:v>22</x:v>
      </x:c>
      <x:c r="N6" s="63" t="n">
        <x:v>70</x:v>
      </x:c>
      <x:c r="O6" s="63" t="n">
        <x:f>ROUND(0.6108*EXP(17.27*(L6+'01_Run_Config'!$B$34)/(L6+'01_Run_Config'!$B$34+237.3))-(N6/100)*0.6108*EXP(17.27*L6/(L6+237.3)),2)</x:f>
        <x:v>0.77</x:v>
      </x:c>
      <x:c r="P6" s="63" t="n">
        <x:f>IF(A6&lt;'01_Run_Config'!$B$32,0.55,IF(A6&lt;'01_Run_Config'!$B$33,IF(A6-'01_Run_Config'!$B$32&lt;=3,0.8,IF(A6-'01_Run_Config'!$B$32&lt;=10,1,IF(A6-'01_Run_Config'!$B$32&lt;=17,1.2,1.4))),IF(A6-'01_Run_Config'!$B$33&lt;=6,1.5,IF(A6-'01_Run_Config'!$B$33&lt;=13,1.6,IF(A6-'01_Run_Config'!$B$33&lt;=20,1.7,IF(A6-'01_Run_Config'!$B$33&lt;=34,1.8,IF(A6-'01_Run_Config'!$B$33&lt;=41,1.6,IF(A6-'01_Run_Config'!$B$33&lt;=48,1.4,1.15))))))))</x:f>
        <x:v>0.8</x:v>
      </x:c>
      <x:c r="Q6" s="63" t="n">
        <x:v>5.9</x:v>
      </x:c>
      <x:c r="R6" s="63" t="n">
        <x:v>0.08</x:v>
      </x:c>
      <x:c r="S6" s="63" t="n">
        <x:v>0.15</x:v>
      </x:c>
      <x:c r="T6" s="63" t="str">
        <x:f>IF(A6&lt;=7,"Manuell",'01_Run_Config'!$B$40)</x:f>
        <x:v>Manuell</x:v>
      </x:c>
      <x:c r="U6" s="63" t="str">
        <x:f>IF(A6&lt;'01_Run_Config'!$B$32,"Kein Basisdünger",IF(A6&lt;'01_Run_Config'!$B$33,"HESI TNT","HESI Coco"))</x:f>
        <x:v>HESI TNT</x:v>
      </x:c>
      <x:c r="V6" s="63" t="n">
        <x:f>IF(A6&lt;'01_Run_Config'!$B$32,0,IF(A6&lt;'01_Run_Config'!$B$33,IF(A6-'01_Run_Config'!$B$32&lt;=3,1.25,IF(A6-'01_Run_Config'!$B$32&lt;=10,2,2.5)),IF(A6-'01_Run_Config'!$B$33&lt;=6,2.5,IF(A6-'01_Run_Config'!$B$33&lt;=13,3.25,IF(A6-'01_Run_Config'!$B$33&lt;=20,3.75,IF(A6-'01_Run_Config'!$B$33&lt;=34,4,IF(A6-'01_Run_Config'!$B$33&lt;=41,3.5,IF(A6-'01_Run_Config'!$B$33&lt;=48,2.5,1.5))))))))</x:f>
        <x:v>1.25</x:v>
      </x:c>
      <x:c r="W6" s="63" t="n">
        <x:f>IF(A6&lt;=14,2.5,0)</x:f>
        <x:v>2.5</x:v>
      </x:c>
      <x:c r="X6" s="63" t="n">
        <x:f>IF('01_Run_Config'!$B$50="AN Sensizym",0,IF(AND(A6&gt;='01_Run_Config'!$B$32,OR(AL6="",AL6&lt;=49)),2,0))</x:f>
        <x:v>2</x:v>
      </x:c>
      <x:c r="Y6" s="63" t="n">
        <x:f>0.015</x:f>
        <x:v>0.015</x:v>
      </x:c>
      <x:c r="Z6" s="63" t="n">
        <x:f>IF('01_Run_Config'!$B$51="HESI Hesilicio",2,0)</x:f>
        <x:v>0</x:v>
      </x:c>
      <x:c r="AA6" s="63" t="n">
        <x:f>IF('01_Run_Config'!$B$48="AN Bud Candy (replaces HESI Boost)",0,IF(AND(A6&gt;='01_Run_Config'!$B$33,MOD(A6-'01_Run_Config'!$B$33,7)=0),2,0))</x:f>
        <x:v>0</x:v>
      </x:c>
      <x:c r="AB6" s="63" t="n">
        <x:f>IF('01_Run_Config'!$B$52="AN Bud Ignitor &gt; Big Bud &gt; Overdrive",0,IF(AND(ISNUMBER(AL6),AL6&gt;=29,AL6&lt;=42),0.25+((AL6-29)/13)*0.25,0))</x:f>
        <x:v>0</x:v>
      </x:c>
      <x:c r="AC6" s="63" t="n">
        <x:f>IF('01_Run_Config'!$B$46="OFF",0,IF(OR(A6='01_Run_Config'!$B$32,A6='01_Run_Config'!$B$32+7,A6='01_Run_Config'!$B$33+1,A6='01_Run_Config'!$B$33+8),2,0))</x:f>
        <x:v>2</x:v>
      </x:c>
      <x:c r="AD6" s="63" t="str">
        <x:f>IF(BG6="BLOCK","HYBRID BLOCKED - Konfiguration prüfen",IF(SUM(AC6,AT6:BF6)&gt;0,"AN aktiv: "&amp;BH6,"AN: keine Dosis heute / Module aus"))</x:f>
        <x:v>AN aktiv: Voodoo 2 ml/L; Tarantula 2 ml/L; </x:v>
      </x:c>
      <x:c r="AE6" s="63" t="str">
        <x:v>Kein Training</x:v>
      </x:c>
      <x:c r="AF6" s="63" t="str">
        <x:v>Morgens Klima/Pflanze/Bewässerung/Leck; Mitte Lichtphase Blattwinkel; vor Dunkel LF/Drain/stehendes Wasser.</x:v>
      </x:c>
      <x:c r="AG6" s="63" t="str">
        <x:v>EC nicht erhöhen bei steigender Diagnose-Drain-EC; PPFD nicht erhöhen bei Stress; Wasserband nie erzwingen; nie mehrere neue Booster gleichzeitig.</x:v>
      </x:c>
      <x:c r="AH6" s="35" t="str">
        <x:f>"UKD v9 evidence-guarded: Planwerte sind Ziele/Eligibility, keine automatische Freigabe. Eazy Plug/Block ist vorgepuffert; früher Basisfeed bleibt vom Propagation-/Pflanzengate abhängig. Messdaten und Safety-Gates überschreiben Kalender."</x:f>
        <x:v>UKD v9 evidence-guarded: Planwerte sind Ziele/Eligibility, keine automatische Freigabe. Eazy Plug/Block ist vorgepuffert; früher Basisfeed bleibt vom Propagation-/Pflanzengate abhängig. Messdaten und Safety-Gates überschreiben Kalender.</x:v>
      </x:c>
      <x:c r="AI6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6" s="201" t="str">
        <x:f>IF(A6&lt;'01_Run_Config'!$B$32,"—",IF(A6&lt;'01_Run_Config'!$B$33,"G"&amp;MIN(4,INT((A6-'01_Run_Config'!$B$32)/7)+1),AM6))</x:f>
        <x:v>G1</x:v>
      </x:c>
      <x:c r="AK6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6" s="60" t="str">
        <x:f>IF(A6&lt;'01_Run_Config'!$B$33,"",A6-'01_Run_Config'!$B$33+1)</x:f>
      </x:c>
      <x:c r="AM6" s="60" t="str">
        <x:f>IF(AL6="","",IF(AL6&gt;49,CHAR(66)&amp;"7+",CHAR(66)&amp;TEXT(INT((AL6-1)/7)+1,"0")))</x:f>
      </x:c>
      <x:c r="AN6" s="60" t="n">
        <x:f>ROUND(0.6108*EXP(17.27*L6/(L6+237.3))*(1-N6/100),2)</x:f>
        <x:v>0.95</x:v>
      </x:c>
      <x:c r="AO6" s="60" t="n">
        <x:f>H6*G6/1000</x:f>
        <x:v>0.72</x:v>
      </x:c>
      <x:c r="AP6" s="60" t="n">
        <x:f>SUM($AO$2:AO6)</x:f>
        <x:v>2.88</x:v>
      </x:c>
      <x:c r="AQ6" t="n">
        <x:f>'01_Run_Config'!$B$17</x:f>
        <x:v>0</x:v>
      </x:c>
      <x:c r="AR6" t="n">
        <x:f>'01_Run_Config'!$B$22</x:f>
        <x:v>0</x:v>
      </x:c>
      <x:c r="AS6" t="n">
        <x:f>'01_Run_Config'!$B$25</x:f>
        <x:v>0</x:v>
      </x:c>
      <x:c r="AT6" t="n">
        <x:f>IF(AND('01_Run_Config'!$B$46="Voodoo + Piranha + Tarantula",AC6&gt;0),2,0)</x:f>
        <x:v>0</x:v>
      </x:c>
      <x:c r="AU6" t="n">
        <x:f>IF(AND(OR('01_Run_Config'!$B$46="Voodoo + Tarantula",'01_Run_Config'!$B$46="Voodoo + Piranha + Tarantula"),AC6&gt;0),2,0)</x:f>
        <x:v>2</x:v>
      </x:c>
      <x:c r="AV6" t="n">
        <x:f>IF('01_Run_Config'!$B$47&lt;&gt;"ON / A-B",0,IF(OR(AND(A6&gt;='01_Run_Config'!$B$32,A6&lt;'01_Run_Config'!$B$33),AND(ISNUMBER(AL6),AL6&gt;=15,AL6&lt;=49)),2,0))</x:f>
        <x:v>0</x:v>
      </x:c>
      <x:c r="AW6" t="n">
        <x:f>IF('01_Run_Config'!$B$48="AN Bud Candy (replaces HESI Boost)",IF(AND(A6&gt;='01_Run_Config'!$B$32,OR(AL6="",AL6&lt;=49)),2,0),0)</x:f>
        <x:v>0</x:v>
      </x:c>
      <x:c r="AX6" t="n">
        <x:f>IF('01_Run_Config'!$B$49&lt;&gt;"ON / EXPERIMENTAL",0,IF(OR(AND(A6&gt;='01_Run_Config'!$B$32+7,A6&lt;'01_Run_Config'!$B$33),AND(ISNUMBER(AL6),AL6&gt;=1,AL6&lt;=49)),2,0))</x:f>
        <x:v>0</x:v>
      </x:c>
      <x:c r="AY6" t="n">
        <x:f>IF('01_Run_Config'!$B$50="AN Sensizym",IF(AND(A6&gt;='01_Run_Config'!$B$32,OR(AL6="",AL6&lt;=49)),2,0),0)</x:f>
        <x:v>0</x:v>
      </x:c>
      <x:c r="AZ6" t="n">
        <x:f>IF('01_Run_Config'!$B$51="AN Rhino Skin",IF(AND(A6&gt;='01_Run_Config'!$B$32,OR(AL6="",AL6&lt;=49)),2,0),0)</x:f>
        <x:v>0</x:v>
      </x:c>
      <x:c r="BA6" t="n">
        <x:f>IF(AND('01_Run_Config'!$B$52="AN Bud Ignitor &gt; Big Bud &gt; Overdrive",ISNUMBER(AL6),AL6&gt;=1,AL6&lt;=14),2,0)</x:f>
        <x:v>0</x:v>
      </x:c>
      <x:c r="BB6" t="n">
        <x:f>IF(AND('01_Run_Config'!$B$52="AN Bud Ignitor &gt; Big Bud &gt; Overdrive",ISNUMBER(AL6),AL6&gt;=8,AL6&lt;=35),2,0)</x:f>
        <x:v>0</x:v>
      </x:c>
      <x:c r="BC6" t="n">
        <x:f>IF(AND('01_Run_Config'!$B$52="AN Bud Ignitor &gt; Big Bud &gt; Overdrive",ISNUMBER(AL6),AL6&gt;=36,AL6&lt;=49),2,0)</x:f>
        <x:v>0</x:v>
      </x:c>
      <x:c r="BD6" t="n">
        <x:f>IF('01_Run_Config'!$B$53="ON / EXPERIMENTAL",IF(OR(AND(A6&gt;='01_Run_Config'!$B$32,A6&lt;'01_Run_Config'!$B$33),AND(ISNUMBER(AL6),AL6&gt;=15,AL6&lt;=49)),2,0),0)</x:f>
        <x:v>0</x:v>
      </x:c>
      <x:c r="BE6" t="n">
        <x:f>IF('01_Run_Config'!$B$54="AN Sensi CalMag Xtra conditional",'01_Run_Config'!$B$17,0)</x:f>
        <x:v>0</x:v>
      </x:c>
      <x:c r="BF6" t="n">
        <x:f>0</x:f>
        <x:v>0</x:v>
      </x:c>
      <x:c r="BG6" t="str">
        <x:f>'01_Run_Config'!$E$57</x:f>
        <x:v>OK</x:v>
      </x:c>
      <x:c r="BH6" t="str">
        <x:f>IF(SUM(AC6,AT6:BF6)=0,"keine AN-Dosis heute",IF(AC6&gt;0,"Voodoo "&amp;AC6&amp;" ml/L; ","")&amp;IF(AT6&gt;0,"Piranha "&amp;AT6&amp;" ml/L; ","")&amp;IF(AU6&gt;0,"Tarantula "&amp;AU6&amp;" ml/L; ","")&amp;IF(AV6&gt;0,"B-52 "&amp;AV6&amp;" ml/L; ","")&amp;IF(AW6&gt;0,"Bud Candy "&amp;AW6&amp;" ml/L; ","")&amp;IF(AX6&gt;0,"Bud Factor X "&amp;AX6&amp;" ml/L; ","")&amp;IF(AY6&gt;0,"Sensizym "&amp;AY6&amp;" ml/L; ","")&amp;IF(AZ6&gt;0,"Rhino Skin "&amp;AZ6&amp;" ml/L; ","")&amp;IF(BA6&gt;0,"Bud Ignitor "&amp;BA6&amp;" ml/L; ","")&amp;IF(BB6&gt;0,"Big Bud "&amp;BB6&amp;" ml/L; ","")&amp;IF(BC6&gt;0,"Overdrive "&amp;BC6&amp;" ml/L; ","")&amp;IF(BD6&gt;0,"Tasty Terpenes "&amp;BD6&amp;" ml/L; ","")&amp;IF(BE6&gt;0,"Sensi CalMag "&amp;BE6&amp;" ml/L",""))</x:f>
        <x:v>Voodoo 2 ml/L; Tarantula 2 ml/L; </x:v>
      </x:c>
    </x:row>
    <x:row r="7">
      <x:c r="A7" s="34" t="n">
        <x:v>5</x:v>
      </x:c>
      <x:c r="B7" s="129" t="n">
        <x:f>'01_Run_Config'!$B$4+A7</x:f>
        <x:v>46247</x:v>
      </x:c>
      <x:c r="C7" s="63" t="n">
        <x:f>INT(A7/7)+1</x:f>
        <x:v>1</x:v>
      </x:c>
      <x:c r="D7" s="63" t="str">
        <x:f>"M"&amp;MIN(3,INT(A7/30)+1)</x:f>
        <x:v>M1</x:v>
      </x:c>
      <x:c r="E7" s="63" t="str">
        <x:f>IF(A7&lt;4,"Keimung",IF(A7&lt;8,"Etablierung",IF(A7&lt;15,"Early Veg",IF(A7&lt;'01_Run_Config'!$B$33,IF(A7&lt;22,"Veg / LST","Preflower-Watch"),IF(A7-'01_Run_Config'!$B$33&lt;=6,"Transition / Stretch ("&amp;AM7&amp;")",IF(A7-'01_Run_Config'!$B$33&lt;=13,"Early Flower ("&amp;AM7&amp;")",IF(A7-'01_Run_Config'!$B$33&lt;=20,"Flower I ("&amp;AM7&amp;")",IF(A7-'01_Run_Config'!$B$33&lt;=34,"Peak Flower ("&amp;AM7&amp;")",IF(A7-'01_Run_Config'!$B$33&lt;=41,"Late Flower ("&amp;AM7&amp;")",IF(A7-'01_Run_Config'!$B$33&lt;=48,"Ripening ("&amp;AM7&amp;")","Harvest / Extension ("&amp;AM7&amp;")"))))))))))</x:f>
        <x:v>Etablierung</x:v>
      </x:c>
      <x:c r="F7" s="63" t="str">
        <x:f>IF(A7&lt;4,"Keimung + Wurzelstart",IF(A7&lt;8,"Sämling etablieren; Wurzelraum erschließen",IF(A7&lt;15,"kompakter Aufbau; LST erst bei Vitalität",IF(A7&lt;'01_Run_Config'!$B$33,"Canopy aufbauen; Preflower beobachten",IF(A7-'01_Run_Config'!$B$33&lt;=6,"Stretch kontrollieren; Bloom-Trigger dokumentieren",IF(A7-'01_Run_Config'!$B$33&lt;=13,"Blütenansatz stabilisieren",IF(A7-'01_Run_Config'!$B$33&lt;=20,"Blütenaufbau ohne neue Stressoren",IF(A7-'01_Run_Config'!$B$33&lt;=34,"stabile Peak-Photosynthese; Klima priorisieren",IF(A7-'01_Run_Config'!$B$33&lt;=41,"Qualität/Schimmelprävention",IF(A7-'01_Run_Config'!$B$33&lt;=48,"Reife ohne Überfütterung","Erntefenster nach Pflanze; keine Kalenderernte"))))))))))</x:f>
        <x:v>Sämling etablieren; Wurzelraum erschließen</x:v>
      </x:c>
      <x:c r="G7" s="63" t="n">
        <x:v>18</x:v>
      </x:c>
      <x:c r="H7" s="63" t="n">
        <x:v>40</x:v>
      </x:c>
      <x:c r="I7" s="63" t="n">
        <x:v>200</x:v>
      </x:c>
      <x:c r="J7" s="63" t="n">
        <x:f>I7*G7*3600/1000000</x:f>
        <x:v>12.96</x:v>
      </x:c>
      <x:c r="K7" s="63" t="n">
        <x:v>52</x:v>
      </x:c>
      <x:c r="L7" s="63" t="n">
        <x:v>25</x:v>
      </x:c>
      <x:c r="M7" s="63" t="n">
        <x:v>22</x:v>
      </x:c>
      <x:c r="N7" s="63" t="n">
        <x:v>70</x:v>
      </x:c>
      <x:c r="O7" s="63" t="n">
        <x:f>ROUND(0.6108*EXP(17.27*(L7+'01_Run_Config'!$B$34)/(L7+'01_Run_Config'!$B$34+237.3))-(N7/100)*0.6108*EXP(17.27*L7/(L7+237.3)),2)</x:f>
        <x:v>0.77</x:v>
      </x:c>
      <x:c r="P7" s="63" t="n">
        <x:f>IF(A7&lt;'01_Run_Config'!$B$32,0.55,IF(A7&lt;'01_Run_Config'!$B$33,IF(A7-'01_Run_Config'!$B$32&lt;=3,0.8,IF(A7-'01_Run_Config'!$B$32&lt;=10,1,IF(A7-'01_Run_Config'!$B$32&lt;=17,1.2,1.4))),IF(A7-'01_Run_Config'!$B$33&lt;=6,1.5,IF(A7-'01_Run_Config'!$B$33&lt;=13,1.6,IF(A7-'01_Run_Config'!$B$33&lt;=20,1.7,IF(A7-'01_Run_Config'!$B$33&lt;=34,1.8,IF(A7-'01_Run_Config'!$B$33&lt;=41,1.6,IF(A7-'01_Run_Config'!$B$33&lt;=48,1.4,1.15))))))))</x:f>
        <x:v>0.8</x:v>
      </x:c>
      <x:c r="Q7" s="63" t="n">
        <x:v>5.9</x:v>
      </x:c>
      <x:c r="R7" s="63" t="n">
        <x:v>0.08</x:v>
      </x:c>
      <x:c r="S7" s="63" t="n">
        <x:v>0.15</x:v>
      </x:c>
      <x:c r="T7" s="63" t="str">
        <x:f>IF(A7&lt;=7,"Manuell",'01_Run_Config'!$B$40)</x:f>
        <x:v>Manuell</x:v>
      </x:c>
      <x:c r="U7" s="63" t="str">
        <x:f>IF(A7&lt;'01_Run_Config'!$B$32,"Kein Basisdünger",IF(A7&lt;'01_Run_Config'!$B$33,"HESI TNT","HESI Coco"))</x:f>
        <x:v>HESI TNT</x:v>
      </x:c>
      <x:c r="V7" s="63" t="n">
        <x:f>IF(A7&lt;'01_Run_Config'!$B$32,0,IF(A7&lt;'01_Run_Config'!$B$33,IF(A7-'01_Run_Config'!$B$32&lt;=3,1.25,IF(A7-'01_Run_Config'!$B$32&lt;=10,2,2.5)),IF(A7-'01_Run_Config'!$B$33&lt;=6,2.5,IF(A7-'01_Run_Config'!$B$33&lt;=13,3.25,IF(A7-'01_Run_Config'!$B$33&lt;=20,3.75,IF(A7-'01_Run_Config'!$B$33&lt;=34,4,IF(A7-'01_Run_Config'!$B$33&lt;=41,3.5,IF(A7-'01_Run_Config'!$B$33&lt;=48,2.5,1.5))))))))</x:f>
        <x:v>1.25</x:v>
      </x:c>
      <x:c r="W7" s="63" t="n">
        <x:f>IF(A7&lt;=14,2.5,0)</x:f>
        <x:v>2.5</x:v>
      </x:c>
      <x:c r="X7" s="63" t="n">
        <x:f>IF('01_Run_Config'!$B$50="AN Sensizym",0,IF(AND(A7&gt;='01_Run_Config'!$B$32,OR(AL7="",AL7&lt;=49)),2,0))</x:f>
        <x:v>2</x:v>
      </x:c>
      <x:c r="Y7" s="63" t="n">
        <x:f>0.015</x:f>
        <x:v>0.015</x:v>
      </x:c>
      <x:c r="Z7" s="63" t="n">
        <x:f>IF('01_Run_Config'!$B$51="HESI Hesilicio",2,0)</x:f>
        <x:v>0</x:v>
      </x:c>
      <x:c r="AA7" s="63" t="n">
        <x:f>IF('01_Run_Config'!$B$48="AN Bud Candy (replaces HESI Boost)",0,IF(AND(A7&gt;='01_Run_Config'!$B$33,MOD(A7-'01_Run_Config'!$B$33,7)=0),2,0))</x:f>
        <x:v>0</x:v>
      </x:c>
      <x:c r="AB7" s="63" t="n">
        <x:f>IF('01_Run_Config'!$B$52="AN Bud Ignitor &gt; Big Bud &gt; Overdrive",0,IF(AND(ISNUMBER(AL7),AL7&gt;=29,AL7&lt;=42),0.25+((AL7-29)/13)*0.25,0))</x:f>
        <x:v>0</x:v>
      </x:c>
      <x:c r="AC7" s="63" t="n">
        <x:f>IF('01_Run_Config'!$B$46="OFF",0,IF(OR(A7='01_Run_Config'!$B$32,A7='01_Run_Config'!$B$32+7,A7='01_Run_Config'!$B$33+1,A7='01_Run_Config'!$B$33+8),2,0))</x:f>
        <x:v>0</x:v>
      </x:c>
      <x:c r="AD7" s="63" t="str">
        <x:f>IF(BG7="BLOCK","HYBRID BLOCKED - Konfiguration prüfen",IF(SUM(AC7,AT7:BF7)&gt;0,"AN aktiv: "&amp;BH7,"AN: keine Dosis heute / Module aus"))</x:f>
        <x:v>AN: keine Dosis heute / Module aus</x:v>
      </x:c>
      <x:c r="AE7" s="63" t="str">
        <x:v>Kein Training</x:v>
      </x:c>
      <x:c r="AF7" s="63" t="str">
        <x:v>Morgens Klima/Pflanze/Bewässerung/Leck; Mitte Lichtphase Blattwinkel; vor Dunkel LF/Drain/stehendes Wasser.</x:v>
      </x:c>
      <x:c r="AG7" s="63" t="str">
        <x:v>EC nicht erhöhen bei steigender Diagnose-Drain-EC; PPFD nicht erhöhen bei Stress; Wasserband nie erzwingen; nie mehrere neue Booster gleichzeitig.</x:v>
      </x:c>
      <x:c r="AH7" s="35" t="str">
        <x:f>"UKD v9 evidence-guarded: Planwerte sind Ziele/Eligibility, keine automatische Freigabe. Eazy Plug/Block ist vorgepuffert; früher Basisfeed bleibt vom Propagation-/Pflanzengate abhängig. Messdaten und Safety-Gates überschreiben Kalender."</x:f>
        <x:v>UKD v9 evidence-guarded: Planwerte sind Ziele/Eligibility, keine automatische Freigabe. Eazy Plug/Block ist vorgepuffert; früher Basisfeed bleibt vom Propagation-/Pflanzengate abhängig. Messdaten und Safety-Gates überschreiben Kalender.</x:v>
      </x:c>
      <x:c r="AI7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7" s="201" t="str">
        <x:f>IF(A7&lt;'01_Run_Config'!$B$32,"—",IF(A7&lt;'01_Run_Config'!$B$33,"G"&amp;MIN(4,INT((A7-'01_Run_Config'!$B$32)/7)+1),AM7))</x:f>
        <x:v>G1</x:v>
      </x:c>
      <x:c r="AK7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7" s="60" t="str">
        <x:f>IF(A7&lt;'01_Run_Config'!$B$33,"",A7-'01_Run_Config'!$B$33+1)</x:f>
      </x:c>
      <x:c r="AM7" s="60" t="str">
        <x:f>IF(AL7="","",IF(AL7&gt;49,CHAR(66)&amp;"7+",CHAR(66)&amp;TEXT(INT((AL7-1)/7)+1,"0")))</x:f>
      </x:c>
      <x:c r="AN7" s="60" t="n">
        <x:f>ROUND(0.6108*EXP(17.27*L7/(L7+237.3))*(1-N7/100),2)</x:f>
        <x:v>0.95</x:v>
      </x:c>
      <x:c r="AO7" s="60" t="n">
        <x:f>H7*G7/1000</x:f>
        <x:v>0.72</x:v>
      </x:c>
      <x:c r="AP7" s="60" t="n">
        <x:f>SUM($AO$2:AO7)</x:f>
        <x:v>3.5999999999999996</x:v>
      </x:c>
      <x:c r="AQ7" t="n">
        <x:f>'01_Run_Config'!$B$17</x:f>
        <x:v>0</x:v>
      </x:c>
      <x:c r="AR7" t="n">
        <x:f>'01_Run_Config'!$B$22</x:f>
        <x:v>0</x:v>
      </x:c>
      <x:c r="AS7" t="n">
        <x:f>'01_Run_Config'!$B$25</x:f>
        <x:v>0</x:v>
      </x:c>
      <x:c r="AT7" t="n">
        <x:f>IF(AND('01_Run_Config'!$B$46="Voodoo + Piranha + Tarantula",AC7&gt;0),2,0)</x:f>
        <x:v>0</x:v>
      </x:c>
      <x:c r="AU7" t="n">
        <x:f>IF(AND(OR('01_Run_Config'!$B$46="Voodoo + Tarantula",'01_Run_Config'!$B$46="Voodoo + Piranha + Tarantula"),AC7&gt;0),2,0)</x:f>
        <x:v>0</x:v>
      </x:c>
      <x:c r="AV7" t="n">
        <x:f>IF('01_Run_Config'!$B$47&lt;&gt;"ON / A-B",0,IF(OR(AND(A7&gt;='01_Run_Config'!$B$32,A7&lt;'01_Run_Config'!$B$33),AND(ISNUMBER(AL7),AL7&gt;=15,AL7&lt;=49)),2,0))</x:f>
        <x:v>0</x:v>
      </x:c>
      <x:c r="AW7" t="n">
        <x:f>IF('01_Run_Config'!$B$48="AN Bud Candy (replaces HESI Boost)",IF(AND(A7&gt;='01_Run_Config'!$B$32,OR(AL7="",AL7&lt;=49)),2,0),0)</x:f>
        <x:v>0</x:v>
      </x:c>
      <x:c r="AX7" t="n">
        <x:f>IF('01_Run_Config'!$B$49&lt;&gt;"ON / EXPERIMENTAL",0,IF(OR(AND(A7&gt;='01_Run_Config'!$B$32+7,A7&lt;'01_Run_Config'!$B$33),AND(ISNUMBER(AL7),AL7&gt;=1,AL7&lt;=49)),2,0))</x:f>
        <x:v>0</x:v>
      </x:c>
      <x:c r="AY7" t="n">
        <x:f>IF('01_Run_Config'!$B$50="AN Sensizym",IF(AND(A7&gt;='01_Run_Config'!$B$32,OR(AL7="",AL7&lt;=49)),2,0),0)</x:f>
        <x:v>0</x:v>
      </x:c>
      <x:c r="AZ7" t="n">
        <x:f>IF('01_Run_Config'!$B$51="AN Rhino Skin",IF(AND(A7&gt;='01_Run_Config'!$B$32,OR(AL7="",AL7&lt;=49)),2,0),0)</x:f>
        <x:v>0</x:v>
      </x:c>
      <x:c r="BA7" t="n">
        <x:f>IF(AND('01_Run_Config'!$B$52="AN Bud Ignitor &gt; Big Bud &gt; Overdrive",ISNUMBER(AL7),AL7&gt;=1,AL7&lt;=14),2,0)</x:f>
        <x:v>0</x:v>
      </x:c>
      <x:c r="BB7" t="n">
        <x:f>IF(AND('01_Run_Config'!$B$52="AN Bud Ignitor &gt; Big Bud &gt; Overdrive",ISNUMBER(AL7),AL7&gt;=8,AL7&lt;=35),2,0)</x:f>
        <x:v>0</x:v>
      </x:c>
      <x:c r="BC7" t="n">
        <x:f>IF(AND('01_Run_Config'!$B$52="AN Bud Ignitor &gt; Big Bud &gt; Overdrive",ISNUMBER(AL7),AL7&gt;=36,AL7&lt;=49),2,0)</x:f>
        <x:v>0</x:v>
      </x:c>
      <x:c r="BD7" t="n">
        <x:f>IF('01_Run_Config'!$B$53="ON / EXPERIMENTAL",IF(OR(AND(A7&gt;='01_Run_Config'!$B$32,A7&lt;'01_Run_Config'!$B$33),AND(ISNUMBER(AL7),AL7&gt;=15,AL7&lt;=49)),2,0),0)</x:f>
        <x:v>0</x:v>
      </x:c>
      <x:c r="BE7" t="n">
        <x:f>IF('01_Run_Config'!$B$54="AN Sensi CalMag Xtra conditional",'01_Run_Config'!$B$17,0)</x:f>
        <x:v>0</x:v>
      </x:c>
      <x:c r="BF7" t="n">
        <x:f>0</x:f>
        <x:v>0</x:v>
      </x:c>
      <x:c r="BG7" t="str">
        <x:f>'01_Run_Config'!$E$57</x:f>
        <x:v>OK</x:v>
      </x:c>
      <x:c r="BH7" t="str">
        <x:f>IF(SUM(AC7,AT7:BF7)=0,"keine AN-Dosis heute",IF(AC7&gt;0,"Voodoo "&amp;AC7&amp;" ml/L; ","")&amp;IF(AT7&gt;0,"Piranha "&amp;AT7&amp;" ml/L; ","")&amp;IF(AU7&gt;0,"Tarantula "&amp;AU7&amp;" ml/L; ","")&amp;IF(AV7&gt;0,"B-52 "&amp;AV7&amp;" ml/L; ","")&amp;IF(AW7&gt;0,"Bud Candy "&amp;AW7&amp;" ml/L; ","")&amp;IF(AX7&gt;0,"Bud Factor X "&amp;AX7&amp;" ml/L; ","")&amp;IF(AY7&gt;0,"Sensizym "&amp;AY7&amp;" ml/L; ","")&amp;IF(AZ7&gt;0,"Rhino Skin "&amp;AZ7&amp;" ml/L; ","")&amp;IF(BA7&gt;0,"Bud Ignitor "&amp;BA7&amp;" ml/L; ","")&amp;IF(BB7&gt;0,"Big Bud "&amp;BB7&amp;" ml/L; ","")&amp;IF(BC7&gt;0,"Overdrive "&amp;BC7&amp;" ml/L; ","")&amp;IF(BD7&gt;0,"Tasty Terpenes "&amp;BD7&amp;" ml/L; ","")&amp;IF(BE7&gt;0,"Sensi CalMag "&amp;BE7&amp;" ml/L",""))</x:f>
        <x:v>keine AN-Dosis heute</x:v>
      </x:c>
    </x:row>
    <x:row r="8">
      <x:c r="A8" s="34" t="n">
        <x:v>6</x:v>
      </x:c>
      <x:c r="B8" s="129" t="n">
        <x:f>'01_Run_Config'!$B$4+A8</x:f>
        <x:v>46248</x:v>
      </x:c>
      <x:c r="C8" s="63" t="n">
        <x:f>INT(A8/7)+1</x:f>
        <x:v>1</x:v>
      </x:c>
      <x:c r="D8" s="63" t="str">
        <x:f>"M"&amp;MIN(3,INT(A8/30)+1)</x:f>
        <x:v>M1</x:v>
      </x:c>
      <x:c r="E8" s="63" t="str">
        <x:f>IF(A8&lt;4,"Keimung",IF(A8&lt;8,"Etablierung",IF(A8&lt;15,"Early Veg",IF(A8&lt;'01_Run_Config'!$B$33,IF(A8&lt;22,"Veg / LST","Preflower-Watch"),IF(A8-'01_Run_Config'!$B$33&lt;=6,"Transition / Stretch ("&amp;AM8&amp;")",IF(A8-'01_Run_Config'!$B$33&lt;=13,"Early Flower ("&amp;AM8&amp;")",IF(A8-'01_Run_Config'!$B$33&lt;=20,"Flower I ("&amp;AM8&amp;")",IF(A8-'01_Run_Config'!$B$33&lt;=34,"Peak Flower ("&amp;AM8&amp;")",IF(A8-'01_Run_Config'!$B$33&lt;=41,"Late Flower ("&amp;AM8&amp;")",IF(A8-'01_Run_Config'!$B$33&lt;=48,"Ripening ("&amp;AM8&amp;")","Harvest / Extension ("&amp;AM8&amp;")"))))))))))</x:f>
        <x:v>Etablierung</x:v>
      </x:c>
      <x:c r="F8" s="63" t="str">
        <x:f>IF(A8&lt;4,"Keimung + Wurzelstart",IF(A8&lt;8,"Sämling etablieren; Wurzelraum erschließen",IF(A8&lt;15,"kompakter Aufbau; LST erst bei Vitalität",IF(A8&lt;'01_Run_Config'!$B$33,"Canopy aufbauen; Preflower beobachten",IF(A8-'01_Run_Config'!$B$33&lt;=6,"Stretch kontrollieren; Bloom-Trigger dokumentieren",IF(A8-'01_Run_Config'!$B$33&lt;=13,"Blütenansatz stabilisieren",IF(A8-'01_Run_Config'!$B$33&lt;=20,"Blütenaufbau ohne neue Stressoren",IF(A8-'01_Run_Config'!$B$33&lt;=34,"stabile Peak-Photosynthese; Klima priorisieren",IF(A8-'01_Run_Config'!$B$33&lt;=41,"Qualität/Schimmelprävention",IF(A8-'01_Run_Config'!$B$33&lt;=48,"Reife ohne Überfütterung","Erntefenster nach Pflanze; keine Kalenderernte"))))))))))</x:f>
        <x:v>Sämling etablieren; Wurzelraum erschließen</x:v>
      </x:c>
      <x:c r="G8" s="63" t="n">
        <x:v>18</x:v>
      </x:c>
      <x:c r="H8" s="63" t="n">
        <x:v>40</x:v>
      </x:c>
      <x:c r="I8" s="63" t="n">
        <x:v>200</x:v>
      </x:c>
      <x:c r="J8" s="63" t="n">
        <x:f>I8*G8*3600/1000000</x:f>
        <x:v>12.96</x:v>
      </x:c>
      <x:c r="K8" s="63" t="n">
        <x:v>52</x:v>
      </x:c>
      <x:c r="L8" s="63" t="n">
        <x:v>25</x:v>
      </x:c>
      <x:c r="M8" s="63" t="n">
        <x:v>22</x:v>
      </x:c>
      <x:c r="N8" s="63" t="n">
        <x:v>70</x:v>
      </x:c>
      <x:c r="O8" s="63" t="n">
        <x:f>ROUND(0.6108*EXP(17.27*(L8+'01_Run_Config'!$B$34)/(L8+'01_Run_Config'!$B$34+237.3))-(N8/100)*0.6108*EXP(17.27*L8/(L8+237.3)),2)</x:f>
        <x:v>0.77</x:v>
      </x:c>
      <x:c r="P8" s="63" t="n">
        <x:f>IF(A8&lt;'01_Run_Config'!$B$32,0.55,IF(A8&lt;'01_Run_Config'!$B$33,IF(A8-'01_Run_Config'!$B$32&lt;=3,0.8,IF(A8-'01_Run_Config'!$B$32&lt;=10,1,IF(A8-'01_Run_Config'!$B$32&lt;=17,1.2,1.4))),IF(A8-'01_Run_Config'!$B$33&lt;=6,1.5,IF(A8-'01_Run_Config'!$B$33&lt;=13,1.6,IF(A8-'01_Run_Config'!$B$33&lt;=20,1.7,IF(A8-'01_Run_Config'!$B$33&lt;=34,1.8,IF(A8-'01_Run_Config'!$B$33&lt;=41,1.6,IF(A8-'01_Run_Config'!$B$33&lt;=48,1.4,1.15))))))))</x:f>
        <x:v>0.8</x:v>
      </x:c>
      <x:c r="Q8" s="63" t="n">
        <x:v>5.9</x:v>
      </x:c>
      <x:c r="R8" s="63" t="n">
        <x:v>0.08</x:v>
      </x:c>
      <x:c r="S8" s="63" t="n">
        <x:v>0.15</x:v>
      </x:c>
      <x:c r="T8" s="63" t="str">
        <x:f>IF(A8&lt;=7,"Manuell",'01_Run_Config'!$B$40)</x:f>
        <x:v>Manuell</x:v>
      </x:c>
      <x:c r="U8" s="63" t="str">
        <x:f>IF(A8&lt;'01_Run_Config'!$B$32,"Kein Basisdünger",IF(A8&lt;'01_Run_Config'!$B$33,"HESI TNT","HESI Coco"))</x:f>
        <x:v>HESI TNT</x:v>
      </x:c>
      <x:c r="V8" s="63" t="n">
        <x:f>IF(A8&lt;'01_Run_Config'!$B$32,0,IF(A8&lt;'01_Run_Config'!$B$33,IF(A8-'01_Run_Config'!$B$32&lt;=3,1.25,IF(A8-'01_Run_Config'!$B$32&lt;=10,2,2.5)),IF(A8-'01_Run_Config'!$B$33&lt;=6,2.5,IF(A8-'01_Run_Config'!$B$33&lt;=13,3.25,IF(A8-'01_Run_Config'!$B$33&lt;=20,3.75,IF(A8-'01_Run_Config'!$B$33&lt;=34,4,IF(A8-'01_Run_Config'!$B$33&lt;=41,3.5,IF(A8-'01_Run_Config'!$B$33&lt;=48,2.5,1.5))))))))</x:f>
        <x:v>1.25</x:v>
      </x:c>
      <x:c r="W8" s="63" t="n">
        <x:f>IF(A8&lt;=14,2.5,0)</x:f>
        <x:v>2.5</x:v>
      </x:c>
      <x:c r="X8" s="63" t="n">
        <x:f>IF('01_Run_Config'!$B$50="AN Sensizym",0,IF(AND(A8&gt;='01_Run_Config'!$B$32,OR(AL8="",AL8&lt;=49)),2,0))</x:f>
        <x:v>2</x:v>
      </x:c>
      <x:c r="Y8" s="63" t="n">
        <x:f>0.015</x:f>
        <x:v>0.015</x:v>
      </x:c>
      <x:c r="Z8" s="63" t="n">
        <x:f>IF('01_Run_Config'!$B$51="HESI Hesilicio",2,0)</x:f>
        <x:v>0</x:v>
      </x:c>
      <x:c r="AA8" s="63" t="n">
        <x:f>IF('01_Run_Config'!$B$48="AN Bud Candy (replaces HESI Boost)",0,IF(AND(A8&gt;='01_Run_Config'!$B$33,MOD(A8-'01_Run_Config'!$B$33,7)=0),2,0))</x:f>
        <x:v>0</x:v>
      </x:c>
      <x:c r="AB8" s="63" t="n">
        <x:f>IF('01_Run_Config'!$B$52="AN Bud Ignitor &gt; Big Bud &gt; Overdrive",0,IF(AND(ISNUMBER(AL8),AL8&gt;=29,AL8&lt;=42),0.25+((AL8-29)/13)*0.25,0))</x:f>
        <x:v>0</x:v>
      </x:c>
      <x:c r="AC8" s="63" t="n">
        <x:f>IF('01_Run_Config'!$B$46="OFF",0,IF(OR(A8='01_Run_Config'!$B$32,A8='01_Run_Config'!$B$32+7,A8='01_Run_Config'!$B$33+1,A8='01_Run_Config'!$B$33+8),2,0))</x:f>
        <x:v>0</x:v>
      </x:c>
      <x:c r="AD8" s="63" t="str">
        <x:f>IF(BG8="BLOCK","HYBRID BLOCKED - Konfiguration prüfen",IF(SUM(AC8,AT8:BF8)&gt;0,"AN aktiv: "&amp;BH8,"AN: keine Dosis heute / Module aus"))</x:f>
        <x:v>AN: keine Dosis heute / Module aus</x:v>
      </x:c>
      <x:c r="AE8" s="63" t="str">
        <x:v>Kein Training</x:v>
      </x:c>
      <x:c r="AF8" s="63" t="str">
        <x:v>Morgens Klima/Pflanze/Bewässerung/Leck; Mitte Lichtphase Blattwinkel; vor Dunkel LF/Drain/stehendes Wasser.</x:v>
      </x:c>
      <x:c r="AG8" s="63" t="str">
        <x:v>EC nicht erhöhen bei steigender Diagnose-Drain-EC; PPFD nicht erhöhen bei Stress; Wasserband nie erzwingen; nie mehrere neue Booster gleichzeitig.</x:v>
      </x:c>
      <x:c r="AH8" s="35" t="str">
        <x:f>"UKD v9 evidence-guarded: Planwerte sind Ziele/Eligibility, keine automatische Freigabe. Eazy Plug/Block ist vorgepuffert; früher Basisfeed bleibt vom Propagation-/Pflanzengate abhängig. Messdaten und Safety-Gates überschreiben Kalender."</x:f>
        <x:v>UKD v9 evidence-guarded: Planwerte sind Ziele/Eligibility, keine automatische Freigabe. Eazy Plug/Block ist vorgepuffert; früher Basisfeed bleibt vom Propagation-/Pflanzengate abhängig. Messdaten und Safety-Gates überschreiben Kalender.</x:v>
      </x:c>
      <x:c r="AI8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8" s="201" t="str">
        <x:f>IF(A8&lt;'01_Run_Config'!$B$32,"—",IF(A8&lt;'01_Run_Config'!$B$33,"G"&amp;MIN(4,INT((A8-'01_Run_Config'!$B$32)/7)+1),AM8))</x:f>
        <x:v>G1</x:v>
      </x:c>
      <x:c r="AK8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8" s="60" t="str">
        <x:f>IF(A8&lt;'01_Run_Config'!$B$33,"",A8-'01_Run_Config'!$B$33+1)</x:f>
      </x:c>
      <x:c r="AM8" s="60" t="str">
        <x:f>IF(AL8="","",IF(AL8&gt;49,CHAR(66)&amp;"7+",CHAR(66)&amp;TEXT(INT((AL8-1)/7)+1,"0")))</x:f>
      </x:c>
      <x:c r="AN8" s="60" t="n">
        <x:f>ROUND(0.6108*EXP(17.27*L8/(L8+237.3))*(1-N8/100),2)</x:f>
        <x:v>0.95</x:v>
      </x:c>
      <x:c r="AO8" s="60" t="n">
        <x:f>H8*G8/1000</x:f>
        <x:v>0.72</x:v>
      </x:c>
      <x:c r="AP8" s="60" t="n">
        <x:f>SUM($AO$2:AO8)</x:f>
        <x:v>4.319999999999999</x:v>
      </x:c>
      <x:c r="AQ8" t="n">
        <x:f>'01_Run_Config'!$B$17</x:f>
        <x:v>0</x:v>
      </x:c>
      <x:c r="AR8" t="n">
        <x:f>'01_Run_Config'!$B$22</x:f>
        <x:v>0</x:v>
      </x:c>
      <x:c r="AS8" t="n">
        <x:f>'01_Run_Config'!$B$25</x:f>
        <x:v>0</x:v>
      </x:c>
      <x:c r="AT8" t="n">
        <x:f>IF(AND('01_Run_Config'!$B$46="Voodoo + Piranha + Tarantula",AC8&gt;0),2,0)</x:f>
        <x:v>0</x:v>
      </x:c>
      <x:c r="AU8" t="n">
        <x:f>IF(AND(OR('01_Run_Config'!$B$46="Voodoo + Tarantula",'01_Run_Config'!$B$46="Voodoo + Piranha + Tarantula"),AC8&gt;0),2,0)</x:f>
        <x:v>0</x:v>
      </x:c>
      <x:c r="AV8" t="n">
        <x:f>IF('01_Run_Config'!$B$47&lt;&gt;"ON / A-B",0,IF(OR(AND(A8&gt;='01_Run_Config'!$B$32,A8&lt;'01_Run_Config'!$B$33),AND(ISNUMBER(AL8),AL8&gt;=15,AL8&lt;=49)),2,0))</x:f>
        <x:v>0</x:v>
      </x:c>
      <x:c r="AW8" t="n">
        <x:f>IF('01_Run_Config'!$B$48="AN Bud Candy (replaces HESI Boost)",IF(AND(A8&gt;='01_Run_Config'!$B$32,OR(AL8="",AL8&lt;=49)),2,0),0)</x:f>
        <x:v>0</x:v>
      </x:c>
      <x:c r="AX8" t="n">
        <x:f>IF('01_Run_Config'!$B$49&lt;&gt;"ON / EXPERIMENTAL",0,IF(OR(AND(A8&gt;='01_Run_Config'!$B$32+7,A8&lt;'01_Run_Config'!$B$33),AND(ISNUMBER(AL8),AL8&gt;=1,AL8&lt;=49)),2,0))</x:f>
        <x:v>0</x:v>
      </x:c>
      <x:c r="AY8" t="n">
        <x:f>IF('01_Run_Config'!$B$50="AN Sensizym",IF(AND(A8&gt;='01_Run_Config'!$B$32,OR(AL8="",AL8&lt;=49)),2,0),0)</x:f>
        <x:v>0</x:v>
      </x:c>
      <x:c r="AZ8" t="n">
        <x:f>IF('01_Run_Config'!$B$51="AN Rhino Skin",IF(AND(A8&gt;='01_Run_Config'!$B$32,OR(AL8="",AL8&lt;=49)),2,0),0)</x:f>
        <x:v>0</x:v>
      </x:c>
      <x:c r="BA8" t="n">
        <x:f>IF(AND('01_Run_Config'!$B$52="AN Bud Ignitor &gt; Big Bud &gt; Overdrive",ISNUMBER(AL8),AL8&gt;=1,AL8&lt;=14),2,0)</x:f>
        <x:v>0</x:v>
      </x:c>
      <x:c r="BB8" t="n">
        <x:f>IF(AND('01_Run_Config'!$B$52="AN Bud Ignitor &gt; Big Bud &gt; Overdrive",ISNUMBER(AL8),AL8&gt;=8,AL8&lt;=35),2,0)</x:f>
        <x:v>0</x:v>
      </x:c>
      <x:c r="BC8" t="n">
        <x:f>IF(AND('01_Run_Config'!$B$52="AN Bud Ignitor &gt; Big Bud &gt; Overdrive",ISNUMBER(AL8),AL8&gt;=36,AL8&lt;=49),2,0)</x:f>
        <x:v>0</x:v>
      </x:c>
      <x:c r="BD8" t="n">
        <x:f>IF('01_Run_Config'!$B$53="ON / EXPERIMENTAL",IF(OR(AND(A8&gt;='01_Run_Config'!$B$32,A8&lt;'01_Run_Config'!$B$33),AND(ISNUMBER(AL8),AL8&gt;=15,AL8&lt;=49)),2,0),0)</x:f>
        <x:v>0</x:v>
      </x:c>
      <x:c r="BE8" t="n">
        <x:f>IF('01_Run_Config'!$B$54="AN Sensi CalMag Xtra conditional",'01_Run_Config'!$B$17,0)</x:f>
        <x:v>0</x:v>
      </x:c>
      <x:c r="BF8" t="n">
        <x:f>0</x:f>
        <x:v>0</x:v>
      </x:c>
      <x:c r="BG8" t="str">
        <x:f>'01_Run_Config'!$E$57</x:f>
        <x:v>OK</x:v>
      </x:c>
      <x:c r="BH8" t="str">
        <x:f>IF(SUM(AC8,AT8:BF8)=0,"keine AN-Dosis heute",IF(AC8&gt;0,"Voodoo "&amp;AC8&amp;" ml/L; ","")&amp;IF(AT8&gt;0,"Piranha "&amp;AT8&amp;" ml/L; ","")&amp;IF(AU8&gt;0,"Tarantula "&amp;AU8&amp;" ml/L; ","")&amp;IF(AV8&gt;0,"B-52 "&amp;AV8&amp;" ml/L; ","")&amp;IF(AW8&gt;0,"Bud Candy "&amp;AW8&amp;" ml/L; ","")&amp;IF(AX8&gt;0,"Bud Factor X "&amp;AX8&amp;" ml/L; ","")&amp;IF(AY8&gt;0,"Sensizym "&amp;AY8&amp;" ml/L; ","")&amp;IF(AZ8&gt;0,"Rhino Skin "&amp;AZ8&amp;" ml/L; ","")&amp;IF(BA8&gt;0,"Bud Ignitor "&amp;BA8&amp;" ml/L; ","")&amp;IF(BB8&gt;0,"Big Bud "&amp;BB8&amp;" ml/L; ","")&amp;IF(BC8&gt;0,"Overdrive "&amp;BC8&amp;" ml/L; ","")&amp;IF(BD8&gt;0,"Tasty Terpenes "&amp;BD8&amp;" ml/L; ","")&amp;IF(BE8&gt;0,"Sensi CalMag "&amp;BE8&amp;" ml/L",""))</x:f>
        <x:v>keine AN-Dosis heute</x:v>
      </x:c>
    </x:row>
    <x:row r="9">
      <x:c r="A9" s="34" t="n">
        <x:v>7</x:v>
      </x:c>
      <x:c r="B9" s="129" t="n">
        <x:f>'01_Run_Config'!$B$4+A9</x:f>
        <x:v>46249</x:v>
      </x:c>
      <x:c r="C9" s="63" t="n">
        <x:f>INT(A9/7)+1</x:f>
        <x:v>2</x:v>
      </x:c>
      <x:c r="D9" s="63" t="str">
        <x:f>"M"&amp;MIN(3,INT(A9/30)+1)</x:f>
        <x:v>M1</x:v>
      </x:c>
      <x:c r="E9" s="63" t="str">
        <x:f>IF(A9&lt;4,"Keimung",IF(A9&lt;8,"Etablierung",IF(A9&lt;15,"Early Veg",IF(A9&lt;'01_Run_Config'!$B$33,IF(A9&lt;22,"Veg / LST","Preflower-Watch"),IF(A9-'01_Run_Config'!$B$33&lt;=6,"Transition / Stretch ("&amp;AM9&amp;")",IF(A9-'01_Run_Config'!$B$33&lt;=13,"Early Flower ("&amp;AM9&amp;")",IF(A9-'01_Run_Config'!$B$33&lt;=20,"Flower I ("&amp;AM9&amp;")",IF(A9-'01_Run_Config'!$B$33&lt;=34,"Peak Flower ("&amp;AM9&amp;")",IF(A9-'01_Run_Config'!$B$33&lt;=41,"Late Flower ("&amp;AM9&amp;")",IF(A9-'01_Run_Config'!$B$33&lt;=48,"Ripening ("&amp;AM9&amp;")","Harvest / Extension ("&amp;AM9&amp;")"))))))))))</x:f>
        <x:v>Etablierung</x:v>
      </x:c>
      <x:c r="F9" s="63" t="str">
        <x:f>IF(A9&lt;4,"Keimung + Wurzelstart",IF(A9&lt;8,"Sämling etablieren; Wurzelraum erschließen",IF(A9&lt;15,"kompakter Aufbau; LST erst bei Vitalität",IF(A9&lt;'01_Run_Config'!$B$33,"Canopy aufbauen; Preflower beobachten",IF(A9-'01_Run_Config'!$B$33&lt;=6,"Stretch kontrollieren; Bloom-Trigger dokumentieren",IF(A9-'01_Run_Config'!$B$33&lt;=13,"Blütenansatz stabilisieren",IF(A9-'01_Run_Config'!$B$33&lt;=20,"Blütenaufbau ohne neue Stressoren",IF(A9-'01_Run_Config'!$B$33&lt;=34,"stabile Peak-Photosynthese; Klima priorisieren",IF(A9-'01_Run_Config'!$B$33&lt;=41,"Qualität/Schimmelprävention",IF(A9-'01_Run_Config'!$B$33&lt;=48,"Reife ohne Überfütterung","Erntefenster nach Pflanze; keine Kalenderernte"))))))))))</x:f>
        <x:v>Sämling etablieren; Wurzelraum erschließen</x:v>
      </x:c>
      <x:c r="G9" s="63" t="n">
        <x:v>18</x:v>
      </x:c>
      <x:c r="H9" s="63" t="n">
        <x:v>40</x:v>
      </x:c>
      <x:c r="I9" s="63" t="n">
        <x:v>200</x:v>
      </x:c>
      <x:c r="J9" s="63" t="n">
        <x:f>I9*G9*3600/1000000</x:f>
        <x:v>12.96</x:v>
      </x:c>
      <x:c r="K9" s="63" t="n">
        <x:v>52</x:v>
      </x:c>
      <x:c r="L9" s="63" t="n">
        <x:v>25</x:v>
      </x:c>
      <x:c r="M9" s="63" t="n">
        <x:v>22</x:v>
      </x:c>
      <x:c r="N9" s="63" t="n">
        <x:v>70</x:v>
      </x:c>
      <x:c r="O9" s="63" t="n">
        <x:f>ROUND(0.6108*EXP(17.27*(L9+'01_Run_Config'!$B$34)/(L9+'01_Run_Config'!$B$34+237.3))-(N9/100)*0.6108*EXP(17.27*L9/(L9+237.3)),2)</x:f>
        <x:v>0.77</x:v>
      </x:c>
      <x:c r="P9" s="63" t="n">
        <x:f>IF(A9&lt;'01_Run_Config'!$B$32,0.55,IF(A9&lt;'01_Run_Config'!$B$33,IF(A9-'01_Run_Config'!$B$32&lt;=3,0.8,IF(A9-'01_Run_Config'!$B$32&lt;=10,1,IF(A9-'01_Run_Config'!$B$32&lt;=17,1.2,1.4))),IF(A9-'01_Run_Config'!$B$33&lt;=6,1.5,IF(A9-'01_Run_Config'!$B$33&lt;=13,1.6,IF(A9-'01_Run_Config'!$B$33&lt;=20,1.7,IF(A9-'01_Run_Config'!$B$33&lt;=34,1.8,IF(A9-'01_Run_Config'!$B$33&lt;=41,1.6,IF(A9-'01_Run_Config'!$B$33&lt;=48,1.4,1.15))))))))</x:f>
        <x:v>0.8</x:v>
      </x:c>
      <x:c r="Q9" s="63" t="n">
        <x:v>5.9</x:v>
      </x:c>
      <x:c r="R9" s="63" t="n">
        <x:v>0.08</x:v>
      </x:c>
      <x:c r="S9" s="63" t="n">
        <x:v>0.15</x:v>
      </x:c>
      <x:c r="T9" s="63" t="str">
        <x:f>IF(A9&lt;=7,"Manuell",'01_Run_Config'!$B$40)</x:f>
        <x:v>Manuell</x:v>
      </x:c>
      <x:c r="U9" s="63" t="str">
        <x:f>IF(A9&lt;'01_Run_Config'!$B$32,"Kein Basisdünger",IF(A9&lt;'01_Run_Config'!$B$33,"HESI TNT","HESI Coco"))</x:f>
        <x:v>HESI TNT</x:v>
      </x:c>
      <x:c r="V9" s="63" t="n">
        <x:f>IF(A9&lt;'01_Run_Config'!$B$32,0,IF(A9&lt;'01_Run_Config'!$B$33,IF(A9-'01_Run_Config'!$B$32&lt;=3,1.25,IF(A9-'01_Run_Config'!$B$32&lt;=10,2,2.5)),IF(A9-'01_Run_Config'!$B$33&lt;=6,2.5,IF(A9-'01_Run_Config'!$B$33&lt;=13,3.25,IF(A9-'01_Run_Config'!$B$33&lt;=20,3.75,IF(A9-'01_Run_Config'!$B$33&lt;=34,4,IF(A9-'01_Run_Config'!$B$33&lt;=41,3.5,IF(A9-'01_Run_Config'!$B$33&lt;=48,2.5,1.5))))))))</x:f>
        <x:v>1.25</x:v>
      </x:c>
      <x:c r="W9" s="63" t="n">
        <x:f>IF(A9&lt;=14,2.5,0)</x:f>
        <x:v>2.5</x:v>
      </x:c>
      <x:c r="X9" s="63" t="n">
        <x:f>IF('01_Run_Config'!$B$50="AN Sensizym",0,IF(AND(A9&gt;='01_Run_Config'!$B$32,OR(AL9="",AL9&lt;=49)),2,0))</x:f>
        <x:v>2</x:v>
      </x:c>
      <x:c r="Y9" s="63" t="n">
        <x:f>0.015</x:f>
        <x:v>0.015</x:v>
      </x:c>
      <x:c r="Z9" s="63" t="n">
        <x:f>IF('01_Run_Config'!$B$51="HESI Hesilicio",2,0)</x:f>
        <x:v>0</x:v>
      </x:c>
      <x:c r="AA9" s="63" t="n">
        <x:f>IF('01_Run_Config'!$B$48="AN Bud Candy (replaces HESI Boost)",0,IF(AND(A9&gt;='01_Run_Config'!$B$33,MOD(A9-'01_Run_Config'!$B$33,7)=0),2,0))</x:f>
        <x:v>0</x:v>
      </x:c>
      <x:c r="AB9" s="63" t="n">
        <x:f>IF('01_Run_Config'!$B$52="AN Bud Ignitor &gt; Big Bud &gt; Overdrive",0,IF(AND(ISNUMBER(AL9),AL9&gt;=29,AL9&lt;=42),0.25+((AL9-29)/13)*0.25,0))</x:f>
        <x:v>0</x:v>
      </x:c>
      <x:c r="AC9" s="63" t="n">
        <x:f>IF('01_Run_Config'!$B$46="OFF",0,IF(OR(A9='01_Run_Config'!$B$32,A9='01_Run_Config'!$B$32+7,A9='01_Run_Config'!$B$33+1,A9='01_Run_Config'!$B$33+8),2,0))</x:f>
        <x:v>0</x:v>
      </x:c>
      <x:c r="AD9" s="63" t="str">
        <x:f>IF(BG9="BLOCK","HYBRID BLOCKED - Konfiguration prüfen",IF(SUM(AC9,AT9:BF9)&gt;0,"AN aktiv: "&amp;BH9,"AN: keine Dosis heute / Module aus"))</x:f>
        <x:v>AN: keine Dosis heute / Module aus</x:v>
      </x:c>
      <x:c r="AE9" s="63" t="str">
        <x:v>Kein Training</x:v>
      </x:c>
      <x:c r="AF9" s="63" t="str">
        <x:v>Morgens Klima/Pflanze/Bewässerung/Leck; Mitte Lichtphase Blattwinkel; vor Dunkel LF/Drain/stehendes Wasser. WÖCHENTLICH: pH/EC kalibrieren, Foto, Canopy messen, PPFD-Spotcheck, Reservoir falls genutzt / Tray reinigen.</x:v>
      </x:c>
      <x:c r="AG9" s="63" t="str">
        <x:v>EC nicht erhöhen bei steigender Diagnose-Drain-EC; PPFD nicht erhöhen bei Stress; Wasserband nie erzwingen; nie mehrere neue Booster gleichzeitig.</x:v>
      </x:c>
      <x:c r="AH9" s="35" t="str">
        <x:f>"UKD v9 evidence-guarded: Planwerte sind Ziele/Eligibility, keine automatische Freigabe. Eazy Plug/Block ist vorgepuffert; früher Basisfeed bleibt vom Propagation-/Pflanzengate abhängig. Messdaten und Safety-Gates überschreiben Kalender."</x:f>
        <x:v>UKD v9 evidence-guarded: Planwerte sind Ziele/Eligibility, keine automatische Freigabe. Eazy Plug/Block ist vorgepuffert; früher Basisfeed bleibt vom Propagation-/Pflanzengate abhängig. Messdaten und Safety-Gates überschreiben Kalender.</x:v>
      </x:c>
      <x:c r="AI9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9" s="201" t="str">
        <x:f>IF(A9&lt;'01_Run_Config'!$B$32,"—",IF(A9&lt;'01_Run_Config'!$B$33,"G"&amp;MIN(4,INT((A9-'01_Run_Config'!$B$32)/7)+1),AM9))</x:f>
        <x:v>G1</x:v>
      </x:c>
      <x:c r="AK9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9" s="60" t="str">
        <x:f>IF(A9&lt;'01_Run_Config'!$B$33,"",A9-'01_Run_Config'!$B$33+1)</x:f>
      </x:c>
      <x:c r="AM9" s="60" t="str">
        <x:f>IF(AL9="","",IF(AL9&gt;49,CHAR(66)&amp;"7+",CHAR(66)&amp;TEXT(INT((AL9-1)/7)+1,"0")))</x:f>
      </x:c>
      <x:c r="AN9" s="60" t="n">
        <x:f>ROUND(0.6108*EXP(17.27*L9/(L9+237.3))*(1-N9/100),2)</x:f>
        <x:v>0.95</x:v>
      </x:c>
      <x:c r="AO9" s="60" t="n">
        <x:f>H9*G9/1000</x:f>
        <x:v>0.72</x:v>
      </x:c>
      <x:c r="AP9" s="60" t="n">
        <x:f>SUM($AO$2:AO9)</x:f>
        <x:v>5.039999999999999</x:v>
      </x:c>
      <x:c r="AQ9" t="n">
        <x:f>'01_Run_Config'!$B$17</x:f>
        <x:v>0</x:v>
      </x:c>
      <x:c r="AR9" t="n">
        <x:f>'01_Run_Config'!$B$22</x:f>
        <x:v>0</x:v>
      </x:c>
      <x:c r="AS9" t="n">
        <x:f>'01_Run_Config'!$B$25</x:f>
        <x:v>0</x:v>
      </x:c>
      <x:c r="AT9" t="n">
        <x:f>IF(AND('01_Run_Config'!$B$46="Voodoo + Piranha + Tarantula",AC9&gt;0),2,0)</x:f>
        <x:v>0</x:v>
      </x:c>
      <x:c r="AU9" t="n">
        <x:f>IF(AND(OR('01_Run_Config'!$B$46="Voodoo + Tarantula",'01_Run_Config'!$B$46="Voodoo + Piranha + Tarantula"),AC9&gt;0),2,0)</x:f>
        <x:v>0</x:v>
      </x:c>
      <x:c r="AV9" t="n">
        <x:f>IF('01_Run_Config'!$B$47&lt;&gt;"ON / A-B",0,IF(OR(AND(A9&gt;='01_Run_Config'!$B$32,A9&lt;'01_Run_Config'!$B$33),AND(ISNUMBER(AL9),AL9&gt;=15,AL9&lt;=49)),2,0))</x:f>
        <x:v>0</x:v>
      </x:c>
      <x:c r="AW9" t="n">
        <x:f>IF('01_Run_Config'!$B$48="AN Bud Candy (replaces HESI Boost)",IF(AND(A9&gt;='01_Run_Config'!$B$32,OR(AL9="",AL9&lt;=49)),2,0),0)</x:f>
        <x:v>0</x:v>
      </x:c>
      <x:c r="AX9" t="n">
        <x:f>IF('01_Run_Config'!$B$49&lt;&gt;"ON / EXPERIMENTAL",0,IF(OR(AND(A9&gt;='01_Run_Config'!$B$32+7,A9&lt;'01_Run_Config'!$B$33),AND(ISNUMBER(AL9),AL9&gt;=1,AL9&lt;=49)),2,0))</x:f>
        <x:v>0</x:v>
      </x:c>
      <x:c r="AY9" t="n">
        <x:f>IF('01_Run_Config'!$B$50="AN Sensizym",IF(AND(A9&gt;='01_Run_Config'!$B$32,OR(AL9="",AL9&lt;=49)),2,0),0)</x:f>
        <x:v>0</x:v>
      </x:c>
      <x:c r="AZ9" t="n">
        <x:f>IF('01_Run_Config'!$B$51="AN Rhino Skin",IF(AND(A9&gt;='01_Run_Config'!$B$32,OR(AL9="",AL9&lt;=49)),2,0),0)</x:f>
        <x:v>0</x:v>
      </x:c>
      <x:c r="BA9" t="n">
        <x:f>IF(AND('01_Run_Config'!$B$52="AN Bud Ignitor &gt; Big Bud &gt; Overdrive",ISNUMBER(AL9),AL9&gt;=1,AL9&lt;=14),2,0)</x:f>
        <x:v>0</x:v>
      </x:c>
      <x:c r="BB9" t="n">
        <x:f>IF(AND('01_Run_Config'!$B$52="AN Bud Ignitor &gt; Big Bud &gt; Overdrive",ISNUMBER(AL9),AL9&gt;=8,AL9&lt;=35),2,0)</x:f>
        <x:v>0</x:v>
      </x:c>
      <x:c r="BC9" t="n">
        <x:f>IF(AND('01_Run_Config'!$B$52="AN Bud Ignitor &gt; Big Bud &gt; Overdrive",ISNUMBER(AL9),AL9&gt;=36,AL9&lt;=49),2,0)</x:f>
        <x:v>0</x:v>
      </x:c>
      <x:c r="BD9" t="n">
        <x:f>IF('01_Run_Config'!$B$53="ON / EXPERIMENTAL",IF(OR(AND(A9&gt;='01_Run_Config'!$B$32,A9&lt;'01_Run_Config'!$B$33),AND(ISNUMBER(AL9),AL9&gt;=15,AL9&lt;=49)),2,0),0)</x:f>
        <x:v>0</x:v>
      </x:c>
      <x:c r="BE9" t="n">
        <x:f>IF('01_Run_Config'!$B$54="AN Sensi CalMag Xtra conditional",'01_Run_Config'!$B$17,0)</x:f>
        <x:v>0</x:v>
      </x:c>
      <x:c r="BF9" t="n">
        <x:f>0</x:f>
        <x:v>0</x:v>
      </x:c>
      <x:c r="BG9" t="str">
        <x:f>'01_Run_Config'!$E$57</x:f>
        <x:v>OK</x:v>
      </x:c>
      <x:c r="BH9" t="str">
        <x:f>IF(SUM(AC9,AT9:BF9)=0,"keine AN-Dosis heute",IF(AC9&gt;0,"Voodoo "&amp;AC9&amp;" ml/L; ","")&amp;IF(AT9&gt;0,"Piranha "&amp;AT9&amp;" ml/L; ","")&amp;IF(AU9&gt;0,"Tarantula "&amp;AU9&amp;" ml/L; ","")&amp;IF(AV9&gt;0,"B-52 "&amp;AV9&amp;" ml/L; ","")&amp;IF(AW9&gt;0,"Bud Candy "&amp;AW9&amp;" ml/L; ","")&amp;IF(AX9&gt;0,"Bud Factor X "&amp;AX9&amp;" ml/L; ","")&amp;IF(AY9&gt;0,"Sensizym "&amp;AY9&amp;" ml/L; ","")&amp;IF(AZ9&gt;0,"Rhino Skin "&amp;AZ9&amp;" ml/L; ","")&amp;IF(BA9&gt;0,"Bud Ignitor "&amp;BA9&amp;" ml/L; ","")&amp;IF(BB9&gt;0,"Big Bud "&amp;BB9&amp;" ml/L; ","")&amp;IF(BC9&gt;0,"Overdrive "&amp;BC9&amp;" ml/L; ","")&amp;IF(BD9&gt;0,"Tasty Terpenes "&amp;BD9&amp;" ml/L; ","")&amp;IF(BE9&gt;0,"Sensi CalMag "&amp;BE9&amp;" ml/L",""))</x:f>
        <x:v>keine AN-Dosis heute</x:v>
      </x:c>
    </x:row>
    <x:row r="10">
      <x:c r="A10" s="34" t="n">
        <x:v>8</x:v>
      </x:c>
      <x:c r="B10" s="129" t="n">
        <x:f>'01_Run_Config'!$B$4+A10</x:f>
        <x:v>46250</x:v>
      </x:c>
      <x:c r="C10" s="63" t="n">
        <x:f>INT(A10/7)+1</x:f>
        <x:v>2</x:v>
      </x:c>
      <x:c r="D10" s="63" t="str">
        <x:f>"M"&amp;MIN(3,INT(A10/30)+1)</x:f>
        <x:v>M1</x:v>
      </x:c>
      <x:c r="E10" s="63" t="str">
        <x:f>IF(A10&lt;4,"Keimung",IF(A10&lt;8,"Etablierung",IF(A10&lt;15,"Early Veg",IF(A10&lt;'01_Run_Config'!$B$33,IF(A10&lt;22,"Veg / LST","Preflower-Watch"),IF(A10-'01_Run_Config'!$B$33&lt;=6,"Transition / Stretch ("&amp;AM10&amp;")",IF(A10-'01_Run_Config'!$B$33&lt;=13,"Early Flower ("&amp;AM10&amp;")",IF(A10-'01_Run_Config'!$B$33&lt;=20,"Flower I ("&amp;AM10&amp;")",IF(A10-'01_Run_Config'!$B$33&lt;=34,"Peak Flower ("&amp;AM10&amp;")",IF(A10-'01_Run_Config'!$B$33&lt;=41,"Late Flower ("&amp;AM10&amp;")",IF(A10-'01_Run_Config'!$B$33&lt;=48,"Ripening ("&amp;AM10&amp;")","Harvest / Extension ("&amp;AM10&amp;")"))))))))))</x:f>
        <x:v>Early Veg</x:v>
      </x:c>
      <x:c r="F10" s="63" t="str">
        <x:f>IF(A10&lt;4,"Keimung + Wurzelstart",IF(A10&lt;8,"Sämling etablieren; Wurzelraum erschließen",IF(A10&lt;15,"kompakter Aufbau; LST erst bei Vitalität",IF(A10&lt;'01_Run_Config'!$B$33,"Canopy aufbauen; Preflower beobachten",IF(A10-'01_Run_Config'!$B$33&lt;=6,"Stretch kontrollieren; Bloom-Trigger dokumentieren",IF(A10-'01_Run_Config'!$B$33&lt;=13,"Blütenansatz stabilisieren",IF(A10-'01_Run_Config'!$B$33&lt;=20,"Blütenaufbau ohne neue Stressoren",IF(A10-'01_Run_Config'!$B$33&lt;=34,"stabile Peak-Photosynthese; Klima priorisieren",IF(A10-'01_Run_Config'!$B$33&lt;=41,"Qualität/Schimmelprävention",IF(A10-'01_Run_Config'!$B$33&lt;=48,"Reife ohne Überfütterung","Erntefenster nach Pflanze; keine Kalenderernte"))))))))))</x:f>
        <x:v>kompakter Aufbau; LST erst bei Vitalität</x:v>
      </x:c>
      <x:c r="G10" s="63" t="n">
        <x:v>18</x:v>
      </x:c>
      <x:c r="H10" s="63" t="n">
        <x:v>55</x:v>
      </x:c>
      <x:c r="I10" s="63" t="n">
        <x:v>275</x:v>
      </x:c>
      <x:c r="J10" s="63" t="n">
        <x:f>I10*G10*3600/1000000</x:f>
        <x:v>17.82</x:v>
      </x:c>
      <x:c r="K10" s="63" t="n">
        <x:v>48</x:v>
      </x:c>
      <x:c r="L10" s="63" t="n">
        <x:v>25.5</x:v>
      </x:c>
      <x:c r="M10" s="63" t="n">
        <x:v>22</x:v>
      </x:c>
      <x:c r="N10" s="63" t="n">
        <x:v>66</x:v>
      </x:c>
      <x:c r="O10" s="63" t="n">
        <x:f>ROUND(0.6108*EXP(17.27*(L10+'01_Run_Config'!$B$34)/(L10+'01_Run_Config'!$B$34+237.3))-(N10/100)*0.6108*EXP(17.27*L10/(L10+237.3)),2)</x:f>
        <x:v>0.92</x:v>
      </x:c>
      <x:c r="P10" s="63" t="n">
        <x:f>IF(A10&lt;'01_Run_Config'!$B$32,0.55,IF(A10&lt;'01_Run_Config'!$B$33,IF(A10-'01_Run_Config'!$B$32&lt;=3,0.8,IF(A10-'01_Run_Config'!$B$32&lt;=10,1,IF(A10-'01_Run_Config'!$B$32&lt;=17,1.2,1.4))),IF(A10-'01_Run_Config'!$B$33&lt;=6,1.5,IF(A10-'01_Run_Config'!$B$33&lt;=13,1.6,IF(A10-'01_Run_Config'!$B$33&lt;=20,1.7,IF(A10-'01_Run_Config'!$B$33&lt;=34,1.8,IF(A10-'01_Run_Config'!$B$33&lt;=41,1.6,IF(A10-'01_Run_Config'!$B$33&lt;=48,1.4,1.15))))))))</x:f>
        <x:v>1</x:v>
      </x:c>
      <x:c r="Q10" s="63" t="n">
        <x:v>5.9</x:v>
      </x:c>
      <x:c r="R10" s="63" t="n">
        <x:v>0.15</x:v>
      </x:c>
      <x:c r="S10" s="63" t="n">
        <x:v>0.3</x:v>
      </x:c>
      <x:c r="T10" s="63" t="str">
        <x:f>IF(A10&lt;=7,"Manuell",'01_Run_Config'!$B$40)</x:f>
        <x:v>Manuell / indoor-freigegebene Automation</x:v>
      </x:c>
      <x:c r="U10" s="63" t="str">
        <x:f>IF(A10&lt;'01_Run_Config'!$B$32,"Kein Basisdünger",IF(A10&lt;'01_Run_Config'!$B$33,"HESI TNT","HESI Coco"))</x:f>
        <x:v>HESI TNT</x:v>
      </x:c>
      <x:c r="V10" s="63" t="n">
        <x:f>IF(A10&lt;'01_Run_Config'!$B$32,0,IF(A10&lt;'01_Run_Config'!$B$33,IF(A10-'01_Run_Config'!$B$32&lt;=3,1.25,IF(A10-'01_Run_Config'!$B$32&lt;=10,2,2.5)),IF(A10-'01_Run_Config'!$B$33&lt;=6,2.5,IF(A10-'01_Run_Config'!$B$33&lt;=13,3.25,IF(A10-'01_Run_Config'!$B$33&lt;=20,3.75,IF(A10-'01_Run_Config'!$B$33&lt;=34,4,IF(A10-'01_Run_Config'!$B$33&lt;=41,3.5,IF(A10-'01_Run_Config'!$B$33&lt;=48,2.5,1.5))))))))</x:f>
        <x:v>2</x:v>
      </x:c>
      <x:c r="W10" s="63" t="n">
        <x:f>IF(A10&lt;=14,2.5,0)</x:f>
        <x:v>2.5</x:v>
      </x:c>
      <x:c r="X10" s="63" t="n">
        <x:f>IF('01_Run_Config'!$B$50="AN Sensizym",0,IF(AND(A10&gt;='01_Run_Config'!$B$32,OR(AL10="",AL10&lt;=49)),2,0))</x:f>
        <x:v>2</x:v>
      </x:c>
      <x:c r="Y10" s="63" t="n">
        <x:f>0.015</x:f>
        <x:v>0.015</x:v>
      </x:c>
      <x:c r="Z10" s="63" t="n">
        <x:f>IF('01_Run_Config'!$B$51="HESI Hesilicio",2,0)</x:f>
        <x:v>0</x:v>
      </x:c>
      <x:c r="AA10" s="63" t="n">
        <x:f>IF('01_Run_Config'!$B$48="AN Bud Candy (replaces HESI Boost)",0,IF(AND(A10&gt;='01_Run_Config'!$B$33,MOD(A10-'01_Run_Config'!$B$33,7)=0),2,0))</x:f>
        <x:v>0</x:v>
      </x:c>
      <x:c r="AB10" s="63" t="n">
        <x:f>IF('01_Run_Config'!$B$52="AN Bud Ignitor &gt; Big Bud &gt; Overdrive",0,IF(AND(ISNUMBER(AL10),AL10&gt;=29,AL10&lt;=42),0.25+((AL10-29)/13)*0.25,0))</x:f>
        <x:v>0</x:v>
      </x:c>
      <x:c r="AC10" s="63" t="n">
        <x:f>IF('01_Run_Config'!$B$46="OFF",0,IF(OR(A10='01_Run_Config'!$B$32,A10='01_Run_Config'!$B$32+7,A10='01_Run_Config'!$B$33+1,A10='01_Run_Config'!$B$33+8),2,0))</x:f>
        <x:v>0</x:v>
      </x:c>
      <x:c r="AD10" s="63" t="str">
        <x:f>IF(BG10="BLOCK","HYBRID BLOCKED - Konfiguration prüfen",IF(SUM(AC10,AT10:BF10)&gt;0,"AN aktiv: "&amp;BH10,"AN: keine Dosis heute / Module aus"))</x:f>
        <x:v>AN: keine Dosis heute / Module aus</x:v>
      </x:c>
      <x:c r="AE10" s="63" t="str">
        <x:v>LST nur bei 4–5 kräftigen Nodes</x:v>
      </x:c>
      <x:c r="AF10" s="63" t="str">
        <x:v>Morgens Klima/Pflanze/Bewässerung/Leck; Mitte Lichtphase Blattwinkel; vor Dunkel LF/Drain/stehendes Wasser.</x:v>
      </x:c>
      <x:c r="AG10" s="63" t="str">
        <x:v>EC nicht erhöhen bei steigender Diagnose-Drain-EC; PPFD nicht erhöhen bei Stress; Wasserband nie erzwingen; nie mehrere neue Booster gleichzeitig.</x:v>
      </x:c>
      <x:c r="AH10" s="35" t="str">
        <x:f>"UKD v9 evidence-guarded: Planwerte sind Ziele/Eligibility, keine automatische Freigabe. Eazy Plug/Block ist vorgepuffert; früher Basisfeed bleibt vom Propagation-/Pflanzengate abhängig. Messdaten und Safety-Gates überschreiben Kalender."</x:f>
        <x:v>UKD v9 evidence-guarded: Planwerte sind Ziele/Eligibility, keine automatische Freigabe. Eazy Plug/Block ist vorgepuffert; früher Basisfeed bleibt vom Propagation-/Pflanzengate abhängig. Messdaten und Safety-Gates überschreiben Kalender.</x:v>
      </x:c>
      <x:c r="AI10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10" s="201" t="str">
        <x:f>IF(A10&lt;'01_Run_Config'!$B$32,"—",IF(A10&lt;'01_Run_Config'!$B$33,"G"&amp;MIN(4,INT((A10-'01_Run_Config'!$B$32)/7)+1),AM10))</x:f>
        <x:v>G1</x:v>
      </x:c>
      <x:c r="AK10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10" s="60" t="str">
        <x:f>IF(A10&lt;'01_Run_Config'!$B$33,"",A10-'01_Run_Config'!$B$33+1)</x:f>
      </x:c>
      <x:c r="AM10" s="60" t="str">
        <x:f>IF(AL10="","",IF(AL10&gt;49,CHAR(66)&amp;"7+",CHAR(66)&amp;TEXT(INT((AL10-1)/7)+1,"0")))</x:f>
      </x:c>
      <x:c r="AN10" s="60" t="n">
        <x:f>ROUND(0.6108*EXP(17.27*L10/(L10+237.3))*(1-N10/100),2)</x:f>
        <x:v>1.11</x:v>
      </x:c>
      <x:c r="AO10" s="60" t="n">
        <x:f>H10*G10/1000</x:f>
        <x:v>0.99</x:v>
      </x:c>
      <x:c r="AP10" s="60" t="n">
        <x:f>SUM($AO$2:AO10)</x:f>
        <x:v>6.029999999999999</x:v>
      </x:c>
      <x:c r="AQ10" t="n">
        <x:f>'01_Run_Config'!$B$17</x:f>
        <x:v>0</x:v>
      </x:c>
      <x:c r="AR10" t="n">
        <x:f>'01_Run_Config'!$B$22</x:f>
        <x:v>0</x:v>
      </x:c>
      <x:c r="AS10" t="n">
        <x:f>'01_Run_Config'!$B$25</x:f>
        <x:v>0</x:v>
      </x:c>
      <x:c r="AT10" t="n">
        <x:f>IF(AND('01_Run_Config'!$B$46="Voodoo + Piranha + Tarantula",AC10&gt;0),2,0)</x:f>
        <x:v>0</x:v>
      </x:c>
      <x:c r="AU10" t="n">
        <x:f>IF(AND(OR('01_Run_Config'!$B$46="Voodoo + Tarantula",'01_Run_Config'!$B$46="Voodoo + Piranha + Tarantula"),AC10&gt;0),2,0)</x:f>
        <x:v>0</x:v>
      </x:c>
      <x:c r="AV10" t="n">
        <x:f>IF('01_Run_Config'!$B$47&lt;&gt;"ON / A-B",0,IF(OR(AND(A10&gt;='01_Run_Config'!$B$32,A10&lt;'01_Run_Config'!$B$33),AND(ISNUMBER(AL10),AL10&gt;=15,AL10&lt;=49)),2,0))</x:f>
        <x:v>0</x:v>
      </x:c>
      <x:c r="AW10" t="n">
        <x:f>IF('01_Run_Config'!$B$48="AN Bud Candy (replaces HESI Boost)",IF(AND(A10&gt;='01_Run_Config'!$B$32,OR(AL10="",AL10&lt;=49)),2,0),0)</x:f>
        <x:v>0</x:v>
      </x:c>
      <x:c r="AX10" t="n">
        <x:f>IF('01_Run_Config'!$B$49&lt;&gt;"ON / EXPERIMENTAL",0,IF(OR(AND(A10&gt;='01_Run_Config'!$B$32+7,A10&lt;'01_Run_Config'!$B$33),AND(ISNUMBER(AL10),AL10&gt;=1,AL10&lt;=49)),2,0))</x:f>
        <x:v>0</x:v>
      </x:c>
      <x:c r="AY10" t="n">
        <x:f>IF('01_Run_Config'!$B$50="AN Sensizym",IF(AND(A10&gt;='01_Run_Config'!$B$32,OR(AL10="",AL10&lt;=49)),2,0),0)</x:f>
        <x:v>0</x:v>
      </x:c>
      <x:c r="AZ10" t="n">
        <x:f>IF('01_Run_Config'!$B$51="AN Rhino Skin",IF(AND(A10&gt;='01_Run_Config'!$B$32,OR(AL10="",AL10&lt;=49)),2,0),0)</x:f>
        <x:v>0</x:v>
      </x:c>
      <x:c r="BA10" t="n">
        <x:f>IF(AND('01_Run_Config'!$B$52="AN Bud Ignitor &gt; Big Bud &gt; Overdrive",ISNUMBER(AL10),AL10&gt;=1,AL10&lt;=14),2,0)</x:f>
        <x:v>0</x:v>
      </x:c>
      <x:c r="BB10" t="n">
        <x:f>IF(AND('01_Run_Config'!$B$52="AN Bud Ignitor &gt; Big Bud &gt; Overdrive",ISNUMBER(AL10),AL10&gt;=8,AL10&lt;=35),2,0)</x:f>
        <x:v>0</x:v>
      </x:c>
      <x:c r="BC10" t="n">
        <x:f>IF(AND('01_Run_Config'!$B$52="AN Bud Ignitor &gt; Big Bud &gt; Overdrive",ISNUMBER(AL10),AL10&gt;=36,AL10&lt;=49),2,0)</x:f>
        <x:v>0</x:v>
      </x:c>
      <x:c r="BD10" t="n">
        <x:f>IF('01_Run_Config'!$B$53="ON / EXPERIMENTAL",IF(OR(AND(A10&gt;='01_Run_Config'!$B$32,A10&lt;'01_Run_Config'!$B$33),AND(ISNUMBER(AL10),AL10&gt;=15,AL10&lt;=49)),2,0),0)</x:f>
        <x:v>0</x:v>
      </x:c>
      <x:c r="BE10" t="n">
        <x:f>IF('01_Run_Config'!$B$54="AN Sensi CalMag Xtra conditional",'01_Run_Config'!$B$17,0)</x:f>
        <x:v>0</x:v>
      </x:c>
      <x:c r="BF10" t="n">
        <x:f>0</x:f>
        <x:v>0</x:v>
      </x:c>
      <x:c r="BG10" t="str">
        <x:f>'01_Run_Config'!$E$57</x:f>
        <x:v>OK</x:v>
      </x:c>
      <x:c r="BH10" t="str">
        <x:f>IF(SUM(AC10,AT10:BF10)=0,"keine AN-Dosis heute",IF(AC10&gt;0,"Voodoo "&amp;AC10&amp;" ml/L; ","")&amp;IF(AT10&gt;0,"Piranha "&amp;AT10&amp;" ml/L; ","")&amp;IF(AU10&gt;0,"Tarantula "&amp;AU10&amp;" ml/L; ","")&amp;IF(AV10&gt;0,"B-52 "&amp;AV10&amp;" ml/L; ","")&amp;IF(AW10&gt;0,"Bud Candy "&amp;AW10&amp;" ml/L; ","")&amp;IF(AX10&gt;0,"Bud Factor X "&amp;AX10&amp;" ml/L; ","")&amp;IF(AY10&gt;0,"Sensizym "&amp;AY10&amp;" ml/L; ","")&amp;IF(AZ10&gt;0,"Rhino Skin "&amp;AZ10&amp;" ml/L; ","")&amp;IF(BA10&gt;0,"Bud Ignitor "&amp;BA10&amp;" ml/L; ","")&amp;IF(BB10&gt;0,"Big Bud "&amp;BB10&amp;" ml/L; ","")&amp;IF(BC10&gt;0,"Overdrive "&amp;BC10&amp;" ml/L; ","")&amp;IF(BD10&gt;0,"Tasty Terpenes "&amp;BD10&amp;" ml/L; ","")&amp;IF(BE10&gt;0,"Sensi CalMag "&amp;BE10&amp;" ml/L",""))</x:f>
        <x:v>keine AN-Dosis heute</x:v>
      </x:c>
    </x:row>
    <x:row r="11">
      <x:c r="A11" s="34" t="n">
        <x:v>9</x:v>
      </x:c>
      <x:c r="B11" s="129" t="n">
        <x:f>'01_Run_Config'!$B$4+A11</x:f>
        <x:v>46251</x:v>
      </x:c>
      <x:c r="C11" s="63" t="n">
        <x:f>INT(A11/7)+1</x:f>
        <x:v>2</x:v>
      </x:c>
      <x:c r="D11" s="63" t="str">
        <x:f>"M"&amp;MIN(3,INT(A11/30)+1)</x:f>
        <x:v>M1</x:v>
      </x:c>
      <x:c r="E11" s="63" t="str">
        <x:f>IF(A11&lt;4,"Keimung",IF(A11&lt;8,"Etablierung",IF(A11&lt;15,"Early Veg",IF(A11&lt;'01_Run_Config'!$B$33,IF(A11&lt;22,"Veg / LST","Preflower-Watch"),IF(A11-'01_Run_Config'!$B$33&lt;=6,"Transition / Stretch ("&amp;AM11&amp;")",IF(A11-'01_Run_Config'!$B$33&lt;=13,"Early Flower ("&amp;AM11&amp;")",IF(A11-'01_Run_Config'!$B$33&lt;=20,"Flower I ("&amp;AM11&amp;")",IF(A11-'01_Run_Config'!$B$33&lt;=34,"Peak Flower ("&amp;AM11&amp;")",IF(A11-'01_Run_Config'!$B$33&lt;=41,"Late Flower ("&amp;AM11&amp;")",IF(A11-'01_Run_Config'!$B$33&lt;=48,"Ripening ("&amp;AM11&amp;")","Harvest / Extension ("&amp;AM11&amp;")"))))))))))</x:f>
        <x:v>Early Veg</x:v>
      </x:c>
      <x:c r="F11" s="63" t="str">
        <x:f>IF(A11&lt;4,"Keimung + Wurzelstart",IF(A11&lt;8,"Sämling etablieren; Wurzelraum erschließen",IF(A11&lt;15,"kompakter Aufbau; LST erst bei Vitalität",IF(A11&lt;'01_Run_Config'!$B$33,"Canopy aufbauen; Preflower beobachten",IF(A11-'01_Run_Config'!$B$33&lt;=6,"Stretch kontrollieren; Bloom-Trigger dokumentieren",IF(A11-'01_Run_Config'!$B$33&lt;=13,"Blütenansatz stabilisieren",IF(A11-'01_Run_Config'!$B$33&lt;=20,"Blütenaufbau ohne neue Stressoren",IF(A11-'01_Run_Config'!$B$33&lt;=34,"stabile Peak-Photosynthese; Klima priorisieren",IF(A11-'01_Run_Config'!$B$33&lt;=41,"Qualität/Schimmelprävention",IF(A11-'01_Run_Config'!$B$33&lt;=48,"Reife ohne Überfütterung","Erntefenster nach Pflanze; keine Kalenderernte"))))))))))</x:f>
        <x:v>kompakter Aufbau; LST erst bei Vitalität</x:v>
      </x:c>
      <x:c r="G11" s="63" t="n">
        <x:v>18</x:v>
      </x:c>
      <x:c r="H11" s="63" t="n">
        <x:v>55</x:v>
      </x:c>
      <x:c r="I11" s="63" t="n">
        <x:v>275</x:v>
      </x:c>
      <x:c r="J11" s="63" t="n">
        <x:f>I11*G11*3600/1000000</x:f>
        <x:v>17.82</x:v>
      </x:c>
      <x:c r="K11" s="63" t="n">
        <x:v>48</x:v>
      </x:c>
      <x:c r="L11" s="63" t="n">
        <x:v>25.5</x:v>
      </x:c>
      <x:c r="M11" s="63" t="n">
        <x:v>22</x:v>
      </x:c>
      <x:c r="N11" s="63" t="n">
        <x:v>66</x:v>
      </x:c>
      <x:c r="O11" s="63" t="n">
        <x:f>ROUND(0.6108*EXP(17.27*(L11+'01_Run_Config'!$B$34)/(L11+'01_Run_Config'!$B$34+237.3))-(N11/100)*0.6108*EXP(17.27*L11/(L11+237.3)),2)</x:f>
        <x:v>0.92</x:v>
      </x:c>
      <x:c r="P11" s="63" t="n">
        <x:f>IF(A11&lt;'01_Run_Config'!$B$32,0.55,IF(A11&lt;'01_Run_Config'!$B$33,IF(A11-'01_Run_Config'!$B$32&lt;=3,0.8,IF(A11-'01_Run_Config'!$B$32&lt;=10,1,IF(A11-'01_Run_Config'!$B$32&lt;=17,1.2,1.4))),IF(A11-'01_Run_Config'!$B$33&lt;=6,1.5,IF(A11-'01_Run_Config'!$B$33&lt;=13,1.6,IF(A11-'01_Run_Config'!$B$33&lt;=20,1.7,IF(A11-'01_Run_Config'!$B$33&lt;=34,1.8,IF(A11-'01_Run_Config'!$B$33&lt;=41,1.6,IF(A11-'01_Run_Config'!$B$33&lt;=48,1.4,1.15))))))))</x:f>
        <x:v>1</x:v>
      </x:c>
      <x:c r="Q11" s="63" t="n">
        <x:v>5.9</x:v>
      </x:c>
      <x:c r="R11" s="63" t="n">
        <x:v>0.15</x:v>
      </x:c>
      <x:c r="S11" s="63" t="n">
        <x:v>0.3</x:v>
      </x:c>
      <x:c r="T11" s="63" t="str">
        <x:f>IF(A11&lt;=7,"Manuell",'01_Run_Config'!$B$40)</x:f>
        <x:v>Manuell / indoor-freigegebene Automation</x:v>
      </x:c>
      <x:c r="U11" s="63" t="str">
        <x:f>IF(A11&lt;'01_Run_Config'!$B$32,"Kein Basisdünger",IF(A11&lt;'01_Run_Config'!$B$33,"HESI TNT","HESI Coco"))</x:f>
        <x:v>HESI TNT</x:v>
      </x:c>
      <x:c r="V11" s="63" t="n">
        <x:f>IF(A11&lt;'01_Run_Config'!$B$32,0,IF(A11&lt;'01_Run_Config'!$B$33,IF(A11-'01_Run_Config'!$B$32&lt;=3,1.25,IF(A11-'01_Run_Config'!$B$32&lt;=10,2,2.5)),IF(A11-'01_Run_Config'!$B$33&lt;=6,2.5,IF(A11-'01_Run_Config'!$B$33&lt;=13,3.25,IF(A11-'01_Run_Config'!$B$33&lt;=20,3.75,IF(A11-'01_Run_Config'!$B$33&lt;=34,4,IF(A11-'01_Run_Config'!$B$33&lt;=41,3.5,IF(A11-'01_Run_Config'!$B$33&lt;=48,2.5,1.5))))))))</x:f>
        <x:v>2</x:v>
      </x:c>
      <x:c r="W11" s="63" t="n">
        <x:f>IF(A11&lt;=14,2.5,0)</x:f>
        <x:v>2.5</x:v>
      </x:c>
      <x:c r="X11" s="63" t="n">
        <x:f>IF('01_Run_Config'!$B$50="AN Sensizym",0,IF(AND(A11&gt;='01_Run_Config'!$B$32,OR(AL11="",AL11&lt;=49)),2,0))</x:f>
        <x:v>2</x:v>
      </x:c>
      <x:c r="Y11" s="63" t="n">
        <x:f>0.015</x:f>
        <x:v>0.015</x:v>
      </x:c>
      <x:c r="Z11" s="63" t="n">
        <x:f>IF('01_Run_Config'!$B$51="HESI Hesilicio",2,0)</x:f>
        <x:v>0</x:v>
      </x:c>
      <x:c r="AA11" s="63" t="n">
        <x:f>IF('01_Run_Config'!$B$48="AN Bud Candy (replaces HESI Boost)",0,IF(AND(A11&gt;='01_Run_Config'!$B$33,MOD(A11-'01_Run_Config'!$B$33,7)=0),2,0))</x:f>
        <x:v>0</x:v>
      </x:c>
      <x:c r="AB11" s="63" t="n">
        <x:f>IF('01_Run_Config'!$B$52="AN Bud Ignitor &gt; Big Bud &gt; Overdrive",0,IF(AND(ISNUMBER(AL11),AL11&gt;=29,AL11&lt;=42),0.25+((AL11-29)/13)*0.25,0))</x:f>
        <x:v>0</x:v>
      </x:c>
      <x:c r="AC11" s="63" t="n">
        <x:f>IF('01_Run_Config'!$B$46="OFF",0,IF(OR(A11='01_Run_Config'!$B$32,A11='01_Run_Config'!$B$32+7,A11='01_Run_Config'!$B$33+1,A11='01_Run_Config'!$B$33+8),2,0))</x:f>
        <x:v>0</x:v>
      </x:c>
      <x:c r="AD11" s="63" t="str">
        <x:f>IF(BG11="BLOCK","HYBRID BLOCKED - Konfiguration prüfen",IF(SUM(AC11,AT11:BF11)&gt;0,"AN aktiv: "&amp;BH11,"AN: keine Dosis heute / Module aus"))</x:f>
        <x:v>AN: keine Dosis heute / Module aus</x:v>
      </x:c>
      <x:c r="AE11" s="63" t="str">
        <x:v>LST nur bei 4–5 kräftigen Nodes</x:v>
      </x:c>
      <x:c r="AF11" s="63" t="str">
        <x:v>Morgens Klima/Pflanze/Bewässerung/Leck; Mitte Lichtphase Blattwinkel; vor Dunkel LF/Drain/stehendes Wasser.</x:v>
      </x:c>
      <x:c r="AG11" s="63" t="str">
        <x:v>EC nicht erhöhen bei steigender Diagnose-Drain-EC; PPFD nicht erhöhen bei Stress; Wasserband nie erzwingen; nie mehrere neue Booster gleichzeitig.</x:v>
      </x:c>
      <x:c r="AH11" s="35" t="str">
        <x:f>"UKD v9 evidence-guarded: Planwerte sind Ziele/Eligibility, keine automatische Freigabe. Eazy Plug/Block ist vorgepuffert; früher Basisfeed bleibt vom Propagation-/Pflanzengate abhängig. Messdaten und Safety-Gates überschreiben Kalender."</x:f>
        <x:v>UKD v9 evidence-guarded: Planwerte sind Ziele/Eligibility, keine automatische Freigabe. Eazy Plug/Block ist vorgepuffert; früher Basisfeed bleibt vom Propagation-/Pflanzengate abhängig. Messdaten und Safety-Gates überschreiben Kalender.</x:v>
      </x:c>
      <x:c r="AI11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11" s="201" t="str">
        <x:f>IF(A11&lt;'01_Run_Config'!$B$32,"—",IF(A11&lt;'01_Run_Config'!$B$33,"G"&amp;MIN(4,INT((A11-'01_Run_Config'!$B$32)/7)+1),AM11))</x:f>
        <x:v>G1</x:v>
      </x:c>
      <x:c r="AK11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11" s="60" t="str">
        <x:f>IF(A11&lt;'01_Run_Config'!$B$33,"",A11-'01_Run_Config'!$B$33+1)</x:f>
      </x:c>
      <x:c r="AM11" s="60" t="str">
        <x:f>IF(AL11="","",IF(AL11&gt;49,CHAR(66)&amp;"7+",CHAR(66)&amp;TEXT(INT((AL11-1)/7)+1,"0")))</x:f>
      </x:c>
      <x:c r="AN11" s="60" t="n">
        <x:f>ROUND(0.6108*EXP(17.27*L11/(L11+237.3))*(1-N11/100),2)</x:f>
        <x:v>1.11</x:v>
      </x:c>
      <x:c r="AO11" s="60" t="n">
        <x:f>H11*G11/1000</x:f>
        <x:v>0.99</x:v>
      </x:c>
      <x:c r="AP11" s="60" t="n">
        <x:f>SUM($AO$2:AO11)</x:f>
        <x:v>7.02</x:v>
      </x:c>
      <x:c r="AQ11" t="n">
        <x:f>'01_Run_Config'!$B$17</x:f>
        <x:v>0</x:v>
      </x:c>
      <x:c r="AR11" t="n">
        <x:f>'01_Run_Config'!$B$22</x:f>
        <x:v>0</x:v>
      </x:c>
      <x:c r="AS11" t="n">
        <x:f>'01_Run_Config'!$B$25</x:f>
        <x:v>0</x:v>
      </x:c>
      <x:c r="AT11" t="n">
        <x:f>IF(AND('01_Run_Config'!$B$46="Voodoo + Piranha + Tarantula",AC11&gt;0),2,0)</x:f>
        <x:v>0</x:v>
      </x:c>
      <x:c r="AU11" t="n">
        <x:f>IF(AND(OR('01_Run_Config'!$B$46="Voodoo + Tarantula",'01_Run_Config'!$B$46="Voodoo + Piranha + Tarantula"),AC11&gt;0),2,0)</x:f>
        <x:v>0</x:v>
      </x:c>
      <x:c r="AV11" t="n">
        <x:f>IF('01_Run_Config'!$B$47&lt;&gt;"ON / A-B",0,IF(OR(AND(A11&gt;='01_Run_Config'!$B$32,A11&lt;'01_Run_Config'!$B$33),AND(ISNUMBER(AL11),AL11&gt;=15,AL11&lt;=49)),2,0))</x:f>
        <x:v>0</x:v>
      </x:c>
      <x:c r="AW11" t="n">
        <x:f>IF('01_Run_Config'!$B$48="AN Bud Candy (replaces HESI Boost)",IF(AND(A11&gt;='01_Run_Config'!$B$32,OR(AL11="",AL11&lt;=49)),2,0),0)</x:f>
        <x:v>0</x:v>
      </x:c>
      <x:c r="AX11" t="n">
        <x:f>IF('01_Run_Config'!$B$49&lt;&gt;"ON / EXPERIMENTAL",0,IF(OR(AND(A11&gt;='01_Run_Config'!$B$32+7,A11&lt;'01_Run_Config'!$B$33),AND(ISNUMBER(AL11),AL11&gt;=1,AL11&lt;=49)),2,0))</x:f>
        <x:v>0</x:v>
      </x:c>
      <x:c r="AY11" t="n">
        <x:f>IF('01_Run_Config'!$B$50="AN Sensizym",IF(AND(A11&gt;='01_Run_Config'!$B$32,OR(AL11="",AL11&lt;=49)),2,0),0)</x:f>
        <x:v>0</x:v>
      </x:c>
      <x:c r="AZ11" t="n">
        <x:f>IF('01_Run_Config'!$B$51="AN Rhino Skin",IF(AND(A11&gt;='01_Run_Config'!$B$32,OR(AL11="",AL11&lt;=49)),2,0),0)</x:f>
        <x:v>0</x:v>
      </x:c>
      <x:c r="BA11" t="n">
        <x:f>IF(AND('01_Run_Config'!$B$52="AN Bud Ignitor &gt; Big Bud &gt; Overdrive",ISNUMBER(AL11),AL11&gt;=1,AL11&lt;=14),2,0)</x:f>
        <x:v>0</x:v>
      </x:c>
      <x:c r="BB11" t="n">
        <x:f>IF(AND('01_Run_Config'!$B$52="AN Bud Ignitor &gt; Big Bud &gt; Overdrive",ISNUMBER(AL11),AL11&gt;=8,AL11&lt;=35),2,0)</x:f>
        <x:v>0</x:v>
      </x:c>
      <x:c r="BC11" t="n">
        <x:f>IF(AND('01_Run_Config'!$B$52="AN Bud Ignitor &gt; Big Bud &gt; Overdrive",ISNUMBER(AL11),AL11&gt;=36,AL11&lt;=49),2,0)</x:f>
        <x:v>0</x:v>
      </x:c>
      <x:c r="BD11" t="n">
        <x:f>IF('01_Run_Config'!$B$53="ON / EXPERIMENTAL",IF(OR(AND(A11&gt;='01_Run_Config'!$B$32,A11&lt;'01_Run_Config'!$B$33),AND(ISNUMBER(AL11),AL11&gt;=15,AL11&lt;=49)),2,0),0)</x:f>
        <x:v>0</x:v>
      </x:c>
      <x:c r="BE11" t="n">
        <x:f>IF('01_Run_Config'!$B$54="AN Sensi CalMag Xtra conditional",'01_Run_Config'!$B$17,0)</x:f>
        <x:v>0</x:v>
      </x:c>
      <x:c r="BF11" t="n">
        <x:f>0</x:f>
        <x:v>0</x:v>
      </x:c>
      <x:c r="BG11" t="str">
        <x:f>'01_Run_Config'!$E$57</x:f>
        <x:v>OK</x:v>
      </x:c>
      <x:c r="BH11" t="str">
        <x:f>IF(SUM(AC11,AT11:BF11)=0,"keine AN-Dosis heute",IF(AC11&gt;0,"Voodoo "&amp;AC11&amp;" ml/L; ","")&amp;IF(AT11&gt;0,"Piranha "&amp;AT11&amp;" ml/L; ","")&amp;IF(AU11&gt;0,"Tarantula "&amp;AU11&amp;" ml/L; ","")&amp;IF(AV11&gt;0,"B-52 "&amp;AV11&amp;" ml/L; ","")&amp;IF(AW11&gt;0,"Bud Candy "&amp;AW11&amp;" ml/L; ","")&amp;IF(AX11&gt;0,"Bud Factor X "&amp;AX11&amp;" ml/L; ","")&amp;IF(AY11&gt;0,"Sensizym "&amp;AY11&amp;" ml/L; ","")&amp;IF(AZ11&gt;0,"Rhino Skin "&amp;AZ11&amp;" ml/L; ","")&amp;IF(BA11&gt;0,"Bud Ignitor "&amp;BA11&amp;" ml/L; ","")&amp;IF(BB11&gt;0,"Big Bud "&amp;BB11&amp;" ml/L; ","")&amp;IF(BC11&gt;0,"Overdrive "&amp;BC11&amp;" ml/L; ","")&amp;IF(BD11&gt;0,"Tasty Terpenes "&amp;BD11&amp;" ml/L; ","")&amp;IF(BE11&gt;0,"Sensi CalMag "&amp;BE11&amp;" ml/L",""))</x:f>
        <x:v>keine AN-Dosis heute</x:v>
      </x:c>
    </x:row>
    <x:row r="12">
      <x:c r="A12" s="34" t="n">
        <x:v>10</x:v>
      </x:c>
      <x:c r="B12" s="129" t="n">
        <x:f>'01_Run_Config'!$B$4+A12</x:f>
        <x:v>46252</x:v>
      </x:c>
      <x:c r="C12" s="63" t="n">
        <x:f>INT(A12/7)+1</x:f>
        <x:v>2</x:v>
      </x:c>
      <x:c r="D12" s="63" t="str">
        <x:f>"M"&amp;MIN(3,INT(A12/30)+1)</x:f>
        <x:v>M1</x:v>
      </x:c>
      <x:c r="E12" s="63" t="str">
        <x:f>IF(A12&lt;4,"Keimung",IF(A12&lt;8,"Etablierung",IF(A12&lt;15,"Early Veg",IF(A12&lt;'01_Run_Config'!$B$33,IF(A12&lt;22,"Veg / LST","Preflower-Watch"),IF(A12-'01_Run_Config'!$B$33&lt;=6,"Transition / Stretch ("&amp;AM12&amp;")",IF(A12-'01_Run_Config'!$B$33&lt;=13,"Early Flower ("&amp;AM12&amp;")",IF(A12-'01_Run_Config'!$B$33&lt;=20,"Flower I ("&amp;AM12&amp;")",IF(A12-'01_Run_Config'!$B$33&lt;=34,"Peak Flower ("&amp;AM12&amp;")",IF(A12-'01_Run_Config'!$B$33&lt;=41,"Late Flower ("&amp;AM12&amp;")",IF(A12-'01_Run_Config'!$B$33&lt;=48,"Ripening ("&amp;AM12&amp;")","Harvest / Extension ("&amp;AM12&amp;")"))))))))))</x:f>
        <x:v>Early Veg</x:v>
      </x:c>
      <x:c r="F12" s="63" t="str">
        <x:f>IF(A12&lt;4,"Keimung + Wurzelstart",IF(A12&lt;8,"Sämling etablieren; Wurzelraum erschließen",IF(A12&lt;15,"kompakter Aufbau; LST erst bei Vitalität",IF(A12&lt;'01_Run_Config'!$B$33,"Canopy aufbauen; Preflower beobachten",IF(A12-'01_Run_Config'!$B$33&lt;=6,"Stretch kontrollieren; Bloom-Trigger dokumentieren",IF(A12-'01_Run_Config'!$B$33&lt;=13,"Blütenansatz stabilisieren",IF(A12-'01_Run_Config'!$B$33&lt;=20,"Blütenaufbau ohne neue Stressoren",IF(A12-'01_Run_Config'!$B$33&lt;=34,"stabile Peak-Photosynthese; Klima priorisieren",IF(A12-'01_Run_Config'!$B$33&lt;=41,"Qualität/Schimmelprävention",IF(A12-'01_Run_Config'!$B$33&lt;=48,"Reife ohne Überfütterung","Erntefenster nach Pflanze; keine Kalenderernte"))))))))))</x:f>
        <x:v>kompakter Aufbau; LST erst bei Vitalität</x:v>
      </x:c>
      <x:c r="G12" s="63" t="n">
        <x:v>18</x:v>
      </x:c>
      <x:c r="H12" s="63" t="n">
        <x:v>55</x:v>
      </x:c>
      <x:c r="I12" s="63" t="n">
        <x:v>275</x:v>
      </x:c>
      <x:c r="J12" s="63" t="n">
        <x:f>I12*G12*3600/1000000</x:f>
        <x:v>17.82</x:v>
      </x:c>
      <x:c r="K12" s="63" t="n">
        <x:v>48</x:v>
      </x:c>
      <x:c r="L12" s="63" t="n">
        <x:v>25.5</x:v>
      </x:c>
      <x:c r="M12" s="63" t="n">
        <x:v>22</x:v>
      </x:c>
      <x:c r="N12" s="63" t="n">
        <x:v>66</x:v>
      </x:c>
      <x:c r="O12" s="63" t="n">
        <x:f>ROUND(0.6108*EXP(17.27*(L12+'01_Run_Config'!$B$34)/(L12+'01_Run_Config'!$B$34+237.3))-(N12/100)*0.6108*EXP(17.27*L12/(L12+237.3)),2)</x:f>
        <x:v>0.92</x:v>
      </x:c>
      <x:c r="P12" s="63" t="n">
        <x:f>IF(A12&lt;'01_Run_Config'!$B$32,0.55,IF(A12&lt;'01_Run_Config'!$B$33,IF(A12-'01_Run_Config'!$B$32&lt;=3,0.8,IF(A12-'01_Run_Config'!$B$32&lt;=10,1,IF(A12-'01_Run_Config'!$B$32&lt;=17,1.2,1.4))),IF(A12-'01_Run_Config'!$B$33&lt;=6,1.5,IF(A12-'01_Run_Config'!$B$33&lt;=13,1.6,IF(A12-'01_Run_Config'!$B$33&lt;=20,1.7,IF(A12-'01_Run_Config'!$B$33&lt;=34,1.8,IF(A12-'01_Run_Config'!$B$33&lt;=41,1.6,IF(A12-'01_Run_Config'!$B$33&lt;=48,1.4,1.15))))))))</x:f>
        <x:v>1</x:v>
      </x:c>
      <x:c r="Q12" s="63" t="n">
        <x:v>5.9</x:v>
      </x:c>
      <x:c r="R12" s="63" t="n">
        <x:v>0.15</x:v>
      </x:c>
      <x:c r="S12" s="63" t="n">
        <x:v>0.3</x:v>
      </x:c>
      <x:c r="T12" s="63" t="str">
        <x:f>IF(A12&lt;=7,"Manuell",'01_Run_Config'!$B$40)</x:f>
        <x:v>Manuell / indoor-freigegebene Automation</x:v>
      </x:c>
      <x:c r="U12" s="63" t="str">
        <x:f>IF(A12&lt;'01_Run_Config'!$B$32,"Kein Basisdünger",IF(A12&lt;'01_Run_Config'!$B$33,"HESI TNT","HESI Coco"))</x:f>
        <x:v>HESI TNT</x:v>
      </x:c>
      <x:c r="V12" s="63" t="n">
        <x:f>IF(A12&lt;'01_Run_Config'!$B$32,0,IF(A12&lt;'01_Run_Config'!$B$33,IF(A12-'01_Run_Config'!$B$32&lt;=3,1.25,IF(A12-'01_Run_Config'!$B$32&lt;=10,2,2.5)),IF(A12-'01_Run_Config'!$B$33&lt;=6,2.5,IF(A12-'01_Run_Config'!$B$33&lt;=13,3.25,IF(A12-'01_Run_Config'!$B$33&lt;=20,3.75,IF(A12-'01_Run_Config'!$B$33&lt;=34,4,IF(A12-'01_Run_Config'!$B$33&lt;=41,3.5,IF(A12-'01_Run_Config'!$B$33&lt;=48,2.5,1.5))))))))</x:f>
        <x:v>2</x:v>
      </x:c>
      <x:c r="W12" s="63" t="n">
        <x:f>IF(A12&lt;=14,2.5,0)</x:f>
        <x:v>2.5</x:v>
      </x:c>
      <x:c r="X12" s="63" t="n">
        <x:f>IF('01_Run_Config'!$B$50="AN Sensizym",0,IF(AND(A12&gt;='01_Run_Config'!$B$32,OR(AL12="",AL12&lt;=49)),2,0))</x:f>
        <x:v>2</x:v>
      </x:c>
      <x:c r="Y12" s="63" t="n">
        <x:f>0.015</x:f>
        <x:v>0.015</x:v>
      </x:c>
      <x:c r="Z12" s="63" t="n">
        <x:f>IF('01_Run_Config'!$B$51="HESI Hesilicio",2,0)</x:f>
        <x:v>0</x:v>
      </x:c>
      <x:c r="AA12" s="63" t="n">
        <x:f>IF('01_Run_Config'!$B$48="AN Bud Candy (replaces HESI Boost)",0,IF(AND(A12&gt;='01_Run_Config'!$B$33,MOD(A12-'01_Run_Config'!$B$33,7)=0),2,0))</x:f>
        <x:v>0</x:v>
      </x:c>
      <x:c r="AB12" s="63" t="n">
        <x:f>IF('01_Run_Config'!$B$52="AN Bud Ignitor &gt; Big Bud &gt; Overdrive",0,IF(AND(ISNUMBER(AL12),AL12&gt;=29,AL12&lt;=42),0.25+((AL12-29)/13)*0.25,0))</x:f>
        <x:v>0</x:v>
      </x:c>
      <x:c r="AC12" s="63" t="n">
        <x:f>IF('01_Run_Config'!$B$46="OFF",0,IF(OR(A12='01_Run_Config'!$B$32,A12='01_Run_Config'!$B$32+7,A12='01_Run_Config'!$B$33+1,A12='01_Run_Config'!$B$33+8),2,0))</x:f>
        <x:v>0</x:v>
      </x:c>
      <x:c r="AD12" s="63" t="str">
        <x:f>IF(BG12="BLOCK","HYBRID BLOCKED - Konfiguration prüfen",IF(SUM(AC12,AT12:BF12)&gt;0,"AN aktiv: "&amp;BH12,"AN: keine Dosis heute / Module aus"))</x:f>
        <x:v>AN: keine Dosis heute / Module aus</x:v>
      </x:c>
      <x:c r="AE12" s="63" t="str">
        <x:v>LST nur bei 4–5 kräftigen Nodes</x:v>
      </x:c>
      <x:c r="AF12" s="63" t="str">
        <x:v>Morgens Klima/Pflanze/Bewässerung/Leck; Mitte Lichtphase Blattwinkel; vor Dunkel LF/Drain/stehendes Wasser.</x:v>
      </x:c>
      <x:c r="AG12" s="63" t="str">
        <x:v>EC nicht erhöhen bei steigender Diagnose-Drain-EC; PPFD nicht erhöhen bei Stress; Wasserband nie erzwingen; nie mehrere neue Booster gleichzeitig.</x:v>
      </x:c>
      <x:c r="AH12" s="35" t="str">
        <x:f>"UKD v9 evidence-guarded: Planwerte sind Ziele/Eligibility, keine automatische Freigabe. Eazy Plug/Block ist vorgepuffert; früher Basisfeed bleibt vom Propagation-/Pflanzengate abhängig. Messdaten und Safety-Gates überschreiben Kalender."</x:f>
        <x:v>UKD v9 evidence-guarded: Planwerte sind Ziele/Eligibility, keine automatische Freigabe. Eazy Plug/Block ist vorgepuffert; früher Basisfeed bleibt vom Propagation-/Pflanzengate abhängig. Messdaten und Safety-Gates überschreiben Kalender.</x:v>
      </x:c>
      <x:c r="AI12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12" s="201" t="str">
        <x:f>IF(A12&lt;'01_Run_Config'!$B$32,"—",IF(A12&lt;'01_Run_Config'!$B$33,"G"&amp;MIN(4,INT((A12-'01_Run_Config'!$B$32)/7)+1),AM12))</x:f>
        <x:v>G1</x:v>
      </x:c>
      <x:c r="AK12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12" s="60" t="str">
        <x:f>IF(A12&lt;'01_Run_Config'!$B$33,"",A12-'01_Run_Config'!$B$33+1)</x:f>
      </x:c>
      <x:c r="AM12" s="60" t="str">
        <x:f>IF(AL12="","",IF(AL12&gt;49,CHAR(66)&amp;"7+",CHAR(66)&amp;TEXT(INT((AL12-1)/7)+1,"0")))</x:f>
      </x:c>
      <x:c r="AN12" s="60" t="n">
        <x:f>ROUND(0.6108*EXP(17.27*L12/(L12+237.3))*(1-N12/100),2)</x:f>
        <x:v>1.11</x:v>
      </x:c>
      <x:c r="AO12" s="60" t="n">
        <x:f>H12*G12/1000</x:f>
        <x:v>0.99</x:v>
      </x:c>
      <x:c r="AP12" s="60" t="n">
        <x:f>SUM($AO$2:AO12)</x:f>
        <x:v>8.01</x:v>
      </x:c>
      <x:c r="AQ12" t="n">
        <x:f>'01_Run_Config'!$B$17</x:f>
        <x:v>0</x:v>
      </x:c>
      <x:c r="AR12" t="n">
        <x:f>'01_Run_Config'!$B$22</x:f>
        <x:v>0</x:v>
      </x:c>
      <x:c r="AS12" t="n">
        <x:f>'01_Run_Config'!$B$25</x:f>
        <x:v>0</x:v>
      </x:c>
      <x:c r="AT12" t="n">
        <x:f>IF(AND('01_Run_Config'!$B$46="Voodoo + Piranha + Tarantula",AC12&gt;0),2,0)</x:f>
        <x:v>0</x:v>
      </x:c>
      <x:c r="AU12" t="n">
        <x:f>IF(AND(OR('01_Run_Config'!$B$46="Voodoo + Tarantula",'01_Run_Config'!$B$46="Voodoo + Piranha + Tarantula"),AC12&gt;0),2,0)</x:f>
        <x:v>0</x:v>
      </x:c>
      <x:c r="AV12" t="n">
        <x:f>IF('01_Run_Config'!$B$47&lt;&gt;"ON / A-B",0,IF(OR(AND(A12&gt;='01_Run_Config'!$B$32,A12&lt;'01_Run_Config'!$B$33),AND(ISNUMBER(AL12),AL12&gt;=15,AL12&lt;=49)),2,0))</x:f>
        <x:v>0</x:v>
      </x:c>
      <x:c r="AW12" t="n">
        <x:f>IF('01_Run_Config'!$B$48="AN Bud Candy (replaces HESI Boost)",IF(AND(A12&gt;='01_Run_Config'!$B$32,OR(AL12="",AL12&lt;=49)),2,0),0)</x:f>
        <x:v>0</x:v>
      </x:c>
      <x:c r="AX12" t="n">
        <x:f>IF('01_Run_Config'!$B$49&lt;&gt;"ON / EXPERIMENTAL",0,IF(OR(AND(A12&gt;='01_Run_Config'!$B$32+7,A12&lt;'01_Run_Config'!$B$33),AND(ISNUMBER(AL12),AL12&gt;=1,AL12&lt;=49)),2,0))</x:f>
        <x:v>0</x:v>
      </x:c>
      <x:c r="AY12" t="n">
        <x:f>IF('01_Run_Config'!$B$50="AN Sensizym",IF(AND(A12&gt;='01_Run_Config'!$B$32,OR(AL12="",AL12&lt;=49)),2,0),0)</x:f>
        <x:v>0</x:v>
      </x:c>
      <x:c r="AZ12" t="n">
        <x:f>IF('01_Run_Config'!$B$51="AN Rhino Skin",IF(AND(A12&gt;='01_Run_Config'!$B$32,OR(AL12="",AL12&lt;=49)),2,0),0)</x:f>
        <x:v>0</x:v>
      </x:c>
      <x:c r="BA12" t="n">
        <x:f>IF(AND('01_Run_Config'!$B$52="AN Bud Ignitor &gt; Big Bud &gt; Overdrive",ISNUMBER(AL12),AL12&gt;=1,AL12&lt;=14),2,0)</x:f>
        <x:v>0</x:v>
      </x:c>
      <x:c r="BB12" t="n">
        <x:f>IF(AND('01_Run_Config'!$B$52="AN Bud Ignitor &gt; Big Bud &gt; Overdrive",ISNUMBER(AL12),AL12&gt;=8,AL12&lt;=35),2,0)</x:f>
        <x:v>0</x:v>
      </x:c>
      <x:c r="BC12" t="n">
        <x:f>IF(AND('01_Run_Config'!$B$52="AN Bud Ignitor &gt; Big Bud &gt; Overdrive",ISNUMBER(AL12),AL12&gt;=36,AL12&lt;=49),2,0)</x:f>
        <x:v>0</x:v>
      </x:c>
      <x:c r="BD12" t="n">
        <x:f>IF('01_Run_Config'!$B$53="ON / EXPERIMENTAL",IF(OR(AND(A12&gt;='01_Run_Config'!$B$32,A12&lt;'01_Run_Config'!$B$33),AND(ISNUMBER(AL12),AL12&gt;=15,AL12&lt;=49)),2,0),0)</x:f>
        <x:v>0</x:v>
      </x:c>
      <x:c r="BE12" t="n">
        <x:f>IF('01_Run_Config'!$B$54="AN Sensi CalMag Xtra conditional",'01_Run_Config'!$B$17,0)</x:f>
        <x:v>0</x:v>
      </x:c>
      <x:c r="BF12" t="n">
        <x:f>0</x:f>
        <x:v>0</x:v>
      </x:c>
      <x:c r="BG12" t="str">
        <x:f>'01_Run_Config'!$E$57</x:f>
        <x:v>OK</x:v>
      </x:c>
      <x:c r="BH12" t="str">
        <x:f>IF(SUM(AC12,AT12:BF12)=0,"keine AN-Dosis heute",IF(AC12&gt;0,"Voodoo "&amp;AC12&amp;" ml/L; ","")&amp;IF(AT12&gt;0,"Piranha "&amp;AT12&amp;" ml/L; ","")&amp;IF(AU12&gt;0,"Tarantula "&amp;AU12&amp;" ml/L; ","")&amp;IF(AV12&gt;0,"B-52 "&amp;AV12&amp;" ml/L; ","")&amp;IF(AW12&gt;0,"Bud Candy "&amp;AW12&amp;" ml/L; ","")&amp;IF(AX12&gt;0,"Bud Factor X "&amp;AX12&amp;" ml/L; ","")&amp;IF(AY12&gt;0,"Sensizym "&amp;AY12&amp;" ml/L; ","")&amp;IF(AZ12&gt;0,"Rhino Skin "&amp;AZ12&amp;" ml/L; ","")&amp;IF(BA12&gt;0,"Bud Ignitor "&amp;BA12&amp;" ml/L; ","")&amp;IF(BB12&gt;0,"Big Bud "&amp;BB12&amp;" ml/L; ","")&amp;IF(BC12&gt;0,"Overdrive "&amp;BC12&amp;" ml/L; ","")&amp;IF(BD12&gt;0,"Tasty Terpenes "&amp;BD12&amp;" ml/L; ","")&amp;IF(BE12&gt;0,"Sensi CalMag "&amp;BE12&amp;" ml/L",""))</x:f>
        <x:v>keine AN-Dosis heute</x:v>
      </x:c>
    </x:row>
    <x:row r="13">
      <x:c r="A13" s="34" t="n">
        <x:v>11</x:v>
      </x:c>
      <x:c r="B13" s="129" t="n">
        <x:f>'01_Run_Config'!$B$4+A13</x:f>
        <x:v>46253</x:v>
      </x:c>
      <x:c r="C13" s="63" t="n">
        <x:f>INT(A13/7)+1</x:f>
        <x:v>2</x:v>
      </x:c>
      <x:c r="D13" s="63" t="str">
        <x:f>"M"&amp;MIN(3,INT(A13/30)+1)</x:f>
        <x:v>M1</x:v>
      </x:c>
      <x:c r="E13" s="63" t="str">
        <x:f>IF(A13&lt;4,"Keimung",IF(A13&lt;8,"Etablierung",IF(A13&lt;15,"Early Veg",IF(A13&lt;'01_Run_Config'!$B$33,IF(A13&lt;22,"Veg / LST","Preflower-Watch"),IF(A13-'01_Run_Config'!$B$33&lt;=6,"Transition / Stretch ("&amp;AM13&amp;")",IF(A13-'01_Run_Config'!$B$33&lt;=13,"Early Flower ("&amp;AM13&amp;")",IF(A13-'01_Run_Config'!$B$33&lt;=20,"Flower I ("&amp;AM13&amp;")",IF(A13-'01_Run_Config'!$B$33&lt;=34,"Peak Flower ("&amp;AM13&amp;")",IF(A13-'01_Run_Config'!$B$33&lt;=41,"Late Flower ("&amp;AM13&amp;")",IF(A13-'01_Run_Config'!$B$33&lt;=48,"Ripening ("&amp;AM13&amp;")","Harvest / Extension ("&amp;AM13&amp;")"))))))))))</x:f>
        <x:v>Early Veg</x:v>
      </x:c>
      <x:c r="F13" s="63" t="str">
        <x:f>IF(A13&lt;4,"Keimung + Wurzelstart",IF(A13&lt;8,"Sämling etablieren; Wurzelraum erschließen",IF(A13&lt;15,"kompakter Aufbau; LST erst bei Vitalität",IF(A13&lt;'01_Run_Config'!$B$33,"Canopy aufbauen; Preflower beobachten",IF(A13-'01_Run_Config'!$B$33&lt;=6,"Stretch kontrollieren; Bloom-Trigger dokumentieren",IF(A13-'01_Run_Config'!$B$33&lt;=13,"Blütenansatz stabilisieren",IF(A13-'01_Run_Config'!$B$33&lt;=20,"Blütenaufbau ohne neue Stressoren",IF(A13-'01_Run_Config'!$B$33&lt;=34,"stabile Peak-Photosynthese; Klima priorisieren",IF(A13-'01_Run_Config'!$B$33&lt;=41,"Qualität/Schimmelprävention",IF(A13-'01_Run_Config'!$B$33&lt;=48,"Reife ohne Überfütterung","Erntefenster nach Pflanze; keine Kalenderernte"))))))))))</x:f>
        <x:v>kompakter Aufbau; LST erst bei Vitalität</x:v>
      </x:c>
      <x:c r="G13" s="63" t="n">
        <x:v>18</x:v>
      </x:c>
      <x:c r="H13" s="63" t="n">
        <x:v>55</x:v>
      </x:c>
      <x:c r="I13" s="63" t="n">
        <x:v>275</x:v>
      </x:c>
      <x:c r="J13" s="63" t="n">
        <x:f>I13*G13*3600/1000000</x:f>
        <x:v>17.82</x:v>
      </x:c>
      <x:c r="K13" s="63" t="n">
        <x:v>48</x:v>
      </x:c>
      <x:c r="L13" s="63" t="n">
        <x:v>25.5</x:v>
      </x:c>
      <x:c r="M13" s="63" t="n">
        <x:v>22</x:v>
      </x:c>
      <x:c r="N13" s="63" t="n">
        <x:v>66</x:v>
      </x:c>
      <x:c r="O13" s="63" t="n">
        <x:f>ROUND(0.6108*EXP(17.27*(L13+'01_Run_Config'!$B$34)/(L13+'01_Run_Config'!$B$34+237.3))-(N13/100)*0.6108*EXP(17.27*L13/(L13+237.3)),2)</x:f>
        <x:v>0.92</x:v>
      </x:c>
      <x:c r="P13" s="63" t="n">
        <x:f>IF(A13&lt;'01_Run_Config'!$B$32,0.55,IF(A13&lt;'01_Run_Config'!$B$33,IF(A13-'01_Run_Config'!$B$32&lt;=3,0.8,IF(A13-'01_Run_Config'!$B$32&lt;=10,1,IF(A13-'01_Run_Config'!$B$32&lt;=17,1.2,1.4))),IF(A13-'01_Run_Config'!$B$33&lt;=6,1.5,IF(A13-'01_Run_Config'!$B$33&lt;=13,1.6,IF(A13-'01_Run_Config'!$B$33&lt;=20,1.7,IF(A13-'01_Run_Config'!$B$33&lt;=34,1.8,IF(A13-'01_Run_Config'!$B$33&lt;=41,1.6,IF(A13-'01_Run_Config'!$B$33&lt;=48,1.4,1.15))))))))</x:f>
        <x:v>1</x:v>
      </x:c>
      <x:c r="Q13" s="63" t="n">
        <x:v>5.9</x:v>
      </x:c>
      <x:c r="R13" s="63" t="n">
        <x:v>0.15</x:v>
      </x:c>
      <x:c r="S13" s="63" t="n">
        <x:v>0.3</x:v>
      </x:c>
      <x:c r="T13" s="63" t="str">
        <x:f>IF(A13&lt;=7,"Manuell",'01_Run_Config'!$B$40)</x:f>
        <x:v>Manuell / indoor-freigegebene Automation</x:v>
      </x:c>
      <x:c r="U13" s="63" t="str">
        <x:f>IF(A13&lt;'01_Run_Config'!$B$32,"Kein Basisdünger",IF(A13&lt;'01_Run_Config'!$B$33,"HESI TNT","HESI Coco"))</x:f>
        <x:v>HESI TNT</x:v>
      </x:c>
      <x:c r="V13" s="63" t="n">
        <x:f>IF(A13&lt;'01_Run_Config'!$B$32,0,IF(A13&lt;'01_Run_Config'!$B$33,IF(A13-'01_Run_Config'!$B$32&lt;=3,1.25,IF(A13-'01_Run_Config'!$B$32&lt;=10,2,2.5)),IF(A13-'01_Run_Config'!$B$33&lt;=6,2.5,IF(A13-'01_Run_Config'!$B$33&lt;=13,3.25,IF(A13-'01_Run_Config'!$B$33&lt;=20,3.75,IF(A13-'01_Run_Config'!$B$33&lt;=34,4,IF(A13-'01_Run_Config'!$B$33&lt;=41,3.5,IF(A13-'01_Run_Config'!$B$33&lt;=48,2.5,1.5))))))))</x:f>
        <x:v>2</x:v>
      </x:c>
      <x:c r="W13" s="63" t="n">
        <x:f>IF(A13&lt;=14,2.5,0)</x:f>
        <x:v>2.5</x:v>
      </x:c>
      <x:c r="X13" s="63" t="n">
        <x:f>IF('01_Run_Config'!$B$50="AN Sensizym",0,IF(AND(A13&gt;='01_Run_Config'!$B$32,OR(AL13="",AL13&lt;=49)),2,0))</x:f>
        <x:v>2</x:v>
      </x:c>
      <x:c r="Y13" s="63" t="n">
        <x:f>0.015</x:f>
        <x:v>0.015</x:v>
      </x:c>
      <x:c r="Z13" s="63" t="n">
        <x:f>IF('01_Run_Config'!$B$51="HESI Hesilicio",2,0)</x:f>
        <x:v>0</x:v>
      </x:c>
      <x:c r="AA13" s="63" t="n">
        <x:f>IF('01_Run_Config'!$B$48="AN Bud Candy (replaces HESI Boost)",0,IF(AND(A13&gt;='01_Run_Config'!$B$33,MOD(A13-'01_Run_Config'!$B$33,7)=0),2,0))</x:f>
        <x:v>0</x:v>
      </x:c>
      <x:c r="AB13" s="63" t="n">
        <x:f>IF('01_Run_Config'!$B$52="AN Bud Ignitor &gt; Big Bud &gt; Overdrive",0,IF(AND(ISNUMBER(AL13),AL13&gt;=29,AL13&lt;=42),0.25+((AL13-29)/13)*0.25,0))</x:f>
        <x:v>0</x:v>
      </x:c>
      <x:c r="AC13" s="63" t="n">
        <x:f>IF('01_Run_Config'!$B$46="OFF",0,IF(OR(A13='01_Run_Config'!$B$32,A13='01_Run_Config'!$B$32+7,A13='01_Run_Config'!$B$33+1,A13='01_Run_Config'!$B$33+8),2,0))</x:f>
        <x:v>2</x:v>
      </x:c>
      <x:c r="AD13" s="63" t="str">
        <x:f>IF(BG13="BLOCK","HYBRID BLOCKED - Konfiguration prüfen",IF(SUM(AC13,AT13:BF13)&gt;0,"AN aktiv: "&amp;BH13,"AN: keine Dosis heute / Module aus"))</x:f>
        <x:v>AN aktiv: Voodoo 2 ml/L; Tarantula 2 ml/L; </x:v>
      </x:c>
      <x:c r="AE13" s="63" t="str">
        <x:v>LST nur bei 4–5 kräftigen Nodes</x:v>
      </x:c>
      <x:c r="AF13" s="63" t="str">
        <x:v>Morgens Klima/Pflanze/Bewässerung/Leck; Mitte Lichtphase Blattwinkel; vor Dunkel LF/Drain/stehendes Wasser.</x:v>
      </x:c>
      <x:c r="AG13" s="63" t="str">
        <x:v>EC nicht erhöhen bei steigender Diagnose-Drain-EC; PPFD nicht erhöhen bei Stress; Wasserband nie erzwingen; nie mehrere neue Booster gleichzeitig.</x:v>
      </x:c>
      <x:c r="AH13" s="35" t="str">
        <x:f>"UKD v9 evidence-guarded: Planwerte sind Ziele/Eligibility, keine automatische Freigabe. Eazy Plug/Block ist vorgepuffert; früher Basisfeed bleibt vom Propagation-/Pflanzengate abhängig. Messdaten und Safety-Gates überschreiben Kalender."</x:f>
        <x:v>UKD v9 evidence-guarded: Planwerte sind Ziele/Eligibility, keine automatische Freigabe. Eazy Plug/Block ist vorgepuffert; früher Basisfeed bleibt vom Propagation-/Pflanzengate abhängig. Messdaten und Safety-Gates überschreiben Kalender.</x:v>
      </x:c>
      <x:c r="AI13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13" s="201" t="str">
        <x:f>IF(A13&lt;'01_Run_Config'!$B$32,"—",IF(A13&lt;'01_Run_Config'!$B$33,"G"&amp;MIN(4,INT((A13-'01_Run_Config'!$B$32)/7)+1),AM13))</x:f>
        <x:v>G2</x:v>
      </x:c>
      <x:c r="AK13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13" s="60" t="str">
        <x:f>IF(A13&lt;'01_Run_Config'!$B$33,"",A13-'01_Run_Config'!$B$33+1)</x:f>
      </x:c>
      <x:c r="AM13" s="60" t="str">
        <x:f>IF(AL13="","",IF(AL13&gt;49,CHAR(66)&amp;"7+",CHAR(66)&amp;TEXT(INT((AL13-1)/7)+1,"0")))</x:f>
      </x:c>
      <x:c r="AN13" s="60" t="n">
        <x:f>ROUND(0.6108*EXP(17.27*L13/(L13+237.3))*(1-N13/100),2)</x:f>
        <x:v>1.11</x:v>
      </x:c>
      <x:c r="AO13" s="60" t="n">
        <x:f>H13*G13/1000</x:f>
        <x:v>0.99</x:v>
      </x:c>
      <x:c r="AP13" s="60" t="n">
        <x:f>SUM($AO$2:AO13)</x:f>
        <x:v>9</x:v>
      </x:c>
      <x:c r="AQ13" t="n">
        <x:f>'01_Run_Config'!$B$17</x:f>
        <x:v>0</x:v>
      </x:c>
      <x:c r="AR13" t="n">
        <x:f>'01_Run_Config'!$B$22</x:f>
        <x:v>0</x:v>
      </x:c>
      <x:c r="AS13" t="n">
        <x:f>'01_Run_Config'!$B$25</x:f>
        <x:v>0</x:v>
      </x:c>
      <x:c r="AT13" t="n">
        <x:f>IF(AND('01_Run_Config'!$B$46="Voodoo + Piranha + Tarantula",AC13&gt;0),2,0)</x:f>
        <x:v>0</x:v>
      </x:c>
      <x:c r="AU13" t="n">
        <x:f>IF(AND(OR('01_Run_Config'!$B$46="Voodoo + Tarantula",'01_Run_Config'!$B$46="Voodoo + Piranha + Tarantula"),AC13&gt;0),2,0)</x:f>
        <x:v>2</x:v>
      </x:c>
      <x:c r="AV13" t="n">
        <x:f>IF('01_Run_Config'!$B$47&lt;&gt;"ON / A-B",0,IF(OR(AND(A13&gt;='01_Run_Config'!$B$32,A13&lt;'01_Run_Config'!$B$33),AND(ISNUMBER(AL13),AL13&gt;=15,AL13&lt;=49)),2,0))</x:f>
        <x:v>0</x:v>
      </x:c>
      <x:c r="AW13" t="n">
        <x:f>IF('01_Run_Config'!$B$48="AN Bud Candy (replaces HESI Boost)",IF(AND(A13&gt;='01_Run_Config'!$B$32,OR(AL13="",AL13&lt;=49)),2,0),0)</x:f>
        <x:v>0</x:v>
      </x:c>
      <x:c r="AX13" t="n">
        <x:f>IF('01_Run_Config'!$B$49&lt;&gt;"ON / EXPERIMENTAL",0,IF(OR(AND(A13&gt;='01_Run_Config'!$B$32+7,A13&lt;'01_Run_Config'!$B$33),AND(ISNUMBER(AL13),AL13&gt;=1,AL13&lt;=49)),2,0))</x:f>
        <x:v>0</x:v>
      </x:c>
      <x:c r="AY13" t="n">
        <x:f>IF('01_Run_Config'!$B$50="AN Sensizym",IF(AND(A13&gt;='01_Run_Config'!$B$32,OR(AL13="",AL13&lt;=49)),2,0),0)</x:f>
        <x:v>0</x:v>
      </x:c>
      <x:c r="AZ13" t="n">
        <x:f>IF('01_Run_Config'!$B$51="AN Rhino Skin",IF(AND(A13&gt;='01_Run_Config'!$B$32,OR(AL13="",AL13&lt;=49)),2,0),0)</x:f>
        <x:v>0</x:v>
      </x:c>
      <x:c r="BA13" t="n">
        <x:f>IF(AND('01_Run_Config'!$B$52="AN Bud Ignitor &gt; Big Bud &gt; Overdrive",ISNUMBER(AL13),AL13&gt;=1,AL13&lt;=14),2,0)</x:f>
        <x:v>0</x:v>
      </x:c>
      <x:c r="BB13" t="n">
        <x:f>IF(AND('01_Run_Config'!$B$52="AN Bud Ignitor &gt; Big Bud &gt; Overdrive",ISNUMBER(AL13),AL13&gt;=8,AL13&lt;=35),2,0)</x:f>
        <x:v>0</x:v>
      </x:c>
      <x:c r="BC13" t="n">
        <x:f>IF(AND('01_Run_Config'!$B$52="AN Bud Ignitor &gt; Big Bud &gt; Overdrive",ISNUMBER(AL13),AL13&gt;=36,AL13&lt;=49),2,0)</x:f>
        <x:v>0</x:v>
      </x:c>
      <x:c r="BD13" t="n">
        <x:f>IF('01_Run_Config'!$B$53="ON / EXPERIMENTAL",IF(OR(AND(A13&gt;='01_Run_Config'!$B$32,A13&lt;'01_Run_Config'!$B$33),AND(ISNUMBER(AL13),AL13&gt;=15,AL13&lt;=49)),2,0),0)</x:f>
        <x:v>0</x:v>
      </x:c>
      <x:c r="BE13" t="n">
        <x:f>IF('01_Run_Config'!$B$54="AN Sensi CalMag Xtra conditional",'01_Run_Config'!$B$17,0)</x:f>
        <x:v>0</x:v>
      </x:c>
      <x:c r="BF13" t="n">
        <x:f>0</x:f>
        <x:v>0</x:v>
      </x:c>
      <x:c r="BG13" t="str">
        <x:f>'01_Run_Config'!$E$57</x:f>
        <x:v>OK</x:v>
      </x:c>
      <x:c r="BH13" t="str">
        <x:f>IF(SUM(AC13,AT13:BF13)=0,"keine AN-Dosis heute",IF(AC13&gt;0,"Voodoo "&amp;AC13&amp;" ml/L; ","")&amp;IF(AT13&gt;0,"Piranha "&amp;AT13&amp;" ml/L; ","")&amp;IF(AU13&gt;0,"Tarantula "&amp;AU13&amp;" ml/L; ","")&amp;IF(AV13&gt;0,"B-52 "&amp;AV13&amp;" ml/L; ","")&amp;IF(AW13&gt;0,"Bud Candy "&amp;AW13&amp;" ml/L; ","")&amp;IF(AX13&gt;0,"Bud Factor X "&amp;AX13&amp;" ml/L; ","")&amp;IF(AY13&gt;0,"Sensizym "&amp;AY13&amp;" ml/L; ","")&amp;IF(AZ13&gt;0,"Rhino Skin "&amp;AZ13&amp;" ml/L; ","")&amp;IF(BA13&gt;0,"Bud Ignitor "&amp;BA13&amp;" ml/L; ","")&amp;IF(BB13&gt;0,"Big Bud "&amp;BB13&amp;" ml/L; ","")&amp;IF(BC13&gt;0,"Overdrive "&amp;BC13&amp;" ml/L; ","")&amp;IF(BD13&gt;0,"Tasty Terpenes "&amp;BD13&amp;" ml/L; ","")&amp;IF(BE13&gt;0,"Sensi CalMag "&amp;BE13&amp;" ml/L",""))</x:f>
        <x:v>Voodoo 2 ml/L; Tarantula 2 ml/L; </x:v>
      </x:c>
    </x:row>
    <x:row r="14">
      <x:c r="A14" s="34" t="n">
        <x:v>12</x:v>
      </x:c>
      <x:c r="B14" s="129" t="n">
        <x:f>'01_Run_Config'!$B$4+A14</x:f>
        <x:v>46254</x:v>
      </x:c>
      <x:c r="C14" s="63" t="n">
        <x:f>INT(A14/7)+1</x:f>
        <x:v>2</x:v>
      </x:c>
      <x:c r="D14" s="63" t="str">
        <x:f>"M"&amp;MIN(3,INT(A14/30)+1)</x:f>
        <x:v>M1</x:v>
      </x:c>
      <x:c r="E14" s="63" t="str">
        <x:f>IF(A14&lt;4,"Keimung",IF(A14&lt;8,"Etablierung",IF(A14&lt;15,"Early Veg",IF(A14&lt;'01_Run_Config'!$B$33,IF(A14&lt;22,"Veg / LST","Preflower-Watch"),IF(A14-'01_Run_Config'!$B$33&lt;=6,"Transition / Stretch ("&amp;AM14&amp;")",IF(A14-'01_Run_Config'!$B$33&lt;=13,"Early Flower ("&amp;AM14&amp;")",IF(A14-'01_Run_Config'!$B$33&lt;=20,"Flower I ("&amp;AM14&amp;")",IF(A14-'01_Run_Config'!$B$33&lt;=34,"Peak Flower ("&amp;AM14&amp;")",IF(A14-'01_Run_Config'!$B$33&lt;=41,"Late Flower ("&amp;AM14&amp;")",IF(A14-'01_Run_Config'!$B$33&lt;=48,"Ripening ("&amp;AM14&amp;")","Harvest / Extension ("&amp;AM14&amp;")"))))))))))</x:f>
        <x:v>Early Veg</x:v>
      </x:c>
      <x:c r="F14" s="63" t="str">
        <x:f>IF(A14&lt;4,"Keimung + Wurzelstart",IF(A14&lt;8,"Sämling etablieren; Wurzelraum erschließen",IF(A14&lt;15,"kompakter Aufbau; LST erst bei Vitalität",IF(A14&lt;'01_Run_Config'!$B$33,"Canopy aufbauen; Preflower beobachten",IF(A14-'01_Run_Config'!$B$33&lt;=6,"Stretch kontrollieren; Bloom-Trigger dokumentieren",IF(A14-'01_Run_Config'!$B$33&lt;=13,"Blütenansatz stabilisieren",IF(A14-'01_Run_Config'!$B$33&lt;=20,"Blütenaufbau ohne neue Stressoren",IF(A14-'01_Run_Config'!$B$33&lt;=34,"stabile Peak-Photosynthese; Klima priorisieren",IF(A14-'01_Run_Config'!$B$33&lt;=41,"Qualität/Schimmelprävention",IF(A14-'01_Run_Config'!$B$33&lt;=48,"Reife ohne Überfütterung","Erntefenster nach Pflanze; keine Kalenderernte"))))))))))</x:f>
        <x:v>kompakter Aufbau; LST erst bei Vitalität</x:v>
      </x:c>
      <x:c r="G14" s="63" t="n">
        <x:v>18</x:v>
      </x:c>
      <x:c r="H14" s="63" t="n">
        <x:v>55</x:v>
      </x:c>
      <x:c r="I14" s="63" t="n">
        <x:v>275</x:v>
      </x:c>
      <x:c r="J14" s="63" t="n">
        <x:f>I14*G14*3600/1000000</x:f>
        <x:v>17.82</x:v>
      </x:c>
      <x:c r="K14" s="63" t="n">
        <x:v>48</x:v>
      </x:c>
      <x:c r="L14" s="63" t="n">
        <x:v>25.5</x:v>
      </x:c>
      <x:c r="M14" s="63" t="n">
        <x:v>22</x:v>
      </x:c>
      <x:c r="N14" s="63" t="n">
        <x:v>66</x:v>
      </x:c>
      <x:c r="O14" s="63" t="n">
        <x:f>ROUND(0.6108*EXP(17.27*(L14+'01_Run_Config'!$B$34)/(L14+'01_Run_Config'!$B$34+237.3))-(N14/100)*0.6108*EXP(17.27*L14/(L14+237.3)),2)</x:f>
        <x:v>0.92</x:v>
      </x:c>
      <x:c r="P14" s="63" t="n">
        <x:f>IF(A14&lt;'01_Run_Config'!$B$32,0.55,IF(A14&lt;'01_Run_Config'!$B$33,IF(A14-'01_Run_Config'!$B$32&lt;=3,0.8,IF(A14-'01_Run_Config'!$B$32&lt;=10,1,IF(A14-'01_Run_Config'!$B$32&lt;=17,1.2,1.4))),IF(A14-'01_Run_Config'!$B$33&lt;=6,1.5,IF(A14-'01_Run_Config'!$B$33&lt;=13,1.6,IF(A14-'01_Run_Config'!$B$33&lt;=20,1.7,IF(A14-'01_Run_Config'!$B$33&lt;=34,1.8,IF(A14-'01_Run_Config'!$B$33&lt;=41,1.6,IF(A14-'01_Run_Config'!$B$33&lt;=48,1.4,1.15))))))))</x:f>
        <x:v>1</x:v>
      </x:c>
      <x:c r="Q14" s="63" t="n">
        <x:v>5.9</x:v>
      </x:c>
      <x:c r="R14" s="63" t="n">
        <x:v>0.15</x:v>
      </x:c>
      <x:c r="S14" s="63" t="n">
        <x:v>0.3</x:v>
      </x:c>
      <x:c r="T14" s="63" t="str">
        <x:f>IF(A14&lt;=7,"Manuell",'01_Run_Config'!$B$40)</x:f>
        <x:v>Manuell / indoor-freigegebene Automation</x:v>
      </x:c>
      <x:c r="U14" s="63" t="str">
        <x:f>IF(A14&lt;'01_Run_Config'!$B$32,"Kein Basisdünger",IF(A14&lt;'01_Run_Config'!$B$33,"HESI TNT","HESI Coco"))</x:f>
        <x:v>HESI TNT</x:v>
      </x:c>
      <x:c r="V14" s="63" t="n">
        <x:f>IF(A14&lt;'01_Run_Config'!$B$32,0,IF(A14&lt;'01_Run_Config'!$B$33,IF(A14-'01_Run_Config'!$B$32&lt;=3,1.25,IF(A14-'01_Run_Config'!$B$32&lt;=10,2,2.5)),IF(A14-'01_Run_Config'!$B$33&lt;=6,2.5,IF(A14-'01_Run_Config'!$B$33&lt;=13,3.25,IF(A14-'01_Run_Config'!$B$33&lt;=20,3.75,IF(A14-'01_Run_Config'!$B$33&lt;=34,4,IF(A14-'01_Run_Config'!$B$33&lt;=41,3.5,IF(A14-'01_Run_Config'!$B$33&lt;=48,2.5,1.5))))))))</x:f>
        <x:v>2</x:v>
      </x:c>
      <x:c r="W14" s="63" t="n">
        <x:f>IF(A14&lt;=14,2.5,0)</x:f>
        <x:v>2.5</x:v>
      </x:c>
      <x:c r="X14" s="63" t="n">
        <x:f>IF('01_Run_Config'!$B$50="AN Sensizym",0,IF(AND(A14&gt;='01_Run_Config'!$B$32,OR(AL14="",AL14&lt;=49)),2,0))</x:f>
        <x:v>2</x:v>
      </x:c>
      <x:c r="Y14" s="63" t="n">
        <x:f>0.015</x:f>
        <x:v>0.015</x:v>
      </x:c>
      <x:c r="Z14" s="63" t="n">
        <x:f>IF('01_Run_Config'!$B$51="HESI Hesilicio",2,0)</x:f>
        <x:v>0</x:v>
      </x:c>
      <x:c r="AA14" s="63" t="n">
        <x:f>IF('01_Run_Config'!$B$48="AN Bud Candy (replaces HESI Boost)",0,IF(AND(A14&gt;='01_Run_Config'!$B$33,MOD(A14-'01_Run_Config'!$B$33,7)=0),2,0))</x:f>
        <x:v>0</x:v>
      </x:c>
      <x:c r="AB14" s="63" t="n">
        <x:f>IF('01_Run_Config'!$B$52="AN Bud Ignitor &gt; Big Bud &gt; Overdrive",0,IF(AND(ISNUMBER(AL14),AL14&gt;=29,AL14&lt;=42),0.25+((AL14-29)/13)*0.25,0))</x:f>
        <x:v>0</x:v>
      </x:c>
      <x:c r="AC14" s="63" t="n">
        <x:f>IF('01_Run_Config'!$B$46="OFF",0,IF(OR(A14='01_Run_Config'!$B$32,A14='01_Run_Config'!$B$32+7,A14='01_Run_Config'!$B$33+1,A14='01_Run_Config'!$B$33+8),2,0))</x:f>
        <x:v>0</x:v>
      </x:c>
      <x:c r="AD14" s="63" t="str">
        <x:f>IF(BG14="BLOCK","HYBRID BLOCKED - Konfiguration prüfen",IF(SUM(AC14,AT14:BF14)&gt;0,"AN aktiv: "&amp;BH14,"AN: keine Dosis heute / Module aus"))</x:f>
        <x:v>AN: keine Dosis heute / Module aus</x:v>
      </x:c>
      <x:c r="AE14" s="63" t="str">
        <x:v>LST nur bei 4–5 kräftigen Nodes</x:v>
      </x:c>
      <x:c r="AF14" s="63" t="str">
        <x:v>Morgens Klima/Pflanze/Bewässerung/Leck; Mitte Lichtphase Blattwinkel; vor Dunkel LF/Drain/stehendes Wasser.</x:v>
      </x:c>
      <x:c r="AG14" s="63" t="str">
        <x:v>EC nicht erhöhen bei steigender Diagnose-Drain-EC; PPFD nicht erhöhen bei Stress; Wasserband nie erzwingen; nie mehrere neue Booster gleichzeitig.</x:v>
      </x:c>
      <x:c r="AH14" s="35" t="str">
        <x:f>"UKD v9 evidence-guarded: Planwerte sind Ziele/Eligibility, keine automatische Freigabe. Eazy Plug/Block ist vorgepuffert; früher Basisfeed bleibt vom Propagation-/Pflanzengate abhängig. Messdaten und Safety-Gates überschreiben Kalender."</x:f>
        <x:v>UKD v9 evidence-guarded: Planwerte sind Ziele/Eligibility, keine automatische Freigabe. Eazy Plug/Block ist vorgepuffert; früher Basisfeed bleibt vom Propagation-/Pflanzengate abhängig. Messdaten und Safety-Gates überschreiben Kalender.</x:v>
      </x:c>
      <x:c r="AI14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14" s="201" t="str">
        <x:f>IF(A14&lt;'01_Run_Config'!$B$32,"—",IF(A14&lt;'01_Run_Config'!$B$33,"G"&amp;MIN(4,INT((A14-'01_Run_Config'!$B$32)/7)+1),AM14))</x:f>
        <x:v>G2</x:v>
      </x:c>
      <x:c r="AK14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14" s="60" t="str">
        <x:f>IF(A14&lt;'01_Run_Config'!$B$33,"",A14-'01_Run_Config'!$B$33+1)</x:f>
      </x:c>
      <x:c r="AM14" s="60" t="str">
        <x:f>IF(AL14="","",IF(AL14&gt;49,CHAR(66)&amp;"7+",CHAR(66)&amp;TEXT(INT((AL14-1)/7)+1,"0")))</x:f>
      </x:c>
      <x:c r="AN14" s="60" t="n">
        <x:f>ROUND(0.6108*EXP(17.27*L14/(L14+237.3))*(1-N14/100),2)</x:f>
        <x:v>1.11</x:v>
      </x:c>
      <x:c r="AO14" s="60" t="n">
        <x:f>H14*G14/1000</x:f>
        <x:v>0.99</x:v>
      </x:c>
      <x:c r="AP14" s="60" t="n">
        <x:f>SUM($AO$2:AO14)</x:f>
        <x:v>9.99</x:v>
      </x:c>
      <x:c r="AQ14" t="n">
        <x:f>'01_Run_Config'!$B$17</x:f>
        <x:v>0</x:v>
      </x:c>
      <x:c r="AR14" t="n">
        <x:f>'01_Run_Config'!$B$22</x:f>
        <x:v>0</x:v>
      </x:c>
      <x:c r="AS14" t="n">
        <x:f>'01_Run_Config'!$B$25</x:f>
        <x:v>0</x:v>
      </x:c>
      <x:c r="AT14" t="n">
        <x:f>IF(AND('01_Run_Config'!$B$46="Voodoo + Piranha + Tarantula",AC14&gt;0),2,0)</x:f>
        <x:v>0</x:v>
      </x:c>
      <x:c r="AU14" t="n">
        <x:f>IF(AND(OR('01_Run_Config'!$B$46="Voodoo + Tarantula",'01_Run_Config'!$B$46="Voodoo + Piranha + Tarantula"),AC14&gt;0),2,0)</x:f>
        <x:v>0</x:v>
      </x:c>
      <x:c r="AV14" t="n">
        <x:f>IF('01_Run_Config'!$B$47&lt;&gt;"ON / A-B",0,IF(OR(AND(A14&gt;='01_Run_Config'!$B$32,A14&lt;'01_Run_Config'!$B$33),AND(ISNUMBER(AL14),AL14&gt;=15,AL14&lt;=49)),2,0))</x:f>
        <x:v>0</x:v>
      </x:c>
      <x:c r="AW14" t="n">
        <x:f>IF('01_Run_Config'!$B$48="AN Bud Candy (replaces HESI Boost)",IF(AND(A14&gt;='01_Run_Config'!$B$32,OR(AL14="",AL14&lt;=49)),2,0),0)</x:f>
        <x:v>0</x:v>
      </x:c>
      <x:c r="AX14" t="n">
        <x:f>IF('01_Run_Config'!$B$49&lt;&gt;"ON / EXPERIMENTAL",0,IF(OR(AND(A14&gt;='01_Run_Config'!$B$32+7,A14&lt;'01_Run_Config'!$B$33),AND(ISNUMBER(AL14),AL14&gt;=1,AL14&lt;=49)),2,0))</x:f>
        <x:v>0</x:v>
      </x:c>
      <x:c r="AY14" t="n">
        <x:f>IF('01_Run_Config'!$B$50="AN Sensizym",IF(AND(A14&gt;='01_Run_Config'!$B$32,OR(AL14="",AL14&lt;=49)),2,0),0)</x:f>
        <x:v>0</x:v>
      </x:c>
      <x:c r="AZ14" t="n">
        <x:f>IF('01_Run_Config'!$B$51="AN Rhino Skin",IF(AND(A14&gt;='01_Run_Config'!$B$32,OR(AL14="",AL14&lt;=49)),2,0),0)</x:f>
        <x:v>0</x:v>
      </x:c>
      <x:c r="BA14" t="n">
        <x:f>IF(AND('01_Run_Config'!$B$52="AN Bud Ignitor &gt; Big Bud &gt; Overdrive",ISNUMBER(AL14),AL14&gt;=1,AL14&lt;=14),2,0)</x:f>
        <x:v>0</x:v>
      </x:c>
      <x:c r="BB14" t="n">
        <x:f>IF(AND('01_Run_Config'!$B$52="AN Bud Ignitor &gt; Big Bud &gt; Overdrive",ISNUMBER(AL14),AL14&gt;=8,AL14&lt;=35),2,0)</x:f>
        <x:v>0</x:v>
      </x:c>
      <x:c r="BC14" t="n">
        <x:f>IF(AND('01_Run_Config'!$B$52="AN Bud Ignitor &gt; Big Bud &gt; Overdrive",ISNUMBER(AL14),AL14&gt;=36,AL14&lt;=49),2,0)</x:f>
        <x:v>0</x:v>
      </x:c>
      <x:c r="BD14" t="n">
        <x:f>IF('01_Run_Config'!$B$53="ON / EXPERIMENTAL",IF(OR(AND(A14&gt;='01_Run_Config'!$B$32,A14&lt;'01_Run_Config'!$B$33),AND(ISNUMBER(AL14),AL14&gt;=15,AL14&lt;=49)),2,0),0)</x:f>
        <x:v>0</x:v>
      </x:c>
      <x:c r="BE14" t="n">
        <x:f>IF('01_Run_Config'!$B$54="AN Sensi CalMag Xtra conditional",'01_Run_Config'!$B$17,0)</x:f>
        <x:v>0</x:v>
      </x:c>
      <x:c r="BF14" t="n">
        <x:f>0</x:f>
        <x:v>0</x:v>
      </x:c>
      <x:c r="BG14" t="str">
        <x:f>'01_Run_Config'!$E$57</x:f>
        <x:v>OK</x:v>
      </x:c>
      <x:c r="BH14" t="str">
        <x:f>IF(SUM(AC14,AT14:BF14)=0,"keine AN-Dosis heute",IF(AC14&gt;0,"Voodoo "&amp;AC14&amp;" ml/L; ","")&amp;IF(AT14&gt;0,"Piranha "&amp;AT14&amp;" ml/L; ","")&amp;IF(AU14&gt;0,"Tarantula "&amp;AU14&amp;" ml/L; ","")&amp;IF(AV14&gt;0,"B-52 "&amp;AV14&amp;" ml/L; ","")&amp;IF(AW14&gt;0,"Bud Candy "&amp;AW14&amp;" ml/L; ","")&amp;IF(AX14&gt;0,"Bud Factor X "&amp;AX14&amp;" ml/L; ","")&amp;IF(AY14&gt;0,"Sensizym "&amp;AY14&amp;" ml/L; ","")&amp;IF(AZ14&gt;0,"Rhino Skin "&amp;AZ14&amp;" ml/L; ","")&amp;IF(BA14&gt;0,"Bud Ignitor "&amp;BA14&amp;" ml/L; ","")&amp;IF(BB14&gt;0,"Big Bud "&amp;BB14&amp;" ml/L; ","")&amp;IF(BC14&gt;0,"Overdrive "&amp;BC14&amp;" ml/L; ","")&amp;IF(BD14&gt;0,"Tasty Terpenes "&amp;BD14&amp;" ml/L; ","")&amp;IF(BE14&gt;0,"Sensi CalMag "&amp;BE14&amp;" ml/L",""))</x:f>
        <x:v>keine AN-Dosis heute</x:v>
      </x:c>
    </x:row>
    <x:row r="15">
      <x:c r="A15" s="34" t="n">
        <x:v>13</x:v>
      </x:c>
      <x:c r="B15" s="129" t="n">
        <x:f>'01_Run_Config'!$B$4+A15</x:f>
        <x:v>46255</x:v>
      </x:c>
      <x:c r="C15" s="63" t="n">
        <x:f>INT(A15/7)+1</x:f>
        <x:v>2</x:v>
      </x:c>
      <x:c r="D15" s="63" t="str">
        <x:f>"M"&amp;MIN(3,INT(A15/30)+1)</x:f>
        <x:v>M1</x:v>
      </x:c>
      <x:c r="E15" s="63" t="str">
        <x:f>IF(A15&lt;4,"Keimung",IF(A15&lt;8,"Etablierung",IF(A15&lt;15,"Early Veg",IF(A15&lt;'01_Run_Config'!$B$33,IF(A15&lt;22,"Veg / LST","Preflower-Watch"),IF(A15-'01_Run_Config'!$B$33&lt;=6,"Transition / Stretch ("&amp;AM15&amp;")",IF(A15-'01_Run_Config'!$B$33&lt;=13,"Early Flower ("&amp;AM15&amp;")",IF(A15-'01_Run_Config'!$B$33&lt;=20,"Flower I ("&amp;AM15&amp;")",IF(A15-'01_Run_Config'!$B$33&lt;=34,"Peak Flower ("&amp;AM15&amp;")",IF(A15-'01_Run_Config'!$B$33&lt;=41,"Late Flower ("&amp;AM15&amp;")",IF(A15-'01_Run_Config'!$B$33&lt;=48,"Ripening ("&amp;AM15&amp;")","Harvest / Extension ("&amp;AM15&amp;")"))))))))))</x:f>
        <x:v>Early Veg</x:v>
      </x:c>
      <x:c r="F15" s="63" t="str">
        <x:f>IF(A15&lt;4,"Keimung + Wurzelstart",IF(A15&lt;8,"Sämling etablieren; Wurzelraum erschließen",IF(A15&lt;15,"kompakter Aufbau; LST erst bei Vitalität",IF(A15&lt;'01_Run_Config'!$B$33,"Canopy aufbauen; Preflower beobachten",IF(A15-'01_Run_Config'!$B$33&lt;=6,"Stretch kontrollieren; Bloom-Trigger dokumentieren",IF(A15-'01_Run_Config'!$B$33&lt;=13,"Blütenansatz stabilisieren",IF(A15-'01_Run_Config'!$B$33&lt;=20,"Blütenaufbau ohne neue Stressoren",IF(A15-'01_Run_Config'!$B$33&lt;=34,"stabile Peak-Photosynthese; Klima priorisieren",IF(A15-'01_Run_Config'!$B$33&lt;=41,"Qualität/Schimmelprävention",IF(A15-'01_Run_Config'!$B$33&lt;=48,"Reife ohne Überfütterung","Erntefenster nach Pflanze; keine Kalenderernte"))))))))))</x:f>
        <x:v>kompakter Aufbau; LST erst bei Vitalität</x:v>
      </x:c>
      <x:c r="G15" s="63" t="n">
        <x:v>18</x:v>
      </x:c>
      <x:c r="H15" s="63" t="n">
        <x:v>55</x:v>
      </x:c>
      <x:c r="I15" s="63" t="n">
        <x:v>275</x:v>
      </x:c>
      <x:c r="J15" s="63" t="n">
        <x:f>I15*G15*3600/1000000</x:f>
        <x:v>17.82</x:v>
      </x:c>
      <x:c r="K15" s="63" t="n">
        <x:v>48</x:v>
      </x:c>
      <x:c r="L15" s="63" t="n">
        <x:v>25.5</x:v>
      </x:c>
      <x:c r="M15" s="63" t="n">
        <x:v>22</x:v>
      </x:c>
      <x:c r="N15" s="63" t="n">
        <x:v>66</x:v>
      </x:c>
      <x:c r="O15" s="63" t="n">
        <x:f>ROUND(0.6108*EXP(17.27*(L15+'01_Run_Config'!$B$34)/(L15+'01_Run_Config'!$B$34+237.3))-(N15/100)*0.6108*EXP(17.27*L15/(L15+237.3)),2)</x:f>
        <x:v>0.92</x:v>
      </x:c>
      <x:c r="P15" s="63" t="n">
        <x:f>IF(A15&lt;'01_Run_Config'!$B$32,0.55,IF(A15&lt;'01_Run_Config'!$B$33,IF(A15-'01_Run_Config'!$B$32&lt;=3,0.8,IF(A15-'01_Run_Config'!$B$32&lt;=10,1,IF(A15-'01_Run_Config'!$B$32&lt;=17,1.2,1.4))),IF(A15-'01_Run_Config'!$B$33&lt;=6,1.5,IF(A15-'01_Run_Config'!$B$33&lt;=13,1.6,IF(A15-'01_Run_Config'!$B$33&lt;=20,1.7,IF(A15-'01_Run_Config'!$B$33&lt;=34,1.8,IF(A15-'01_Run_Config'!$B$33&lt;=41,1.6,IF(A15-'01_Run_Config'!$B$33&lt;=48,1.4,1.15))))))))</x:f>
        <x:v>1</x:v>
      </x:c>
      <x:c r="Q15" s="63" t="n">
        <x:v>5.9</x:v>
      </x:c>
      <x:c r="R15" s="63" t="n">
        <x:v>0.15</x:v>
      </x:c>
      <x:c r="S15" s="63" t="n">
        <x:v>0.3</x:v>
      </x:c>
      <x:c r="T15" s="63" t="str">
        <x:f>IF(A15&lt;=7,"Manuell",'01_Run_Config'!$B$40)</x:f>
        <x:v>Manuell / indoor-freigegebene Automation</x:v>
      </x:c>
      <x:c r="U15" s="63" t="str">
        <x:f>IF(A15&lt;'01_Run_Config'!$B$32,"Kein Basisdünger",IF(A15&lt;'01_Run_Config'!$B$33,"HESI TNT","HESI Coco"))</x:f>
        <x:v>HESI TNT</x:v>
      </x:c>
      <x:c r="V15" s="63" t="n">
        <x:f>IF(A15&lt;'01_Run_Config'!$B$32,0,IF(A15&lt;'01_Run_Config'!$B$33,IF(A15-'01_Run_Config'!$B$32&lt;=3,1.25,IF(A15-'01_Run_Config'!$B$32&lt;=10,2,2.5)),IF(A15-'01_Run_Config'!$B$33&lt;=6,2.5,IF(A15-'01_Run_Config'!$B$33&lt;=13,3.25,IF(A15-'01_Run_Config'!$B$33&lt;=20,3.75,IF(A15-'01_Run_Config'!$B$33&lt;=34,4,IF(A15-'01_Run_Config'!$B$33&lt;=41,3.5,IF(A15-'01_Run_Config'!$B$33&lt;=48,2.5,1.5))))))))</x:f>
        <x:v>2</x:v>
      </x:c>
      <x:c r="W15" s="63" t="n">
        <x:f>IF(A15&lt;=14,2.5,0)</x:f>
        <x:v>2.5</x:v>
      </x:c>
      <x:c r="X15" s="63" t="n">
        <x:f>IF('01_Run_Config'!$B$50="AN Sensizym",0,IF(AND(A15&gt;='01_Run_Config'!$B$32,OR(AL15="",AL15&lt;=49)),2,0))</x:f>
        <x:v>2</x:v>
      </x:c>
      <x:c r="Y15" s="63" t="n">
        <x:f>0.015</x:f>
        <x:v>0.015</x:v>
      </x:c>
      <x:c r="Z15" s="63" t="n">
        <x:f>IF('01_Run_Config'!$B$51="HESI Hesilicio",2,0)</x:f>
        <x:v>0</x:v>
      </x:c>
      <x:c r="AA15" s="63" t="n">
        <x:f>IF('01_Run_Config'!$B$48="AN Bud Candy (replaces HESI Boost)",0,IF(AND(A15&gt;='01_Run_Config'!$B$33,MOD(A15-'01_Run_Config'!$B$33,7)=0),2,0))</x:f>
        <x:v>0</x:v>
      </x:c>
      <x:c r="AB15" s="63" t="n">
        <x:f>IF('01_Run_Config'!$B$52="AN Bud Ignitor &gt; Big Bud &gt; Overdrive",0,IF(AND(ISNUMBER(AL15),AL15&gt;=29,AL15&lt;=42),0.25+((AL15-29)/13)*0.25,0))</x:f>
        <x:v>0</x:v>
      </x:c>
      <x:c r="AC15" s="63" t="n">
        <x:f>IF('01_Run_Config'!$B$46="OFF",0,IF(OR(A15='01_Run_Config'!$B$32,A15='01_Run_Config'!$B$32+7,A15='01_Run_Config'!$B$33+1,A15='01_Run_Config'!$B$33+8),2,0))</x:f>
        <x:v>0</x:v>
      </x:c>
      <x:c r="AD15" s="63" t="str">
        <x:f>IF(BG15="BLOCK","HYBRID BLOCKED - Konfiguration prüfen",IF(SUM(AC15,AT15:BF15)&gt;0,"AN aktiv: "&amp;BH15,"AN: keine Dosis heute / Module aus"))</x:f>
        <x:v>AN: keine Dosis heute / Module aus</x:v>
      </x:c>
      <x:c r="AE15" s="63" t="str">
        <x:v>LST nur bei 4–5 kräftigen Nodes</x:v>
      </x:c>
      <x:c r="AF15" s="63" t="str">
        <x:v>Morgens Klima/Pflanze/Bewässerung/Leck; Mitte Lichtphase Blattwinkel; vor Dunkel LF/Drain/stehendes Wasser.</x:v>
      </x:c>
      <x:c r="AG15" s="63" t="str">
        <x:v>EC nicht erhöhen bei steigender Diagnose-Drain-EC; PPFD nicht erhöhen bei Stress; Wasserband nie erzwingen; nie mehrere neue Booster gleichzeitig.</x:v>
      </x:c>
      <x:c r="AH15" s="35" t="str">
        <x:f>"UKD v9 evidence-guarded: Planwerte sind Ziele/Eligibility, keine automatische Freigabe. Eazy Plug/Block ist vorgepuffert; früher Basisfeed bleibt vom Propagation-/Pflanzengate abhängig. Messdaten und Safety-Gates überschreiben Kalender."</x:f>
        <x:v>UKD v9 evidence-guarded: Planwerte sind Ziele/Eligibility, keine automatische Freigabe. Eazy Plug/Block ist vorgepuffert; früher Basisfeed bleibt vom Propagation-/Pflanzengate abhängig. Messdaten und Safety-Gates überschreiben Kalender.</x:v>
      </x:c>
      <x:c r="AI15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15" s="201" t="str">
        <x:f>IF(A15&lt;'01_Run_Config'!$B$32,"—",IF(A15&lt;'01_Run_Config'!$B$33,"G"&amp;MIN(4,INT((A15-'01_Run_Config'!$B$32)/7)+1),AM15))</x:f>
        <x:v>G2</x:v>
      </x:c>
      <x:c r="AK15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15" s="60" t="str">
        <x:f>IF(A15&lt;'01_Run_Config'!$B$33,"",A15-'01_Run_Config'!$B$33+1)</x:f>
      </x:c>
      <x:c r="AM15" s="60" t="str">
        <x:f>IF(AL15="","",IF(AL15&gt;49,CHAR(66)&amp;"7+",CHAR(66)&amp;TEXT(INT((AL15-1)/7)+1,"0")))</x:f>
      </x:c>
      <x:c r="AN15" s="60" t="n">
        <x:f>ROUND(0.6108*EXP(17.27*L15/(L15+237.3))*(1-N15/100),2)</x:f>
        <x:v>1.11</x:v>
      </x:c>
      <x:c r="AO15" s="60" t="n">
        <x:f>H15*G15/1000</x:f>
        <x:v>0.99</x:v>
      </x:c>
      <x:c r="AP15" s="60" t="n">
        <x:f>SUM($AO$2:AO15)</x:f>
        <x:v>10.98</x:v>
      </x:c>
      <x:c r="AQ15" t="n">
        <x:f>'01_Run_Config'!$B$17</x:f>
        <x:v>0</x:v>
      </x:c>
      <x:c r="AR15" t="n">
        <x:f>'01_Run_Config'!$B$22</x:f>
        <x:v>0</x:v>
      </x:c>
      <x:c r="AS15" t="n">
        <x:f>'01_Run_Config'!$B$25</x:f>
        <x:v>0</x:v>
      </x:c>
      <x:c r="AT15" t="n">
        <x:f>IF(AND('01_Run_Config'!$B$46="Voodoo + Piranha + Tarantula",AC15&gt;0),2,0)</x:f>
        <x:v>0</x:v>
      </x:c>
      <x:c r="AU15" t="n">
        <x:f>IF(AND(OR('01_Run_Config'!$B$46="Voodoo + Tarantula",'01_Run_Config'!$B$46="Voodoo + Piranha + Tarantula"),AC15&gt;0),2,0)</x:f>
        <x:v>0</x:v>
      </x:c>
      <x:c r="AV15" t="n">
        <x:f>IF('01_Run_Config'!$B$47&lt;&gt;"ON / A-B",0,IF(OR(AND(A15&gt;='01_Run_Config'!$B$32,A15&lt;'01_Run_Config'!$B$33),AND(ISNUMBER(AL15),AL15&gt;=15,AL15&lt;=49)),2,0))</x:f>
        <x:v>0</x:v>
      </x:c>
      <x:c r="AW15" t="n">
        <x:f>IF('01_Run_Config'!$B$48="AN Bud Candy (replaces HESI Boost)",IF(AND(A15&gt;='01_Run_Config'!$B$32,OR(AL15="",AL15&lt;=49)),2,0),0)</x:f>
        <x:v>0</x:v>
      </x:c>
      <x:c r="AX15" t="n">
        <x:f>IF('01_Run_Config'!$B$49&lt;&gt;"ON / EXPERIMENTAL",0,IF(OR(AND(A15&gt;='01_Run_Config'!$B$32+7,A15&lt;'01_Run_Config'!$B$33),AND(ISNUMBER(AL15),AL15&gt;=1,AL15&lt;=49)),2,0))</x:f>
        <x:v>0</x:v>
      </x:c>
      <x:c r="AY15" t="n">
        <x:f>IF('01_Run_Config'!$B$50="AN Sensizym",IF(AND(A15&gt;='01_Run_Config'!$B$32,OR(AL15="",AL15&lt;=49)),2,0),0)</x:f>
        <x:v>0</x:v>
      </x:c>
      <x:c r="AZ15" t="n">
        <x:f>IF('01_Run_Config'!$B$51="AN Rhino Skin",IF(AND(A15&gt;='01_Run_Config'!$B$32,OR(AL15="",AL15&lt;=49)),2,0),0)</x:f>
        <x:v>0</x:v>
      </x:c>
      <x:c r="BA15" t="n">
        <x:f>IF(AND('01_Run_Config'!$B$52="AN Bud Ignitor &gt; Big Bud &gt; Overdrive",ISNUMBER(AL15),AL15&gt;=1,AL15&lt;=14),2,0)</x:f>
        <x:v>0</x:v>
      </x:c>
      <x:c r="BB15" t="n">
        <x:f>IF(AND('01_Run_Config'!$B$52="AN Bud Ignitor &gt; Big Bud &gt; Overdrive",ISNUMBER(AL15),AL15&gt;=8,AL15&lt;=35),2,0)</x:f>
        <x:v>0</x:v>
      </x:c>
      <x:c r="BC15" t="n">
        <x:f>IF(AND('01_Run_Config'!$B$52="AN Bud Ignitor &gt; Big Bud &gt; Overdrive",ISNUMBER(AL15),AL15&gt;=36,AL15&lt;=49),2,0)</x:f>
        <x:v>0</x:v>
      </x:c>
      <x:c r="BD15" t="n">
        <x:f>IF('01_Run_Config'!$B$53="ON / EXPERIMENTAL",IF(OR(AND(A15&gt;='01_Run_Config'!$B$32,A15&lt;'01_Run_Config'!$B$33),AND(ISNUMBER(AL15),AL15&gt;=15,AL15&lt;=49)),2,0),0)</x:f>
        <x:v>0</x:v>
      </x:c>
      <x:c r="BE15" t="n">
        <x:f>IF('01_Run_Config'!$B$54="AN Sensi CalMag Xtra conditional",'01_Run_Config'!$B$17,0)</x:f>
        <x:v>0</x:v>
      </x:c>
      <x:c r="BF15" t="n">
        <x:f>0</x:f>
        <x:v>0</x:v>
      </x:c>
      <x:c r="BG15" t="str">
        <x:f>'01_Run_Config'!$E$57</x:f>
        <x:v>OK</x:v>
      </x:c>
      <x:c r="BH15" t="str">
        <x:f>IF(SUM(AC15,AT15:BF15)=0,"keine AN-Dosis heute",IF(AC15&gt;0,"Voodoo "&amp;AC15&amp;" ml/L; ","")&amp;IF(AT15&gt;0,"Piranha "&amp;AT15&amp;" ml/L; ","")&amp;IF(AU15&gt;0,"Tarantula "&amp;AU15&amp;" ml/L; ","")&amp;IF(AV15&gt;0,"B-52 "&amp;AV15&amp;" ml/L; ","")&amp;IF(AW15&gt;0,"Bud Candy "&amp;AW15&amp;" ml/L; ","")&amp;IF(AX15&gt;0,"Bud Factor X "&amp;AX15&amp;" ml/L; ","")&amp;IF(AY15&gt;0,"Sensizym "&amp;AY15&amp;" ml/L; ","")&amp;IF(AZ15&gt;0,"Rhino Skin "&amp;AZ15&amp;" ml/L; ","")&amp;IF(BA15&gt;0,"Bud Ignitor "&amp;BA15&amp;" ml/L; ","")&amp;IF(BB15&gt;0,"Big Bud "&amp;BB15&amp;" ml/L; ","")&amp;IF(BC15&gt;0,"Overdrive "&amp;BC15&amp;" ml/L; ","")&amp;IF(BD15&gt;0,"Tasty Terpenes "&amp;BD15&amp;" ml/L; ","")&amp;IF(BE15&gt;0,"Sensi CalMag "&amp;BE15&amp;" ml/L",""))</x:f>
        <x:v>keine AN-Dosis heute</x:v>
      </x:c>
    </x:row>
    <x:row r="16">
      <x:c r="A16" s="34" t="n">
        <x:v>14</x:v>
      </x:c>
      <x:c r="B16" s="129" t="n">
        <x:f>'01_Run_Config'!$B$4+A16</x:f>
        <x:v>46256</x:v>
      </x:c>
      <x:c r="C16" s="63" t="n">
        <x:f>INT(A16/7)+1</x:f>
        <x:v>3</x:v>
      </x:c>
      <x:c r="D16" s="63" t="str">
        <x:f>"M"&amp;MIN(3,INT(A16/30)+1)</x:f>
        <x:v>M1</x:v>
      </x:c>
      <x:c r="E16" s="63" t="str">
        <x:f>IF(A16&lt;4,"Keimung",IF(A16&lt;8,"Etablierung",IF(A16&lt;15,"Early Veg",IF(A16&lt;'01_Run_Config'!$B$33,IF(A16&lt;22,"Veg / LST","Preflower-Watch"),IF(A16-'01_Run_Config'!$B$33&lt;=6,"Transition / Stretch ("&amp;AM16&amp;")",IF(A16-'01_Run_Config'!$B$33&lt;=13,"Early Flower ("&amp;AM16&amp;")",IF(A16-'01_Run_Config'!$B$33&lt;=20,"Flower I ("&amp;AM16&amp;")",IF(A16-'01_Run_Config'!$B$33&lt;=34,"Peak Flower ("&amp;AM16&amp;")",IF(A16-'01_Run_Config'!$B$33&lt;=41,"Late Flower ("&amp;AM16&amp;")",IF(A16-'01_Run_Config'!$B$33&lt;=48,"Ripening ("&amp;AM16&amp;")","Harvest / Extension ("&amp;AM16&amp;")"))))))))))</x:f>
        <x:v>Early Veg</x:v>
      </x:c>
      <x:c r="F16" s="63" t="str">
        <x:f>IF(A16&lt;4,"Keimung + Wurzelstart",IF(A16&lt;8,"Sämling etablieren; Wurzelraum erschließen",IF(A16&lt;15,"kompakter Aufbau; LST erst bei Vitalität",IF(A16&lt;'01_Run_Config'!$B$33,"Canopy aufbauen; Preflower beobachten",IF(A16-'01_Run_Config'!$B$33&lt;=6,"Stretch kontrollieren; Bloom-Trigger dokumentieren",IF(A16-'01_Run_Config'!$B$33&lt;=13,"Blütenansatz stabilisieren",IF(A16-'01_Run_Config'!$B$33&lt;=20,"Blütenaufbau ohne neue Stressoren",IF(A16-'01_Run_Config'!$B$33&lt;=34,"stabile Peak-Photosynthese; Klima priorisieren",IF(A16-'01_Run_Config'!$B$33&lt;=41,"Qualität/Schimmelprävention",IF(A16-'01_Run_Config'!$B$33&lt;=48,"Reife ohne Überfütterung","Erntefenster nach Pflanze; keine Kalenderernte"))))))))))</x:f>
        <x:v>kompakter Aufbau; LST erst bei Vitalität</x:v>
      </x:c>
      <x:c r="G16" s="63" t="n">
        <x:v>18</x:v>
      </x:c>
      <x:c r="H16" s="63" t="n">
        <x:v>55</x:v>
      </x:c>
      <x:c r="I16" s="63" t="n">
        <x:v>275</x:v>
      </x:c>
      <x:c r="J16" s="63" t="n">
        <x:f>I16*G16*3600/1000000</x:f>
        <x:v>17.82</x:v>
      </x:c>
      <x:c r="K16" s="63" t="n">
        <x:v>48</x:v>
      </x:c>
      <x:c r="L16" s="63" t="n">
        <x:v>25.5</x:v>
      </x:c>
      <x:c r="M16" s="63" t="n">
        <x:v>22</x:v>
      </x:c>
      <x:c r="N16" s="63" t="n">
        <x:v>66</x:v>
      </x:c>
      <x:c r="O16" s="63" t="n">
        <x:f>ROUND(0.6108*EXP(17.27*(L16+'01_Run_Config'!$B$34)/(L16+'01_Run_Config'!$B$34+237.3))-(N16/100)*0.6108*EXP(17.27*L16/(L16+237.3)),2)</x:f>
        <x:v>0.92</x:v>
      </x:c>
      <x:c r="P16" s="63" t="n">
        <x:f>IF(A16&lt;'01_Run_Config'!$B$32,0.55,IF(A16&lt;'01_Run_Config'!$B$33,IF(A16-'01_Run_Config'!$B$32&lt;=3,0.8,IF(A16-'01_Run_Config'!$B$32&lt;=10,1,IF(A16-'01_Run_Config'!$B$32&lt;=17,1.2,1.4))),IF(A16-'01_Run_Config'!$B$33&lt;=6,1.5,IF(A16-'01_Run_Config'!$B$33&lt;=13,1.6,IF(A16-'01_Run_Config'!$B$33&lt;=20,1.7,IF(A16-'01_Run_Config'!$B$33&lt;=34,1.8,IF(A16-'01_Run_Config'!$B$33&lt;=41,1.6,IF(A16-'01_Run_Config'!$B$33&lt;=48,1.4,1.15))))))))</x:f>
        <x:v>1</x:v>
      </x:c>
      <x:c r="Q16" s="63" t="n">
        <x:v>5.9</x:v>
      </x:c>
      <x:c r="R16" s="63" t="n">
        <x:v>0.15</x:v>
      </x:c>
      <x:c r="S16" s="63" t="n">
        <x:v>0.3</x:v>
      </x:c>
      <x:c r="T16" s="63" t="str">
        <x:f>IF(A16&lt;=7,"Manuell",'01_Run_Config'!$B$40)</x:f>
        <x:v>Manuell / indoor-freigegebene Automation</x:v>
      </x:c>
      <x:c r="U16" s="63" t="str">
        <x:f>IF(A16&lt;'01_Run_Config'!$B$32,"Kein Basisdünger",IF(A16&lt;'01_Run_Config'!$B$33,"HESI TNT","HESI Coco"))</x:f>
        <x:v>HESI TNT</x:v>
      </x:c>
      <x:c r="V16" s="63" t="n">
        <x:f>IF(A16&lt;'01_Run_Config'!$B$32,0,IF(A16&lt;'01_Run_Config'!$B$33,IF(A16-'01_Run_Config'!$B$32&lt;=3,1.25,IF(A16-'01_Run_Config'!$B$32&lt;=10,2,2.5)),IF(A16-'01_Run_Config'!$B$33&lt;=6,2.5,IF(A16-'01_Run_Config'!$B$33&lt;=13,3.25,IF(A16-'01_Run_Config'!$B$33&lt;=20,3.75,IF(A16-'01_Run_Config'!$B$33&lt;=34,4,IF(A16-'01_Run_Config'!$B$33&lt;=41,3.5,IF(A16-'01_Run_Config'!$B$33&lt;=48,2.5,1.5))))))))</x:f>
        <x:v>2</x:v>
      </x:c>
      <x:c r="W16" s="63" t="n">
        <x:f>IF(A16&lt;=14,2.5,0)</x:f>
        <x:v>2.5</x:v>
      </x:c>
      <x:c r="X16" s="63" t="n">
        <x:f>IF('01_Run_Config'!$B$50="AN Sensizym",0,IF(AND(A16&gt;='01_Run_Config'!$B$32,OR(AL16="",AL16&lt;=49)),2,0))</x:f>
        <x:v>2</x:v>
      </x:c>
      <x:c r="Y16" s="63" t="n">
        <x:f>0.015</x:f>
        <x:v>0.015</x:v>
      </x:c>
      <x:c r="Z16" s="63" t="n">
        <x:f>IF('01_Run_Config'!$B$51="HESI Hesilicio",2,0)</x:f>
        <x:v>0</x:v>
      </x:c>
      <x:c r="AA16" s="63" t="n">
        <x:f>IF('01_Run_Config'!$B$48="AN Bud Candy (replaces HESI Boost)",0,IF(AND(A16&gt;='01_Run_Config'!$B$33,MOD(A16-'01_Run_Config'!$B$33,7)=0),2,0))</x:f>
        <x:v>0</x:v>
      </x:c>
      <x:c r="AB16" s="63" t="n">
        <x:f>IF('01_Run_Config'!$B$52="AN Bud Ignitor &gt; Big Bud &gt; Overdrive",0,IF(AND(ISNUMBER(AL16),AL16&gt;=29,AL16&lt;=42),0.25+((AL16-29)/13)*0.25,0))</x:f>
        <x:v>0</x:v>
      </x:c>
      <x:c r="AC16" s="63" t="n">
        <x:f>IF('01_Run_Config'!$B$46="OFF",0,IF(OR(A16='01_Run_Config'!$B$32,A16='01_Run_Config'!$B$32+7,A16='01_Run_Config'!$B$33+1,A16='01_Run_Config'!$B$33+8),2,0))</x:f>
        <x:v>0</x:v>
      </x:c>
      <x:c r="AD16" s="63" t="str">
        <x:f>IF(BG16="BLOCK","HYBRID BLOCKED - Konfiguration prüfen",IF(SUM(AC16,AT16:BF16)&gt;0,"AN aktiv: "&amp;BH16,"AN: keine Dosis heute / Module aus"))</x:f>
        <x:v>AN: keine Dosis heute / Module aus</x:v>
      </x:c>
      <x:c r="AE16" s="63" t="str">
        <x:v>LST nur bei 4–5 kräftigen Nodes</x:v>
      </x:c>
      <x:c r="AF16" s="63" t="str">
        <x:v>Morgens Klima/Pflanze/Bewässerung/Leck; Mitte Lichtphase Blattwinkel; vor Dunkel LF/Drain/stehendes Wasser. WÖCHENTLICH: pH/EC kalibrieren, Foto, Canopy messen, PPFD-Spotcheck, Reservoir falls genutzt / Tray reinigen.</x:v>
      </x:c>
      <x:c r="AG16" s="63" t="str">
        <x:v>EC nicht erhöhen bei steigender Diagnose-Drain-EC; PPFD nicht erhöhen bei Stress; Wasserband nie erzwingen; nie mehrere neue Booster gleichzeitig.</x:v>
      </x:c>
      <x:c r="AH16" s="35" t="str">
        <x:f>"UKD v9 evidence-guarded: Planwerte sind Ziele/Eligibility, keine automatische Freigabe. Eazy Plug/Block ist vorgepuffert; früher Basisfeed bleibt vom Propagation-/Pflanzengate abhängig. Messdaten und Safety-Gates überschreiben Kalender."</x:f>
        <x:v>UKD v9 evidence-guarded: Planwerte sind Ziele/Eligibility, keine automatische Freigabe. Eazy Plug/Block ist vorgepuffert; früher Basisfeed bleibt vom Propagation-/Pflanzengate abhängig. Messdaten und Safety-Gates überschreiben Kalender.</x:v>
      </x:c>
      <x:c r="AI16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16" s="201" t="str">
        <x:f>IF(A16&lt;'01_Run_Config'!$B$32,"—",IF(A16&lt;'01_Run_Config'!$B$33,"G"&amp;MIN(4,INT((A16-'01_Run_Config'!$B$32)/7)+1),AM16))</x:f>
        <x:v>G2</x:v>
      </x:c>
      <x:c r="AK16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16" s="60" t="str">
        <x:f>IF(A16&lt;'01_Run_Config'!$B$33,"",A16-'01_Run_Config'!$B$33+1)</x:f>
      </x:c>
      <x:c r="AM16" s="60" t="str">
        <x:f>IF(AL16="","",IF(AL16&gt;49,CHAR(66)&amp;"7+",CHAR(66)&amp;TEXT(INT((AL16-1)/7)+1,"0")))</x:f>
      </x:c>
      <x:c r="AN16" s="60" t="n">
        <x:f>ROUND(0.6108*EXP(17.27*L16/(L16+237.3))*(1-N16/100),2)</x:f>
        <x:v>1.11</x:v>
      </x:c>
      <x:c r="AO16" s="60" t="n">
        <x:f>H16*G16/1000</x:f>
        <x:v>0.99</x:v>
      </x:c>
      <x:c r="AP16" s="60" t="n">
        <x:f>SUM($AO$2:AO16)</x:f>
        <x:v>11.97</x:v>
      </x:c>
      <x:c r="AQ16" t="n">
        <x:f>'01_Run_Config'!$B$17</x:f>
        <x:v>0</x:v>
      </x:c>
      <x:c r="AR16" t="n">
        <x:f>'01_Run_Config'!$B$22</x:f>
        <x:v>0</x:v>
      </x:c>
      <x:c r="AS16" t="n">
        <x:f>'01_Run_Config'!$B$25</x:f>
        <x:v>0</x:v>
      </x:c>
      <x:c r="AT16" t="n">
        <x:f>IF(AND('01_Run_Config'!$B$46="Voodoo + Piranha + Tarantula",AC16&gt;0),2,0)</x:f>
        <x:v>0</x:v>
      </x:c>
      <x:c r="AU16" t="n">
        <x:f>IF(AND(OR('01_Run_Config'!$B$46="Voodoo + Tarantula",'01_Run_Config'!$B$46="Voodoo + Piranha + Tarantula"),AC16&gt;0),2,0)</x:f>
        <x:v>0</x:v>
      </x:c>
      <x:c r="AV16" t="n">
        <x:f>IF('01_Run_Config'!$B$47&lt;&gt;"ON / A-B",0,IF(OR(AND(A16&gt;='01_Run_Config'!$B$32,A16&lt;'01_Run_Config'!$B$33),AND(ISNUMBER(AL16),AL16&gt;=15,AL16&lt;=49)),2,0))</x:f>
        <x:v>0</x:v>
      </x:c>
      <x:c r="AW16" t="n">
        <x:f>IF('01_Run_Config'!$B$48="AN Bud Candy (replaces HESI Boost)",IF(AND(A16&gt;='01_Run_Config'!$B$32,OR(AL16="",AL16&lt;=49)),2,0),0)</x:f>
        <x:v>0</x:v>
      </x:c>
      <x:c r="AX16" t="n">
        <x:f>IF('01_Run_Config'!$B$49&lt;&gt;"ON / EXPERIMENTAL",0,IF(OR(AND(A16&gt;='01_Run_Config'!$B$32+7,A16&lt;'01_Run_Config'!$B$33),AND(ISNUMBER(AL16),AL16&gt;=1,AL16&lt;=49)),2,0))</x:f>
        <x:v>0</x:v>
      </x:c>
      <x:c r="AY16" t="n">
        <x:f>IF('01_Run_Config'!$B$50="AN Sensizym",IF(AND(A16&gt;='01_Run_Config'!$B$32,OR(AL16="",AL16&lt;=49)),2,0),0)</x:f>
        <x:v>0</x:v>
      </x:c>
      <x:c r="AZ16" t="n">
        <x:f>IF('01_Run_Config'!$B$51="AN Rhino Skin",IF(AND(A16&gt;='01_Run_Config'!$B$32,OR(AL16="",AL16&lt;=49)),2,0),0)</x:f>
        <x:v>0</x:v>
      </x:c>
      <x:c r="BA16" t="n">
        <x:f>IF(AND('01_Run_Config'!$B$52="AN Bud Ignitor &gt; Big Bud &gt; Overdrive",ISNUMBER(AL16),AL16&gt;=1,AL16&lt;=14),2,0)</x:f>
        <x:v>0</x:v>
      </x:c>
      <x:c r="BB16" t="n">
        <x:f>IF(AND('01_Run_Config'!$B$52="AN Bud Ignitor &gt; Big Bud &gt; Overdrive",ISNUMBER(AL16),AL16&gt;=8,AL16&lt;=35),2,0)</x:f>
        <x:v>0</x:v>
      </x:c>
      <x:c r="BC16" t="n">
        <x:f>IF(AND('01_Run_Config'!$B$52="AN Bud Ignitor &gt; Big Bud &gt; Overdrive",ISNUMBER(AL16),AL16&gt;=36,AL16&lt;=49),2,0)</x:f>
        <x:v>0</x:v>
      </x:c>
      <x:c r="BD16" t="n">
        <x:f>IF('01_Run_Config'!$B$53="ON / EXPERIMENTAL",IF(OR(AND(A16&gt;='01_Run_Config'!$B$32,A16&lt;'01_Run_Config'!$B$33),AND(ISNUMBER(AL16),AL16&gt;=15,AL16&lt;=49)),2,0),0)</x:f>
        <x:v>0</x:v>
      </x:c>
      <x:c r="BE16" t="n">
        <x:f>IF('01_Run_Config'!$B$54="AN Sensi CalMag Xtra conditional",'01_Run_Config'!$B$17,0)</x:f>
        <x:v>0</x:v>
      </x:c>
      <x:c r="BF16" t="n">
        <x:f>0</x:f>
        <x:v>0</x:v>
      </x:c>
      <x:c r="BG16" t="str">
        <x:f>'01_Run_Config'!$E$57</x:f>
        <x:v>OK</x:v>
      </x:c>
      <x:c r="BH16" t="str">
        <x:f>IF(SUM(AC16,AT16:BF16)=0,"keine AN-Dosis heute",IF(AC16&gt;0,"Voodoo "&amp;AC16&amp;" ml/L; ","")&amp;IF(AT16&gt;0,"Piranha "&amp;AT16&amp;" ml/L; ","")&amp;IF(AU16&gt;0,"Tarantula "&amp;AU16&amp;" ml/L; ","")&amp;IF(AV16&gt;0,"B-52 "&amp;AV16&amp;" ml/L; ","")&amp;IF(AW16&gt;0,"Bud Candy "&amp;AW16&amp;" ml/L; ","")&amp;IF(AX16&gt;0,"Bud Factor X "&amp;AX16&amp;" ml/L; ","")&amp;IF(AY16&gt;0,"Sensizym "&amp;AY16&amp;" ml/L; ","")&amp;IF(AZ16&gt;0,"Rhino Skin "&amp;AZ16&amp;" ml/L; ","")&amp;IF(BA16&gt;0,"Bud Ignitor "&amp;BA16&amp;" ml/L; ","")&amp;IF(BB16&gt;0,"Big Bud "&amp;BB16&amp;" ml/L; ","")&amp;IF(BC16&gt;0,"Overdrive "&amp;BC16&amp;" ml/L; ","")&amp;IF(BD16&gt;0,"Tasty Terpenes "&amp;BD16&amp;" ml/L; ","")&amp;IF(BE16&gt;0,"Sensi CalMag "&amp;BE16&amp;" ml/L",""))</x:f>
        <x:v>keine AN-Dosis heute</x:v>
      </x:c>
    </x:row>
    <x:row r="17">
      <x:c r="A17" s="34" t="n">
        <x:v>15</x:v>
      </x:c>
      <x:c r="B17" s="129" t="n">
        <x:f>'01_Run_Config'!$B$4+A17</x:f>
        <x:v>46257</x:v>
      </x:c>
      <x:c r="C17" s="63" t="n">
        <x:f>INT(A17/7)+1</x:f>
        <x:v>3</x:v>
      </x:c>
      <x:c r="D17" s="63" t="str">
        <x:f>"M"&amp;MIN(3,INT(A17/30)+1)</x:f>
        <x:v>M1</x:v>
      </x:c>
      <x:c r="E17" s="63" t="str">
        <x:f>IF(A17&lt;4,"Keimung",IF(A17&lt;8,"Etablierung",IF(A17&lt;15,"Early Veg",IF(A17&lt;'01_Run_Config'!$B$33,IF(A17&lt;22,"Veg / LST","Preflower-Watch"),IF(A17-'01_Run_Config'!$B$33&lt;=6,"Transition / Stretch ("&amp;AM17&amp;")",IF(A17-'01_Run_Config'!$B$33&lt;=13,"Early Flower ("&amp;AM17&amp;")",IF(A17-'01_Run_Config'!$B$33&lt;=20,"Flower I ("&amp;AM17&amp;")",IF(A17-'01_Run_Config'!$B$33&lt;=34,"Peak Flower ("&amp;AM17&amp;")",IF(A17-'01_Run_Config'!$B$33&lt;=41,"Late Flower ("&amp;AM17&amp;")",IF(A17-'01_Run_Config'!$B$33&lt;=48,"Ripening ("&amp;AM17&amp;")","Harvest / Extension ("&amp;AM17&amp;")"))))))))))</x:f>
        <x:v>Veg / LST</x:v>
      </x:c>
      <x:c r="F17" s="63" t="str">
        <x:f>IF(A17&lt;4,"Keimung + Wurzelstart",IF(A17&lt;8,"Sämling etablieren; Wurzelraum erschließen",IF(A17&lt;15,"kompakter Aufbau; LST erst bei Vitalität",IF(A17&lt;'01_Run_Config'!$B$33,"Canopy aufbauen; Preflower beobachten",IF(A17-'01_Run_Config'!$B$33&lt;=6,"Stretch kontrollieren; Bloom-Trigger dokumentieren",IF(A17-'01_Run_Config'!$B$33&lt;=13,"Blütenansatz stabilisieren",IF(A17-'01_Run_Config'!$B$33&lt;=20,"Blütenaufbau ohne neue Stressoren",IF(A17-'01_Run_Config'!$B$33&lt;=34,"stabile Peak-Photosynthese; Klima priorisieren",IF(A17-'01_Run_Config'!$B$33&lt;=41,"Qualität/Schimmelprävention",IF(A17-'01_Run_Config'!$B$33&lt;=48,"Reife ohne Überfütterung","Erntefenster nach Pflanze; keine Kalenderernte"))))))))))</x:f>
        <x:v>Canopy aufbauen; Preflower beobachten</x:v>
      </x:c>
      <x:c r="G17" s="63" t="n">
        <x:v>18</x:v>
      </x:c>
      <x:c r="H17" s="63" t="n">
        <x:v>75</x:v>
      </x:c>
      <x:c r="I17" s="63" t="n">
        <x:v>350</x:v>
      </x:c>
      <x:c r="J17" s="63" t="n">
        <x:f>I17*G17*3600/1000000</x:f>
        <x:v>22.68</x:v>
      </x:c>
      <x:c r="K17" s="63" t="n">
        <x:v>43</x:v>
      </x:c>
      <x:c r="L17" s="63" t="n">
        <x:v>25.5</x:v>
      </x:c>
      <x:c r="M17" s="63" t="n">
        <x:v>22</x:v>
      </x:c>
      <x:c r="N17" s="63" t="n">
        <x:v>62</x:v>
      </x:c>
      <x:c r="O17" s="63" t="n">
        <x:f>ROUND(0.6108*EXP(17.27*(L17+'01_Run_Config'!$B$34)/(L17+'01_Run_Config'!$B$34+237.3))-(N17/100)*0.6108*EXP(17.27*L17/(L17+237.3)),2)</x:f>
        <x:v>1.05</x:v>
      </x:c>
      <x:c r="P17" s="63" t="n">
        <x:f>IF(A17&lt;'01_Run_Config'!$B$32,0.55,IF(A17&lt;'01_Run_Config'!$B$33,IF(A17-'01_Run_Config'!$B$32&lt;=3,0.8,IF(A17-'01_Run_Config'!$B$32&lt;=10,1,IF(A17-'01_Run_Config'!$B$32&lt;=17,1.2,1.4))),IF(A17-'01_Run_Config'!$B$33&lt;=6,1.5,IF(A17-'01_Run_Config'!$B$33&lt;=13,1.6,IF(A17-'01_Run_Config'!$B$33&lt;=20,1.7,IF(A17-'01_Run_Config'!$B$33&lt;=34,1.8,IF(A17-'01_Run_Config'!$B$33&lt;=41,1.6,IF(A17-'01_Run_Config'!$B$33&lt;=48,1.4,1.15))))))))</x:f>
        <x:v>1.2</x:v>
      </x:c>
      <x:c r="Q17" s="63" t="n">
        <x:v>5.9</x:v>
      </x:c>
      <x:c r="R17" s="63" t="n">
        <x:v>0.25</x:v>
      </x:c>
      <x:c r="S17" s="63" t="n">
        <x:v>0.5</x:v>
      </x:c>
      <x:c r="T17" s="63" t="str">
        <x:f>IF(A17&lt;=7,"Manuell",'01_Run_Config'!$B$40)</x:f>
        <x:v>Manuell / indoor-freigegebene Automation</x:v>
      </x:c>
      <x:c r="U17" s="63" t="str">
        <x:f>IF(A17&lt;'01_Run_Config'!$B$32,"Kein Basisdünger",IF(A17&lt;'01_Run_Config'!$B$33,"HESI TNT","HESI Coco"))</x:f>
        <x:v>HESI TNT</x:v>
      </x:c>
      <x:c r="V17" s="63" t="n">
        <x:f>IF(A17&lt;'01_Run_Config'!$B$32,0,IF(A17&lt;'01_Run_Config'!$B$33,IF(A17-'01_Run_Config'!$B$32&lt;=3,1.25,IF(A17-'01_Run_Config'!$B$32&lt;=10,2,2.5)),IF(A17-'01_Run_Config'!$B$33&lt;=6,2.5,IF(A17-'01_Run_Config'!$B$33&lt;=13,3.25,IF(A17-'01_Run_Config'!$B$33&lt;=20,3.75,IF(A17-'01_Run_Config'!$B$33&lt;=34,4,IF(A17-'01_Run_Config'!$B$33&lt;=41,3.5,IF(A17-'01_Run_Config'!$B$33&lt;=48,2.5,1.5))))))))</x:f>
        <x:v>2.5</x:v>
      </x:c>
      <x:c r="W17" s="63" t="n">
        <x:f>IF(A17&lt;=14,2.5,0)</x:f>
        <x:v>0</x:v>
      </x:c>
      <x:c r="X17" s="63" t="n">
        <x:f>IF('01_Run_Config'!$B$50="AN Sensizym",0,IF(AND(A17&gt;='01_Run_Config'!$B$32,OR(AL17="",AL17&lt;=49)),2,0))</x:f>
        <x:v>2</x:v>
      </x:c>
      <x:c r="Y17" s="63" t="n">
        <x:f>0.015</x:f>
        <x:v>0.015</x:v>
      </x:c>
      <x:c r="Z17" s="63" t="n">
        <x:f>IF('01_Run_Config'!$B$51="HESI Hesilicio",2,0)</x:f>
        <x:v>0</x:v>
      </x:c>
      <x:c r="AA17" s="63" t="n">
        <x:f>IF('01_Run_Config'!$B$48="AN Bud Candy (replaces HESI Boost)",0,IF(AND(A17&gt;='01_Run_Config'!$B$33,MOD(A17-'01_Run_Config'!$B$33,7)=0),2,0))</x:f>
        <x:v>0</x:v>
      </x:c>
      <x:c r="AB17" s="63" t="n">
        <x:f>IF('01_Run_Config'!$B$52="AN Bud Ignitor &gt; Big Bud &gt; Overdrive",0,IF(AND(ISNUMBER(AL17),AL17&gt;=29,AL17&lt;=42),0.25+((AL17-29)/13)*0.25,0))</x:f>
        <x:v>0</x:v>
      </x:c>
      <x:c r="AC17" s="63" t="n">
        <x:f>IF('01_Run_Config'!$B$46="OFF",0,IF(OR(A17='01_Run_Config'!$B$32,A17='01_Run_Config'!$B$32+7,A17='01_Run_Config'!$B$33+1,A17='01_Run_Config'!$B$33+8),2,0))</x:f>
        <x:v>0</x:v>
      </x:c>
      <x:c r="AD17" s="63" t="str">
        <x:f>IF(BG17="BLOCK","HYBRID BLOCKED - Konfiguration prüfen",IF(SUM(AC17,AT17:BF17)&gt;0,"AN aktiv: "&amp;BH17,"AN: keine Dosis heute / Module aus"))</x:f>
        <x:v>AN: keine Dosis heute / Module aus</x:v>
      </x:c>
      <x:c r="AE17" s="63" t="str">
        <x:v>Radiales LST alle 3–4 Tage</x:v>
      </x:c>
      <x:c r="AF17" s="63" t="str">
        <x:v>Morgens Klima/Pflanze/Bewässerung/Leck; Mitte Lichtphase Blattwinkel; vor Dunkel LF/Drain/stehendes Wasser.</x:v>
      </x:c>
      <x:c r="AG17" s="63" t="str">
        <x:v>EC nicht erhöhen bei steigender Diagnose-Drain-EC; PPFD nicht erhöhen bei Stress; Wasserband nie erzwingen; nie mehrere neue Booster gleichzeitig.</x:v>
      </x:c>
      <x:c r="AH17" s="35" t="str">
        <x:f>"UKD v9 evidence-guarded: Planwerte sind Ziele/Eligibility, keine automatische Freigabe. Eazy Plug/Block ist vorgepuffert; früher Basisfeed bleibt vom Propagation-/Pflanzengate abhängig. Messdaten und Safety-Gates überschreiben Kalender."</x:f>
        <x:v>UKD v9 evidence-guarded: Planwerte sind Ziele/Eligibility, keine automatische Freigabe. Eazy Plug/Block ist vorgepuffert; früher Basisfeed bleibt vom Propagation-/Pflanzengate abhängig. Messdaten und Safety-Gates überschreiben Kalender.</x:v>
      </x:c>
      <x:c r="AI17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17" s="201" t="str">
        <x:f>IF(A17&lt;'01_Run_Config'!$B$32,"—",IF(A17&lt;'01_Run_Config'!$B$33,"G"&amp;MIN(4,INT((A17-'01_Run_Config'!$B$32)/7)+1),AM17))</x:f>
        <x:v>G2</x:v>
      </x:c>
      <x:c r="AK17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17" s="60" t="str">
        <x:f>IF(A17&lt;'01_Run_Config'!$B$33,"",A17-'01_Run_Config'!$B$33+1)</x:f>
      </x:c>
      <x:c r="AM17" s="60" t="str">
        <x:f>IF(AL17="","",IF(AL17&gt;49,CHAR(66)&amp;"7+",CHAR(66)&amp;TEXT(INT((AL17-1)/7)+1,"0")))</x:f>
      </x:c>
      <x:c r="AN17" s="60" t="n">
        <x:f>ROUND(0.6108*EXP(17.27*L17/(L17+237.3))*(1-N17/100),2)</x:f>
        <x:v>1.24</x:v>
      </x:c>
      <x:c r="AO17" s="60" t="n">
        <x:f>H17*G17/1000</x:f>
        <x:v>1.35</x:v>
      </x:c>
      <x:c r="AP17" s="60" t="n">
        <x:f>SUM($AO$2:AO17)</x:f>
        <x:v>13.32</x:v>
      </x:c>
      <x:c r="AQ17" t="n">
        <x:f>'01_Run_Config'!$B$17</x:f>
        <x:v>0</x:v>
      </x:c>
      <x:c r="AR17" t="n">
        <x:f>'01_Run_Config'!$B$22</x:f>
        <x:v>0</x:v>
      </x:c>
      <x:c r="AS17" t="n">
        <x:f>'01_Run_Config'!$B$25</x:f>
        <x:v>0</x:v>
      </x:c>
      <x:c r="AT17" t="n">
        <x:f>IF(AND('01_Run_Config'!$B$46="Voodoo + Piranha + Tarantula",AC17&gt;0),2,0)</x:f>
        <x:v>0</x:v>
      </x:c>
      <x:c r="AU17" t="n">
        <x:f>IF(AND(OR('01_Run_Config'!$B$46="Voodoo + Tarantula",'01_Run_Config'!$B$46="Voodoo + Piranha + Tarantula"),AC17&gt;0),2,0)</x:f>
        <x:v>0</x:v>
      </x:c>
      <x:c r="AV17" t="n">
        <x:f>IF('01_Run_Config'!$B$47&lt;&gt;"ON / A-B",0,IF(OR(AND(A17&gt;='01_Run_Config'!$B$32,A17&lt;'01_Run_Config'!$B$33),AND(ISNUMBER(AL17),AL17&gt;=15,AL17&lt;=49)),2,0))</x:f>
        <x:v>0</x:v>
      </x:c>
      <x:c r="AW17" t="n">
        <x:f>IF('01_Run_Config'!$B$48="AN Bud Candy (replaces HESI Boost)",IF(AND(A17&gt;='01_Run_Config'!$B$32,OR(AL17="",AL17&lt;=49)),2,0),0)</x:f>
        <x:v>0</x:v>
      </x:c>
      <x:c r="AX17" t="n">
        <x:f>IF('01_Run_Config'!$B$49&lt;&gt;"ON / EXPERIMENTAL",0,IF(OR(AND(A17&gt;='01_Run_Config'!$B$32+7,A17&lt;'01_Run_Config'!$B$33),AND(ISNUMBER(AL17),AL17&gt;=1,AL17&lt;=49)),2,0))</x:f>
        <x:v>0</x:v>
      </x:c>
      <x:c r="AY17" t="n">
        <x:f>IF('01_Run_Config'!$B$50="AN Sensizym",IF(AND(A17&gt;='01_Run_Config'!$B$32,OR(AL17="",AL17&lt;=49)),2,0),0)</x:f>
        <x:v>0</x:v>
      </x:c>
      <x:c r="AZ17" t="n">
        <x:f>IF('01_Run_Config'!$B$51="AN Rhino Skin",IF(AND(A17&gt;='01_Run_Config'!$B$32,OR(AL17="",AL17&lt;=49)),2,0),0)</x:f>
        <x:v>0</x:v>
      </x:c>
      <x:c r="BA17" t="n">
        <x:f>IF(AND('01_Run_Config'!$B$52="AN Bud Ignitor &gt; Big Bud &gt; Overdrive",ISNUMBER(AL17),AL17&gt;=1,AL17&lt;=14),2,0)</x:f>
        <x:v>0</x:v>
      </x:c>
      <x:c r="BB17" t="n">
        <x:f>IF(AND('01_Run_Config'!$B$52="AN Bud Ignitor &gt; Big Bud &gt; Overdrive",ISNUMBER(AL17),AL17&gt;=8,AL17&lt;=35),2,0)</x:f>
        <x:v>0</x:v>
      </x:c>
      <x:c r="BC17" t="n">
        <x:f>IF(AND('01_Run_Config'!$B$52="AN Bud Ignitor &gt; Big Bud &gt; Overdrive",ISNUMBER(AL17),AL17&gt;=36,AL17&lt;=49),2,0)</x:f>
        <x:v>0</x:v>
      </x:c>
      <x:c r="BD17" t="n">
        <x:f>IF('01_Run_Config'!$B$53="ON / EXPERIMENTAL",IF(OR(AND(A17&gt;='01_Run_Config'!$B$32,A17&lt;'01_Run_Config'!$B$33),AND(ISNUMBER(AL17),AL17&gt;=15,AL17&lt;=49)),2,0),0)</x:f>
        <x:v>0</x:v>
      </x:c>
      <x:c r="BE17" t="n">
        <x:f>IF('01_Run_Config'!$B$54="AN Sensi CalMag Xtra conditional",'01_Run_Config'!$B$17,0)</x:f>
        <x:v>0</x:v>
      </x:c>
      <x:c r="BF17" t="n">
        <x:f>0</x:f>
        <x:v>0</x:v>
      </x:c>
      <x:c r="BG17" t="str">
        <x:f>'01_Run_Config'!$E$57</x:f>
        <x:v>OK</x:v>
      </x:c>
      <x:c r="BH17" t="str">
        <x:f>IF(SUM(AC17,AT17:BF17)=0,"keine AN-Dosis heute",IF(AC17&gt;0,"Voodoo "&amp;AC17&amp;" ml/L; ","")&amp;IF(AT17&gt;0,"Piranha "&amp;AT17&amp;" ml/L; ","")&amp;IF(AU17&gt;0,"Tarantula "&amp;AU17&amp;" ml/L; ","")&amp;IF(AV17&gt;0,"B-52 "&amp;AV17&amp;" ml/L; ","")&amp;IF(AW17&gt;0,"Bud Candy "&amp;AW17&amp;" ml/L; ","")&amp;IF(AX17&gt;0,"Bud Factor X "&amp;AX17&amp;" ml/L; ","")&amp;IF(AY17&gt;0,"Sensizym "&amp;AY17&amp;" ml/L; ","")&amp;IF(AZ17&gt;0,"Rhino Skin "&amp;AZ17&amp;" ml/L; ","")&amp;IF(BA17&gt;0,"Bud Ignitor "&amp;BA17&amp;" ml/L; ","")&amp;IF(BB17&gt;0,"Big Bud "&amp;BB17&amp;" ml/L; ","")&amp;IF(BC17&gt;0,"Overdrive "&amp;BC17&amp;" ml/L; ","")&amp;IF(BD17&gt;0,"Tasty Terpenes "&amp;BD17&amp;" ml/L; ","")&amp;IF(BE17&gt;0,"Sensi CalMag "&amp;BE17&amp;" ml/L",""))</x:f>
        <x:v>keine AN-Dosis heute</x:v>
      </x:c>
    </x:row>
    <x:row r="18">
      <x:c r="A18" s="34" t="n">
        <x:v>16</x:v>
      </x:c>
      <x:c r="B18" s="129" t="n">
        <x:f>'01_Run_Config'!$B$4+A18</x:f>
        <x:v>46258</x:v>
      </x:c>
      <x:c r="C18" s="63" t="n">
        <x:f>INT(A18/7)+1</x:f>
        <x:v>3</x:v>
      </x:c>
      <x:c r="D18" s="63" t="str">
        <x:f>"M"&amp;MIN(3,INT(A18/30)+1)</x:f>
        <x:v>M1</x:v>
      </x:c>
      <x:c r="E18" s="63" t="str">
        <x:f>IF(A18&lt;4,"Keimung",IF(A18&lt;8,"Etablierung",IF(A18&lt;15,"Early Veg",IF(A18&lt;'01_Run_Config'!$B$33,IF(A18&lt;22,"Veg / LST","Preflower-Watch"),IF(A18-'01_Run_Config'!$B$33&lt;=6,"Transition / Stretch ("&amp;AM18&amp;")",IF(A18-'01_Run_Config'!$B$33&lt;=13,"Early Flower ("&amp;AM18&amp;")",IF(A18-'01_Run_Config'!$B$33&lt;=20,"Flower I ("&amp;AM18&amp;")",IF(A18-'01_Run_Config'!$B$33&lt;=34,"Peak Flower ("&amp;AM18&amp;")",IF(A18-'01_Run_Config'!$B$33&lt;=41,"Late Flower ("&amp;AM18&amp;")",IF(A18-'01_Run_Config'!$B$33&lt;=48,"Ripening ("&amp;AM18&amp;")","Harvest / Extension ("&amp;AM18&amp;")"))))))))))</x:f>
        <x:v>Veg / LST</x:v>
      </x:c>
      <x:c r="F18" s="63" t="str">
        <x:f>IF(A18&lt;4,"Keimung + Wurzelstart",IF(A18&lt;8,"Sämling etablieren; Wurzelraum erschließen",IF(A18&lt;15,"kompakter Aufbau; LST erst bei Vitalität",IF(A18&lt;'01_Run_Config'!$B$33,"Canopy aufbauen; Preflower beobachten",IF(A18-'01_Run_Config'!$B$33&lt;=6,"Stretch kontrollieren; Bloom-Trigger dokumentieren",IF(A18-'01_Run_Config'!$B$33&lt;=13,"Blütenansatz stabilisieren",IF(A18-'01_Run_Config'!$B$33&lt;=20,"Blütenaufbau ohne neue Stressoren",IF(A18-'01_Run_Config'!$B$33&lt;=34,"stabile Peak-Photosynthese; Klima priorisieren",IF(A18-'01_Run_Config'!$B$33&lt;=41,"Qualität/Schimmelprävention",IF(A18-'01_Run_Config'!$B$33&lt;=48,"Reife ohne Überfütterung","Erntefenster nach Pflanze; keine Kalenderernte"))))))))))</x:f>
        <x:v>Canopy aufbauen; Preflower beobachten</x:v>
      </x:c>
      <x:c r="G18" s="63" t="n">
        <x:v>18</x:v>
      </x:c>
      <x:c r="H18" s="63" t="n">
        <x:v>75</x:v>
      </x:c>
      <x:c r="I18" s="63" t="n">
        <x:v>350</x:v>
      </x:c>
      <x:c r="J18" s="63" t="n">
        <x:f>I18*G18*3600/1000000</x:f>
        <x:v>22.68</x:v>
      </x:c>
      <x:c r="K18" s="63" t="n">
        <x:v>43</x:v>
      </x:c>
      <x:c r="L18" s="63" t="n">
        <x:v>25.5</x:v>
      </x:c>
      <x:c r="M18" s="63" t="n">
        <x:v>22</x:v>
      </x:c>
      <x:c r="N18" s="63" t="n">
        <x:v>62</x:v>
      </x:c>
      <x:c r="O18" s="63" t="n">
        <x:f>ROUND(0.6108*EXP(17.27*(L18+'01_Run_Config'!$B$34)/(L18+'01_Run_Config'!$B$34+237.3))-(N18/100)*0.6108*EXP(17.27*L18/(L18+237.3)),2)</x:f>
        <x:v>1.05</x:v>
      </x:c>
      <x:c r="P18" s="63" t="n">
        <x:f>IF(A18&lt;'01_Run_Config'!$B$32,0.55,IF(A18&lt;'01_Run_Config'!$B$33,IF(A18-'01_Run_Config'!$B$32&lt;=3,0.8,IF(A18-'01_Run_Config'!$B$32&lt;=10,1,IF(A18-'01_Run_Config'!$B$32&lt;=17,1.2,1.4))),IF(A18-'01_Run_Config'!$B$33&lt;=6,1.5,IF(A18-'01_Run_Config'!$B$33&lt;=13,1.6,IF(A18-'01_Run_Config'!$B$33&lt;=20,1.7,IF(A18-'01_Run_Config'!$B$33&lt;=34,1.8,IF(A18-'01_Run_Config'!$B$33&lt;=41,1.6,IF(A18-'01_Run_Config'!$B$33&lt;=48,1.4,1.15))))))))</x:f>
        <x:v>1.2</x:v>
      </x:c>
      <x:c r="Q18" s="63" t="n">
        <x:v>5.9</x:v>
      </x:c>
      <x:c r="R18" s="63" t="n">
        <x:v>0.25</x:v>
      </x:c>
      <x:c r="S18" s="63" t="n">
        <x:v>0.5</x:v>
      </x:c>
      <x:c r="T18" s="63" t="str">
        <x:f>IF(A18&lt;=7,"Manuell",'01_Run_Config'!$B$40)</x:f>
        <x:v>Manuell / indoor-freigegebene Automation</x:v>
      </x:c>
      <x:c r="U18" s="63" t="str">
        <x:f>IF(A18&lt;'01_Run_Config'!$B$32,"Kein Basisdünger",IF(A18&lt;'01_Run_Config'!$B$33,"HESI TNT","HESI Coco"))</x:f>
        <x:v>HESI TNT</x:v>
      </x:c>
      <x:c r="V18" s="63" t="n">
        <x:f>IF(A18&lt;'01_Run_Config'!$B$32,0,IF(A18&lt;'01_Run_Config'!$B$33,IF(A18-'01_Run_Config'!$B$32&lt;=3,1.25,IF(A18-'01_Run_Config'!$B$32&lt;=10,2,2.5)),IF(A18-'01_Run_Config'!$B$33&lt;=6,2.5,IF(A18-'01_Run_Config'!$B$33&lt;=13,3.25,IF(A18-'01_Run_Config'!$B$33&lt;=20,3.75,IF(A18-'01_Run_Config'!$B$33&lt;=34,4,IF(A18-'01_Run_Config'!$B$33&lt;=41,3.5,IF(A18-'01_Run_Config'!$B$33&lt;=48,2.5,1.5))))))))</x:f>
        <x:v>2.5</x:v>
      </x:c>
      <x:c r="W18" s="63" t="n">
        <x:f>IF(A18&lt;=14,2.5,0)</x:f>
        <x:v>0</x:v>
      </x:c>
      <x:c r="X18" s="63" t="n">
        <x:f>IF('01_Run_Config'!$B$50="AN Sensizym",0,IF(AND(A18&gt;='01_Run_Config'!$B$32,OR(AL18="",AL18&lt;=49)),2,0))</x:f>
        <x:v>2</x:v>
      </x:c>
      <x:c r="Y18" s="63" t="n">
        <x:f>0.015</x:f>
        <x:v>0.015</x:v>
      </x:c>
      <x:c r="Z18" s="63" t="n">
        <x:f>IF('01_Run_Config'!$B$51="HESI Hesilicio",2,0)</x:f>
        <x:v>0</x:v>
      </x:c>
      <x:c r="AA18" s="63" t="n">
        <x:f>IF('01_Run_Config'!$B$48="AN Bud Candy (replaces HESI Boost)",0,IF(AND(A18&gt;='01_Run_Config'!$B$33,MOD(A18-'01_Run_Config'!$B$33,7)=0),2,0))</x:f>
        <x:v>0</x:v>
      </x:c>
      <x:c r="AB18" s="63" t="n">
        <x:f>IF('01_Run_Config'!$B$52="AN Bud Ignitor &gt; Big Bud &gt; Overdrive",0,IF(AND(ISNUMBER(AL18),AL18&gt;=29,AL18&lt;=42),0.25+((AL18-29)/13)*0.25,0))</x:f>
        <x:v>0</x:v>
      </x:c>
      <x:c r="AC18" s="63" t="n">
        <x:f>IF('01_Run_Config'!$B$46="OFF",0,IF(OR(A18='01_Run_Config'!$B$32,A18='01_Run_Config'!$B$32+7,A18='01_Run_Config'!$B$33+1,A18='01_Run_Config'!$B$33+8),2,0))</x:f>
        <x:v>0</x:v>
      </x:c>
      <x:c r="AD18" s="63" t="str">
        <x:f>IF(BG18="BLOCK","HYBRID BLOCKED - Konfiguration prüfen",IF(SUM(AC18,AT18:BF18)&gt;0,"AN aktiv: "&amp;BH18,"AN: keine Dosis heute / Module aus"))</x:f>
        <x:v>AN: keine Dosis heute / Module aus</x:v>
      </x:c>
      <x:c r="AE18" s="63" t="str">
        <x:v>Radiales LST alle 3–4 Tage</x:v>
      </x:c>
      <x:c r="AF18" s="63" t="str">
        <x:v>Morgens Klima/Pflanze/Bewässerung/Leck; Mitte Lichtphase Blattwinkel; vor Dunkel LF/Drain/stehendes Wasser.</x:v>
      </x:c>
      <x:c r="AG18" s="63" t="str">
        <x:v>EC nicht erhöhen bei steigender Diagnose-Drain-EC; PPFD nicht erhöhen bei Stress; Wasserband nie erzwingen; nie mehrere neue Booster gleichzeitig.</x:v>
      </x:c>
      <x:c r="AH18" s="35" t="str">
        <x:f>"UKD v9 evidence-guarded: Planwerte sind Ziele/Eligibility, keine automatische Freigabe. Eazy Plug/Block ist vorgepuffert; früher Basisfeed bleibt vom Propagation-/Pflanzengate abhängig. Messdaten und Safety-Gates überschreiben Kalender."</x:f>
        <x:v>UKD v9 evidence-guarded: Planwerte sind Ziele/Eligibility, keine automatische Freigabe. Eazy Plug/Block ist vorgepuffert; früher Basisfeed bleibt vom Propagation-/Pflanzengate abhängig. Messdaten und Safety-Gates überschreiben Kalender.</x:v>
      </x:c>
      <x:c r="AI18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18" s="201" t="str">
        <x:f>IF(A18&lt;'01_Run_Config'!$B$32,"—",IF(A18&lt;'01_Run_Config'!$B$33,"G"&amp;MIN(4,INT((A18-'01_Run_Config'!$B$32)/7)+1),AM18))</x:f>
        <x:v>G2</x:v>
      </x:c>
      <x:c r="AK18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18" s="60" t="str">
        <x:f>IF(A18&lt;'01_Run_Config'!$B$33,"",A18-'01_Run_Config'!$B$33+1)</x:f>
      </x:c>
      <x:c r="AM18" s="60" t="str">
        <x:f>IF(AL18="","",IF(AL18&gt;49,CHAR(66)&amp;"7+",CHAR(66)&amp;TEXT(INT((AL18-1)/7)+1,"0")))</x:f>
      </x:c>
      <x:c r="AN18" s="60" t="n">
        <x:f>ROUND(0.6108*EXP(17.27*L18/(L18+237.3))*(1-N18/100),2)</x:f>
        <x:v>1.24</x:v>
      </x:c>
      <x:c r="AO18" s="60" t="n">
        <x:f>H18*G18/1000</x:f>
        <x:v>1.35</x:v>
      </x:c>
      <x:c r="AP18" s="60" t="n">
        <x:f>SUM($AO$2:AO18)</x:f>
        <x:v>14.67</x:v>
      </x:c>
      <x:c r="AQ18" t="n">
        <x:f>'01_Run_Config'!$B$17</x:f>
        <x:v>0</x:v>
      </x:c>
      <x:c r="AR18" t="n">
        <x:f>'01_Run_Config'!$B$22</x:f>
        <x:v>0</x:v>
      </x:c>
      <x:c r="AS18" t="n">
        <x:f>'01_Run_Config'!$B$25</x:f>
        <x:v>0</x:v>
      </x:c>
      <x:c r="AT18" t="n">
        <x:f>IF(AND('01_Run_Config'!$B$46="Voodoo + Piranha + Tarantula",AC18&gt;0),2,0)</x:f>
        <x:v>0</x:v>
      </x:c>
      <x:c r="AU18" t="n">
        <x:f>IF(AND(OR('01_Run_Config'!$B$46="Voodoo + Tarantula",'01_Run_Config'!$B$46="Voodoo + Piranha + Tarantula"),AC18&gt;0),2,0)</x:f>
        <x:v>0</x:v>
      </x:c>
      <x:c r="AV18" t="n">
        <x:f>IF('01_Run_Config'!$B$47&lt;&gt;"ON / A-B",0,IF(OR(AND(A18&gt;='01_Run_Config'!$B$32,A18&lt;'01_Run_Config'!$B$33),AND(ISNUMBER(AL18),AL18&gt;=15,AL18&lt;=49)),2,0))</x:f>
        <x:v>0</x:v>
      </x:c>
      <x:c r="AW18" t="n">
        <x:f>IF('01_Run_Config'!$B$48="AN Bud Candy (replaces HESI Boost)",IF(AND(A18&gt;='01_Run_Config'!$B$32,OR(AL18="",AL18&lt;=49)),2,0),0)</x:f>
        <x:v>0</x:v>
      </x:c>
      <x:c r="AX18" t="n">
        <x:f>IF('01_Run_Config'!$B$49&lt;&gt;"ON / EXPERIMENTAL",0,IF(OR(AND(A18&gt;='01_Run_Config'!$B$32+7,A18&lt;'01_Run_Config'!$B$33),AND(ISNUMBER(AL18),AL18&gt;=1,AL18&lt;=49)),2,0))</x:f>
        <x:v>0</x:v>
      </x:c>
      <x:c r="AY18" t="n">
        <x:f>IF('01_Run_Config'!$B$50="AN Sensizym",IF(AND(A18&gt;='01_Run_Config'!$B$32,OR(AL18="",AL18&lt;=49)),2,0),0)</x:f>
        <x:v>0</x:v>
      </x:c>
      <x:c r="AZ18" t="n">
        <x:f>IF('01_Run_Config'!$B$51="AN Rhino Skin",IF(AND(A18&gt;='01_Run_Config'!$B$32,OR(AL18="",AL18&lt;=49)),2,0),0)</x:f>
        <x:v>0</x:v>
      </x:c>
      <x:c r="BA18" t="n">
        <x:f>IF(AND('01_Run_Config'!$B$52="AN Bud Ignitor &gt; Big Bud &gt; Overdrive",ISNUMBER(AL18),AL18&gt;=1,AL18&lt;=14),2,0)</x:f>
        <x:v>0</x:v>
      </x:c>
      <x:c r="BB18" t="n">
        <x:f>IF(AND('01_Run_Config'!$B$52="AN Bud Ignitor &gt; Big Bud &gt; Overdrive",ISNUMBER(AL18),AL18&gt;=8,AL18&lt;=35),2,0)</x:f>
        <x:v>0</x:v>
      </x:c>
      <x:c r="BC18" t="n">
        <x:f>IF(AND('01_Run_Config'!$B$52="AN Bud Ignitor &gt; Big Bud &gt; Overdrive",ISNUMBER(AL18),AL18&gt;=36,AL18&lt;=49),2,0)</x:f>
        <x:v>0</x:v>
      </x:c>
      <x:c r="BD18" t="n">
        <x:f>IF('01_Run_Config'!$B$53="ON / EXPERIMENTAL",IF(OR(AND(A18&gt;='01_Run_Config'!$B$32,A18&lt;'01_Run_Config'!$B$33),AND(ISNUMBER(AL18),AL18&gt;=15,AL18&lt;=49)),2,0),0)</x:f>
        <x:v>0</x:v>
      </x:c>
      <x:c r="BE18" t="n">
        <x:f>IF('01_Run_Config'!$B$54="AN Sensi CalMag Xtra conditional",'01_Run_Config'!$B$17,0)</x:f>
        <x:v>0</x:v>
      </x:c>
      <x:c r="BF18" t="n">
        <x:f>0</x:f>
        <x:v>0</x:v>
      </x:c>
      <x:c r="BG18" t="str">
        <x:f>'01_Run_Config'!$E$57</x:f>
        <x:v>OK</x:v>
      </x:c>
      <x:c r="BH18" t="str">
        <x:f>IF(SUM(AC18,AT18:BF18)=0,"keine AN-Dosis heute",IF(AC18&gt;0,"Voodoo "&amp;AC18&amp;" ml/L; ","")&amp;IF(AT18&gt;0,"Piranha "&amp;AT18&amp;" ml/L; ","")&amp;IF(AU18&gt;0,"Tarantula "&amp;AU18&amp;" ml/L; ","")&amp;IF(AV18&gt;0,"B-52 "&amp;AV18&amp;" ml/L; ","")&amp;IF(AW18&gt;0,"Bud Candy "&amp;AW18&amp;" ml/L; ","")&amp;IF(AX18&gt;0,"Bud Factor X "&amp;AX18&amp;" ml/L; ","")&amp;IF(AY18&gt;0,"Sensizym "&amp;AY18&amp;" ml/L; ","")&amp;IF(AZ18&gt;0,"Rhino Skin "&amp;AZ18&amp;" ml/L; ","")&amp;IF(BA18&gt;0,"Bud Ignitor "&amp;BA18&amp;" ml/L; ","")&amp;IF(BB18&gt;0,"Big Bud "&amp;BB18&amp;" ml/L; ","")&amp;IF(BC18&gt;0,"Overdrive "&amp;BC18&amp;" ml/L; ","")&amp;IF(BD18&gt;0,"Tasty Terpenes "&amp;BD18&amp;" ml/L; ","")&amp;IF(BE18&gt;0,"Sensi CalMag "&amp;BE18&amp;" ml/L",""))</x:f>
        <x:v>keine AN-Dosis heute</x:v>
      </x:c>
    </x:row>
    <x:row r="19">
      <x:c r="A19" s="34" t="n">
        <x:v>17</x:v>
      </x:c>
      <x:c r="B19" s="129" t="n">
        <x:f>'01_Run_Config'!$B$4+A19</x:f>
        <x:v>46259</x:v>
      </x:c>
      <x:c r="C19" s="63" t="n">
        <x:f>INT(A19/7)+1</x:f>
        <x:v>3</x:v>
      </x:c>
      <x:c r="D19" s="63" t="str">
        <x:f>"M"&amp;MIN(3,INT(A19/30)+1)</x:f>
        <x:v>M1</x:v>
      </x:c>
      <x:c r="E19" s="63" t="str">
        <x:f>IF(A19&lt;4,"Keimung",IF(A19&lt;8,"Etablierung",IF(A19&lt;15,"Early Veg",IF(A19&lt;'01_Run_Config'!$B$33,IF(A19&lt;22,"Veg / LST","Preflower-Watch"),IF(A19-'01_Run_Config'!$B$33&lt;=6,"Transition / Stretch ("&amp;AM19&amp;")",IF(A19-'01_Run_Config'!$B$33&lt;=13,"Early Flower ("&amp;AM19&amp;")",IF(A19-'01_Run_Config'!$B$33&lt;=20,"Flower I ("&amp;AM19&amp;")",IF(A19-'01_Run_Config'!$B$33&lt;=34,"Peak Flower ("&amp;AM19&amp;")",IF(A19-'01_Run_Config'!$B$33&lt;=41,"Late Flower ("&amp;AM19&amp;")",IF(A19-'01_Run_Config'!$B$33&lt;=48,"Ripening ("&amp;AM19&amp;")","Harvest / Extension ("&amp;AM19&amp;")"))))))))))</x:f>
        <x:v>Veg / LST</x:v>
      </x:c>
      <x:c r="F19" s="63" t="str">
        <x:f>IF(A19&lt;4,"Keimung + Wurzelstart",IF(A19&lt;8,"Sämling etablieren; Wurzelraum erschließen",IF(A19&lt;15,"kompakter Aufbau; LST erst bei Vitalität",IF(A19&lt;'01_Run_Config'!$B$33,"Canopy aufbauen; Preflower beobachten",IF(A19-'01_Run_Config'!$B$33&lt;=6,"Stretch kontrollieren; Bloom-Trigger dokumentieren",IF(A19-'01_Run_Config'!$B$33&lt;=13,"Blütenansatz stabilisieren",IF(A19-'01_Run_Config'!$B$33&lt;=20,"Blütenaufbau ohne neue Stressoren",IF(A19-'01_Run_Config'!$B$33&lt;=34,"stabile Peak-Photosynthese; Klima priorisieren",IF(A19-'01_Run_Config'!$B$33&lt;=41,"Qualität/Schimmelprävention",IF(A19-'01_Run_Config'!$B$33&lt;=48,"Reife ohne Überfütterung","Erntefenster nach Pflanze; keine Kalenderernte"))))))))))</x:f>
        <x:v>Canopy aufbauen; Preflower beobachten</x:v>
      </x:c>
      <x:c r="G19" s="63" t="n">
        <x:v>18</x:v>
      </x:c>
      <x:c r="H19" s="63" t="n">
        <x:v>75</x:v>
      </x:c>
      <x:c r="I19" s="63" t="n">
        <x:v>350</x:v>
      </x:c>
      <x:c r="J19" s="63" t="n">
        <x:f>I19*G19*3600/1000000</x:f>
        <x:v>22.68</x:v>
      </x:c>
      <x:c r="K19" s="63" t="n">
        <x:v>43</x:v>
      </x:c>
      <x:c r="L19" s="63" t="n">
        <x:v>25.5</x:v>
      </x:c>
      <x:c r="M19" s="63" t="n">
        <x:v>22</x:v>
      </x:c>
      <x:c r="N19" s="63" t="n">
        <x:v>62</x:v>
      </x:c>
      <x:c r="O19" s="63" t="n">
        <x:f>ROUND(0.6108*EXP(17.27*(L19+'01_Run_Config'!$B$34)/(L19+'01_Run_Config'!$B$34+237.3))-(N19/100)*0.6108*EXP(17.27*L19/(L19+237.3)),2)</x:f>
        <x:v>1.05</x:v>
      </x:c>
      <x:c r="P19" s="63" t="n">
        <x:f>IF(A19&lt;'01_Run_Config'!$B$32,0.55,IF(A19&lt;'01_Run_Config'!$B$33,IF(A19-'01_Run_Config'!$B$32&lt;=3,0.8,IF(A19-'01_Run_Config'!$B$32&lt;=10,1,IF(A19-'01_Run_Config'!$B$32&lt;=17,1.2,1.4))),IF(A19-'01_Run_Config'!$B$33&lt;=6,1.5,IF(A19-'01_Run_Config'!$B$33&lt;=13,1.6,IF(A19-'01_Run_Config'!$B$33&lt;=20,1.7,IF(A19-'01_Run_Config'!$B$33&lt;=34,1.8,IF(A19-'01_Run_Config'!$B$33&lt;=41,1.6,IF(A19-'01_Run_Config'!$B$33&lt;=48,1.4,1.15))))))))</x:f>
        <x:v>1.2</x:v>
      </x:c>
      <x:c r="Q19" s="63" t="n">
        <x:v>5.9</x:v>
      </x:c>
      <x:c r="R19" s="63" t="n">
        <x:v>0.25</x:v>
      </x:c>
      <x:c r="S19" s="63" t="n">
        <x:v>0.5</x:v>
      </x:c>
      <x:c r="T19" s="63" t="str">
        <x:f>IF(A19&lt;=7,"Manuell",'01_Run_Config'!$B$40)</x:f>
        <x:v>Manuell / indoor-freigegebene Automation</x:v>
      </x:c>
      <x:c r="U19" s="63" t="str">
        <x:f>IF(A19&lt;'01_Run_Config'!$B$32,"Kein Basisdünger",IF(A19&lt;'01_Run_Config'!$B$33,"HESI TNT","HESI Coco"))</x:f>
        <x:v>HESI TNT</x:v>
      </x:c>
      <x:c r="V19" s="63" t="n">
        <x:f>IF(A19&lt;'01_Run_Config'!$B$32,0,IF(A19&lt;'01_Run_Config'!$B$33,IF(A19-'01_Run_Config'!$B$32&lt;=3,1.25,IF(A19-'01_Run_Config'!$B$32&lt;=10,2,2.5)),IF(A19-'01_Run_Config'!$B$33&lt;=6,2.5,IF(A19-'01_Run_Config'!$B$33&lt;=13,3.25,IF(A19-'01_Run_Config'!$B$33&lt;=20,3.75,IF(A19-'01_Run_Config'!$B$33&lt;=34,4,IF(A19-'01_Run_Config'!$B$33&lt;=41,3.5,IF(A19-'01_Run_Config'!$B$33&lt;=48,2.5,1.5))))))))</x:f>
        <x:v>2.5</x:v>
      </x:c>
      <x:c r="W19" s="63" t="n">
        <x:f>IF(A19&lt;=14,2.5,0)</x:f>
        <x:v>0</x:v>
      </x:c>
      <x:c r="X19" s="63" t="n">
        <x:f>IF('01_Run_Config'!$B$50="AN Sensizym",0,IF(AND(A19&gt;='01_Run_Config'!$B$32,OR(AL19="",AL19&lt;=49)),2,0))</x:f>
        <x:v>2</x:v>
      </x:c>
      <x:c r="Y19" s="63" t="n">
        <x:f>0.015</x:f>
        <x:v>0.015</x:v>
      </x:c>
      <x:c r="Z19" s="63" t="n">
        <x:f>IF('01_Run_Config'!$B$51="HESI Hesilicio",2,0)</x:f>
        <x:v>0</x:v>
      </x:c>
      <x:c r="AA19" s="63" t="n">
        <x:f>IF('01_Run_Config'!$B$48="AN Bud Candy (replaces HESI Boost)",0,IF(AND(A19&gt;='01_Run_Config'!$B$33,MOD(A19-'01_Run_Config'!$B$33,7)=0),2,0))</x:f>
        <x:v>0</x:v>
      </x:c>
      <x:c r="AB19" s="63" t="n">
        <x:f>IF('01_Run_Config'!$B$52="AN Bud Ignitor &gt; Big Bud &gt; Overdrive",0,IF(AND(ISNUMBER(AL19),AL19&gt;=29,AL19&lt;=42),0.25+((AL19-29)/13)*0.25,0))</x:f>
        <x:v>0</x:v>
      </x:c>
      <x:c r="AC19" s="63" t="n">
        <x:f>IF('01_Run_Config'!$B$46="OFF",0,IF(OR(A19='01_Run_Config'!$B$32,A19='01_Run_Config'!$B$32+7,A19='01_Run_Config'!$B$33+1,A19='01_Run_Config'!$B$33+8),2,0))</x:f>
        <x:v>0</x:v>
      </x:c>
      <x:c r="AD19" s="63" t="str">
        <x:f>IF(BG19="BLOCK","HYBRID BLOCKED - Konfiguration prüfen",IF(SUM(AC19,AT19:BF19)&gt;0,"AN aktiv: "&amp;BH19,"AN: keine Dosis heute / Module aus"))</x:f>
        <x:v>AN: keine Dosis heute / Module aus</x:v>
      </x:c>
      <x:c r="AE19" s="63" t="str">
        <x:v>Radiales LST alle 3–4 Tage</x:v>
      </x:c>
      <x:c r="AF19" s="63" t="str">
        <x:v>Morgens Klima/Pflanze/Bewässerung/Leck; Mitte Lichtphase Blattwinkel; vor Dunkel LF/Drain/stehendes Wasser.</x:v>
      </x:c>
      <x:c r="AG19" s="63" t="str">
        <x:v>EC nicht erhöhen bei steigender Diagnose-Drain-EC; PPFD nicht erhöhen bei Stress; Wasserband nie erzwingen; nie mehrere neue Booster gleichzeitig.</x:v>
      </x:c>
      <x:c r="AH19" s="35" t="str">
        <x:f>"UKD v9 evidence-guarded: Planwerte sind Ziele/Eligibility, keine automatische Freigabe. Eazy Plug/Block ist vorgepuffert; früher Basisfeed bleibt vom Propagation-/Pflanzengate abhängig. Messdaten und Safety-Gates überschreiben Kalender."</x:f>
        <x:v>UKD v9 evidence-guarded: Planwerte sind Ziele/Eligibility, keine automatische Freigabe. Eazy Plug/Block ist vorgepuffert; früher Basisfeed bleibt vom Propagation-/Pflanzengate abhängig. Messdaten und Safety-Gates überschreiben Kalender.</x:v>
      </x:c>
      <x:c r="AI19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19" s="201" t="str">
        <x:f>IF(A19&lt;'01_Run_Config'!$B$32,"—",IF(A19&lt;'01_Run_Config'!$B$33,"G"&amp;MIN(4,INT((A19-'01_Run_Config'!$B$32)/7)+1),AM19))</x:f>
        <x:v>G2</x:v>
      </x:c>
      <x:c r="AK19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19" s="60" t="str">
        <x:f>IF(A19&lt;'01_Run_Config'!$B$33,"",A19-'01_Run_Config'!$B$33+1)</x:f>
      </x:c>
      <x:c r="AM19" s="60" t="str">
        <x:f>IF(AL19="","",IF(AL19&gt;49,CHAR(66)&amp;"7+",CHAR(66)&amp;TEXT(INT((AL19-1)/7)+1,"0")))</x:f>
      </x:c>
      <x:c r="AN19" s="60" t="n">
        <x:f>ROUND(0.6108*EXP(17.27*L19/(L19+237.3))*(1-N19/100),2)</x:f>
        <x:v>1.24</x:v>
      </x:c>
      <x:c r="AO19" s="60" t="n">
        <x:f>H19*G19/1000</x:f>
        <x:v>1.35</x:v>
      </x:c>
      <x:c r="AP19" s="60" t="n">
        <x:f>SUM($AO$2:AO19)</x:f>
        <x:v>16.02</x:v>
      </x:c>
      <x:c r="AQ19" t="n">
        <x:f>'01_Run_Config'!$B$17</x:f>
        <x:v>0</x:v>
      </x:c>
      <x:c r="AR19" t="n">
        <x:f>'01_Run_Config'!$B$22</x:f>
        <x:v>0</x:v>
      </x:c>
      <x:c r="AS19" t="n">
        <x:f>'01_Run_Config'!$B$25</x:f>
        <x:v>0</x:v>
      </x:c>
      <x:c r="AT19" t="n">
        <x:f>IF(AND('01_Run_Config'!$B$46="Voodoo + Piranha + Tarantula",AC19&gt;0),2,0)</x:f>
        <x:v>0</x:v>
      </x:c>
      <x:c r="AU19" t="n">
        <x:f>IF(AND(OR('01_Run_Config'!$B$46="Voodoo + Tarantula",'01_Run_Config'!$B$46="Voodoo + Piranha + Tarantula"),AC19&gt;0),2,0)</x:f>
        <x:v>0</x:v>
      </x:c>
      <x:c r="AV19" t="n">
        <x:f>IF('01_Run_Config'!$B$47&lt;&gt;"ON / A-B",0,IF(OR(AND(A19&gt;='01_Run_Config'!$B$32,A19&lt;'01_Run_Config'!$B$33),AND(ISNUMBER(AL19),AL19&gt;=15,AL19&lt;=49)),2,0))</x:f>
        <x:v>0</x:v>
      </x:c>
      <x:c r="AW19" t="n">
        <x:f>IF('01_Run_Config'!$B$48="AN Bud Candy (replaces HESI Boost)",IF(AND(A19&gt;='01_Run_Config'!$B$32,OR(AL19="",AL19&lt;=49)),2,0),0)</x:f>
        <x:v>0</x:v>
      </x:c>
      <x:c r="AX19" t="n">
        <x:f>IF('01_Run_Config'!$B$49&lt;&gt;"ON / EXPERIMENTAL",0,IF(OR(AND(A19&gt;='01_Run_Config'!$B$32+7,A19&lt;'01_Run_Config'!$B$33),AND(ISNUMBER(AL19),AL19&gt;=1,AL19&lt;=49)),2,0))</x:f>
        <x:v>0</x:v>
      </x:c>
      <x:c r="AY19" t="n">
        <x:f>IF('01_Run_Config'!$B$50="AN Sensizym",IF(AND(A19&gt;='01_Run_Config'!$B$32,OR(AL19="",AL19&lt;=49)),2,0),0)</x:f>
        <x:v>0</x:v>
      </x:c>
      <x:c r="AZ19" t="n">
        <x:f>IF('01_Run_Config'!$B$51="AN Rhino Skin",IF(AND(A19&gt;='01_Run_Config'!$B$32,OR(AL19="",AL19&lt;=49)),2,0),0)</x:f>
        <x:v>0</x:v>
      </x:c>
      <x:c r="BA19" t="n">
        <x:f>IF(AND('01_Run_Config'!$B$52="AN Bud Ignitor &gt; Big Bud &gt; Overdrive",ISNUMBER(AL19),AL19&gt;=1,AL19&lt;=14),2,0)</x:f>
        <x:v>0</x:v>
      </x:c>
      <x:c r="BB19" t="n">
        <x:f>IF(AND('01_Run_Config'!$B$52="AN Bud Ignitor &gt; Big Bud &gt; Overdrive",ISNUMBER(AL19),AL19&gt;=8,AL19&lt;=35),2,0)</x:f>
        <x:v>0</x:v>
      </x:c>
      <x:c r="BC19" t="n">
        <x:f>IF(AND('01_Run_Config'!$B$52="AN Bud Ignitor &gt; Big Bud &gt; Overdrive",ISNUMBER(AL19),AL19&gt;=36,AL19&lt;=49),2,0)</x:f>
        <x:v>0</x:v>
      </x:c>
      <x:c r="BD19" t="n">
        <x:f>IF('01_Run_Config'!$B$53="ON / EXPERIMENTAL",IF(OR(AND(A19&gt;='01_Run_Config'!$B$32,A19&lt;'01_Run_Config'!$B$33),AND(ISNUMBER(AL19),AL19&gt;=15,AL19&lt;=49)),2,0),0)</x:f>
        <x:v>0</x:v>
      </x:c>
      <x:c r="BE19" t="n">
        <x:f>IF('01_Run_Config'!$B$54="AN Sensi CalMag Xtra conditional",'01_Run_Config'!$B$17,0)</x:f>
        <x:v>0</x:v>
      </x:c>
      <x:c r="BF19" t="n">
        <x:f>0</x:f>
        <x:v>0</x:v>
      </x:c>
      <x:c r="BG19" t="str">
        <x:f>'01_Run_Config'!$E$57</x:f>
        <x:v>OK</x:v>
      </x:c>
      <x:c r="BH19" t="str">
        <x:f>IF(SUM(AC19,AT19:BF19)=0,"keine AN-Dosis heute",IF(AC19&gt;0,"Voodoo "&amp;AC19&amp;" ml/L; ","")&amp;IF(AT19&gt;0,"Piranha "&amp;AT19&amp;" ml/L; ","")&amp;IF(AU19&gt;0,"Tarantula "&amp;AU19&amp;" ml/L; ","")&amp;IF(AV19&gt;0,"B-52 "&amp;AV19&amp;" ml/L; ","")&amp;IF(AW19&gt;0,"Bud Candy "&amp;AW19&amp;" ml/L; ","")&amp;IF(AX19&gt;0,"Bud Factor X "&amp;AX19&amp;" ml/L; ","")&amp;IF(AY19&gt;0,"Sensizym "&amp;AY19&amp;" ml/L; ","")&amp;IF(AZ19&gt;0,"Rhino Skin "&amp;AZ19&amp;" ml/L; ","")&amp;IF(BA19&gt;0,"Bud Ignitor "&amp;BA19&amp;" ml/L; ","")&amp;IF(BB19&gt;0,"Big Bud "&amp;BB19&amp;" ml/L; ","")&amp;IF(BC19&gt;0,"Overdrive "&amp;BC19&amp;" ml/L; ","")&amp;IF(BD19&gt;0,"Tasty Terpenes "&amp;BD19&amp;" ml/L; ","")&amp;IF(BE19&gt;0,"Sensi CalMag "&amp;BE19&amp;" ml/L",""))</x:f>
        <x:v>keine AN-Dosis heute</x:v>
      </x:c>
    </x:row>
    <x:row r="20">
      <x:c r="A20" s="34" t="n">
        <x:v>18</x:v>
      </x:c>
      <x:c r="B20" s="129" t="n">
        <x:f>'01_Run_Config'!$B$4+A20</x:f>
        <x:v>46260</x:v>
      </x:c>
      <x:c r="C20" s="63" t="n">
        <x:f>INT(A20/7)+1</x:f>
        <x:v>3</x:v>
      </x:c>
      <x:c r="D20" s="63" t="str">
        <x:f>"M"&amp;MIN(3,INT(A20/30)+1)</x:f>
        <x:v>M1</x:v>
      </x:c>
      <x:c r="E20" s="63" t="str">
        <x:f>IF(A20&lt;4,"Keimung",IF(A20&lt;8,"Etablierung",IF(A20&lt;15,"Early Veg",IF(A20&lt;'01_Run_Config'!$B$33,IF(A20&lt;22,"Veg / LST","Preflower-Watch"),IF(A20-'01_Run_Config'!$B$33&lt;=6,"Transition / Stretch ("&amp;AM20&amp;")",IF(A20-'01_Run_Config'!$B$33&lt;=13,"Early Flower ("&amp;AM20&amp;")",IF(A20-'01_Run_Config'!$B$33&lt;=20,"Flower I ("&amp;AM20&amp;")",IF(A20-'01_Run_Config'!$B$33&lt;=34,"Peak Flower ("&amp;AM20&amp;")",IF(A20-'01_Run_Config'!$B$33&lt;=41,"Late Flower ("&amp;AM20&amp;")",IF(A20-'01_Run_Config'!$B$33&lt;=48,"Ripening ("&amp;AM20&amp;")","Harvest / Extension ("&amp;AM20&amp;")"))))))))))</x:f>
        <x:v>Veg / LST</x:v>
      </x:c>
      <x:c r="F20" s="63" t="str">
        <x:f>IF(A20&lt;4,"Keimung + Wurzelstart",IF(A20&lt;8,"Sämling etablieren; Wurzelraum erschließen",IF(A20&lt;15,"kompakter Aufbau; LST erst bei Vitalität",IF(A20&lt;'01_Run_Config'!$B$33,"Canopy aufbauen; Preflower beobachten",IF(A20-'01_Run_Config'!$B$33&lt;=6,"Stretch kontrollieren; Bloom-Trigger dokumentieren",IF(A20-'01_Run_Config'!$B$33&lt;=13,"Blütenansatz stabilisieren",IF(A20-'01_Run_Config'!$B$33&lt;=20,"Blütenaufbau ohne neue Stressoren",IF(A20-'01_Run_Config'!$B$33&lt;=34,"stabile Peak-Photosynthese; Klima priorisieren",IF(A20-'01_Run_Config'!$B$33&lt;=41,"Qualität/Schimmelprävention",IF(A20-'01_Run_Config'!$B$33&lt;=48,"Reife ohne Überfütterung","Erntefenster nach Pflanze; keine Kalenderernte"))))))))))</x:f>
        <x:v>Canopy aufbauen; Preflower beobachten</x:v>
      </x:c>
      <x:c r="G20" s="63" t="n">
        <x:v>18</x:v>
      </x:c>
      <x:c r="H20" s="63" t="n">
        <x:v>75</x:v>
      </x:c>
      <x:c r="I20" s="63" t="n">
        <x:v>350</x:v>
      </x:c>
      <x:c r="J20" s="63" t="n">
        <x:f>I20*G20*3600/1000000</x:f>
        <x:v>22.68</x:v>
      </x:c>
      <x:c r="K20" s="63" t="n">
        <x:v>43</x:v>
      </x:c>
      <x:c r="L20" s="63" t="n">
        <x:v>25.5</x:v>
      </x:c>
      <x:c r="M20" s="63" t="n">
        <x:v>22</x:v>
      </x:c>
      <x:c r="N20" s="63" t="n">
        <x:v>62</x:v>
      </x:c>
      <x:c r="O20" s="63" t="n">
        <x:f>ROUND(0.6108*EXP(17.27*(L20+'01_Run_Config'!$B$34)/(L20+'01_Run_Config'!$B$34+237.3))-(N20/100)*0.6108*EXP(17.27*L20/(L20+237.3)),2)</x:f>
        <x:v>1.05</x:v>
      </x:c>
      <x:c r="P20" s="63" t="n">
        <x:f>IF(A20&lt;'01_Run_Config'!$B$32,0.55,IF(A20&lt;'01_Run_Config'!$B$33,IF(A20-'01_Run_Config'!$B$32&lt;=3,0.8,IF(A20-'01_Run_Config'!$B$32&lt;=10,1,IF(A20-'01_Run_Config'!$B$32&lt;=17,1.2,1.4))),IF(A20-'01_Run_Config'!$B$33&lt;=6,1.5,IF(A20-'01_Run_Config'!$B$33&lt;=13,1.6,IF(A20-'01_Run_Config'!$B$33&lt;=20,1.7,IF(A20-'01_Run_Config'!$B$33&lt;=34,1.8,IF(A20-'01_Run_Config'!$B$33&lt;=41,1.6,IF(A20-'01_Run_Config'!$B$33&lt;=48,1.4,1.15))))))))</x:f>
        <x:v>1.2</x:v>
      </x:c>
      <x:c r="Q20" s="63" t="n">
        <x:v>5.9</x:v>
      </x:c>
      <x:c r="R20" s="63" t="n">
        <x:v>0.25</x:v>
      </x:c>
      <x:c r="S20" s="63" t="n">
        <x:v>0.5</x:v>
      </x:c>
      <x:c r="T20" s="63" t="str">
        <x:f>IF(A20&lt;=7,"Manuell",'01_Run_Config'!$B$40)</x:f>
        <x:v>Manuell / indoor-freigegebene Automation</x:v>
      </x:c>
      <x:c r="U20" s="63" t="str">
        <x:f>IF(A20&lt;'01_Run_Config'!$B$32,"Kein Basisdünger",IF(A20&lt;'01_Run_Config'!$B$33,"HESI TNT","HESI Coco"))</x:f>
        <x:v>HESI TNT</x:v>
      </x:c>
      <x:c r="V20" s="63" t="n">
        <x:f>IF(A20&lt;'01_Run_Config'!$B$32,0,IF(A20&lt;'01_Run_Config'!$B$33,IF(A20-'01_Run_Config'!$B$32&lt;=3,1.25,IF(A20-'01_Run_Config'!$B$32&lt;=10,2,2.5)),IF(A20-'01_Run_Config'!$B$33&lt;=6,2.5,IF(A20-'01_Run_Config'!$B$33&lt;=13,3.25,IF(A20-'01_Run_Config'!$B$33&lt;=20,3.75,IF(A20-'01_Run_Config'!$B$33&lt;=34,4,IF(A20-'01_Run_Config'!$B$33&lt;=41,3.5,IF(A20-'01_Run_Config'!$B$33&lt;=48,2.5,1.5))))))))</x:f>
        <x:v>2.5</x:v>
      </x:c>
      <x:c r="W20" s="63" t="n">
        <x:f>IF(A20&lt;=14,2.5,0)</x:f>
        <x:v>0</x:v>
      </x:c>
      <x:c r="X20" s="63" t="n">
        <x:f>IF('01_Run_Config'!$B$50="AN Sensizym",0,IF(AND(A20&gt;='01_Run_Config'!$B$32,OR(AL20="",AL20&lt;=49)),2,0))</x:f>
        <x:v>2</x:v>
      </x:c>
      <x:c r="Y20" s="63" t="n">
        <x:f>0.015</x:f>
        <x:v>0.015</x:v>
      </x:c>
      <x:c r="Z20" s="63" t="n">
        <x:f>IF('01_Run_Config'!$B$51="HESI Hesilicio",2,0)</x:f>
        <x:v>0</x:v>
      </x:c>
      <x:c r="AA20" s="63" t="n">
        <x:f>IF('01_Run_Config'!$B$48="AN Bud Candy (replaces HESI Boost)",0,IF(AND(A20&gt;='01_Run_Config'!$B$33,MOD(A20-'01_Run_Config'!$B$33,7)=0),2,0))</x:f>
        <x:v>0</x:v>
      </x:c>
      <x:c r="AB20" s="63" t="n">
        <x:f>IF('01_Run_Config'!$B$52="AN Bud Ignitor &gt; Big Bud &gt; Overdrive",0,IF(AND(ISNUMBER(AL20),AL20&gt;=29,AL20&lt;=42),0.25+((AL20-29)/13)*0.25,0))</x:f>
        <x:v>0</x:v>
      </x:c>
      <x:c r="AC20" s="63" t="n">
        <x:f>IF('01_Run_Config'!$B$46="OFF",0,IF(OR(A20='01_Run_Config'!$B$32,A20='01_Run_Config'!$B$32+7,A20='01_Run_Config'!$B$33+1,A20='01_Run_Config'!$B$33+8),2,0))</x:f>
        <x:v>0</x:v>
      </x:c>
      <x:c r="AD20" s="63" t="str">
        <x:f>IF(BG20="BLOCK","HYBRID BLOCKED - Konfiguration prüfen",IF(SUM(AC20,AT20:BF20)&gt;0,"AN aktiv: "&amp;BH20,"AN: keine Dosis heute / Module aus"))</x:f>
        <x:v>AN: keine Dosis heute / Module aus</x:v>
      </x:c>
      <x:c r="AE20" s="63" t="str">
        <x:v>Radiales LST alle 3–4 Tage</x:v>
      </x:c>
      <x:c r="AF20" s="63" t="str">
        <x:v>Morgens Klima/Pflanze/Bewässerung/Leck; Mitte Lichtphase Blattwinkel; vor Dunkel LF/Drain/stehendes Wasser.</x:v>
      </x:c>
      <x:c r="AG20" s="63" t="str">
        <x:v>EC nicht erhöhen bei steigender Diagnose-Drain-EC; PPFD nicht erhöhen bei Stress; Wasserband nie erzwingen; nie mehrere neue Booster gleichzeitig.</x:v>
      </x:c>
      <x:c r="AH20" s="35" t="str">
        <x:f>"UKD v9 evidence-guarded: Planwerte sind Ziele/Eligibility, keine automatische Freigabe. Eazy Plug/Block ist vorgepuffert; früher Basisfeed bleibt vom Propagation-/Pflanzengate abhängig. Messdaten und Safety-Gates überschreiben Kalender."</x:f>
        <x:v>UKD v9 evidence-guarded: Planwerte sind Ziele/Eligibility, keine automatische Freigabe. Eazy Plug/Block ist vorgepuffert; früher Basisfeed bleibt vom Propagation-/Pflanzengate abhängig. Messdaten und Safety-Gates überschreiben Kalender.</x:v>
      </x:c>
      <x:c r="AI20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20" s="201" t="str">
        <x:f>IF(A20&lt;'01_Run_Config'!$B$32,"—",IF(A20&lt;'01_Run_Config'!$B$33,"G"&amp;MIN(4,INT((A20-'01_Run_Config'!$B$32)/7)+1),AM20))</x:f>
        <x:v>G3</x:v>
      </x:c>
      <x:c r="AK20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20" s="60" t="str">
        <x:f>IF(A20&lt;'01_Run_Config'!$B$33,"",A20-'01_Run_Config'!$B$33+1)</x:f>
      </x:c>
      <x:c r="AM20" s="60" t="str">
        <x:f>IF(AL20="","",IF(AL20&gt;49,CHAR(66)&amp;"7+",CHAR(66)&amp;TEXT(INT((AL20-1)/7)+1,"0")))</x:f>
      </x:c>
      <x:c r="AN20" s="60" t="n">
        <x:f>ROUND(0.6108*EXP(17.27*L20/(L20+237.3))*(1-N20/100),2)</x:f>
        <x:v>1.24</x:v>
      </x:c>
      <x:c r="AO20" s="60" t="n">
        <x:f>H20*G20/1000</x:f>
        <x:v>1.35</x:v>
      </x:c>
      <x:c r="AP20" s="60" t="n">
        <x:f>SUM($AO$2:AO20)</x:f>
        <x:v>17.37</x:v>
      </x:c>
      <x:c r="AQ20" t="n">
        <x:f>'01_Run_Config'!$B$17</x:f>
        <x:v>0</x:v>
      </x:c>
      <x:c r="AR20" t="n">
        <x:f>'01_Run_Config'!$B$22</x:f>
        <x:v>0</x:v>
      </x:c>
      <x:c r="AS20" t="n">
        <x:f>'01_Run_Config'!$B$25</x:f>
        <x:v>0</x:v>
      </x:c>
      <x:c r="AT20" t="n">
        <x:f>IF(AND('01_Run_Config'!$B$46="Voodoo + Piranha + Tarantula",AC20&gt;0),2,0)</x:f>
        <x:v>0</x:v>
      </x:c>
      <x:c r="AU20" t="n">
        <x:f>IF(AND(OR('01_Run_Config'!$B$46="Voodoo + Tarantula",'01_Run_Config'!$B$46="Voodoo + Piranha + Tarantula"),AC20&gt;0),2,0)</x:f>
        <x:v>0</x:v>
      </x:c>
      <x:c r="AV20" t="n">
        <x:f>IF('01_Run_Config'!$B$47&lt;&gt;"ON / A-B",0,IF(OR(AND(A20&gt;='01_Run_Config'!$B$32,A20&lt;'01_Run_Config'!$B$33),AND(ISNUMBER(AL20),AL20&gt;=15,AL20&lt;=49)),2,0))</x:f>
        <x:v>0</x:v>
      </x:c>
      <x:c r="AW20" t="n">
        <x:f>IF('01_Run_Config'!$B$48="AN Bud Candy (replaces HESI Boost)",IF(AND(A20&gt;='01_Run_Config'!$B$32,OR(AL20="",AL20&lt;=49)),2,0),0)</x:f>
        <x:v>0</x:v>
      </x:c>
      <x:c r="AX20" t="n">
        <x:f>IF('01_Run_Config'!$B$49&lt;&gt;"ON / EXPERIMENTAL",0,IF(OR(AND(A20&gt;='01_Run_Config'!$B$32+7,A20&lt;'01_Run_Config'!$B$33),AND(ISNUMBER(AL20),AL20&gt;=1,AL20&lt;=49)),2,0))</x:f>
        <x:v>0</x:v>
      </x:c>
      <x:c r="AY20" t="n">
        <x:f>IF('01_Run_Config'!$B$50="AN Sensizym",IF(AND(A20&gt;='01_Run_Config'!$B$32,OR(AL20="",AL20&lt;=49)),2,0),0)</x:f>
        <x:v>0</x:v>
      </x:c>
      <x:c r="AZ20" t="n">
        <x:f>IF('01_Run_Config'!$B$51="AN Rhino Skin",IF(AND(A20&gt;='01_Run_Config'!$B$32,OR(AL20="",AL20&lt;=49)),2,0),0)</x:f>
        <x:v>0</x:v>
      </x:c>
      <x:c r="BA20" t="n">
        <x:f>IF(AND('01_Run_Config'!$B$52="AN Bud Ignitor &gt; Big Bud &gt; Overdrive",ISNUMBER(AL20),AL20&gt;=1,AL20&lt;=14),2,0)</x:f>
        <x:v>0</x:v>
      </x:c>
      <x:c r="BB20" t="n">
        <x:f>IF(AND('01_Run_Config'!$B$52="AN Bud Ignitor &gt; Big Bud &gt; Overdrive",ISNUMBER(AL20),AL20&gt;=8,AL20&lt;=35),2,0)</x:f>
        <x:v>0</x:v>
      </x:c>
      <x:c r="BC20" t="n">
        <x:f>IF(AND('01_Run_Config'!$B$52="AN Bud Ignitor &gt; Big Bud &gt; Overdrive",ISNUMBER(AL20),AL20&gt;=36,AL20&lt;=49),2,0)</x:f>
        <x:v>0</x:v>
      </x:c>
      <x:c r="BD20" t="n">
        <x:f>IF('01_Run_Config'!$B$53="ON / EXPERIMENTAL",IF(OR(AND(A20&gt;='01_Run_Config'!$B$32,A20&lt;'01_Run_Config'!$B$33),AND(ISNUMBER(AL20),AL20&gt;=15,AL20&lt;=49)),2,0),0)</x:f>
        <x:v>0</x:v>
      </x:c>
      <x:c r="BE20" t="n">
        <x:f>IF('01_Run_Config'!$B$54="AN Sensi CalMag Xtra conditional",'01_Run_Config'!$B$17,0)</x:f>
        <x:v>0</x:v>
      </x:c>
      <x:c r="BF20" t="n">
        <x:f>0</x:f>
        <x:v>0</x:v>
      </x:c>
      <x:c r="BG20" t="str">
        <x:f>'01_Run_Config'!$E$57</x:f>
        <x:v>OK</x:v>
      </x:c>
      <x:c r="BH20" t="str">
        <x:f>IF(SUM(AC20,AT20:BF20)=0,"keine AN-Dosis heute",IF(AC20&gt;0,"Voodoo "&amp;AC20&amp;" ml/L; ","")&amp;IF(AT20&gt;0,"Piranha "&amp;AT20&amp;" ml/L; ","")&amp;IF(AU20&gt;0,"Tarantula "&amp;AU20&amp;" ml/L; ","")&amp;IF(AV20&gt;0,"B-52 "&amp;AV20&amp;" ml/L; ","")&amp;IF(AW20&gt;0,"Bud Candy "&amp;AW20&amp;" ml/L; ","")&amp;IF(AX20&gt;0,"Bud Factor X "&amp;AX20&amp;" ml/L; ","")&amp;IF(AY20&gt;0,"Sensizym "&amp;AY20&amp;" ml/L; ","")&amp;IF(AZ20&gt;0,"Rhino Skin "&amp;AZ20&amp;" ml/L; ","")&amp;IF(BA20&gt;0,"Bud Ignitor "&amp;BA20&amp;" ml/L; ","")&amp;IF(BB20&gt;0,"Big Bud "&amp;BB20&amp;" ml/L; ","")&amp;IF(BC20&gt;0,"Overdrive "&amp;BC20&amp;" ml/L; ","")&amp;IF(BD20&gt;0,"Tasty Terpenes "&amp;BD20&amp;" ml/L; ","")&amp;IF(BE20&gt;0,"Sensi CalMag "&amp;BE20&amp;" ml/L",""))</x:f>
        <x:v>keine AN-Dosis heute</x:v>
      </x:c>
    </x:row>
    <x:row r="21">
      <x:c r="A21" s="34" t="n">
        <x:v>19</x:v>
      </x:c>
      <x:c r="B21" s="129" t="n">
        <x:f>'01_Run_Config'!$B$4+A21</x:f>
        <x:v>46261</x:v>
      </x:c>
      <x:c r="C21" s="63" t="n">
        <x:f>INT(A21/7)+1</x:f>
        <x:v>3</x:v>
      </x:c>
      <x:c r="D21" s="63" t="str">
        <x:f>"M"&amp;MIN(3,INT(A21/30)+1)</x:f>
        <x:v>M1</x:v>
      </x:c>
      <x:c r="E21" s="63" t="str">
        <x:f>IF(A21&lt;4,"Keimung",IF(A21&lt;8,"Etablierung",IF(A21&lt;15,"Early Veg",IF(A21&lt;'01_Run_Config'!$B$33,IF(A21&lt;22,"Veg / LST","Preflower-Watch"),IF(A21-'01_Run_Config'!$B$33&lt;=6,"Transition / Stretch ("&amp;AM21&amp;")",IF(A21-'01_Run_Config'!$B$33&lt;=13,"Early Flower ("&amp;AM21&amp;")",IF(A21-'01_Run_Config'!$B$33&lt;=20,"Flower I ("&amp;AM21&amp;")",IF(A21-'01_Run_Config'!$B$33&lt;=34,"Peak Flower ("&amp;AM21&amp;")",IF(A21-'01_Run_Config'!$B$33&lt;=41,"Late Flower ("&amp;AM21&amp;")",IF(A21-'01_Run_Config'!$B$33&lt;=48,"Ripening ("&amp;AM21&amp;")","Harvest / Extension ("&amp;AM21&amp;")"))))))))))</x:f>
        <x:v>Veg / LST</x:v>
      </x:c>
      <x:c r="F21" s="63" t="str">
        <x:f>IF(A21&lt;4,"Keimung + Wurzelstart",IF(A21&lt;8,"Sämling etablieren; Wurzelraum erschließen",IF(A21&lt;15,"kompakter Aufbau; LST erst bei Vitalität",IF(A21&lt;'01_Run_Config'!$B$33,"Canopy aufbauen; Preflower beobachten",IF(A21-'01_Run_Config'!$B$33&lt;=6,"Stretch kontrollieren; Bloom-Trigger dokumentieren",IF(A21-'01_Run_Config'!$B$33&lt;=13,"Blütenansatz stabilisieren",IF(A21-'01_Run_Config'!$B$33&lt;=20,"Blütenaufbau ohne neue Stressoren",IF(A21-'01_Run_Config'!$B$33&lt;=34,"stabile Peak-Photosynthese; Klima priorisieren",IF(A21-'01_Run_Config'!$B$33&lt;=41,"Qualität/Schimmelprävention",IF(A21-'01_Run_Config'!$B$33&lt;=48,"Reife ohne Überfütterung","Erntefenster nach Pflanze; keine Kalenderernte"))))))))))</x:f>
        <x:v>Canopy aufbauen; Preflower beobachten</x:v>
      </x:c>
      <x:c r="G21" s="63" t="n">
        <x:v>18</x:v>
      </x:c>
      <x:c r="H21" s="63" t="n">
        <x:v>75</x:v>
      </x:c>
      <x:c r="I21" s="63" t="n">
        <x:v>350</x:v>
      </x:c>
      <x:c r="J21" s="63" t="n">
        <x:f>I21*G21*3600/1000000</x:f>
        <x:v>22.68</x:v>
      </x:c>
      <x:c r="K21" s="63" t="n">
        <x:v>43</x:v>
      </x:c>
      <x:c r="L21" s="63" t="n">
        <x:v>25.5</x:v>
      </x:c>
      <x:c r="M21" s="63" t="n">
        <x:v>22</x:v>
      </x:c>
      <x:c r="N21" s="63" t="n">
        <x:v>62</x:v>
      </x:c>
      <x:c r="O21" s="63" t="n">
        <x:f>ROUND(0.6108*EXP(17.27*(L21+'01_Run_Config'!$B$34)/(L21+'01_Run_Config'!$B$34+237.3))-(N21/100)*0.6108*EXP(17.27*L21/(L21+237.3)),2)</x:f>
        <x:v>1.05</x:v>
      </x:c>
      <x:c r="P21" s="63" t="n">
        <x:f>IF(A21&lt;'01_Run_Config'!$B$32,0.55,IF(A21&lt;'01_Run_Config'!$B$33,IF(A21-'01_Run_Config'!$B$32&lt;=3,0.8,IF(A21-'01_Run_Config'!$B$32&lt;=10,1,IF(A21-'01_Run_Config'!$B$32&lt;=17,1.2,1.4))),IF(A21-'01_Run_Config'!$B$33&lt;=6,1.5,IF(A21-'01_Run_Config'!$B$33&lt;=13,1.6,IF(A21-'01_Run_Config'!$B$33&lt;=20,1.7,IF(A21-'01_Run_Config'!$B$33&lt;=34,1.8,IF(A21-'01_Run_Config'!$B$33&lt;=41,1.6,IF(A21-'01_Run_Config'!$B$33&lt;=48,1.4,1.15))))))))</x:f>
        <x:v>1.2</x:v>
      </x:c>
      <x:c r="Q21" s="63" t="n">
        <x:v>5.9</x:v>
      </x:c>
      <x:c r="R21" s="63" t="n">
        <x:v>0.25</x:v>
      </x:c>
      <x:c r="S21" s="63" t="n">
        <x:v>0.5</x:v>
      </x:c>
      <x:c r="T21" s="63" t="str">
        <x:f>IF(A21&lt;=7,"Manuell",'01_Run_Config'!$B$40)</x:f>
        <x:v>Manuell / indoor-freigegebene Automation</x:v>
      </x:c>
      <x:c r="U21" s="63" t="str">
        <x:f>IF(A21&lt;'01_Run_Config'!$B$32,"Kein Basisdünger",IF(A21&lt;'01_Run_Config'!$B$33,"HESI TNT","HESI Coco"))</x:f>
        <x:v>HESI TNT</x:v>
      </x:c>
      <x:c r="V21" s="63" t="n">
        <x:f>IF(A21&lt;'01_Run_Config'!$B$32,0,IF(A21&lt;'01_Run_Config'!$B$33,IF(A21-'01_Run_Config'!$B$32&lt;=3,1.25,IF(A21-'01_Run_Config'!$B$32&lt;=10,2,2.5)),IF(A21-'01_Run_Config'!$B$33&lt;=6,2.5,IF(A21-'01_Run_Config'!$B$33&lt;=13,3.25,IF(A21-'01_Run_Config'!$B$33&lt;=20,3.75,IF(A21-'01_Run_Config'!$B$33&lt;=34,4,IF(A21-'01_Run_Config'!$B$33&lt;=41,3.5,IF(A21-'01_Run_Config'!$B$33&lt;=48,2.5,1.5))))))))</x:f>
        <x:v>2.5</x:v>
      </x:c>
      <x:c r="W21" s="63" t="n">
        <x:f>IF(A21&lt;=14,2.5,0)</x:f>
        <x:v>0</x:v>
      </x:c>
      <x:c r="X21" s="63" t="n">
        <x:f>IF('01_Run_Config'!$B$50="AN Sensizym",0,IF(AND(A21&gt;='01_Run_Config'!$B$32,OR(AL21="",AL21&lt;=49)),2,0))</x:f>
        <x:v>2</x:v>
      </x:c>
      <x:c r="Y21" s="63" t="n">
        <x:f>0.015</x:f>
        <x:v>0.015</x:v>
      </x:c>
      <x:c r="Z21" s="63" t="n">
        <x:f>IF('01_Run_Config'!$B$51="HESI Hesilicio",2,0)</x:f>
        <x:v>0</x:v>
      </x:c>
      <x:c r="AA21" s="63" t="n">
        <x:f>IF('01_Run_Config'!$B$48="AN Bud Candy (replaces HESI Boost)",0,IF(AND(A21&gt;='01_Run_Config'!$B$33,MOD(A21-'01_Run_Config'!$B$33,7)=0),2,0))</x:f>
        <x:v>0</x:v>
      </x:c>
      <x:c r="AB21" s="63" t="n">
        <x:f>IF('01_Run_Config'!$B$52="AN Bud Ignitor &gt; Big Bud &gt; Overdrive",0,IF(AND(ISNUMBER(AL21),AL21&gt;=29,AL21&lt;=42),0.25+((AL21-29)/13)*0.25,0))</x:f>
        <x:v>0</x:v>
      </x:c>
      <x:c r="AC21" s="63" t="n">
        <x:f>IF('01_Run_Config'!$B$46="OFF",0,IF(OR(A21='01_Run_Config'!$B$32,A21='01_Run_Config'!$B$32+7,A21='01_Run_Config'!$B$33+1,A21='01_Run_Config'!$B$33+8),2,0))</x:f>
        <x:v>0</x:v>
      </x:c>
      <x:c r="AD21" s="63" t="str">
        <x:f>IF(BG21="BLOCK","HYBRID BLOCKED - Konfiguration prüfen",IF(SUM(AC21,AT21:BF21)&gt;0,"AN aktiv: "&amp;BH21,"AN: keine Dosis heute / Module aus"))</x:f>
        <x:v>AN: keine Dosis heute / Module aus</x:v>
      </x:c>
      <x:c r="AE21" s="63" t="str">
        <x:v>Radiales LST alle 3–4 Tage</x:v>
      </x:c>
      <x:c r="AF21" s="63" t="str">
        <x:v>Morgens Klima/Pflanze/Bewässerung/Leck; Mitte Lichtphase Blattwinkel; vor Dunkel LF/Drain/stehendes Wasser.</x:v>
      </x:c>
      <x:c r="AG21" s="63" t="str">
        <x:v>EC nicht erhöhen bei steigender Diagnose-Drain-EC; PPFD nicht erhöhen bei Stress; Wasserband nie erzwingen; nie mehrere neue Booster gleichzeitig.</x:v>
      </x:c>
      <x:c r="AH21" s="35" t="str">
        <x:f>"UKD v9 evidence-guarded: Planwerte sind Ziele/Eligibility, keine automatische Freigabe. Eazy Plug/Block ist vorgepuffert; früher Basisfeed bleibt vom Propagation-/Pflanzengate abhängig. Messdaten und Safety-Gates überschreiben Kalender."</x:f>
        <x:v>UKD v9 evidence-guarded: Planwerte sind Ziele/Eligibility, keine automatische Freigabe. Eazy Plug/Block ist vorgepuffert; früher Basisfeed bleibt vom Propagation-/Pflanzengate abhängig. Messdaten und Safety-Gates überschreiben Kalender.</x:v>
      </x:c>
      <x:c r="AI21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21" s="201" t="str">
        <x:f>IF(A21&lt;'01_Run_Config'!$B$32,"—",IF(A21&lt;'01_Run_Config'!$B$33,"G"&amp;MIN(4,INT((A21-'01_Run_Config'!$B$32)/7)+1),AM21))</x:f>
        <x:v>G3</x:v>
      </x:c>
      <x:c r="AK21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21" s="60" t="str">
        <x:f>IF(A21&lt;'01_Run_Config'!$B$33,"",A21-'01_Run_Config'!$B$33+1)</x:f>
      </x:c>
      <x:c r="AM21" s="60" t="str">
        <x:f>IF(AL21="","",IF(AL21&gt;49,CHAR(66)&amp;"7+",CHAR(66)&amp;TEXT(INT((AL21-1)/7)+1,"0")))</x:f>
      </x:c>
      <x:c r="AN21" s="60" t="n">
        <x:f>ROUND(0.6108*EXP(17.27*L21/(L21+237.3))*(1-N21/100),2)</x:f>
        <x:v>1.24</x:v>
      </x:c>
      <x:c r="AO21" s="60" t="n">
        <x:f>H21*G21/1000</x:f>
        <x:v>1.35</x:v>
      </x:c>
      <x:c r="AP21" s="60" t="n">
        <x:f>SUM($AO$2:AO21)</x:f>
        <x:v>18.720000000000002</x:v>
      </x:c>
      <x:c r="AQ21" t="n">
        <x:f>'01_Run_Config'!$B$17</x:f>
        <x:v>0</x:v>
      </x:c>
      <x:c r="AR21" t="n">
        <x:f>'01_Run_Config'!$B$22</x:f>
        <x:v>0</x:v>
      </x:c>
      <x:c r="AS21" t="n">
        <x:f>'01_Run_Config'!$B$25</x:f>
        <x:v>0</x:v>
      </x:c>
      <x:c r="AT21" t="n">
        <x:f>IF(AND('01_Run_Config'!$B$46="Voodoo + Piranha + Tarantula",AC21&gt;0),2,0)</x:f>
        <x:v>0</x:v>
      </x:c>
      <x:c r="AU21" t="n">
        <x:f>IF(AND(OR('01_Run_Config'!$B$46="Voodoo + Tarantula",'01_Run_Config'!$B$46="Voodoo + Piranha + Tarantula"),AC21&gt;0),2,0)</x:f>
        <x:v>0</x:v>
      </x:c>
      <x:c r="AV21" t="n">
        <x:f>IF('01_Run_Config'!$B$47&lt;&gt;"ON / A-B",0,IF(OR(AND(A21&gt;='01_Run_Config'!$B$32,A21&lt;'01_Run_Config'!$B$33),AND(ISNUMBER(AL21),AL21&gt;=15,AL21&lt;=49)),2,0))</x:f>
        <x:v>0</x:v>
      </x:c>
      <x:c r="AW21" t="n">
        <x:f>IF('01_Run_Config'!$B$48="AN Bud Candy (replaces HESI Boost)",IF(AND(A21&gt;='01_Run_Config'!$B$32,OR(AL21="",AL21&lt;=49)),2,0),0)</x:f>
        <x:v>0</x:v>
      </x:c>
      <x:c r="AX21" t="n">
        <x:f>IF('01_Run_Config'!$B$49&lt;&gt;"ON / EXPERIMENTAL",0,IF(OR(AND(A21&gt;='01_Run_Config'!$B$32+7,A21&lt;'01_Run_Config'!$B$33),AND(ISNUMBER(AL21),AL21&gt;=1,AL21&lt;=49)),2,0))</x:f>
        <x:v>0</x:v>
      </x:c>
      <x:c r="AY21" t="n">
        <x:f>IF('01_Run_Config'!$B$50="AN Sensizym",IF(AND(A21&gt;='01_Run_Config'!$B$32,OR(AL21="",AL21&lt;=49)),2,0),0)</x:f>
        <x:v>0</x:v>
      </x:c>
      <x:c r="AZ21" t="n">
        <x:f>IF('01_Run_Config'!$B$51="AN Rhino Skin",IF(AND(A21&gt;='01_Run_Config'!$B$32,OR(AL21="",AL21&lt;=49)),2,0),0)</x:f>
        <x:v>0</x:v>
      </x:c>
      <x:c r="BA21" t="n">
        <x:f>IF(AND('01_Run_Config'!$B$52="AN Bud Ignitor &gt; Big Bud &gt; Overdrive",ISNUMBER(AL21),AL21&gt;=1,AL21&lt;=14),2,0)</x:f>
        <x:v>0</x:v>
      </x:c>
      <x:c r="BB21" t="n">
        <x:f>IF(AND('01_Run_Config'!$B$52="AN Bud Ignitor &gt; Big Bud &gt; Overdrive",ISNUMBER(AL21),AL21&gt;=8,AL21&lt;=35),2,0)</x:f>
        <x:v>0</x:v>
      </x:c>
      <x:c r="BC21" t="n">
        <x:f>IF(AND('01_Run_Config'!$B$52="AN Bud Ignitor &gt; Big Bud &gt; Overdrive",ISNUMBER(AL21),AL21&gt;=36,AL21&lt;=49),2,0)</x:f>
        <x:v>0</x:v>
      </x:c>
      <x:c r="BD21" t="n">
        <x:f>IF('01_Run_Config'!$B$53="ON / EXPERIMENTAL",IF(OR(AND(A21&gt;='01_Run_Config'!$B$32,A21&lt;'01_Run_Config'!$B$33),AND(ISNUMBER(AL21),AL21&gt;=15,AL21&lt;=49)),2,0),0)</x:f>
        <x:v>0</x:v>
      </x:c>
      <x:c r="BE21" t="n">
        <x:f>IF('01_Run_Config'!$B$54="AN Sensi CalMag Xtra conditional",'01_Run_Config'!$B$17,0)</x:f>
        <x:v>0</x:v>
      </x:c>
      <x:c r="BF21" t="n">
        <x:f>0</x:f>
        <x:v>0</x:v>
      </x:c>
      <x:c r="BG21" t="str">
        <x:f>'01_Run_Config'!$E$57</x:f>
        <x:v>OK</x:v>
      </x:c>
      <x:c r="BH21" t="str">
        <x:f>IF(SUM(AC21,AT21:BF21)=0,"keine AN-Dosis heute",IF(AC21&gt;0,"Voodoo "&amp;AC21&amp;" ml/L; ","")&amp;IF(AT21&gt;0,"Piranha "&amp;AT21&amp;" ml/L; ","")&amp;IF(AU21&gt;0,"Tarantula "&amp;AU21&amp;" ml/L; ","")&amp;IF(AV21&gt;0,"B-52 "&amp;AV21&amp;" ml/L; ","")&amp;IF(AW21&gt;0,"Bud Candy "&amp;AW21&amp;" ml/L; ","")&amp;IF(AX21&gt;0,"Bud Factor X "&amp;AX21&amp;" ml/L; ","")&amp;IF(AY21&gt;0,"Sensizym "&amp;AY21&amp;" ml/L; ","")&amp;IF(AZ21&gt;0,"Rhino Skin "&amp;AZ21&amp;" ml/L; ","")&amp;IF(BA21&gt;0,"Bud Ignitor "&amp;BA21&amp;" ml/L; ","")&amp;IF(BB21&gt;0,"Big Bud "&amp;BB21&amp;" ml/L; ","")&amp;IF(BC21&gt;0,"Overdrive "&amp;BC21&amp;" ml/L; ","")&amp;IF(BD21&gt;0,"Tasty Terpenes "&amp;BD21&amp;" ml/L; ","")&amp;IF(BE21&gt;0,"Sensi CalMag "&amp;BE21&amp;" ml/L",""))</x:f>
        <x:v>keine AN-Dosis heute</x:v>
      </x:c>
    </x:row>
    <x:row r="22">
      <x:c r="A22" s="34" t="n">
        <x:v>20</x:v>
      </x:c>
      <x:c r="B22" s="129" t="n">
        <x:f>'01_Run_Config'!$B$4+A22</x:f>
        <x:v>46262</x:v>
      </x:c>
      <x:c r="C22" s="63" t="n">
        <x:f>INT(A22/7)+1</x:f>
        <x:v>3</x:v>
      </x:c>
      <x:c r="D22" s="63" t="str">
        <x:f>"M"&amp;MIN(3,INT(A22/30)+1)</x:f>
        <x:v>M1</x:v>
      </x:c>
      <x:c r="E22" s="63" t="str">
        <x:f>IF(A22&lt;4,"Keimung",IF(A22&lt;8,"Etablierung",IF(A22&lt;15,"Early Veg",IF(A22&lt;'01_Run_Config'!$B$33,IF(A22&lt;22,"Veg / LST","Preflower-Watch"),IF(A22-'01_Run_Config'!$B$33&lt;=6,"Transition / Stretch ("&amp;AM22&amp;")",IF(A22-'01_Run_Config'!$B$33&lt;=13,"Early Flower ("&amp;AM22&amp;")",IF(A22-'01_Run_Config'!$B$33&lt;=20,"Flower I ("&amp;AM22&amp;")",IF(A22-'01_Run_Config'!$B$33&lt;=34,"Peak Flower ("&amp;AM22&amp;")",IF(A22-'01_Run_Config'!$B$33&lt;=41,"Late Flower ("&amp;AM22&amp;")",IF(A22-'01_Run_Config'!$B$33&lt;=48,"Ripening ("&amp;AM22&amp;")","Harvest / Extension ("&amp;AM22&amp;")"))))))))))</x:f>
        <x:v>Veg / LST</x:v>
      </x:c>
      <x:c r="F22" s="63" t="str">
        <x:f>IF(A22&lt;4,"Keimung + Wurzelstart",IF(A22&lt;8,"Sämling etablieren; Wurzelraum erschließen",IF(A22&lt;15,"kompakter Aufbau; LST erst bei Vitalität",IF(A22&lt;'01_Run_Config'!$B$33,"Canopy aufbauen; Preflower beobachten",IF(A22-'01_Run_Config'!$B$33&lt;=6,"Stretch kontrollieren; Bloom-Trigger dokumentieren",IF(A22-'01_Run_Config'!$B$33&lt;=13,"Blütenansatz stabilisieren",IF(A22-'01_Run_Config'!$B$33&lt;=20,"Blütenaufbau ohne neue Stressoren",IF(A22-'01_Run_Config'!$B$33&lt;=34,"stabile Peak-Photosynthese; Klima priorisieren",IF(A22-'01_Run_Config'!$B$33&lt;=41,"Qualität/Schimmelprävention",IF(A22-'01_Run_Config'!$B$33&lt;=48,"Reife ohne Überfütterung","Erntefenster nach Pflanze; keine Kalenderernte"))))))))))</x:f>
        <x:v>Canopy aufbauen; Preflower beobachten</x:v>
      </x:c>
      <x:c r="G22" s="63" t="n">
        <x:v>18</x:v>
      </x:c>
      <x:c r="H22" s="63" t="n">
        <x:v>75</x:v>
      </x:c>
      <x:c r="I22" s="63" t="n">
        <x:v>350</x:v>
      </x:c>
      <x:c r="J22" s="63" t="n">
        <x:f>I22*G22*3600/1000000</x:f>
        <x:v>22.68</x:v>
      </x:c>
      <x:c r="K22" s="63" t="n">
        <x:v>43</x:v>
      </x:c>
      <x:c r="L22" s="63" t="n">
        <x:v>25.5</x:v>
      </x:c>
      <x:c r="M22" s="63" t="n">
        <x:v>22</x:v>
      </x:c>
      <x:c r="N22" s="63" t="n">
        <x:v>62</x:v>
      </x:c>
      <x:c r="O22" s="63" t="n">
        <x:f>ROUND(0.6108*EXP(17.27*(L22+'01_Run_Config'!$B$34)/(L22+'01_Run_Config'!$B$34+237.3))-(N22/100)*0.6108*EXP(17.27*L22/(L22+237.3)),2)</x:f>
        <x:v>1.05</x:v>
      </x:c>
      <x:c r="P22" s="63" t="n">
        <x:f>IF(A22&lt;'01_Run_Config'!$B$32,0.55,IF(A22&lt;'01_Run_Config'!$B$33,IF(A22-'01_Run_Config'!$B$32&lt;=3,0.8,IF(A22-'01_Run_Config'!$B$32&lt;=10,1,IF(A22-'01_Run_Config'!$B$32&lt;=17,1.2,1.4))),IF(A22-'01_Run_Config'!$B$33&lt;=6,1.5,IF(A22-'01_Run_Config'!$B$33&lt;=13,1.6,IF(A22-'01_Run_Config'!$B$33&lt;=20,1.7,IF(A22-'01_Run_Config'!$B$33&lt;=34,1.8,IF(A22-'01_Run_Config'!$B$33&lt;=41,1.6,IF(A22-'01_Run_Config'!$B$33&lt;=48,1.4,1.15))))))))</x:f>
        <x:v>1.2</x:v>
      </x:c>
      <x:c r="Q22" s="63" t="n">
        <x:v>5.9</x:v>
      </x:c>
      <x:c r="R22" s="63" t="n">
        <x:v>0.25</x:v>
      </x:c>
      <x:c r="S22" s="63" t="n">
        <x:v>0.5</x:v>
      </x:c>
      <x:c r="T22" s="63" t="str">
        <x:f>IF(A22&lt;=7,"Manuell",'01_Run_Config'!$B$40)</x:f>
        <x:v>Manuell / indoor-freigegebene Automation</x:v>
      </x:c>
      <x:c r="U22" s="63" t="str">
        <x:f>IF(A22&lt;'01_Run_Config'!$B$32,"Kein Basisdünger",IF(A22&lt;'01_Run_Config'!$B$33,"HESI TNT","HESI Coco"))</x:f>
        <x:v>HESI TNT</x:v>
      </x:c>
      <x:c r="V22" s="63" t="n">
        <x:f>IF(A22&lt;'01_Run_Config'!$B$32,0,IF(A22&lt;'01_Run_Config'!$B$33,IF(A22-'01_Run_Config'!$B$32&lt;=3,1.25,IF(A22-'01_Run_Config'!$B$32&lt;=10,2,2.5)),IF(A22-'01_Run_Config'!$B$33&lt;=6,2.5,IF(A22-'01_Run_Config'!$B$33&lt;=13,3.25,IF(A22-'01_Run_Config'!$B$33&lt;=20,3.75,IF(A22-'01_Run_Config'!$B$33&lt;=34,4,IF(A22-'01_Run_Config'!$B$33&lt;=41,3.5,IF(A22-'01_Run_Config'!$B$33&lt;=48,2.5,1.5))))))))</x:f>
        <x:v>2.5</x:v>
      </x:c>
      <x:c r="W22" s="63" t="n">
        <x:f>IF(A22&lt;=14,2.5,0)</x:f>
        <x:v>0</x:v>
      </x:c>
      <x:c r="X22" s="63" t="n">
        <x:f>IF('01_Run_Config'!$B$50="AN Sensizym",0,IF(AND(A22&gt;='01_Run_Config'!$B$32,OR(AL22="",AL22&lt;=49)),2,0))</x:f>
        <x:v>2</x:v>
      </x:c>
      <x:c r="Y22" s="63" t="n">
        <x:f>0.015</x:f>
        <x:v>0.015</x:v>
      </x:c>
      <x:c r="Z22" s="63" t="n">
        <x:f>IF('01_Run_Config'!$B$51="HESI Hesilicio",2,0)</x:f>
        <x:v>0</x:v>
      </x:c>
      <x:c r="AA22" s="63" t="n">
        <x:f>IF('01_Run_Config'!$B$48="AN Bud Candy (replaces HESI Boost)",0,IF(AND(A22&gt;='01_Run_Config'!$B$33,MOD(A22-'01_Run_Config'!$B$33,7)=0),2,0))</x:f>
        <x:v>0</x:v>
      </x:c>
      <x:c r="AB22" s="63" t="n">
        <x:f>IF('01_Run_Config'!$B$52="AN Bud Ignitor &gt; Big Bud &gt; Overdrive",0,IF(AND(ISNUMBER(AL22),AL22&gt;=29,AL22&lt;=42),0.25+((AL22-29)/13)*0.25,0))</x:f>
        <x:v>0</x:v>
      </x:c>
      <x:c r="AC22" s="63" t="n">
        <x:f>IF('01_Run_Config'!$B$46="OFF",0,IF(OR(A22='01_Run_Config'!$B$32,A22='01_Run_Config'!$B$32+7,A22='01_Run_Config'!$B$33+1,A22='01_Run_Config'!$B$33+8),2,0))</x:f>
        <x:v>0</x:v>
      </x:c>
      <x:c r="AD22" s="63" t="str">
        <x:f>IF(BG22="BLOCK","HYBRID BLOCKED - Konfiguration prüfen",IF(SUM(AC22,AT22:BF22)&gt;0,"AN aktiv: "&amp;BH22,"AN: keine Dosis heute / Module aus"))</x:f>
        <x:v>AN: keine Dosis heute / Module aus</x:v>
      </x:c>
      <x:c r="AE22" s="63" t="str">
        <x:v>Radiales LST alle 3–4 Tage</x:v>
      </x:c>
      <x:c r="AF22" s="63" t="str">
        <x:v>Morgens Klima/Pflanze/Bewässerung/Leck; Mitte Lichtphase Blattwinkel; vor Dunkel LF/Drain/stehendes Wasser.</x:v>
      </x:c>
      <x:c r="AG22" s="63" t="str">
        <x:v>EC nicht erhöhen bei steigender Diagnose-Drain-EC; PPFD nicht erhöhen bei Stress; Wasserband nie erzwingen; nie mehrere neue Booster gleichzeitig.</x:v>
      </x:c>
      <x:c r="AH22" s="35" t="str">
        <x:f>"UKD v9 evidence-guarded: Planwerte sind Ziele/Eligibility, keine automatische Freigabe. Eazy Plug/Block ist vorgepuffert; früher Basisfeed bleibt vom Propagation-/Pflanzengate abhängig. Messdaten und Safety-Gates überschreiben Kalender."</x:f>
        <x:v>UKD v9 evidence-guarded: Planwerte sind Ziele/Eligibility, keine automatische Freigabe. Eazy Plug/Block ist vorgepuffert; früher Basisfeed bleibt vom Propagation-/Pflanzengate abhängig. Messdaten und Safety-Gates überschreiben Kalender.</x:v>
      </x:c>
      <x:c r="AI22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22" s="201" t="str">
        <x:f>IF(A22&lt;'01_Run_Config'!$B$32,"—",IF(A22&lt;'01_Run_Config'!$B$33,"G"&amp;MIN(4,INT((A22-'01_Run_Config'!$B$32)/7)+1),AM22))</x:f>
        <x:v>G3</x:v>
      </x:c>
      <x:c r="AK22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22" s="60" t="str">
        <x:f>IF(A22&lt;'01_Run_Config'!$B$33,"",A22-'01_Run_Config'!$B$33+1)</x:f>
      </x:c>
      <x:c r="AM22" s="60" t="str">
        <x:f>IF(AL22="","",IF(AL22&gt;49,CHAR(66)&amp;"7+",CHAR(66)&amp;TEXT(INT((AL22-1)/7)+1,"0")))</x:f>
      </x:c>
      <x:c r="AN22" s="60" t="n">
        <x:f>ROUND(0.6108*EXP(17.27*L22/(L22+237.3))*(1-N22/100),2)</x:f>
        <x:v>1.24</x:v>
      </x:c>
      <x:c r="AO22" s="60" t="n">
        <x:f>H22*G22/1000</x:f>
        <x:v>1.35</x:v>
      </x:c>
      <x:c r="AP22" s="60" t="n">
        <x:f>SUM($AO$2:AO22)</x:f>
        <x:v>20.070000000000004</x:v>
      </x:c>
      <x:c r="AQ22" t="n">
        <x:f>'01_Run_Config'!$B$17</x:f>
        <x:v>0</x:v>
      </x:c>
      <x:c r="AR22" t="n">
        <x:f>'01_Run_Config'!$B$22</x:f>
        <x:v>0</x:v>
      </x:c>
      <x:c r="AS22" t="n">
        <x:f>'01_Run_Config'!$B$25</x:f>
        <x:v>0</x:v>
      </x:c>
      <x:c r="AT22" t="n">
        <x:f>IF(AND('01_Run_Config'!$B$46="Voodoo + Piranha + Tarantula",AC22&gt;0),2,0)</x:f>
        <x:v>0</x:v>
      </x:c>
      <x:c r="AU22" t="n">
        <x:f>IF(AND(OR('01_Run_Config'!$B$46="Voodoo + Tarantula",'01_Run_Config'!$B$46="Voodoo + Piranha + Tarantula"),AC22&gt;0),2,0)</x:f>
        <x:v>0</x:v>
      </x:c>
      <x:c r="AV22" t="n">
        <x:f>IF('01_Run_Config'!$B$47&lt;&gt;"ON / A-B",0,IF(OR(AND(A22&gt;='01_Run_Config'!$B$32,A22&lt;'01_Run_Config'!$B$33),AND(ISNUMBER(AL22),AL22&gt;=15,AL22&lt;=49)),2,0))</x:f>
        <x:v>0</x:v>
      </x:c>
      <x:c r="AW22" t="n">
        <x:f>IF('01_Run_Config'!$B$48="AN Bud Candy (replaces HESI Boost)",IF(AND(A22&gt;='01_Run_Config'!$B$32,OR(AL22="",AL22&lt;=49)),2,0),0)</x:f>
        <x:v>0</x:v>
      </x:c>
      <x:c r="AX22" t="n">
        <x:f>IF('01_Run_Config'!$B$49&lt;&gt;"ON / EXPERIMENTAL",0,IF(OR(AND(A22&gt;='01_Run_Config'!$B$32+7,A22&lt;'01_Run_Config'!$B$33),AND(ISNUMBER(AL22),AL22&gt;=1,AL22&lt;=49)),2,0))</x:f>
        <x:v>0</x:v>
      </x:c>
      <x:c r="AY22" t="n">
        <x:f>IF('01_Run_Config'!$B$50="AN Sensizym",IF(AND(A22&gt;='01_Run_Config'!$B$32,OR(AL22="",AL22&lt;=49)),2,0),0)</x:f>
        <x:v>0</x:v>
      </x:c>
      <x:c r="AZ22" t="n">
        <x:f>IF('01_Run_Config'!$B$51="AN Rhino Skin",IF(AND(A22&gt;='01_Run_Config'!$B$32,OR(AL22="",AL22&lt;=49)),2,0),0)</x:f>
        <x:v>0</x:v>
      </x:c>
      <x:c r="BA22" t="n">
        <x:f>IF(AND('01_Run_Config'!$B$52="AN Bud Ignitor &gt; Big Bud &gt; Overdrive",ISNUMBER(AL22),AL22&gt;=1,AL22&lt;=14),2,0)</x:f>
        <x:v>0</x:v>
      </x:c>
      <x:c r="BB22" t="n">
        <x:f>IF(AND('01_Run_Config'!$B$52="AN Bud Ignitor &gt; Big Bud &gt; Overdrive",ISNUMBER(AL22),AL22&gt;=8,AL22&lt;=35),2,0)</x:f>
        <x:v>0</x:v>
      </x:c>
      <x:c r="BC22" t="n">
        <x:f>IF(AND('01_Run_Config'!$B$52="AN Bud Ignitor &gt; Big Bud &gt; Overdrive",ISNUMBER(AL22),AL22&gt;=36,AL22&lt;=49),2,0)</x:f>
        <x:v>0</x:v>
      </x:c>
      <x:c r="BD22" t="n">
        <x:f>IF('01_Run_Config'!$B$53="ON / EXPERIMENTAL",IF(OR(AND(A22&gt;='01_Run_Config'!$B$32,A22&lt;'01_Run_Config'!$B$33),AND(ISNUMBER(AL22),AL22&gt;=15,AL22&lt;=49)),2,0),0)</x:f>
        <x:v>0</x:v>
      </x:c>
      <x:c r="BE22" t="n">
        <x:f>IF('01_Run_Config'!$B$54="AN Sensi CalMag Xtra conditional",'01_Run_Config'!$B$17,0)</x:f>
        <x:v>0</x:v>
      </x:c>
      <x:c r="BF22" t="n">
        <x:f>0</x:f>
        <x:v>0</x:v>
      </x:c>
      <x:c r="BG22" t="str">
        <x:f>'01_Run_Config'!$E$57</x:f>
        <x:v>OK</x:v>
      </x:c>
      <x:c r="BH22" t="str">
        <x:f>IF(SUM(AC22,AT22:BF22)=0,"keine AN-Dosis heute",IF(AC22&gt;0,"Voodoo "&amp;AC22&amp;" ml/L; ","")&amp;IF(AT22&gt;0,"Piranha "&amp;AT22&amp;" ml/L; ","")&amp;IF(AU22&gt;0,"Tarantula "&amp;AU22&amp;" ml/L; ","")&amp;IF(AV22&gt;0,"B-52 "&amp;AV22&amp;" ml/L; ","")&amp;IF(AW22&gt;0,"Bud Candy "&amp;AW22&amp;" ml/L; ","")&amp;IF(AX22&gt;0,"Bud Factor X "&amp;AX22&amp;" ml/L; ","")&amp;IF(AY22&gt;0,"Sensizym "&amp;AY22&amp;" ml/L; ","")&amp;IF(AZ22&gt;0,"Rhino Skin "&amp;AZ22&amp;" ml/L; ","")&amp;IF(BA22&gt;0,"Bud Ignitor "&amp;BA22&amp;" ml/L; ","")&amp;IF(BB22&gt;0,"Big Bud "&amp;BB22&amp;" ml/L; ","")&amp;IF(BC22&gt;0,"Overdrive "&amp;BC22&amp;" ml/L; ","")&amp;IF(BD22&gt;0,"Tasty Terpenes "&amp;BD22&amp;" ml/L; ","")&amp;IF(BE22&gt;0,"Sensi CalMag "&amp;BE22&amp;" ml/L",""))</x:f>
        <x:v>keine AN-Dosis heute</x:v>
      </x:c>
    </x:row>
    <x:row r="23">
      <x:c r="A23" s="34" t="n">
        <x:v>21</x:v>
      </x:c>
      <x:c r="B23" s="129" t="n">
        <x:f>'01_Run_Config'!$B$4+A23</x:f>
        <x:v>46263</x:v>
      </x:c>
      <x:c r="C23" s="63" t="n">
        <x:f>INT(A23/7)+1</x:f>
        <x:v>4</x:v>
      </x:c>
      <x:c r="D23" s="63" t="str">
        <x:f>"M"&amp;MIN(3,INT(A23/30)+1)</x:f>
        <x:v>M1</x:v>
      </x:c>
      <x:c r="E23" s="63" t="str">
        <x:f>IF(A23&lt;4,"Keimung",IF(A23&lt;8,"Etablierung",IF(A23&lt;15,"Early Veg",IF(A23&lt;'01_Run_Config'!$B$33,IF(A23&lt;22,"Veg / LST","Preflower-Watch"),IF(A23-'01_Run_Config'!$B$33&lt;=6,"Transition / Stretch ("&amp;AM23&amp;")",IF(A23-'01_Run_Config'!$B$33&lt;=13,"Early Flower ("&amp;AM23&amp;")",IF(A23-'01_Run_Config'!$B$33&lt;=20,"Flower I ("&amp;AM23&amp;")",IF(A23-'01_Run_Config'!$B$33&lt;=34,"Peak Flower ("&amp;AM23&amp;")",IF(A23-'01_Run_Config'!$B$33&lt;=41,"Late Flower ("&amp;AM23&amp;")",IF(A23-'01_Run_Config'!$B$33&lt;=48,"Ripening ("&amp;AM23&amp;")","Harvest / Extension ("&amp;AM23&amp;")"))))))))))</x:f>
        <x:v>Veg / LST</x:v>
      </x:c>
      <x:c r="F23" s="63" t="str">
        <x:f>IF(A23&lt;4,"Keimung + Wurzelstart",IF(A23&lt;8,"Sämling etablieren; Wurzelraum erschließen",IF(A23&lt;15,"kompakter Aufbau; LST erst bei Vitalität",IF(A23&lt;'01_Run_Config'!$B$33,"Canopy aufbauen; Preflower beobachten",IF(A23-'01_Run_Config'!$B$33&lt;=6,"Stretch kontrollieren; Bloom-Trigger dokumentieren",IF(A23-'01_Run_Config'!$B$33&lt;=13,"Blütenansatz stabilisieren",IF(A23-'01_Run_Config'!$B$33&lt;=20,"Blütenaufbau ohne neue Stressoren",IF(A23-'01_Run_Config'!$B$33&lt;=34,"stabile Peak-Photosynthese; Klima priorisieren",IF(A23-'01_Run_Config'!$B$33&lt;=41,"Qualität/Schimmelprävention",IF(A23-'01_Run_Config'!$B$33&lt;=48,"Reife ohne Überfütterung","Erntefenster nach Pflanze; keine Kalenderernte"))))))))))</x:f>
        <x:v>Canopy aufbauen; Preflower beobachten</x:v>
      </x:c>
      <x:c r="G23" s="63" t="n">
        <x:v>18</x:v>
      </x:c>
      <x:c r="H23" s="63" t="n">
        <x:v>75</x:v>
      </x:c>
      <x:c r="I23" s="63" t="n">
        <x:v>350</x:v>
      </x:c>
      <x:c r="J23" s="63" t="n">
        <x:f>I23*G23*3600/1000000</x:f>
        <x:v>22.68</x:v>
      </x:c>
      <x:c r="K23" s="63" t="n">
        <x:v>43</x:v>
      </x:c>
      <x:c r="L23" s="63" t="n">
        <x:v>25.5</x:v>
      </x:c>
      <x:c r="M23" s="63" t="n">
        <x:v>22</x:v>
      </x:c>
      <x:c r="N23" s="63" t="n">
        <x:v>62</x:v>
      </x:c>
      <x:c r="O23" s="63" t="n">
        <x:f>ROUND(0.6108*EXP(17.27*(L23+'01_Run_Config'!$B$34)/(L23+'01_Run_Config'!$B$34+237.3))-(N23/100)*0.6108*EXP(17.27*L23/(L23+237.3)),2)</x:f>
        <x:v>1.05</x:v>
      </x:c>
      <x:c r="P23" s="63" t="n">
        <x:f>IF(A23&lt;'01_Run_Config'!$B$32,0.55,IF(A23&lt;'01_Run_Config'!$B$33,IF(A23-'01_Run_Config'!$B$32&lt;=3,0.8,IF(A23-'01_Run_Config'!$B$32&lt;=10,1,IF(A23-'01_Run_Config'!$B$32&lt;=17,1.2,1.4))),IF(A23-'01_Run_Config'!$B$33&lt;=6,1.5,IF(A23-'01_Run_Config'!$B$33&lt;=13,1.6,IF(A23-'01_Run_Config'!$B$33&lt;=20,1.7,IF(A23-'01_Run_Config'!$B$33&lt;=34,1.8,IF(A23-'01_Run_Config'!$B$33&lt;=41,1.6,IF(A23-'01_Run_Config'!$B$33&lt;=48,1.4,1.15))))))))</x:f>
        <x:v>1.2</x:v>
      </x:c>
      <x:c r="Q23" s="63" t="n">
        <x:v>5.9</x:v>
      </x:c>
      <x:c r="R23" s="63" t="n">
        <x:v>0.25</x:v>
      </x:c>
      <x:c r="S23" s="63" t="n">
        <x:v>0.5</x:v>
      </x:c>
      <x:c r="T23" s="63" t="str">
        <x:f>IF(A23&lt;=7,"Manuell",'01_Run_Config'!$B$40)</x:f>
        <x:v>Manuell / indoor-freigegebene Automation</x:v>
      </x:c>
      <x:c r="U23" s="63" t="str">
        <x:f>IF(A23&lt;'01_Run_Config'!$B$32,"Kein Basisdünger",IF(A23&lt;'01_Run_Config'!$B$33,"HESI TNT","HESI Coco"))</x:f>
        <x:v>HESI TNT</x:v>
      </x:c>
      <x:c r="V23" s="63" t="n">
        <x:f>IF(A23&lt;'01_Run_Config'!$B$32,0,IF(A23&lt;'01_Run_Config'!$B$33,IF(A23-'01_Run_Config'!$B$32&lt;=3,1.25,IF(A23-'01_Run_Config'!$B$32&lt;=10,2,2.5)),IF(A23-'01_Run_Config'!$B$33&lt;=6,2.5,IF(A23-'01_Run_Config'!$B$33&lt;=13,3.25,IF(A23-'01_Run_Config'!$B$33&lt;=20,3.75,IF(A23-'01_Run_Config'!$B$33&lt;=34,4,IF(A23-'01_Run_Config'!$B$33&lt;=41,3.5,IF(A23-'01_Run_Config'!$B$33&lt;=48,2.5,1.5))))))))</x:f>
        <x:v>2.5</x:v>
      </x:c>
      <x:c r="W23" s="63" t="n">
        <x:f>IF(A23&lt;=14,2.5,0)</x:f>
        <x:v>0</x:v>
      </x:c>
      <x:c r="X23" s="63" t="n">
        <x:f>IF('01_Run_Config'!$B$50="AN Sensizym",0,IF(AND(A23&gt;='01_Run_Config'!$B$32,OR(AL23="",AL23&lt;=49)),2,0))</x:f>
        <x:v>2</x:v>
      </x:c>
      <x:c r="Y23" s="63" t="n">
        <x:f>0.015</x:f>
        <x:v>0.015</x:v>
      </x:c>
      <x:c r="Z23" s="63" t="n">
        <x:f>IF('01_Run_Config'!$B$51="HESI Hesilicio",2,0)</x:f>
        <x:v>0</x:v>
      </x:c>
      <x:c r="AA23" s="63" t="n">
        <x:f>IF('01_Run_Config'!$B$48="AN Bud Candy (replaces HESI Boost)",0,IF(AND(A23&gt;='01_Run_Config'!$B$33,MOD(A23-'01_Run_Config'!$B$33,7)=0),2,0))</x:f>
        <x:v>0</x:v>
      </x:c>
      <x:c r="AB23" s="63" t="n">
        <x:f>IF('01_Run_Config'!$B$52="AN Bud Ignitor &gt; Big Bud &gt; Overdrive",0,IF(AND(ISNUMBER(AL23),AL23&gt;=29,AL23&lt;=42),0.25+((AL23-29)/13)*0.25,0))</x:f>
        <x:v>0</x:v>
      </x:c>
      <x:c r="AC23" s="63" t="n">
        <x:f>IF('01_Run_Config'!$B$46="OFF",0,IF(OR(A23='01_Run_Config'!$B$32,A23='01_Run_Config'!$B$32+7,A23='01_Run_Config'!$B$33+1,A23='01_Run_Config'!$B$33+8),2,0))</x:f>
        <x:v>0</x:v>
      </x:c>
      <x:c r="AD23" s="63" t="str">
        <x:f>IF(BG23="BLOCK","HYBRID BLOCKED - Konfiguration prüfen",IF(SUM(AC23,AT23:BF23)&gt;0,"AN aktiv: "&amp;BH23,"AN: keine Dosis heute / Module aus"))</x:f>
        <x:v>AN: keine Dosis heute / Module aus</x:v>
      </x:c>
      <x:c r="AE23" s="63" t="str">
        <x:v>Radiales LST alle 3–4 Tage</x:v>
      </x:c>
      <x:c r="AF23" s="63" t="str">
        <x:v>Morgens Klima/Pflanze/Bewässerung/Leck; Mitte Lichtphase Blattwinkel; vor Dunkel LF/Drain/stehendes Wasser. WÖCHENTLICH: pH/EC kalibrieren, Foto, Canopy messen, PPFD-Spotcheck, Reservoir falls genutzt / Tray reinigen.</x:v>
      </x:c>
      <x:c r="AG23" s="63" t="str">
        <x:v>EC nicht erhöhen bei steigender Diagnose-Drain-EC; PPFD nicht erhöhen bei Stress; Wasserband nie erzwingen; nie mehrere neue Booster gleichzeitig.</x:v>
      </x:c>
      <x:c r="AH23" s="35" t="str">
        <x:f>"UKD v9 evidence-guarded: Planwerte sind Ziele/Eligibility, keine automatische Freigabe. Eazy Plug/Block ist vorgepuffert; früher Basisfeed bleibt vom Propagation-/Pflanzengate abhängig. Messdaten und Safety-Gates überschreiben Kalender."</x:f>
        <x:v>UKD v9 evidence-guarded: Planwerte sind Ziele/Eligibility, keine automatische Freigabe. Eazy Plug/Block ist vorgepuffert; früher Basisfeed bleibt vom Propagation-/Pflanzengate abhängig. Messdaten und Safety-Gates überschreiben Kalender.</x:v>
      </x:c>
      <x:c r="AI23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23" s="201" t="str">
        <x:f>IF(A23&lt;'01_Run_Config'!$B$32,"—",IF(A23&lt;'01_Run_Config'!$B$33,"G"&amp;MIN(4,INT((A23-'01_Run_Config'!$B$32)/7)+1),AM23))</x:f>
        <x:v>G3</x:v>
      </x:c>
      <x:c r="AK23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23" s="60" t="str">
        <x:f>IF(A23&lt;'01_Run_Config'!$B$33,"",A23-'01_Run_Config'!$B$33+1)</x:f>
      </x:c>
      <x:c r="AM23" s="60" t="str">
        <x:f>IF(AL23="","",IF(AL23&gt;49,CHAR(66)&amp;"7+",CHAR(66)&amp;TEXT(INT((AL23-1)/7)+1,"0")))</x:f>
      </x:c>
      <x:c r="AN23" s="60" t="n">
        <x:f>ROUND(0.6108*EXP(17.27*L23/(L23+237.3))*(1-N23/100),2)</x:f>
        <x:v>1.24</x:v>
      </x:c>
      <x:c r="AO23" s="60" t="n">
        <x:f>H23*G23/1000</x:f>
        <x:v>1.35</x:v>
      </x:c>
      <x:c r="AP23" s="60" t="n">
        <x:f>SUM($AO$2:AO23)</x:f>
        <x:v>21.420000000000005</x:v>
      </x:c>
      <x:c r="AQ23" t="n">
        <x:f>'01_Run_Config'!$B$17</x:f>
        <x:v>0</x:v>
      </x:c>
      <x:c r="AR23" t="n">
        <x:f>'01_Run_Config'!$B$22</x:f>
        <x:v>0</x:v>
      </x:c>
      <x:c r="AS23" t="n">
        <x:f>'01_Run_Config'!$B$25</x:f>
        <x:v>0</x:v>
      </x:c>
      <x:c r="AT23" t="n">
        <x:f>IF(AND('01_Run_Config'!$B$46="Voodoo + Piranha + Tarantula",AC23&gt;0),2,0)</x:f>
        <x:v>0</x:v>
      </x:c>
      <x:c r="AU23" t="n">
        <x:f>IF(AND(OR('01_Run_Config'!$B$46="Voodoo + Tarantula",'01_Run_Config'!$B$46="Voodoo + Piranha + Tarantula"),AC23&gt;0),2,0)</x:f>
        <x:v>0</x:v>
      </x:c>
      <x:c r="AV23" t="n">
        <x:f>IF('01_Run_Config'!$B$47&lt;&gt;"ON / A-B",0,IF(OR(AND(A23&gt;='01_Run_Config'!$B$32,A23&lt;'01_Run_Config'!$B$33),AND(ISNUMBER(AL23),AL23&gt;=15,AL23&lt;=49)),2,0))</x:f>
        <x:v>0</x:v>
      </x:c>
      <x:c r="AW23" t="n">
        <x:f>IF('01_Run_Config'!$B$48="AN Bud Candy (replaces HESI Boost)",IF(AND(A23&gt;='01_Run_Config'!$B$32,OR(AL23="",AL23&lt;=49)),2,0),0)</x:f>
        <x:v>0</x:v>
      </x:c>
      <x:c r="AX23" t="n">
        <x:f>IF('01_Run_Config'!$B$49&lt;&gt;"ON / EXPERIMENTAL",0,IF(OR(AND(A23&gt;='01_Run_Config'!$B$32+7,A23&lt;'01_Run_Config'!$B$33),AND(ISNUMBER(AL23),AL23&gt;=1,AL23&lt;=49)),2,0))</x:f>
        <x:v>0</x:v>
      </x:c>
      <x:c r="AY23" t="n">
        <x:f>IF('01_Run_Config'!$B$50="AN Sensizym",IF(AND(A23&gt;='01_Run_Config'!$B$32,OR(AL23="",AL23&lt;=49)),2,0),0)</x:f>
        <x:v>0</x:v>
      </x:c>
      <x:c r="AZ23" t="n">
        <x:f>IF('01_Run_Config'!$B$51="AN Rhino Skin",IF(AND(A23&gt;='01_Run_Config'!$B$32,OR(AL23="",AL23&lt;=49)),2,0),0)</x:f>
        <x:v>0</x:v>
      </x:c>
      <x:c r="BA23" t="n">
        <x:f>IF(AND('01_Run_Config'!$B$52="AN Bud Ignitor &gt; Big Bud &gt; Overdrive",ISNUMBER(AL23),AL23&gt;=1,AL23&lt;=14),2,0)</x:f>
        <x:v>0</x:v>
      </x:c>
      <x:c r="BB23" t="n">
        <x:f>IF(AND('01_Run_Config'!$B$52="AN Bud Ignitor &gt; Big Bud &gt; Overdrive",ISNUMBER(AL23),AL23&gt;=8,AL23&lt;=35),2,0)</x:f>
        <x:v>0</x:v>
      </x:c>
      <x:c r="BC23" t="n">
        <x:f>IF(AND('01_Run_Config'!$B$52="AN Bud Ignitor &gt; Big Bud &gt; Overdrive",ISNUMBER(AL23),AL23&gt;=36,AL23&lt;=49),2,0)</x:f>
        <x:v>0</x:v>
      </x:c>
      <x:c r="BD23" t="n">
        <x:f>IF('01_Run_Config'!$B$53="ON / EXPERIMENTAL",IF(OR(AND(A23&gt;='01_Run_Config'!$B$32,A23&lt;'01_Run_Config'!$B$33),AND(ISNUMBER(AL23),AL23&gt;=15,AL23&lt;=49)),2,0),0)</x:f>
        <x:v>0</x:v>
      </x:c>
      <x:c r="BE23" t="n">
        <x:f>IF('01_Run_Config'!$B$54="AN Sensi CalMag Xtra conditional",'01_Run_Config'!$B$17,0)</x:f>
        <x:v>0</x:v>
      </x:c>
      <x:c r="BF23" t="n">
        <x:f>0</x:f>
        <x:v>0</x:v>
      </x:c>
      <x:c r="BG23" t="str">
        <x:f>'01_Run_Config'!$E$57</x:f>
        <x:v>OK</x:v>
      </x:c>
      <x:c r="BH23" t="str">
        <x:f>IF(SUM(AC23,AT23:BF23)=0,"keine AN-Dosis heute",IF(AC23&gt;0,"Voodoo "&amp;AC23&amp;" ml/L; ","")&amp;IF(AT23&gt;0,"Piranha "&amp;AT23&amp;" ml/L; ","")&amp;IF(AU23&gt;0,"Tarantula "&amp;AU23&amp;" ml/L; ","")&amp;IF(AV23&gt;0,"B-52 "&amp;AV23&amp;" ml/L; ","")&amp;IF(AW23&gt;0,"Bud Candy "&amp;AW23&amp;" ml/L; ","")&amp;IF(AX23&gt;0,"Bud Factor X "&amp;AX23&amp;" ml/L; ","")&amp;IF(AY23&gt;0,"Sensizym "&amp;AY23&amp;" ml/L; ","")&amp;IF(AZ23&gt;0,"Rhino Skin "&amp;AZ23&amp;" ml/L; ","")&amp;IF(BA23&gt;0,"Bud Ignitor "&amp;BA23&amp;" ml/L; ","")&amp;IF(BB23&gt;0,"Big Bud "&amp;BB23&amp;" ml/L; ","")&amp;IF(BC23&gt;0,"Overdrive "&amp;BC23&amp;" ml/L; ","")&amp;IF(BD23&gt;0,"Tasty Terpenes "&amp;BD23&amp;" ml/L; ","")&amp;IF(BE23&gt;0,"Sensi CalMag "&amp;BE23&amp;" ml/L",""))</x:f>
        <x:v>keine AN-Dosis heute</x:v>
      </x:c>
    </x:row>
    <x:row r="24">
      <x:c r="A24" s="34" t="n">
        <x:v>22</x:v>
      </x:c>
      <x:c r="B24" s="129" t="n">
        <x:f>'01_Run_Config'!$B$4+A24</x:f>
        <x:v>46264</x:v>
      </x:c>
      <x:c r="C24" s="63" t="n">
        <x:f>INT(A24/7)+1</x:f>
        <x:v>4</x:v>
      </x:c>
      <x:c r="D24" s="63" t="str">
        <x:f>"M"&amp;MIN(3,INT(A24/30)+1)</x:f>
        <x:v>M1</x:v>
      </x:c>
      <x:c r="E24" s="63" t="str">
        <x:f>IF(A24&lt;4,"Keimung",IF(A24&lt;8,"Etablierung",IF(A24&lt;15,"Early Veg",IF(A24&lt;'01_Run_Config'!$B$33,IF(A24&lt;22,"Veg / LST","Preflower-Watch"),IF(A24-'01_Run_Config'!$B$33&lt;=6,"Transition / Stretch ("&amp;AM24&amp;")",IF(A24-'01_Run_Config'!$B$33&lt;=13,"Early Flower ("&amp;AM24&amp;")",IF(A24-'01_Run_Config'!$B$33&lt;=20,"Flower I ("&amp;AM24&amp;")",IF(A24-'01_Run_Config'!$B$33&lt;=34,"Peak Flower ("&amp;AM24&amp;")",IF(A24-'01_Run_Config'!$B$33&lt;=41,"Late Flower ("&amp;AM24&amp;")",IF(A24-'01_Run_Config'!$B$33&lt;=48,"Ripening ("&amp;AM24&amp;")","Harvest / Extension ("&amp;AM24&amp;")"))))))))))</x:f>
        <x:v>Preflower-Watch</x:v>
      </x:c>
      <x:c r="F24" s="63" t="str">
        <x:f>IF(A24&lt;4,"Keimung + Wurzelstart",IF(A24&lt;8,"Sämling etablieren; Wurzelraum erschließen",IF(A24&lt;15,"kompakter Aufbau; LST erst bei Vitalität",IF(A24&lt;'01_Run_Config'!$B$33,"Canopy aufbauen; Preflower beobachten",IF(A24-'01_Run_Config'!$B$33&lt;=6,"Stretch kontrollieren; Bloom-Trigger dokumentieren",IF(A24-'01_Run_Config'!$B$33&lt;=13,"Blütenansatz stabilisieren",IF(A24-'01_Run_Config'!$B$33&lt;=20,"Blütenaufbau ohne neue Stressoren",IF(A24-'01_Run_Config'!$B$33&lt;=34,"stabile Peak-Photosynthese; Klima priorisieren",IF(A24-'01_Run_Config'!$B$33&lt;=41,"Qualität/Schimmelprävention",IF(A24-'01_Run_Config'!$B$33&lt;=48,"Reife ohne Überfütterung","Erntefenster nach Pflanze; keine Kalenderernte"))))))))))</x:f>
        <x:v>Canopy aufbauen; Preflower beobachten</x:v>
      </x:c>
      <x:c r="G24" s="63" t="n">
        <x:v>18</x:v>
      </x:c>
      <x:c r="H24" s="63" t="n">
        <x:v>95</x:v>
      </x:c>
      <x:c r="I24" s="63" t="n">
        <x:v>450</x:v>
      </x:c>
      <x:c r="J24" s="63" t="n">
        <x:f>I24*G24*3600/1000000</x:f>
        <x:v>29.16</x:v>
      </x:c>
      <x:c r="K24" s="63" t="n">
        <x:v>40</x:v>
      </x:c>
      <x:c r="L24" s="63" t="n">
        <x:v>25.5</x:v>
      </x:c>
      <x:c r="M24" s="63" t="n">
        <x:v>22</x:v>
      </x:c>
      <x:c r="N24" s="63" t="n">
        <x:v>58</x:v>
      </x:c>
      <x:c r="O24" s="63" t="n">
        <x:f>ROUND(0.6108*EXP(17.27*(L24+'01_Run_Config'!$B$34)/(L24+'01_Run_Config'!$B$34+237.3))-(N24/100)*0.6108*EXP(17.27*L24/(L24+237.3)),2)</x:f>
        <x:v>1.18</x:v>
      </x:c>
      <x:c r="P24" s="63" t="n">
        <x:f>IF(A24&lt;'01_Run_Config'!$B$32,0.55,IF(A24&lt;'01_Run_Config'!$B$33,IF(A24-'01_Run_Config'!$B$32&lt;=3,0.8,IF(A24-'01_Run_Config'!$B$32&lt;=10,1,IF(A24-'01_Run_Config'!$B$32&lt;=17,1.2,1.4))),IF(A24-'01_Run_Config'!$B$33&lt;=6,1.5,IF(A24-'01_Run_Config'!$B$33&lt;=13,1.6,IF(A24-'01_Run_Config'!$B$33&lt;=20,1.7,IF(A24-'01_Run_Config'!$B$33&lt;=34,1.8,IF(A24-'01_Run_Config'!$B$33&lt;=41,1.6,IF(A24-'01_Run_Config'!$B$33&lt;=48,1.4,1.15))))))))</x:f>
        <x:v>1.4</x:v>
      </x:c>
      <x:c r="Q24" s="63" t="n">
        <x:v>5.9</x:v>
      </x:c>
      <x:c r="R24" s="63" t="n">
        <x:v>0.4</x:v>
      </x:c>
      <x:c r="S24" s="63" t="n">
        <x:v>0.7</x:v>
      </x:c>
      <x:c r="T24" s="63" t="str">
        <x:f>IF(A24&lt;=7,"Manuell",'01_Run_Config'!$B$40)</x:f>
        <x:v>Manuell / indoor-freigegebene Automation</x:v>
      </x:c>
      <x:c r="U24" s="63" t="str">
        <x:f>IF(A24&lt;'01_Run_Config'!$B$32,"Kein Basisdünger",IF(A24&lt;'01_Run_Config'!$B$33,"HESI TNT","HESI Coco"))</x:f>
        <x:v>HESI TNT</x:v>
      </x:c>
      <x:c r="V24" s="63" t="n">
        <x:f>IF(A24&lt;'01_Run_Config'!$B$32,0,IF(A24&lt;'01_Run_Config'!$B$33,IF(A24-'01_Run_Config'!$B$32&lt;=3,1.25,IF(A24-'01_Run_Config'!$B$32&lt;=10,2,2.5)),IF(A24-'01_Run_Config'!$B$33&lt;=6,2.5,IF(A24-'01_Run_Config'!$B$33&lt;=13,3.25,IF(A24-'01_Run_Config'!$B$33&lt;=20,3.75,IF(A24-'01_Run_Config'!$B$33&lt;=34,4,IF(A24-'01_Run_Config'!$B$33&lt;=41,3.5,IF(A24-'01_Run_Config'!$B$33&lt;=48,2.5,1.5))))))))</x:f>
        <x:v>2.5</x:v>
      </x:c>
      <x:c r="W24" s="63" t="n">
        <x:f>IF(A24&lt;=14,2.5,0)</x:f>
        <x:v>0</x:v>
      </x:c>
      <x:c r="X24" s="63" t="n">
        <x:f>IF('01_Run_Config'!$B$50="AN Sensizym",0,IF(AND(A24&gt;='01_Run_Config'!$B$32,OR(AL24="",AL24&lt;=49)),2,0))</x:f>
        <x:v>2</x:v>
      </x:c>
      <x:c r="Y24" s="63" t="n">
        <x:f>0.015</x:f>
        <x:v>0.015</x:v>
      </x:c>
      <x:c r="Z24" s="63" t="n">
        <x:f>IF('01_Run_Config'!$B$51="HESI Hesilicio",2,0)</x:f>
        <x:v>0</x:v>
      </x:c>
      <x:c r="AA24" s="63" t="n">
        <x:f>IF('01_Run_Config'!$B$48="AN Bud Candy (replaces HESI Boost)",0,IF(AND(A24&gt;='01_Run_Config'!$B$33,MOD(A24-'01_Run_Config'!$B$33,7)=0),2,0))</x:f>
        <x:v>0</x:v>
      </x:c>
      <x:c r="AB24" s="63" t="n">
        <x:f>IF('01_Run_Config'!$B$52="AN Bud Ignitor &gt; Big Bud &gt; Overdrive",0,IF(AND(ISNUMBER(AL24),AL24&gt;=29,AL24&lt;=42),0.25+((AL24-29)/13)*0.25,0))</x:f>
        <x:v>0</x:v>
      </x:c>
      <x:c r="AC24" s="63" t="n">
        <x:f>IF('01_Run_Config'!$B$46="OFF",0,IF(OR(A24='01_Run_Config'!$B$32,A24='01_Run_Config'!$B$32+7,A24='01_Run_Config'!$B$33+1,A24='01_Run_Config'!$B$33+8),2,0))</x:f>
        <x:v>0</x:v>
      </x:c>
      <x:c r="AD24" s="63" t="str">
        <x:f>IF(BG24="BLOCK","HYBRID BLOCKED - Konfiguration prüfen",IF(SUM(AC24,AT24:BF24)&gt;0,"AN aktiv: "&amp;BH24,"AN: keine Dosis heute / Module aus"))</x:f>
        <x:v>AN: keine Dosis heute / Module aus</x:v>
      </x:c>
      <x:c r="AE24" s="63" t="str">
        <x:v>Letzte strukturelle Korrekturen</x:v>
      </x:c>
      <x:c r="AF24" s="63" t="str">
        <x:v>Morgens Klima/Pflanze/Bewässerung/Leck; Mitte Lichtphase Blattwinkel; vor Dunkel LF/Drain/stehendes Wasser.</x:v>
      </x:c>
      <x:c r="AG24" s="63" t="str">
        <x:v>EC nicht erhöhen bei steigender Diagnose-Drain-EC; PPFD nicht erhöhen bei Stress; Wasserband nie erzwingen; nie mehrere neue Booster gleichzeitig.</x:v>
      </x:c>
      <x:c r="AH24" s="35" t="str">
        <x:f>"UKD v9 evidence-guarded: Planwerte sind Ziele/Eligibility, keine automatische Freigabe. Eazy Plug/Block ist vorgepuffert; früher Basisfeed bleibt vom Propagation-/Pflanzengate abhängig. Messdaten und Safety-Gates überschreiben Kalender."</x:f>
        <x:v>UKD v9 evidence-guarded: Planwerte sind Ziele/Eligibility, keine automatische Freigabe. Eazy Plug/Block ist vorgepuffert; früher Basisfeed bleibt vom Propagation-/Pflanzengate abhängig. Messdaten und Safety-Gates überschreiben Kalender.</x:v>
      </x:c>
      <x:c r="AI24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24" s="201" t="str">
        <x:f>IF(A24&lt;'01_Run_Config'!$B$32,"—",IF(A24&lt;'01_Run_Config'!$B$33,"G"&amp;MIN(4,INT((A24-'01_Run_Config'!$B$32)/7)+1),AM24))</x:f>
        <x:v>G3</x:v>
      </x:c>
      <x:c r="AK24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24" s="60" t="str">
        <x:f>IF(A24&lt;'01_Run_Config'!$B$33,"",A24-'01_Run_Config'!$B$33+1)</x:f>
      </x:c>
      <x:c r="AM24" s="60" t="str">
        <x:f>IF(AL24="","",IF(AL24&gt;49,CHAR(66)&amp;"7+",CHAR(66)&amp;TEXT(INT((AL24-1)/7)+1,"0")))</x:f>
      </x:c>
      <x:c r="AN24" s="60" t="n">
        <x:f>ROUND(0.6108*EXP(17.27*L24/(L24+237.3))*(1-N24/100),2)</x:f>
        <x:v>1.37</x:v>
      </x:c>
      <x:c r="AO24" s="60" t="n">
        <x:f>H24*G24/1000</x:f>
        <x:v>1.71</x:v>
      </x:c>
      <x:c r="AP24" s="60" t="n">
        <x:f>SUM($AO$2:AO24)</x:f>
        <x:v>23.130000000000006</x:v>
      </x:c>
      <x:c r="AQ24" t="n">
        <x:f>'01_Run_Config'!$B$17</x:f>
        <x:v>0</x:v>
      </x:c>
      <x:c r="AR24" t="n">
        <x:f>'01_Run_Config'!$B$22</x:f>
        <x:v>0</x:v>
      </x:c>
      <x:c r="AS24" t="n">
        <x:f>'01_Run_Config'!$B$25</x:f>
        <x:v>0</x:v>
      </x:c>
      <x:c r="AT24" t="n">
        <x:f>IF(AND('01_Run_Config'!$B$46="Voodoo + Piranha + Tarantula",AC24&gt;0),2,0)</x:f>
        <x:v>0</x:v>
      </x:c>
      <x:c r="AU24" t="n">
        <x:f>IF(AND(OR('01_Run_Config'!$B$46="Voodoo + Tarantula",'01_Run_Config'!$B$46="Voodoo + Piranha + Tarantula"),AC24&gt;0),2,0)</x:f>
        <x:v>0</x:v>
      </x:c>
      <x:c r="AV24" t="n">
        <x:f>IF('01_Run_Config'!$B$47&lt;&gt;"ON / A-B",0,IF(OR(AND(A24&gt;='01_Run_Config'!$B$32,A24&lt;'01_Run_Config'!$B$33),AND(ISNUMBER(AL24),AL24&gt;=15,AL24&lt;=49)),2,0))</x:f>
        <x:v>0</x:v>
      </x:c>
      <x:c r="AW24" t="n">
        <x:f>IF('01_Run_Config'!$B$48="AN Bud Candy (replaces HESI Boost)",IF(AND(A24&gt;='01_Run_Config'!$B$32,OR(AL24="",AL24&lt;=49)),2,0),0)</x:f>
        <x:v>0</x:v>
      </x:c>
      <x:c r="AX24" t="n">
        <x:f>IF('01_Run_Config'!$B$49&lt;&gt;"ON / EXPERIMENTAL",0,IF(OR(AND(A24&gt;='01_Run_Config'!$B$32+7,A24&lt;'01_Run_Config'!$B$33),AND(ISNUMBER(AL24),AL24&gt;=1,AL24&lt;=49)),2,0))</x:f>
        <x:v>0</x:v>
      </x:c>
      <x:c r="AY24" t="n">
        <x:f>IF('01_Run_Config'!$B$50="AN Sensizym",IF(AND(A24&gt;='01_Run_Config'!$B$32,OR(AL24="",AL24&lt;=49)),2,0),0)</x:f>
        <x:v>0</x:v>
      </x:c>
      <x:c r="AZ24" t="n">
        <x:f>IF('01_Run_Config'!$B$51="AN Rhino Skin",IF(AND(A24&gt;='01_Run_Config'!$B$32,OR(AL24="",AL24&lt;=49)),2,0),0)</x:f>
        <x:v>0</x:v>
      </x:c>
      <x:c r="BA24" t="n">
        <x:f>IF(AND('01_Run_Config'!$B$52="AN Bud Ignitor &gt; Big Bud &gt; Overdrive",ISNUMBER(AL24),AL24&gt;=1,AL24&lt;=14),2,0)</x:f>
        <x:v>0</x:v>
      </x:c>
      <x:c r="BB24" t="n">
        <x:f>IF(AND('01_Run_Config'!$B$52="AN Bud Ignitor &gt; Big Bud &gt; Overdrive",ISNUMBER(AL24),AL24&gt;=8,AL24&lt;=35),2,0)</x:f>
        <x:v>0</x:v>
      </x:c>
      <x:c r="BC24" t="n">
        <x:f>IF(AND('01_Run_Config'!$B$52="AN Bud Ignitor &gt; Big Bud &gt; Overdrive",ISNUMBER(AL24),AL24&gt;=36,AL24&lt;=49),2,0)</x:f>
        <x:v>0</x:v>
      </x:c>
      <x:c r="BD24" t="n">
        <x:f>IF('01_Run_Config'!$B$53="ON / EXPERIMENTAL",IF(OR(AND(A24&gt;='01_Run_Config'!$B$32,A24&lt;'01_Run_Config'!$B$33),AND(ISNUMBER(AL24),AL24&gt;=15,AL24&lt;=49)),2,0),0)</x:f>
        <x:v>0</x:v>
      </x:c>
      <x:c r="BE24" t="n">
        <x:f>IF('01_Run_Config'!$B$54="AN Sensi CalMag Xtra conditional",'01_Run_Config'!$B$17,0)</x:f>
        <x:v>0</x:v>
      </x:c>
      <x:c r="BF24" t="n">
        <x:f>0</x:f>
        <x:v>0</x:v>
      </x:c>
      <x:c r="BG24" t="str">
        <x:f>'01_Run_Config'!$E$57</x:f>
        <x:v>OK</x:v>
      </x:c>
      <x:c r="BH24" t="str">
        <x:f>IF(SUM(AC24,AT24:BF24)=0,"keine AN-Dosis heute",IF(AC24&gt;0,"Voodoo "&amp;AC24&amp;" ml/L; ","")&amp;IF(AT24&gt;0,"Piranha "&amp;AT24&amp;" ml/L; ","")&amp;IF(AU24&gt;0,"Tarantula "&amp;AU24&amp;" ml/L; ","")&amp;IF(AV24&gt;0,"B-52 "&amp;AV24&amp;" ml/L; ","")&amp;IF(AW24&gt;0,"Bud Candy "&amp;AW24&amp;" ml/L; ","")&amp;IF(AX24&gt;0,"Bud Factor X "&amp;AX24&amp;" ml/L; ","")&amp;IF(AY24&gt;0,"Sensizym "&amp;AY24&amp;" ml/L; ","")&amp;IF(AZ24&gt;0,"Rhino Skin "&amp;AZ24&amp;" ml/L; ","")&amp;IF(BA24&gt;0,"Bud Ignitor "&amp;BA24&amp;" ml/L; ","")&amp;IF(BB24&gt;0,"Big Bud "&amp;BB24&amp;" ml/L; ","")&amp;IF(BC24&gt;0,"Overdrive "&amp;BC24&amp;" ml/L; ","")&amp;IF(BD24&gt;0,"Tasty Terpenes "&amp;BD24&amp;" ml/L; ","")&amp;IF(BE24&gt;0,"Sensi CalMag "&amp;BE24&amp;" ml/L",""))</x:f>
        <x:v>keine AN-Dosis heute</x:v>
      </x:c>
    </x:row>
    <x:row r="25">
      <x:c r="A25" s="34" t="n">
        <x:v>23</x:v>
      </x:c>
      <x:c r="B25" s="129" t="n">
        <x:f>'01_Run_Config'!$B$4+A25</x:f>
        <x:v>46265</x:v>
      </x:c>
      <x:c r="C25" s="63" t="n">
        <x:f>INT(A25/7)+1</x:f>
        <x:v>4</x:v>
      </x:c>
      <x:c r="D25" s="63" t="str">
        <x:f>"M"&amp;MIN(3,INT(A25/30)+1)</x:f>
        <x:v>M1</x:v>
      </x:c>
      <x:c r="E25" s="63" t="str">
        <x:f>IF(A25&lt;4,"Keimung",IF(A25&lt;8,"Etablierung",IF(A25&lt;15,"Early Veg",IF(A25&lt;'01_Run_Config'!$B$33,IF(A25&lt;22,"Veg / LST","Preflower-Watch"),IF(A25-'01_Run_Config'!$B$33&lt;=6,"Transition / Stretch ("&amp;AM25&amp;")",IF(A25-'01_Run_Config'!$B$33&lt;=13,"Early Flower ("&amp;AM25&amp;")",IF(A25-'01_Run_Config'!$B$33&lt;=20,"Flower I ("&amp;AM25&amp;")",IF(A25-'01_Run_Config'!$B$33&lt;=34,"Peak Flower ("&amp;AM25&amp;")",IF(A25-'01_Run_Config'!$B$33&lt;=41,"Late Flower ("&amp;AM25&amp;")",IF(A25-'01_Run_Config'!$B$33&lt;=48,"Ripening ("&amp;AM25&amp;")","Harvest / Extension ("&amp;AM25&amp;")"))))))))))</x:f>
        <x:v>Preflower-Watch</x:v>
      </x:c>
      <x:c r="F25" s="63" t="str">
        <x:f>IF(A25&lt;4,"Keimung + Wurzelstart",IF(A25&lt;8,"Sämling etablieren; Wurzelraum erschließen",IF(A25&lt;15,"kompakter Aufbau; LST erst bei Vitalität",IF(A25&lt;'01_Run_Config'!$B$33,"Canopy aufbauen; Preflower beobachten",IF(A25-'01_Run_Config'!$B$33&lt;=6,"Stretch kontrollieren; Bloom-Trigger dokumentieren",IF(A25-'01_Run_Config'!$B$33&lt;=13,"Blütenansatz stabilisieren",IF(A25-'01_Run_Config'!$B$33&lt;=20,"Blütenaufbau ohne neue Stressoren",IF(A25-'01_Run_Config'!$B$33&lt;=34,"stabile Peak-Photosynthese; Klima priorisieren",IF(A25-'01_Run_Config'!$B$33&lt;=41,"Qualität/Schimmelprävention",IF(A25-'01_Run_Config'!$B$33&lt;=48,"Reife ohne Überfütterung","Erntefenster nach Pflanze; keine Kalenderernte"))))))))))</x:f>
        <x:v>Canopy aufbauen; Preflower beobachten</x:v>
      </x:c>
      <x:c r="G25" s="63" t="n">
        <x:v>18</x:v>
      </x:c>
      <x:c r="H25" s="63" t="n">
        <x:v>95</x:v>
      </x:c>
      <x:c r="I25" s="63" t="n">
        <x:v>450</x:v>
      </x:c>
      <x:c r="J25" s="63" t="n">
        <x:f>I25*G25*3600/1000000</x:f>
        <x:v>29.16</x:v>
      </x:c>
      <x:c r="K25" s="63" t="n">
        <x:v>40</x:v>
      </x:c>
      <x:c r="L25" s="63" t="n">
        <x:v>25.5</x:v>
      </x:c>
      <x:c r="M25" s="63" t="n">
        <x:v>22</x:v>
      </x:c>
      <x:c r="N25" s="63" t="n">
        <x:v>58</x:v>
      </x:c>
      <x:c r="O25" s="63" t="n">
        <x:f>ROUND(0.6108*EXP(17.27*(L25+'01_Run_Config'!$B$34)/(L25+'01_Run_Config'!$B$34+237.3))-(N25/100)*0.6108*EXP(17.27*L25/(L25+237.3)),2)</x:f>
        <x:v>1.18</x:v>
      </x:c>
      <x:c r="P25" s="63" t="n">
        <x:f>IF(A25&lt;'01_Run_Config'!$B$32,0.55,IF(A25&lt;'01_Run_Config'!$B$33,IF(A25-'01_Run_Config'!$B$32&lt;=3,0.8,IF(A25-'01_Run_Config'!$B$32&lt;=10,1,IF(A25-'01_Run_Config'!$B$32&lt;=17,1.2,1.4))),IF(A25-'01_Run_Config'!$B$33&lt;=6,1.5,IF(A25-'01_Run_Config'!$B$33&lt;=13,1.6,IF(A25-'01_Run_Config'!$B$33&lt;=20,1.7,IF(A25-'01_Run_Config'!$B$33&lt;=34,1.8,IF(A25-'01_Run_Config'!$B$33&lt;=41,1.6,IF(A25-'01_Run_Config'!$B$33&lt;=48,1.4,1.15))))))))</x:f>
        <x:v>1.4</x:v>
      </x:c>
      <x:c r="Q25" s="63" t="n">
        <x:v>5.9</x:v>
      </x:c>
      <x:c r="R25" s="63" t="n">
        <x:v>0.4</x:v>
      </x:c>
      <x:c r="S25" s="63" t="n">
        <x:v>0.7</x:v>
      </x:c>
      <x:c r="T25" s="63" t="str">
        <x:f>IF(A25&lt;=7,"Manuell",'01_Run_Config'!$B$40)</x:f>
        <x:v>Manuell / indoor-freigegebene Automation</x:v>
      </x:c>
      <x:c r="U25" s="63" t="str">
        <x:f>IF(A25&lt;'01_Run_Config'!$B$32,"Kein Basisdünger",IF(A25&lt;'01_Run_Config'!$B$33,"HESI TNT","HESI Coco"))</x:f>
        <x:v>HESI TNT</x:v>
      </x:c>
      <x:c r="V25" s="63" t="n">
        <x:f>IF(A25&lt;'01_Run_Config'!$B$32,0,IF(A25&lt;'01_Run_Config'!$B$33,IF(A25-'01_Run_Config'!$B$32&lt;=3,1.25,IF(A25-'01_Run_Config'!$B$32&lt;=10,2,2.5)),IF(A25-'01_Run_Config'!$B$33&lt;=6,2.5,IF(A25-'01_Run_Config'!$B$33&lt;=13,3.25,IF(A25-'01_Run_Config'!$B$33&lt;=20,3.75,IF(A25-'01_Run_Config'!$B$33&lt;=34,4,IF(A25-'01_Run_Config'!$B$33&lt;=41,3.5,IF(A25-'01_Run_Config'!$B$33&lt;=48,2.5,1.5))))))))</x:f>
        <x:v>2.5</x:v>
      </x:c>
      <x:c r="W25" s="63" t="n">
        <x:f>IF(A25&lt;=14,2.5,0)</x:f>
        <x:v>0</x:v>
      </x:c>
      <x:c r="X25" s="63" t="n">
        <x:f>IF('01_Run_Config'!$B$50="AN Sensizym",0,IF(AND(A25&gt;='01_Run_Config'!$B$32,OR(AL25="",AL25&lt;=49)),2,0))</x:f>
        <x:v>2</x:v>
      </x:c>
      <x:c r="Y25" s="63" t="n">
        <x:f>0.015</x:f>
        <x:v>0.015</x:v>
      </x:c>
      <x:c r="Z25" s="63" t="n">
        <x:f>IF('01_Run_Config'!$B$51="HESI Hesilicio",2,0)</x:f>
        <x:v>0</x:v>
      </x:c>
      <x:c r="AA25" s="63" t="n">
        <x:f>IF('01_Run_Config'!$B$48="AN Bud Candy (replaces HESI Boost)",0,IF(AND(A25&gt;='01_Run_Config'!$B$33,MOD(A25-'01_Run_Config'!$B$33,7)=0),2,0))</x:f>
        <x:v>0</x:v>
      </x:c>
      <x:c r="AB25" s="63" t="n">
        <x:f>IF('01_Run_Config'!$B$52="AN Bud Ignitor &gt; Big Bud &gt; Overdrive",0,IF(AND(ISNUMBER(AL25),AL25&gt;=29,AL25&lt;=42),0.25+((AL25-29)/13)*0.25,0))</x:f>
        <x:v>0</x:v>
      </x:c>
      <x:c r="AC25" s="63" t="n">
        <x:f>IF('01_Run_Config'!$B$46="OFF",0,IF(OR(A25='01_Run_Config'!$B$32,A25='01_Run_Config'!$B$32+7,A25='01_Run_Config'!$B$33+1,A25='01_Run_Config'!$B$33+8),2,0))</x:f>
        <x:v>0</x:v>
      </x:c>
      <x:c r="AD25" s="63" t="str">
        <x:f>IF(BG25="BLOCK","HYBRID BLOCKED - Konfiguration prüfen",IF(SUM(AC25,AT25:BF25)&gt;0,"AN aktiv: "&amp;BH25,"AN: keine Dosis heute / Module aus"))</x:f>
        <x:v>AN: keine Dosis heute / Module aus</x:v>
      </x:c>
      <x:c r="AE25" s="63" t="str">
        <x:v>Letzte strukturelle Korrekturen</x:v>
      </x:c>
      <x:c r="AF25" s="63" t="str">
        <x:v>Morgens Klima/Pflanze/Bewässerung/Leck; Mitte Lichtphase Blattwinkel; vor Dunkel LF/Drain/stehendes Wasser.</x:v>
      </x:c>
      <x:c r="AG25" s="63" t="str">
        <x:v>EC nicht erhöhen bei steigender Diagnose-Drain-EC; PPFD nicht erhöhen bei Stress; Wasserband nie erzwingen; nie mehrere neue Booster gleichzeitig.</x:v>
      </x:c>
      <x:c r="AH25" s="35" t="str">
        <x:f>"UKD v9 evidence-guarded: Planwerte sind Ziele/Eligibility, keine automatische Freigabe. Eazy Plug/Block ist vorgepuffert; früher Basisfeed bleibt vom Propagation-/Pflanzengate abhängig. Messdaten und Safety-Gates überschreiben Kalender."</x:f>
        <x:v>UKD v9 evidence-guarded: Planwerte sind Ziele/Eligibility, keine automatische Freigabe. Eazy Plug/Block ist vorgepuffert; früher Basisfeed bleibt vom Propagation-/Pflanzengate abhängig. Messdaten und Safety-Gates überschreiben Kalender.</x:v>
      </x:c>
      <x:c r="AI25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25" s="201" t="str">
        <x:f>IF(A25&lt;'01_Run_Config'!$B$32,"—",IF(A25&lt;'01_Run_Config'!$B$33,"G"&amp;MIN(4,INT((A25-'01_Run_Config'!$B$32)/7)+1),AM25))</x:f>
        <x:v>G3</x:v>
      </x:c>
      <x:c r="AK25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25" s="60" t="str">
        <x:f>IF(A25&lt;'01_Run_Config'!$B$33,"",A25-'01_Run_Config'!$B$33+1)</x:f>
      </x:c>
      <x:c r="AM25" s="60" t="str">
        <x:f>IF(AL25="","",IF(AL25&gt;49,CHAR(66)&amp;"7+",CHAR(66)&amp;TEXT(INT((AL25-1)/7)+1,"0")))</x:f>
      </x:c>
      <x:c r="AN25" s="60" t="n">
        <x:f>ROUND(0.6108*EXP(17.27*L25/(L25+237.3))*(1-N25/100),2)</x:f>
        <x:v>1.37</x:v>
      </x:c>
      <x:c r="AO25" s="60" t="n">
        <x:f>H25*G25/1000</x:f>
        <x:v>1.71</x:v>
      </x:c>
      <x:c r="AP25" s="60" t="n">
        <x:f>SUM($AO$2:AO25)</x:f>
        <x:v>24.840000000000007</x:v>
      </x:c>
      <x:c r="AQ25" t="n">
        <x:f>'01_Run_Config'!$B$17</x:f>
        <x:v>0</x:v>
      </x:c>
      <x:c r="AR25" t="n">
        <x:f>'01_Run_Config'!$B$22</x:f>
        <x:v>0</x:v>
      </x:c>
      <x:c r="AS25" t="n">
        <x:f>'01_Run_Config'!$B$25</x:f>
        <x:v>0</x:v>
      </x:c>
      <x:c r="AT25" t="n">
        <x:f>IF(AND('01_Run_Config'!$B$46="Voodoo + Piranha + Tarantula",AC25&gt;0),2,0)</x:f>
        <x:v>0</x:v>
      </x:c>
      <x:c r="AU25" t="n">
        <x:f>IF(AND(OR('01_Run_Config'!$B$46="Voodoo + Tarantula",'01_Run_Config'!$B$46="Voodoo + Piranha + Tarantula"),AC25&gt;0),2,0)</x:f>
        <x:v>0</x:v>
      </x:c>
      <x:c r="AV25" t="n">
        <x:f>IF('01_Run_Config'!$B$47&lt;&gt;"ON / A-B",0,IF(OR(AND(A25&gt;='01_Run_Config'!$B$32,A25&lt;'01_Run_Config'!$B$33),AND(ISNUMBER(AL25),AL25&gt;=15,AL25&lt;=49)),2,0))</x:f>
        <x:v>0</x:v>
      </x:c>
      <x:c r="AW25" t="n">
        <x:f>IF('01_Run_Config'!$B$48="AN Bud Candy (replaces HESI Boost)",IF(AND(A25&gt;='01_Run_Config'!$B$32,OR(AL25="",AL25&lt;=49)),2,0),0)</x:f>
        <x:v>0</x:v>
      </x:c>
      <x:c r="AX25" t="n">
        <x:f>IF('01_Run_Config'!$B$49&lt;&gt;"ON / EXPERIMENTAL",0,IF(OR(AND(A25&gt;='01_Run_Config'!$B$32+7,A25&lt;'01_Run_Config'!$B$33),AND(ISNUMBER(AL25),AL25&gt;=1,AL25&lt;=49)),2,0))</x:f>
        <x:v>0</x:v>
      </x:c>
      <x:c r="AY25" t="n">
        <x:f>IF('01_Run_Config'!$B$50="AN Sensizym",IF(AND(A25&gt;='01_Run_Config'!$B$32,OR(AL25="",AL25&lt;=49)),2,0),0)</x:f>
        <x:v>0</x:v>
      </x:c>
      <x:c r="AZ25" t="n">
        <x:f>IF('01_Run_Config'!$B$51="AN Rhino Skin",IF(AND(A25&gt;='01_Run_Config'!$B$32,OR(AL25="",AL25&lt;=49)),2,0),0)</x:f>
        <x:v>0</x:v>
      </x:c>
      <x:c r="BA25" t="n">
        <x:f>IF(AND('01_Run_Config'!$B$52="AN Bud Ignitor &gt; Big Bud &gt; Overdrive",ISNUMBER(AL25),AL25&gt;=1,AL25&lt;=14),2,0)</x:f>
        <x:v>0</x:v>
      </x:c>
      <x:c r="BB25" t="n">
        <x:f>IF(AND('01_Run_Config'!$B$52="AN Bud Ignitor &gt; Big Bud &gt; Overdrive",ISNUMBER(AL25),AL25&gt;=8,AL25&lt;=35),2,0)</x:f>
        <x:v>0</x:v>
      </x:c>
      <x:c r="BC25" t="n">
        <x:f>IF(AND('01_Run_Config'!$B$52="AN Bud Ignitor &gt; Big Bud &gt; Overdrive",ISNUMBER(AL25),AL25&gt;=36,AL25&lt;=49),2,0)</x:f>
        <x:v>0</x:v>
      </x:c>
      <x:c r="BD25" t="n">
        <x:f>IF('01_Run_Config'!$B$53="ON / EXPERIMENTAL",IF(OR(AND(A25&gt;='01_Run_Config'!$B$32,A25&lt;'01_Run_Config'!$B$33),AND(ISNUMBER(AL25),AL25&gt;=15,AL25&lt;=49)),2,0),0)</x:f>
        <x:v>0</x:v>
      </x:c>
      <x:c r="BE25" t="n">
        <x:f>IF('01_Run_Config'!$B$54="AN Sensi CalMag Xtra conditional",'01_Run_Config'!$B$17,0)</x:f>
        <x:v>0</x:v>
      </x:c>
      <x:c r="BF25" t="n">
        <x:f>0</x:f>
        <x:v>0</x:v>
      </x:c>
      <x:c r="BG25" t="str">
        <x:f>'01_Run_Config'!$E$57</x:f>
        <x:v>OK</x:v>
      </x:c>
      <x:c r="BH25" t="str">
        <x:f>IF(SUM(AC25,AT25:BF25)=0,"keine AN-Dosis heute",IF(AC25&gt;0,"Voodoo "&amp;AC25&amp;" ml/L; ","")&amp;IF(AT25&gt;0,"Piranha "&amp;AT25&amp;" ml/L; ","")&amp;IF(AU25&gt;0,"Tarantula "&amp;AU25&amp;" ml/L; ","")&amp;IF(AV25&gt;0,"B-52 "&amp;AV25&amp;" ml/L; ","")&amp;IF(AW25&gt;0,"Bud Candy "&amp;AW25&amp;" ml/L; ","")&amp;IF(AX25&gt;0,"Bud Factor X "&amp;AX25&amp;" ml/L; ","")&amp;IF(AY25&gt;0,"Sensizym "&amp;AY25&amp;" ml/L; ","")&amp;IF(AZ25&gt;0,"Rhino Skin "&amp;AZ25&amp;" ml/L; ","")&amp;IF(BA25&gt;0,"Bud Ignitor "&amp;BA25&amp;" ml/L; ","")&amp;IF(BB25&gt;0,"Big Bud "&amp;BB25&amp;" ml/L; ","")&amp;IF(BC25&gt;0,"Overdrive "&amp;BC25&amp;" ml/L; ","")&amp;IF(BD25&gt;0,"Tasty Terpenes "&amp;BD25&amp;" ml/L; ","")&amp;IF(BE25&gt;0,"Sensi CalMag "&amp;BE25&amp;" ml/L",""))</x:f>
        <x:v>keine AN-Dosis heute</x:v>
      </x:c>
    </x:row>
    <x:row r="26">
      <x:c r="A26" s="34" t="n">
        <x:v>24</x:v>
      </x:c>
      <x:c r="B26" s="129" t="n">
        <x:f>'01_Run_Config'!$B$4+A26</x:f>
        <x:v>46266</x:v>
      </x:c>
      <x:c r="C26" s="63" t="n">
        <x:f>INT(A26/7)+1</x:f>
        <x:v>4</x:v>
      </x:c>
      <x:c r="D26" s="63" t="str">
        <x:f>"M"&amp;MIN(3,INT(A26/30)+1)</x:f>
        <x:v>M1</x:v>
      </x:c>
      <x:c r="E26" s="63" t="str">
        <x:f>IF(A26&lt;4,"Keimung",IF(A26&lt;8,"Etablierung",IF(A26&lt;15,"Early Veg",IF(A26&lt;'01_Run_Config'!$B$33,IF(A26&lt;22,"Veg / LST","Preflower-Watch"),IF(A26-'01_Run_Config'!$B$33&lt;=6,"Transition / Stretch ("&amp;AM26&amp;")",IF(A26-'01_Run_Config'!$B$33&lt;=13,"Early Flower ("&amp;AM26&amp;")",IF(A26-'01_Run_Config'!$B$33&lt;=20,"Flower I ("&amp;AM26&amp;")",IF(A26-'01_Run_Config'!$B$33&lt;=34,"Peak Flower ("&amp;AM26&amp;")",IF(A26-'01_Run_Config'!$B$33&lt;=41,"Late Flower ("&amp;AM26&amp;")",IF(A26-'01_Run_Config'!$B$33&lt;=48,"Ripening ("&amp;AM26&amp;")","Harvest / Extension ("&amp;AM26&amp;")"))))))))))</x:f>
        <x:v>Preflower-Watch</x:v>
      </x:c>
      <x:c r="F26" s="63" t="str">
        <x:f>IF(A26&lt;4,"Keimung + Wurzelstart",IF(A26&lt;8,"Sämling etablieren; Wurzelraum erschließen",IF(A26&lt;15,"kompakter Aufbau; LST erst bei Vitalität",IF(A26&lt;'01_Run_Config'!$B$33,"Canopy aufbauen; Preflower beobachten",IF(A26-'01_Run_Config'!$B$33&lt;=6,"Stretch kontrollieren; Bloom-Trigger dokumentieren",IF(A26-'01_Run_Config'!$B$33&lt;=13,"Blütenansatz stabilisieren",IF(A26-'01_Run_Config'!$B$33&lt;=20,"Blütenaufbau ohne neue Stressoren",IF(A26-'01_Run_Config'!$B$33&lt;=34,"stabile Peak-Photosynthese; Klima priorisieren",IF(A26-'01_Run_Config'!$B$33&lt;=41,"Qualität/Schimmelprävention",IF(A26-'01_Run_Config'!$B$33&lt;=48,"Reife ohne Überfütterung","Erntefenster nach Pflanze; keine Kalenderernte"))))))))))</x:f>
        <x:v>Canopy aufbauen; Preflower beobachten</x:v>
      </x:c>
      <x:c r="G26" s="63" t="n">
        <x:v>18</x:v>
      </x:c>
      <x:c r="H26" s="63" t="n">
        <x:v>95</x:v>
      </x:c>
      <x:c r="I26" s="63" t="n">
        <x:v>450</x:v>
      </x:c>
      <x:c r="J26" s="63" t="n">
        <x:f>I26*G26*3600/1000000</x:f>
        <x:v>29.16</x:v>
      </x:c>
      <x:c r="K26" s="63" t="n">
        <x:v>40</x:v>
      </x:c>
      <x:c r="L26" s="63" t="n">
        <x:v>25.5</x:v>
      </x:c>
      <x:c r="M26" s="63" t="n">
        <x:v>22</x:v>
      </x:c>
      <x:c r="N26" s="63" t="n">
        <x:v>58</x:v>
      </x:c>
      <x:c r="O26" s="63" t="n">
        <x:f>ROUND(0.6108*EXP(17.27*(L26+'01_Run_Config'!$B$34)/(L26+'01_Run_Config'!$B$34+237.3))-(N26/100)*0.6108*EXP(17.27*L26/(L26+237.3)),2)</x:f>
        <x:v>1.18</x:v>
      </x:c>
      <x:c r="P26" s="63" t="n">
        <x:f>IF(A26&lt;'01_Run_Config'!$B$32,0.55,IF(A26&lt;'01_Run_Config'!$B$33,IF(A26-'01_Run_Config'!$B$32&lt;=3,0.8,IF(A26-'01_Run_Config'!$B$32&lt;=10,1,IF(A26-'01_Run_Config'!$B$32&lt;=17,1.2,1.4))),IF(A26-'01_Run_Config'!$B$33&lt;=6,1.5,IF(A26-'01_Run_Config'!$B$33&lt;=13,1.6,IF(A26-'01_Run_Config'!$B$33&lt;=20,1.7,IF(A26-'01_Run_Config'!$B$33&lt;=34,1.8,IF(A26-'01_Run_Config'!$B$33&lt;=41,1.6,IF(A26-'01_Run_Config'!$B$33&lt;=48,1.4,1.15))))))))</x:f>
        <x:v>1.4</x:v>
      </x:c>
      <x:c r="Q26" s="63" t="n">
        <x:v>5.9</x:v>
      </x:c>
      <x:c r="R26" s="63" t="n">
        <x:v>0.4</x:v>
      </x:c>
      <x:c r="S26" s="63" t="n">
        <x:v>0.7</x:v>
      </x:c>
      <x:c r="T26" s="63" t="str">
        <x:f>IF(A26&lt;=7,"Manuell",'01_Run_Config'!$B$40)</x:f>
        <x:v>Manuell / indoor-freigegebene Automation</x:v>
      </x:c>
      <x:c r="U26" s="63" t="str">
        <x:f>IF(A26&lt;'01_Run_Config'!$B$32,"Kein Basisdünger",IF(A26&lt;'01_Run_Config'!$B$33,"HESI TNT","HESI Coco"))</x:f>
        <x:v>HESI TNT</x:v>
      </x:c>
      <x:c r="V26" s="63" t="n">
        <x:f>IF(A26&lt;'01_Run_Config'!$B$32,0,IF(A26&lt;'01_Run_Config'!$B$33,IF(A26-'01_Run_Config'!$B$32&lt;=3,1.25,IF(A26-'01_Run_Config'!$B$32&lt;=10,2,2.5)),IF(A26-'01_Run_Config'!$B$33&lt;=6,2.5,IF(A26-'01_Run_Config'!$B$33&lt;=13,3.25,IF(A26-'01_Run_Config'!$B$33&lt;=20,3.75,IF(A26-'01_Run_Config'!$B$33&lt;=34,4,IF(A26-'01_Run_Config'!$B$33&lt;=41,3.5,IF(A26-'01_Run_Config'!$B$33&lt;=48,2.5,1.5))))))))</x:f>
        <x:v>2.5</x:v>
      </x:c>
      <x:c r="W26" s="63" t="n">
        <x:f>IF(A26&lt;=14,2.5,0)</x:f>
        <x:v>0</x:v>
      </x:c>
      <x:c r="X26" s="63" t="n">
        <x:f>IF('01_Run_Config'!$B$50="AN Sensizym",0,IF(AND(A26&gt;='01_Run_Config'!$B$32,OR(AL26="",AL26&lt;=49)),2,0))</x:f>
        <x:v>2</x:v>
      </x:c>
      <x:c r="Y26" s="63" t="n">
        <x:f>0.015</x:f>
        <x:v>0.015</x:v>
      </x:c>
      <x:c r="Z26" s="63" t="n">
        <x:f>IF('01_Run_Config'!$B$51="HESI Hesilicio",2,0)</x:f>
        <x:v>0</x:v>
      </x:c>
      <x:c r="AA26" s="63" t="n">
        <x:f>IF('01_Run_Config'!$B$48="AN Bud Candy (replaces HESI Boost)",0,IF(AND(A26&gt;='01_Run_Config'!$B$33,MOD(A26-'01_Run_Config'!$B$33,7)=0),2,0))</x:f>
        <x:v>0</x:v>
      </x:c>
      <x:c r="AB26" s="63" t="n">
        <x:f>IF('01_Run_Config'!$B$52="AN Bud Ignitor &gt; Big Bud &gt; Overdrive",0,IF(AND(ISNUMBER(AL26),AL26&gt;=29,AL26&lt;=42),0.25+((AL26-29)/13)*0.25,0))</x:f>
        <x:v>0</x:v>
      </x:c>
      <x:c r="AC26" s="63" t="n">
        <x:f>IF('01_Run_Config'!$B$46="OFF",0,IF(OR(A26='01_Run_Config'!$B$32,A26='01_Run_Config'!$B$32+7,A26='01_Run_Config'!$B$33+1,A26='01_Run_Config'!$B$33+8),2,0))</x:f>
        <x:v>0</x:v>
      </x:c>
      <x:c r="AD26" s="63" t="str">
        <x:f>IF(BG26="BLOCK","HYBRID BLOCKED - Konfiguration prüfen",IF(SUM(AC26,AT26:BF26)&gt;0,"AN aktiv: "&amp;BH26,"AN: keine Dosis heute / Module aus"))</x:f>
        <x:v>AN: keine Dosis heute / Module aus</x:v>
      </x:c>
      <x:c r="AE26" s="63" t="str">
        <x:v>Letzte strukturelle Korrekturen</x:v>
      </x:c>
      <x:c r="AF26" s="63" t="str">
        <x:v>Morgens Klima/Pflanze/Bewässerung/Leck; Mitte Lichtphase Blattwinkel; vor Dunkel LF/Drain/stehendes Wasser.</x:v>
      </x:c>
      <x:c r="AG26" s="63" t="str">
        <x:v>EC nicht erhöhen bei steigender Diagnose-Drain-EC; PPFD nicht erhöhen bei Stress; Wasserband nie erzwingen; nie mehrere neue Booster gleichzeitig.</x:v>
      </x:c>
      <x:c r="AH26" s="35" t="str">
        <x:f>"UKD v9 evidence-guarded: Planwerte sind Ziele/Eligibility, keine automatische Freigabe. Eazy Plug/Block ist vorgepuffert; früher Basisfeed bleibt vom Propagation-/Pflanzengate abhängig. Messdaten und Safety-Gates überschreiben Kalender."</x:f>
        <x:v>UKD v9 evidence-guarded: Planwerte sind Ziele/Eligibility, keine automatische Freigabe. Eazy Plug/Block ist vorgepuffert; früher Basisfeed bleibt vom Propagation-/Pflanzengate abhängig. Messdaten und Safety-Gates überschreiben Kalender.</x:v>
      </x:c>
      <x:c r="AI26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26" s="201" t="str">
        <x:f>IF(A26&lt;'01_Run_Config'!$B$32,"—",IF(A26&lt;'01_Run_Config'!$B$33,"G"&amp;MIN(4,INT((A26-'01_Run_Config'!$B$32)/7)+1),AM26))</x:f>
        <x:v>G3</x:v>
      </x:c>
      <x:c r="AK26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26" s="60" t="str">
        <x:f>IF(A26&lt;'01_Run_Config'!$B$33,"",A26-'01_Run_Config'!$B$33+1)</x:f>
      </x:c>
      <x:c r="AM26" s="60" t="str">
        <x:f>IF(AL26="","",IF(AL26&gt;49,CHAR(66)&amp;"7+",CHAR(66)&amp;TEXT(INT((AL26-1)/7)+1,"0")))</x:f>
      </x:c>
      <x:c r="AN26" s="60" t="n">
        <x:f>ROUND(0.6108*EXP(17.27*L26/(L26+237.3))*(1-N26/100),2)</x:f>
        <x:v>1.37</x:v>
      </x:c>
      <x:c r="AO26" s="60" t="n">
        <x:f>H26*G26/1000</x:f>
        <x:v>1.71</x:v>
      </x:c>
      <x:c r="AP26" s="60" t="n">
        <x:f>SUM($AO$2:AO26)</x:f>
        <x:v>26.550000000000008</x:v>
      </x:c>
      <x:c r="AQ26" t="n">
        <x:f>'01_Run_Config'!$B$17</x:f>
        <x:v>0</x:v>
      </x:c>
      <x:c r="AR26" t="n">
        <x:f>'01_Run_Config'!$B$22</x:f>
        <x:v>0</x:v>
      </x:c>
      <x:c r="AS26" t="n">
        <x:f>'01_Run_Config'!$B$25</x:f>
        <x:v>0</x:v>
      </x:c>
      <x:c r="AT26" t="n">
        <x:f>IF(AND('01_Run_Config'!$B$46="Voodoo + Piranha + Tarantula",AC26&gt;0),2,0)</x:f>
        <x:v>0</x:v>
      </x:c>
      <x:c r="AU26" t="n">
        <x:f>IF(AND(OR('01_Run_Config'!$B$46="Voodoo + Tarantula",'01_Run_Config'!$B$46="Voodoo + Piranha + Tarantula"),AC26&gt;0),2,0)</x:f>
        <x:v>0</x:v>
      </x:c>
      <x:c r="AV26" t="n">
        <x:f>IF('01_Run_Config'!$B$47&lt;&gt;"ON / A-B",0,IF(OR(AND(A26&gt;='01_Run_Config'!$B$32,A26&lt;'01_Run_Config'!$B$33),AND(ISNUMBER(AL26),AL26&gt;=15,AL26&lt;=49)),2,0))</x:f>
        <x:v>0</x:v>
      </x:c>
      <x:c r="AW26" t="n">
        <x:f>IF('01_Run_Config'!$B$48="AN Bud Candy (replaces HESI Boost)",IF(AND(A26&gt;='01_Run_Config'!$B$32,OR(AL26="",AL26&lt;=49)),2,0),0)</x:f>
        <x:v>0</x:v>
      </x:c>
      <x:c r="AX26" t="n">
        <x:f>IF('01_Run_Config'!$B$49&lt;&gt;"ON / EXPERIMENTAL",0,IF(OR(AND(A26&gt;='01_Run_Config'!$B$32+7,A26&lt;'01_Run_Config'!$B$33),AND(ISNUMBER(AL26),AL26&gt;=1,AL26&lt;=49)),2,0))</x:f>
        <x:v>0</x:v>
      </x:c>
      <x:c r="AY26" t="n">
        <x:f>IF('01_Run_Config'!$B$50="AN Sensizym",IF(AND(A26&gt;='01_Run_Config'!$B$32,OR(AL26="",AL26&lt;=49)),2,0),0)</x:f>
        <x:v>0</x:v>
      </x:c>
      <x:c r="AZ26" t="n">
        <x:f>IF('01_Run_Config'!$B$51="AN Rhino Skin",IF(AND(A26&gt;='01_Run_Config'!$B$32,OR(AL26="",AL26&lt;=49)),2,0),0)</x:f>
        <x:v>0</x:v>
      </x:c>
      <x:c r="BA26" t="n">
        <x:f>IF(AND('01_Run_Config'!$B$52="AN Bud Ignitor &gt; Big Bud &gt; Overdrive",ISNUMBER(AL26),AL26&gt;=1,AL26&lt;=14),2,0)</x:f>
        <x:v>0</x:v>
      </x:c>
      <x:c r="BB26" t="n">
        <x:f>IF(AND('01_Run_Config'!$B$52="AN Bud Ignitor &gt; Big Bud &gt; Overdrive",ISNUMBER(AL26),AL26&gt;=8,AL26&lt;=35),2,0)</x:f>
        <x:v>0</x:v>
      </x:c>
      <x:c r="BC26" t="n">
        <x:f>IF(AND('01_Run_Config'!$B$52="AN Bud Ignitor &gt; Big Bud &gt; Overdrive",ISNUMBER(AL26),AL26&gt;=36,AL26&lt;=49),2,0)</x:f>
        <x:v>0</x:v>
      </x:c>
      <x:c r="BD26" t="n">
        <x:f>IF('01_Run_Config'!$B$53="ON / EXPERIMENTAL",IF(OR(AND(A26&gt;='01_Run_Config'!$B$32,A26&lt;'01_Run_Config'!$B$33),AND(ISNUMBER(AL26),AL26&gt;=15,AL26&lt;=49)),2,0),0)</x:f>
        <x:v>0</x:v>
      </x:c>
      <x:c r="BE26" t="n">
        <x:f>IF('01_Run_Config'!$B$54="AN Sensi CalMag Xtra conditional",'01_Run_Config'!$B$17,0)</x:f>
        <x:v>0</x:v>
      </x:c>
      <x:c r="BF26" t="n">
        <x:f>0</x:f>
        <x:v>0</x:v>
      </x:c>
      <x:c r="BG26" t="str">
        <x:f>'01_Run_Config'!$E$57</x:f>
        <x:v>OK</x:v>
      </x:c>
      <x:c r="BH26" t="str">
        <x:f>IF(SUM(AC26,AT26:BF26)=0,"keine AN-Dosis heute",IF(AC26&gt;0,"Voodoo "&amp;AC26&amp;" ml/L; ","")&amp;IF(AT26&gt;0,"Piranha "&amp;AT26&amp;" ml/L; ","")&amp;IF(AU26&gt;0,"Tarantula "&amp;AU26&amp;" ml/L; ","")&amp;IF(AV26&gt;0,"B-52 "&amp;AV26&amp;" ml/L; ","")&amp;IF(AW26&gt;0,"Bud Candy "&amp;AW26&amp;" ml/L; ","")&amp;IF(AX26&gt;0,"Bud Factor X "&amp;AX26&amp;" ml/L; ","")&amp;IF(AY26&gt;0,"Sensizym "&amp;AY26&amp;" ml/L; ","")&amp;IF(AZ26&gt;0,"Rhino Skin "&amp;AZ26&amp;" ml/L; ","")&amp;IF(BA26&gt;0,"Bud Ignitor "&amp;BA26&amp;" ml/L; ","")&amp;IF(BB26&gt;0,"Big Bud "&amp;BB26&amp;" ml/L; ","")&amp;IF(BC26&gt;0,"Overdrive "&amp;BC26&amp;" ml/L; ","")&amp;IF(BD26&gt;0,"Tasty Terpenes "&amp;BD26&amp;" ml/L; ","")&amp;IF(BE26&gt;0,"Sensi CalMag "&amp;BE26&amp;" ml/L",""))</x:f>
        <x:v>keine AN-Dosis heute</x:v>
      </x:c>
    </x:row>
    <x:row r="27">
      <x:c r="A27" s="34" t="n">
        <x:v>25</x:v>
      </x:c>
      <x:c r="B27" s="129" t="n">
        <x:f>'01_Run_Config'!$B$4+A27</x:f>
        <x:v>46267</x:v>
      </x:c>
      <x:c r="C27" s="63" t="n">
        <x:f>INT(A27/7)+1</x:f>
        <x:v>4</x:v>
      </x:c>
      <x:c r="D27" s="63" t="str">
        <x:f>"M"&amp;MIN(3,INT(A27/30)+1)</x:f>
        <x:v>M1</x:v>
      </x:c>
      <x:c r="E27" s="63" t="str">
        <x:f>IF(A27&lt;4,"Keimung",IF(A27&lt;8,"Etablierung",IF(A27&lt;15,"Early Veg",IF(A27&lt;'01_Run_Config'!$B$33,IF(A27&lt;22,"Veg / LST","Preflower-Watch"),IF(A27-'01_Run_Config'!$B$33&lt;=6,"Transition / Stretch ("&amp;AM27&amp;")",IF(A27-'01_Run_Config'!$B$33&lt;=13,"Early Flower ("&amp;AM27&amp;")",IF(A27-'01_Run_Config'!$B$33&lt;=20,"Flower I ("&amp;AM27&amp;")",IF(A27-'01_Run_Config'!$B$33&lt;=34,"Peak Flower ("&amp;AM27&amp;")",IF(A27-'01_Run_Config'!$B$33&lt;=41,"Late Flower ("&amp;AM27&amp;")",IF(A27-'01_Run_Config'!$B$33&lt;=48,"Ripening ("&amp;AM27&amp;")","Harvest / Extension ("&amp;AM27&amp;")"))))))))))</x:f>
        <x:v>Preflower-Watch</x:v>
      </x:c>
      <x:c r="F27" s="63" t="str">
        <x:f>IF(A27&lt;4,"Keimung + Wurzelstart",IF(A27&lt;8,"Sämling etablieren; Wurzelraum erschließen",IF(A27&lt;15,"kompakter Aufbau; LST erst bei Vitalität",IF(A27&lt;'01_Run_Config'!$B$33,"Canopy aufbauen; Preflower beobachten",IF(A27-'01_Run_Config'!$B$33&lt;=6,"Stretch kontrollieren; Bloom-Trigger dokumentieren",IF(A27-'01_Run_Config'!$B$33&lt;=13,"Blütenansatz stabilisieren",IF(A27-'01_Run_Config'!$B$33&lt;=20,"Blütenaufbau ohne neue Stressoren",IF(A27-'01_Run_Config'!$B$33&lt;=34,"stabile Peak-Photosynthese; Klima priorisieren",IF(A27-'01_Run_Config'!$B$33&lt;=41,"Qualität/Schimmelprävention",IF(A27-'01_Run_Config'!$B$33&lt;=48,"Reife ohne Überfütterung","Erntefenster nach Pflanze; keine Kalenderernte"))))))))))</x:f>
        <x:v>Canopy aufbauen; Preflower beobachten</x:v>
      </x:c>
      <x:c r="G27" s="63" t="n">
        <x:v>18</x:v>
      </x:c>
      <x:c r="H27" s="63" t="n">
        <x:v>95</x:v>
      </x:c>
      <x:c r="I27" s="63" t="n">
        <x:v>450</x:v>
      </x:c>
      <x:c r="J27" s="63" t="n">
        <x:f>I27*G27*3600/1000000</x:f>
        <x:v>29.16</x:v>
      </x:c>
      <x:c r="K27" s="63" t="n">
        <x:v>40</x:v>
      </x:c>
      <x:c r="L27" s="63" t="n">
        <x:v>25.5</x:v>
      </x:c>
      <x:c r="M27" s="63" t="n">
        <x:v>22</x:v>
      </x:c>
      <x:c r="N27" s="63" t="n">
        <x:v>58</x:v>
      </x:c>
      <x:c r="O27" s="63" t="n">
        <x:f>ROUND(0.6108*EXP(17.27*(L27+'01_Run_Config'!$B$34)/(L27+'01_Run_Config'!$B$34+237.3))-(N27/100)*0.6108*EXP(17.27*L27/(L27+237.3)),2)</x:f>
        <x:v>1.18</x:v>
      </x:c>
      <x:c r="P27" s="63" t="n">
        <x:f>IF(A27&lt;'01_Run_Config'!$B$32,0.55,IF(A27&lt;'01_Run_Config'!$B$33,IF(A27-'01_Run_Config'!$B$32&lt;=3,0.8,IF(A27-'01_Run_Config'!$B$32&lt;=10,1,IF(A27-'01_Run_Config'!$B$32&lt;=17,1.2,1.4))),IF(A27-'01_Run_Config'!$B$33&lt;=6,1.5,IF(A27-'01_Run_Config'!$B$33&lt;=13,1.6,IF(A27-'01_Run_Config'!$B$33&lt;=20,1.7,IF(A27-'01_Run_Config'!$B$33&lt;=34,1.8,IF(A27-'01_Run_Config'!$B$33&lt;=41,1.6,IF(A27-'01_Run_Config'!$B$33&lt;=48,1.4,1.15))))))))</x:f>
        <x:v>1.4</x:v>
      </x:c>
      <x:c r="Q27" s="63" t="n">
        <x:v>5.9</x:v>
      </x:c>
      <x:c r="R27" s="63" t="n">
        <x:v>0.4</x:v>
      </x:c>
      <x:c r="S27" s="63" t="n">
        <x:v>0.7</x:v>
      </x:c>
      <x:c r="T27" s="63" t="str">
        <x:f>IF(A27&lt;=7,"Manuell",'01_Run_Config'!$B$40)</x:f>
        <x:v>Manuell / indoor-freigegebene Automation</x:v>
      </x:c>
      <x:c r="U27" s="63" t="str">
        <x:f>IF(A27&lt;'01_Run_Config'!$B$32,"Kein Basisdünger",IF(A27&lt;'01_Run_Config'!$B$33,"HESI TNT","HESI Coco"))</x:f>
        <x:v>HESI TNT</x:v>
      </x:c>
      <x:c r="V27" s="63" t="n">
        <x:f>IF(A27&lt;'01_Run_Config'!$B$32,0,IF(A27&lt;'01_Run_Config'!$B$33,IF(A27-'01_Run_Config'!$B$32&lt;=3,1.25,IF(A27-'01_Run_Config'!$B$32&lt;=10,2,2.5)),IF(A27-'01_Run_Config'!$B$33&lt;=6,2.5,IF(A27-'01_Run_Config'!$B$33&lt;=13,3.25,IF(A27-'01_Run_Config'!$B$33&lt;=20,3.75,IF(A27-'01_Run_Config'!$B$33&lt;=34,4,IF(A27-'01_Run_Config'!$B$33&lt;=41,3.5,IF(A27-'01_Run_Config'!$B$33&lt;=48,2.5,1.5))))))))</x:f>
        <x:v>2.5</x:v>
      </x:c>
      <x:c r="W27" s="63" t="n">
        <x:f>IF(A27&lt;=14,2.5,0)</x:f>
        <x:v>0</x:v>
      </x:c>
      <x:c r="X27" s="63" t="n">
        <x:f>IF('01_Run_Config'!$B$50="AN Sensizym",0,IF(AND(A27&gt;='01_Run_Config'!$B$32,OR(AL27="",AL27&lt;=49)),2,0))</x:f>
        <x:v>2</x:v>
      </x:c>
      <x:c r="Y27" s="63" t="n">
        <x:f>0.015</x:f>
        <x:v>0.015</x:v>
      </x:c>
      <x:c r="Z27" s="63" t="n">
        <x:f>IF('01_Run_Config'!$B$51="HESI Hesilicio",2,0)</x:f>
        <x:v>0</x:v>
      </x:c>
      <x:c r="AA27" s="63" t="n">
        <x:f>IF('01_Run_Config'!$B$48="AN Bud Candy (replaces HESI Boost)",0,IF(AND(A27&gt;='01_Run_Config'!$B$33,MOD(A27-'01_Run_Config'!$B$33,7)=0),2,0))</x:f>
        <x:v>0</x:v>
      </x:c>
      <x:c r="AB27" s="63" t="n">
        <x:f>IF('01_Run_Config'!$B$52="AN Bud Ignitor &gt; Big Bud &gt; Overdrive",0,IF(AND(ISNUMBER(AL27),AL27&gt;=29,AL27&lt;=42),0.25+((AL27-29)/13)*0.25,0))</x:f>
        <x:v>0</x:v>
      </x:c>
      <x:c r="AC27" s="63" t="n">
        <x:f>IF('01_Run_Config'!$B$46="OFF",0,IF(OR(A27='01_Run_Config'!$B$32,A27='01_Run_Config'!$B$32+7,A27='01_Run_Config'!$B$33+1,A27='01_Run_Config'!$B$33+8),2,0))</x:f>
        <x:v>0</x:v>
      </x:c>
      <x:c r="AD27" s="63" t="str">
        <x:f>IF(BG27="BLOCK","HYBRID BLOCKED - Konfiguration prüfen",IF(SUM(AC27,AT27:BF27)&gt;0,"AN aktiv: "&amp;BH27,"AN: keine Dosis heute / Module aus"))</x:f>
        <x:v>AN: keine Dosis heute / Module aus</x:v>
      </x:c>
      <x:c r="AE27" s="63" t="str">
        <x:v>Letzte strukturelle Korrekturen</x:v>
      </x:c>
      <x:c r="AF27" s="63" t="str">
        <x:v>Morgens Klima/Pflanze/Bewässerung/Leck; Mitte Lichtphase Blattwinkel; vor Dunkel LF/Drain/stehendes Wasser.</x:v>
      </x:c>
      <x:c r="AG27" s="63" t="str">
        <x:v>EC nicht erhöhen bei steigender Diagnose-Drain-EC; PPFD nicht erhöhen bei Stress; Wasserband nie erzwingen; nie mehrere neue Booster gleichzeitig.</x:v>
      </x:c>
      <x:c r="AH27" s="35" t="str">
        <x:f>"UKD v9 evidence-guarded: Planwerte sind Ziele/Eligibility, keine automatische Freigabe. Eazy Plug/Block ist vorgepuffert; früher Basisfeed bleibt vom Propagation-/Pflanzengate abhängig. Messdaten und Safety-Gates überschreiben Kalender."</x:f>
        <x:v>UKD v9 evidence-guarded: Planwerte sind Ziele/Eligibility, keine automatische Freigabe. Eazy Plug/Block ist vorgepuffert; früher Basisfeed bleibt vom Propagation-/Pflanzengate abhängig. Messdaten und Safety-Gates überschreiben Kalender.</x:v>
      </x:c>
      <x:c r="AI27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27" s="201" t="str">
        <x:f>IF(A27&lt;'01_Run_Config'!$B$32,"—",IF(A27&lt;'01_Run_Config'!$B$33,"G"&amp;MIN(4,INT((A27-'01_Run_Config'!$B$32)/7)+1),AM27))</x:f>
        <x:v>G4</x:v>
      </x:c>
      <x:c r="AK27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27" s="60" t="str">
        <x:f>IF(A27&lt;'01_Run_Config'!$B$33,"",A27-'01_Run_Config'!$B$33+1)</x:f>
      </x:c>
      <x:c r="AM27" s="60" t="str">
        <x:f>IF(AL27="","",IF(AL27&gt;49,CHAR(66)&amp;"7+",CHAR(66)&amp;TEXT(INT((AL27-1)/7)+1,"0")))</x:f>
      </x:c>
      <x:c r="AN27" s="60" t="n">
        <x:f>ROUND(0.6108*EXP(17.27*L27/(L27+237.3))*(1-N27/100),2)</x:f>
        <x:v>1.37</x:v>
      </x:c>
      <x:c r="AO27" s="60" t="n">
        <x:f>H27*G27/1000</x:f>
        <x:v>1.71</x:v>
      </x:c>
      <x:c r="AP27" s="60" t="n">
        <x:f>SUM($AO$2:AO27)</x:f>
        <x:v>28.26000000000001</x:v>
      </x:c>
      <x:c r="AQ27" t="n">
        <x:f>'01_Run_Config'!$B$17</x:f>
        <x:v>0</x:v>
      </x:c>
      <x:c r="AR27" t="n">
        <x:f>'01_Run_Config'!$B$22</x:f>
        <x:v>0</x:v>
      </x:c>
      <x:c r="AS27" t="n">
        <x:f>'01_Run_Config'!$B$25</x:f>
        <x:v>0</x:v>
      </x:c>
      <x:c r="AT27" t="n">
        <x:f>IF(AND('01_Run_Config'!$B$46="Voodoo + Piranha + Tarantula",AC27&gt;0),2,0)</x:f>
        <x:v>0</x:v>
      </x:c>
      <x:c r="AU27" t="n">
        <x:f>IF(AND(OR('01_Run_Config'!$B$46="Voodoo + Tarantula",'01_Run_Config'!$B$46="Voodoo + Piranha + Tarantula"),AC27&gt;0),2,0)</x:f>
        <x:v>0</x:v>
      </x:c>
      <x:c r="AV27" t="n">
        <x:f>IF('01_Run_Config'!$B$47&lt;&gt;"ON / A-B",0,IF(OR(AND(A27&gt;='01_Run_Config'!$B$32,A27&lt;'01_Run_Config'!$B$33),AND(ISNUMBER(AL27),AL27&gt;=15,AL27&lt;=49)),2,0))</x:f>
        <x:v>0</x:v>
      </x:c>
      <x:c r="AW27" t="n">
        <x:f>IF('01_Run_Config'!$B$48="AN Bud Candy (replaces HESI Boost)",IF(AND(A27&gt;='01_Run_Config'!$B$32,OR(AL27="",AL27&lt;=49)),2,0),0)</x:f>
        <x:v>0</x:v>
      </x:c>
      <x:c r="AX27" t="n">
        <x:f>IF('01_Run_Config'!$B$49&lt;&gt;"ON / EXPERIMENTAL",0,IF(OR(AND(A27&gt;='01_Run_Config'!$B$32+7,A27&lt;'01_Run_Config'!$B$33),AND(ISNUMBER(AL27),AL27&gt;=1,AL27&lt;=49)),2,0))</x:f>
        <x:v>0</x:v>
      </x:c>
      <x:c r="AY27" t="n">
        <x:f>IF('01_Run_Config'!$B$50="AN Sensizym",IF(AND(A27&gt;='01_Run_Config'!$B$32,OR(AL27="",AL27&lt;=49)),2,0),0)</x:f>
        <x:v>0</x:v>
      </x:c>
      <x:c r="AZ27" t="n">
        <x:f>IF('01_Run_Config'!$B$51="AN Rhino Skin",IF(AND(A27&gt;='01_Run_Config'!$B$32,OR(AL27="",AL27&lt;=49)),2,0),0)</x:f>
        <x:v>0</x:v>
      </x:c>
      <x:c r="BA27" t="n">
        <x:f>IF(AND('01_Run_Config'!$B$52="AN Bud Ignitor &gt; Big Bud &gt; Overdrive",ISNUMBER(AL27),AL27&gt;=1,AL27&lt;=14),2,0)</x:f>
        <x:v>0</x:v>
      </x:c>
      <x:c r="BB27" t="n">
        <x:f>IF(AND('01_Run_Config'!$B$52="AN Bud Ignitor &gt; Big Bud &gt; Overdrive",ISNUMBER(AL27),AL27&gt;=8,AL27&lt;=35),2,0)</x:f>
        <x:v>0</x:v>
      </x:c>
      <x:c r="BC27" t="n">
        <x:f>IF(AND('01_Run_Config'!$B$52="AN Bud Ignitor &gt; Big Bud &gt; Overdrive",ISNUMBER(AL27),AL27&gt;=36,AL27&lt;=49),2,0)</x:f>
        <x:v>0</x:v>
      </x:c>
      <x:c r="BD27" t="n">
        <x:f>IF('01_Run_Config'!$B$53="ON / EXPERIMENTAL",IF(OR(AND(A27&gt;='01_Run_Config'!$B$32,A27&lt;'01_Run_Config'!$B$33),AND(ISNUMBER(AL27),AL27&gt;=15,AL27&lt;=49)),2,0),0)</x:f>
        <x:v>0</x:v>
      </x:c>
      <x:c r="BE27" t="n">
        <x:f>IF('01_Run_Config'!$B$54="AN Sensi CalMag Xtra conditional",'01_Run_Config'!$B$17,0)</x:f>
        <x:v>0</x:v>
      </x:c>
      <x:c r="BF27" t="n">
        <x:f>0</x:f>
        <x:v>0</x:v>
      </x:c>
      <x:c r="BG27" t="str">
        <x:f>'01_Run_Config'!$E$57</x:f>
        <x:v>OK</x:v>
      </x:c>
      <x:c r="BH27" t="str">
        <x:f>IF(SUM(AC27,AT27:BF27)=0,"keine AN-Dosis heute",IF(AC27&gt;0,"Voodoo "&amp;AC27&amp;" ml/L; ","")&amp;IF(AT27&gt;0,"Piranha "&amp;AT27&amp;" ml/L; ","")&amp;IF(AU27&gt;0,"Tarantula "&amp;AU27&amp;" ml/L; ","")&amp;IF(AV27&gt;0,"B-52 "&amp;AV27&amp;" ml/L; ","")&amp;IF(AW27&gt;0,"Bud Candy "&amp;AW27&amp;" ml/L; ","")&amp;IF(AX27&gt;0,"Bud Factor X "&amp;AX27&amp;" ml/L; ","")&amp;IF(AY27&gt;0,"Sensizym "&amp;AY27&amp;" ml/L; ","")&amp;IF(AZ27&gt;0,"Rhino Skin "&amp;AZ27&amp;" ml/L; ","")&amp;IF(BA27&gt;0,"Bud Ignitor "&amp;BA27&amp;" ml/L; ","")&amp;IF(BB27&gt;0,"Big Bud "&amp;BB27&amp;" ml/L; ","")&amp;IF(BC27&gt;0,"Overdrive "&amp;BC27&amp;" ml/L; ","")&amp;IF(BD27&gt;0,"Tasty Terpenes "&amp;BD27&amp;" ml/L; ","")&amp;IF(BE27&gt;0,"Sensi CalMag "&amp;BE27&amp;" ml/L",""))</x:f>
        <x:v>keine AN-Dosis heute</x:v>
      </x:c>
    </x:row>
    <x:row r="28">
      <x:c r="A28" s="34" t="n">
        <x:v>26</x:v>
      </x:c>
      <x:c r="B28" s="129" t="n">
        <x:f>'01_Run_Config'!$B$4+A28</x:f>
        <x:v>46268</x:v>
      </x:c>
      <x:c r="C28" s="63" t="n">
        <x:f>INT(A28/7)+1</x:f>
        <x:v>4</x:v>
      </x:c>
      <x:c r="D28" s="63" t="str">
        <x:f>"M"&amp;MIN(3,INT(A28/30)+1)</x:f>
        <x:v>M1</x:v>
      </x:c>
      <x:c r="E28" s="63" t="str">
        <x:f>IF(A28&lt;4,"Keimung",IF(A28&lt;8,"Etablierung",IF(A28&lt;15,"Early Veg",IF(A28&lt;'01_Run_Config'!$B$33,IF(A28&lt;22,"Veg / LST","Preflower-Watch"),IF(A28-'01_Run_Config'!$B$33&lt;=6,"Transition / Stretch ("&amp;AM28&amp;")",IF(A28-'01_Run_Config'!$B$33&lt;=13,"Early Flower ("&amp;AM28&amp;")",IF(A28-'01_Run_Config'!$B$33&lt;=20,"Flower I ("&amp;AM28&amp;")",IF(A28-'01_Run_Config'!$B$33&lt;=34,"Peak Flower ("&amp;AM28&amp;")",IF(A28-'01_Run_Config'!$B$33&lt;=41,"Late Flower ("&amp;AM28&amp;")",IF(A28-'01_Run_Config'!$B$33&lt;=48,"Ripening ("&amp;AM28&amp;")","Harvest / Extension ("&amp;AM28&amp;")"))))))))))</x:f>
        <x:v>Preflower-Watch</x:v>
      </x:c>
      <x:c r="F28" s="63" t="str">
        <x:f>IF(A28&lt;4,"Keimung + Wurzelstart",IF(A28&lt;8,"Sämling etablieren; Wurzelraum erschließen",IF(A28&lt;15,"kompakter Aufbau; LST erst bei Vitalität",IF(A28&lt;'01_Run_Config'!$B$33,"Canopy aufbauen; Preflower beobachten",IF(A28-'01_Run_Config'!$B$33&lt;=6,"Stretch kontrollieren; Bloom-Trigger dokumentieren",IF(A28-'01_Run_Config'!$B$33&lt;=13,"Blütenansatz stabilisieren",IF(A28-'01_Run_Config'!$B$33&lt;=20,"Blütenaufbau ohne neue Stressoren",IF(A28-'01_Run_Config'!$B$33&lt;=34,"stabile Peak-Photosynthese; Klima priorisieren",IF(A28-'01_Run_Config'!$B$33&lt;=41,"Qualität/Schimmelprävention",IF(A28-'01_Run_Config'!$B$33&lt;=48,"Reife ohne Überfütterung","Erntefenster nach Pflanze; keine Kalenderernte"))))))))))</x:f>
        <x:v>Canopy aufbauen; Preflower beobachten</x:v>
      </x:c>
      <x:c r="G28" s="63" t="n">
        <x:v>18</x:v>
      </x:c>
      <x:c r="H28" s="63" t="n">
        <x:v>95</x:v>
      </x:c>
      <x:c r="I28" s="63" t="n">
        <x:v>450</x:v>
      </x:c>
      <x:c r="J28" s="63" t="n">
        <x:f>I28*G28*3600/1000000</x:f>
        <x:v>29.16</x:v>
      </x:c>
      <x:c r="K28" s="63" t="n">
        <x:v>40</x:v>
      </x:c>
      <x:c r="L28" s="63" t="n">
        <x:v>25.5</x:v>
      </x:c>
      <x:c r="M28" s="63" t="n">
        <x:v>22</x:v>
      </x:c>
      <x:c r="N28" s="63" t="n">
        <x:v>58</x:v>
      </x:c>
      <x:c r="O28" s="63" t="n">
        <x:f>ROUND(0.6108*EXP(17.27*(L28+'01_Run_Config'!$B$34)/(L28+'01_Run_Config'!$B$34+237.3))-(N28/100)*0.6108*EXP(17.27*L28/(L28+237.3)),2)</x:f>
        <x:v>1.18</x:v>
      </x:c>
      <x:c r="P28" s="63" t="n">
        <x:f>IF(A28&lt;'01_Run_Config'!$B$32,0.55,IF(A28&lt;'01_Run_Config'!$B$33,IF(A28-'01_Run_Config'!$B$32&lt;=3,0.8,IF(A28-'01_Run_Config'!$B$32&lt;=10,1,IF(A28-'01_Run_Config'!$B$32&lt;=17,1.2,1.4))),IF(A28-'01_Run_Config'!$B$33&lt;=6,1.5,IF(A28-'01_Run_Config'!$B$33&lt;=13,1.6,IF(A28-'01_Run_Config'!$B$33&lt;=20,1.7,IF(A28-'01_Run_Config'!$B$33&lt;=34,1.8,IF(A28-'01_Run_Config'!$B$33&lt;=41,1.6,IF(A28-'01_Run_Config'!$B$33&lt;=48,1.4,1.15))))))))</x:f>
        <x:v>1.4</x:v>
      </x:c>
      <x:c r="Q28" s="63" t="n">
        <x:v>5.9</x:v>
      </x:c>
      <x:c r="R28" s="63" t="n">
        <x:v>0.4</x:v>
      </x:c>
      <x:c r="S28" s="63" t="n">
        <x:v>0.7</x:v>
      </x:c>
      <x:c r="T28" s="63" t="str">
        <x:f>IF(A28&lt;=7,"Manuell",'01_Run_Config'!$B$40)</x:f>
        <x:v>Manuell / indoor-freigegebene Automation</x:v>
      </x:c>
      <x:c r="U28" s="63" t="str">
        <x:f>IF(A28&lt;'01_Run_Config'!$B$32,"Kein Basisdünger",IF(A28&lt;'01_Run_Config'!$B$33,"HESI TNT","HESI Coco"))</x:f>
        <x:v>HESI TNT</x:v>
      </x:c>
      <x:c r="V28" s="63" t="n">
        <x:f>IF(A28&lt;'01_Run_Config'!$B$32,0,IF(A28&lt;'01_Run_Config'!$B$33,IF(A28-'01_Run_Config'!$B$32&lt;=3,1.25,IF(A28-'01_Run_Config'!$B$32&lt;=10,2,2.5)),IF(A28-'01_Run_Config'!$B$33&lt;=6,2.5,IF(A28-'01_Run_Config'!$B$33&lt;=13,3.25,IF(A28-'01_Run_Config'!$B$33&lt;=20,3.75,IF(A28-'01_Run_Config'!$B$33&lt;=34,4,IF(A28-'01_Run_Config'!$B$33&lt;=41,3.5,IF(A28-'01_Run_Config'!$B$33&lt;=48,2.5,1.5))))))))</x:f>
        <x:v>2.5</x:v>
      </x:c>
      <x:c r="W28" s="63" t="n">
        <x:f>IF(A28&lt;=14,2.5,0)</x:f>
        <x:v>0</x:v>
      </x:c>
      <x:c r="X28" s="63" t="n">
        <x:f>IF('01_Run_Config'!$B$50="AN Sensizym",0,IF(AND(A28&gt;='01_Run_Config'!$B$32,OR(AL28="",AL28&lt;=49)),2,0))</x:f>
        <x:v>2</x:v>
      </x:c>
      <x:c r="Y28" s="63" t="n">
        <x:f>0.015</x:f>
        <x:v>0.015</x:v>
      </x:c>
      <x:c r="Z28" s="63" t="n">
        <x:f>IF('01_Run_Config'!$B$51="HESI Hesilicio",2,0)</x:f>
        <x:v>0</x:v>
      </x:c>
      <x:c r="AA28" s="63" t="n">
        <x:f>IF('01_Run_Config'!$B$48="AN Bud Candy (replaces HESI Boost)",0,IF(AND(A28&gt;='01_Run_Config'!$B$33,MOD(A28-'01_Run_Config'!$B$33,7)=0),2,0))</x:f>
        <x:v>0</x:v>
      </x:c>
      <x:c r="AB28" s="63" t="n">
        <x:f>IF('01_Run_Config'!$B$52="AN Bud Ignitor &gt; Big Bud &gt; Overdrive",0,IF(AND(ISNUMBER(AL28),AL28&gt;=29,AL28&lt;=42),0.25+((AL28-29)/13)*0.25,0))</x:f>
        <x:v>0</x:v>
      </x:c>
      <x:c r="AC28" s="63" t="n">
        <x:f>IF('01_Run_Config'!$B$46="OFF",0,IF(OR(A28='01_Run_Config'!$B$32,A28='01_Run_Config'!$B$32+7,A28='01_Run_Config'!$B$33+1,A28='01_Run_Config'!$B$33+8),2,0))</x:f>
        <x:v>0</x:v>
      </x:c>
      <x:c r="AD28" s="63" t="str">
        <x:f>IF(BG28="BLOCK","HYBRID BLOCKED - Konfiguration prüfen",IF(SUM(AC28,AT28:BF28)&gt;0,"AN aktiv: "&amp;BH28,"AN: keine Dosis heute / Module aus"))</x:f>
        <x:v>AN: keine Dosis heute / Module aus</x:v>
      </x:c>
      <x:c r="AE28" s="63" t="str">
        <x:v>Letzte strukturelle Korrekturen</x:v>
      </x:c>
      <x:c r="AF28" s="63" t="str">
        <x:v>Morgens Klima/Pflanze/Bewässerung/Leck; Mitte Lichtphase Blattwinkel; vor Dunkel LF/Drain/stehendes Wasser.</x:v>
      </x:c>
      <x:c r="AG28" s="63" t="str">
        <x:v>EC nicht erhöhen bei steigender Diagnose-Drain-EC; PPFD nicht erhöhen bei Stress; Wasserband nie erzwingen; nie mehrere neue Booster gleichzeitig.</x:v>
      </x:c>
      <x:c r="AH28" s="35" t="str">
        <x:f>"UKD v9 evidence-guarded: Planwerte sind Ziele/Eligibility, keine automatische Freigabe. Eazy Plug/Block ist vorgepuffert; früher Basisfeed bleibt vom Propagation-/Pflanzengate abhängig. Messdaten und Safety-Gates überschreiben Kalender."</x:f>
        <x:v>UKD v9 evidence-guarded: Planwerte sind Ziele/Eligibility, keine automatische Freigabe. Eazy Plug/Block ist vorgepuffert; früher Basisfeed bleibt vom Propagation-/Pflanzengate abhängig. Messdaten und Safety-Gates überschreiben Kalender.</x:v>
      </x:c>
      <x:c r="AI28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28" s="201" t="str">
        <x:f>IF(A28&lt;'01_Run_Config'!$B$32,"—",IF(A28&lt;'01_Run_Config'!$B$33,"G"&amp;MIN(4,INT((A28-'01_Run_Config'!$B$32)/7)+1),AM28))</x:f>
        <x:v>G4</x:v>
      </x:c>
      <x:c r="AK28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28" s="60" t="str">
        <x:f>IF(A28&lt;'01_Run_Config'!$B$33,"",A28-'01_Run_Config'!$B$33+1)</x:f>
      </x:c>
      <x:c r="AM28" s="60" t="str">
        <x:f>IF(AL28="","",IF(AL28&gt;49,CHAR(66)&amp;"7+",CHAR(66)&amp;TEXT(INT((AL28-1)/7)+1,"0")))</x:f>
      </x:c>
      <x:c r="AN28" s="60" t="n">
        <x:f>ROUND(0.6108*EXP(17.27*L28/(L28+237.3))*(1-N28/100),2)</x:f>
        <x:v>1.37</x:v>
      </x:c>
      <x:c r="AO28" s="60" t="n">
        <x:f>H28*G28/1000</x:f>
        <x:v>1.71</x:v>
      </x:c>
      <x:c r="AP28" s="60" t="n">
        <x:f>SUM($AO$2:AO28)</x:f>
        <x:v>29.97000000000001</x:v>
      </x:c>
      <x:c r="AQ28" t="n">
        <x:f>'01_Run_Config'!$B$17</x:f>
        <x:v>0</x:v>
      </x:c>
      <x:c r="AR28" t="n">
        <x:f>'01_Run_Config'!$B$22</x:f>
        <x:v>0</x:v>
      </x:c>
      <x:c r="AS28" t="n">
        <x:f>'01_Run_Config'!$B$25</x:f>
        <x:v>0</x:v>
      </x:c>
      <x:c r="AT28" t="n">
        <x:f>IF(AND('01_Run_Config'!$B$46="Voodoo + Piranha + Tarantula",AC28&gt;0),2,0)</x:f>
        <x:v>0</x:v>
      </x:c>
      <x:c r="AU28" t="n">
        <x:f>IF(AND(OR('01_Run_Config'!$B$46="Voodoo + Tarantula",'01_Run_Config'!$B$46="Voodoo + Piranha + Tarantula"),AC28&gt;0),2,0)</x:f>
        <x:v>0</x:v>
      </x:c>
      <x:c r="AV28" t="n">
        <x:f>IF('01_Run_Config'!$B$47&lt;&gt;"ON / A-B",0,IF(OR(AND(A28&gt;='01_Run_Config'!$B$32,A28&lt;'01_Run_Config'!$B$33),AND(ISNUMBER(AL28),AL28&gt;=15,AL28&lt;=49)),2,0))</x:f>
        <x:v>0</x:v>
      </x:c>
      <x:c r="AW28" t="n">
        <x:f>IF('01_Run_Config'!$B$48="AN Bud Candy (replaces HESI Boost)",IF(AND(A28&gt;='01_Run_Config'!$B$32,OR(AL28="",AL28&lt;=49)),2,0),0)</x:f>
        <x:v>0</x:v>
      </x:c>
      <x:c r="AX28" t="n">
        <x:f>IF('01_Run_Config'!$B$49&lt;&gt;"ON / EXPERIMENTAL",0,IF(OR(AND(A28&gt;='01_Run_Config'!$B$32+7,A28&lt;'01_Run_Config'!$B$33),AND(ISNUMBER(AL28),AL28&gt;=1,AL28&lt;=49)),2,0))</x:f>
        <x:v>0</x:v>
      </x:c>
      <x:c r="AY28" t="n">
        <x:f>IF('01_Run_Config'!$B$50="AN Sensizym",IF(AND(A28&gt;='01_Run_Config'!$B$32,OR(AL28="",AL28&lt;=49)),2,0),0)</x:f>
        <x:v>0</x:v>
      </x:c>
      <x:c r="AZ28" t="n">
        <x:f>IF('01_Run_Config'!$B$51="AN Rhino Skin",IF(AND(A28&gt;='01_Run_Config'!$B$32,OR(AL28="",AL28&lt;=49)),2,0),0)</x:f>
        <x:v>0</x:v>
      </x:c>
      <x:c r="BA28" t="n">
        <x:f>IF(AND('01_Run_Config'!$B$52="AN Bud Ignitor &gt; Big Bud &gt; Overdrive",ISNUMBER(AL28),AL28&gt;=1,AL28&lt;=14),2,0)</x:f>
        <x:v>0</x:v>
      </x:c>
      <x:c r="BB28" t="n">
        <x:f>IF(AND('01_Run_Config'!$B$52="AN Bud Ignitor &gt; Big Bud &gt; Overdrive",ISNUMBER(AL28),AL28&gt;=8,AL28&lt;=35),2,0)</x:f>
        <x:v>0</x:v>
      </x:c>
      <x:c r="BC28" t="n">
        <x:f>IF(AND('01_Run_Config'!$B$52="AN Bud Ignitor &gt; Big Bud &gt; Overdrive",ISNUMBER(AL28),AL28&gt;=36,AL28&lt;=49),2,0)</x:f>
        <x:v>0</x:v>
      </x:c>
      <x:c r="BD28" t="n">
        <x:f>IF('01_Run_Config'!$B$53="ON / EXPERIMENTAL",IF(OR(AND(A28&gt;='01_Run_Config'!$B$32,A28&lt;'01_Run_Config'!$B$33),AND(ISNUMBER(AL28),AL28&gt;=15,AL28&lt;=49)),2,0),0)</x:f>
        <x:v>0</x:v>
      </x:c>
      <x:c r="BE28" t="n">
        <x:f>IF('01_Run_Config'!$B$54="AN Sensi CalMag Xtra conditional",'01_Run_Config'!$B$17,0)</x:f>
        <x:v>0</x:v>
      </x:c>
      <x:c r="BF28" t="n">
        <x:f>0</x:f>
        <x:v>0</x:v>
      </x:c>
      <x:c r="BG28" t="str">
        <x:f>'01_Run_Config'!$E$57</x:f>
        <x:v>OK</x:v>
      </x:c>
      <x:c r="BH28" t="str">
        <x:f>IF(SUM(AC28,AT28:BF28)=0,"keine AN-Dosis heute",IF(AC28&gt;0,"Voodoo "&amp;AC28&amp;" ml/L; ","")&amp;IF(AT28&gt;0,"Piranha "&amp;AT28&amp;" ml/L; ","")&amp;IF(AU28&gt;0,"Tarantula "&amp;AU28&amp;" ml/L; ","")&amp;IF(AV28&gt;0,"B-52 "&amp;AV28&amp;" ml/L; ","")&amp;IF(AW28&gt;0,"Bud Candy "&amp;AW28&amp;" ml/L; ","")&amp;IF(AX28&gt;0,"Bud Factor X "&amp;AX28&amp;" ml/L; ","")&amp;IF(AY28&gt;0,"Sensizym "&amp;AY28&amp;" ml/L; ","")&amp;IF(AZ28&gt;0,"Rhino Skin "&amp;AZ28&amp;" ml/L; ","")&amp;IF(BA28&gt;0,"Bud Ignitor "&amp;BA28&amp;" ml/L; ","")&amp;IF(BB28&gt;0,"Big Bud "&amp;BB28&amp;" ml/L; ","")&amp;IF(BC28&gt;0,"Overdrive "&amp;BC28&amp;" ml/L; ","")&amp;IF(BD28&gt;0,"Tasty Terpenes "&amp;BD28&amp;" ml/L; ","")&amp;IF(BE28&gt;0,"Sensi CalMag "&amp;BE28&amp;" ml/L",""))</x:f>
        <x:v>keine AN-Dosis heute</x:v>
      </x:c>
    </x:row>
    <x:row r="29">
      <x:c r="A29" s="34" t="n">
        <x:v>27</x:v>
      </x:c>
      <x:c r="B29" s="129" t="n">
        <x:f>'01_Run_Config'!$B$4+A29</x:f>
        <x:v>46269</x:v>
      </x:c>
      <x:c r="C29" s="63" t="n">
        <x:f>INT(A29/7)+1</x:f>
        <x:v>4</x:v>
      </x:c>
      <x:c r="D29" s="63" t="str">
        <x:f>"M"&amp;MIN(3,INT(A29/30)+1)</x:f>
        <x:v>M1</x:v>
      </x:c>
      <x:c r="E29" s="63" t="str">
        <x:f>IF(A29&lt;4,"Keimung",IF(A29&lt;8,"Etablierung",IF(A29&lt;15,"Early Veg",IF(A29&lt;'01_Run_Config'!$B$33,IF(A29&lt;22,"Veg / LST","Preflower-Watch"),IF(A29-'01_Run_Config'!$B$33&lt;=6,"Transition / Stretch ("&amp;AM29&amp;")",IF(A29-'01_Run_Config'!$B$33&lt;=13,"Early Flower ("&amp;AM29&amp;")",IF(A29-'01_Run_Config'!$B$33&lt;=20,"Flower I ("&amp;AM29&amp;")",IF(A29-'01_Run_Config'!$B$33&lt;=34,"Peak Flower ("&amp;AM29&amp;")",IF(A29-'01_Run_Config'!$B$33&lt;=41,"Late Flower ("&amp;AM29&amp;")",IF(A29-'01_Run_Config'!$B$33&lt;=48,"Ripening ("&amp;AM29&amp;")","Harvest / Extension ("&amp;AM29&amp;")"))))))))))</x:f>
        <x:v>Preflower-Watch</x:v>
      </x:c>
      <x:c r="F29" s="63" t="str">
        <x:f>IF(A29&lt;4,"Keimung + Wurzelstart",IF(A29&lt;8,"Sämling etablieren; Wurzelraum erschließen",IF(A29&lt;15,"kompakter Aufbau; LST erst bei Vitalität",IF(A29&lt;'01_Run_Config'!$B$33,"Canopy aufbauen; Preflower beobachten",IF(A29-'01_Run_Config'!$B$33&lt;=6,"Stretch kontrollieren; Bloom-Trigger dokumentieren",IF(A29-'01_Run_Config'!$B$33&lt;=13,"Blütenansatz stabilisieren",IF(A29-'01_Run_Config'!$B$33&lt;=20,"Blütenaufbau ohne neue Stressoren",IF(A29-'01_Run_Config'!$B$33&lt;=34,"stabile Peak-Photosynthese; Klima priorisieren",IF(A29-'01_Run_Config'!$B$33&lt;=41,"Qualität/Schimmelprävention",IF(A29-'01_Run_Config'!$B$33&lt;=48,"Reife ohne Überfütterung","Erntefenster nach Pflanze; keine Kalenderernte"))))))))))</x:f>
        <x:v>Canopy aufbauen; Preflower beobachten</x:v>
      </x:c>
      <x:c r="G29" s="63" t="n">
        <x:v>18</x:v>
      </x:c>
      <x:c r="H29" s="63" t="n">
        <x:v>95</x:v>
      </x:c>
      <x:c r="I29" s="63" t="n">
        <x:v>450</x:v>
      </x:c>
      <x:c r="J29" s="63" t="n">
        <x:f>I29*G29*3600/1000000</x:f>
        <x:v>29.16</x:v>
      </x:c>
      <x:c r="K29" s="63" t="n">
        <x:v>40</x:v>
      </x:c>
      <x:c r="L29" s="63" t="n">
        <x:v>25.5</x:v>
      </x:c>
      <x:c r="M29" s="63" t="n">
        <x:v>22</x:v>
      </x:c>
      <x:c r="N29" s="63" t="n">
        <x:v>58</x:v>
      </x:c>
      <x:c r="O29" s="63" t="n">
        <x:f>ROUND(0.6108*EXP(17.27*(L29+'01_Run_Config'!$B$34)/(L29+'01_Run_Config'!$B$34+237.3))-(N29/100)*0.6108*EXP(17.27*L29/(L29+237.3)),2)</x:f>
        <x:v>1.18</x:v>
      </x:c>
      <x:c r="P29" s="63" t="n">
        <x:f>IF(A29&lt;'01_Run_Config'!$B$32,0.55,IF(A29&lt;'01_Run_Config'!$B$33,IF(A29-'01_Run_Config'!$B$32&lt;=3,0.8,IF(A29-'01_Run_Config'!$B$32&lt;=10,1,IF(A29-'01_Run_Config'!$B$32&lt;=17,1.2,1.4))),IF(A29-'01_Run_Config'!$B$33&lt;=6,1.5,IF(A29-'01_Run_Config'!$B$33&lt;=13,1.6,IF(A29-'01_Run_Config'!$B$33&lt;=20,1.7,IF(A29-'01_Run_Config'!$B$33&lt;=34,1.8,IF(A29-'01_Run_Config'!$B$33&lt;=41,1.6,IF(A29-'01_Run_Config'!$B$33&lt;=48,1.4,1.15))))))))</x:f>
        <x:v>1.4</x:v>
      </x:c>
      <x:c r="Q29" s="63" t="n">
        <x:v>5.9</x:v>
      </x:c>
      <x:c r="R29" s="63" t="n">
        <x:v>0.4</x:v>
      </x:c>
      <x:c r="S29" s="63" t="n">
        <x:v>0.7</x:v>
      </x:c>
      <x:c r="T29" s="63" t="str">
        <x:f>IF(A29&lt;=7,"Manuell",'01_Run_Config'!$B$40)</x:f>
        <x:v>Manuell / indoor-freigegebene Automation</x:v>
      </x:c>
      <x:c r="U29" s="63" t="str">
        <x:f>IF(A29&lt;'01_Run_Config'!$B$32,"Kein Basisdünger",IF(A29&lt;'01_Run_Config'!$B$33,"HESI TNT","HESI Coco"))</x:f>
        <x:v>HESI TNT</x:v>
      </x:c>
      <x:c r="V29" s="63" t="n">
        <x:f>IF(A29&lt;'01_Run_Config'!$B$32,0,IF(A29&lt;'01_Run_Config'!$B$33,IF(A29-'01_Run_Config'!$B$32&lt;=3,1.25,IF(A29-'01_Run_Config'!$B$32&lt;=10,2,2.5)),IF(A29-'01_Run_Config'!$B$33&lt;=6,2.5,IF(A29-'01_Run_Config'!$B$33&lt;=13,3.25,IF(A29-'01_Run_Config'!$B$33&lt;=20,3.75,IF(A29-'01_Run_Config'!$B$33&lt;=34,4,IF(A29-'01_Run_Config'!$B$33&lt;=41,3.5,IF(A29-'01_Run_Config'!$B$33&lt;=48,2.5,1.5))))))))</x:f>
        <x:v>2.5</x:v>
      </x:c>
      <x:c r="W29" s="63" t="n">
        <x:f>IF(A29&lt;=14,2.5,0)</x:f>
        <x:v>0</x:v>
      </x:c>
      <x:c r="X29" s="63" t="n">
        <x:f>IF('01_Run_Config'!$B$50="AN Sensizym",0,IF(AND(A29&gt;='01_Run_Config'!$B$32,OR(AL29="",AL29&lt;=49)),2,0))</x:f>
        <x:v>2</x:v>
      </x:c>
      <x:c r="Y29" s="63" t="n">
        <x:f>0.015</x:f>
        <x:v>0.015</x:v>
      </x:c>
      <x:c r="Z29" s="63" t="n">
        <x:f>IF('01_Run_Config'!$B$51="HESI Hesilicio",2,0)</x:f>
        <x:v>0</x:v>
      </x:c>
      <x:c r="AA29" s="63" t="n">
        <x:f>IF('01_Run_Config'!$B$48="AN Bud Candy (replaces HESI Boost)",0,IF(AND(A29&gt;='01_Run_Config'!$B$33,MOD(A29-'01_Run_Config'!$B$33,7)=0),2,0))</x:f>
        <x:v>0</x:v>
      </x:c>
      <x:c r="AB29" s="63" t="n">
        <x:f>IF('01_Run_Config'!$B$52="AN Bud Ignitor &gt; Big Bud &gt; Overdrive",0,IF(AND(ISNUMBER(AL29),AL29&gt;=29,AL29&lt;=42),0.25+((AL29-29)/13)*0.25,0))</x:f>
        <x:v>0</x:v>
      </x:c>
      <x:c r="AC29" s="63" t="n">
        <x:f>IF('01_Run_Config'!$B$46="OFF",0,IF(OR(A29='01_Run_Config'!$B$32,A29='01_Run_Config'!$B$32+7,A29='01_Run_Config'!$B$33+1,A29='01_Run_Config'!$B$33+8),2,0))</x:f>
        <x:v>0</x:v>
      </x:c>
      <x:c r="AD29" s="63" t="str">
        <x:f>IF(BG29="BLOCK","HYBRID BLOCKED - Konfiguration prüfen",IF(SUM(AC29,AT29:BF29)&gt;0,"AN aktiv: "&amp;BH29,"AN: keine Dosis heute / Module aus"))</x:f>
        <x:v>AN: keine Dosis heute / Module aus</x:v>
      </x:c>
      <x:c r="AE29" s="63" t="str">
        <x:v>Letzte strukturelle Korrekturen</x:v>
      </x:c>
      <x:c r="AF29" s="63" t="str">
        <x:v>Morgens Klima/Pflanze/Bewässerung/Leck; Mitte Lichtphase Blattwinkel; vor Dunkel LF/Drain/stehendes Wasser.</x:v>
      </x:c>
      <x:c r="AG29" s="63" t="str">
        <x:v>EC nicht erhöhen bei steigender Diagnose-Drain-EC; PPFD nicht erhöhen bei Stress; Wasserband nie erzwingen; nie mehrere neue Booster gleichzeitig.</x:v>
      </x:c>
      <x:c r="AH29" s="35" t="str">
        <x:f>"UKD v9 evidence-guarded: Planwerte sind Ziele/Eligibility, keine automatische Freigabe. Eazy Plug/Block ist vorgepuffert; früher Basisfeed bleibt vom Propagation-/Pflanzengate abhängig. Messdaten und Safety-Gates überschreiben Kalender."</x:f>
        <x:v>UKD v9 evidence-guarded: Planwerte sind Ziele/Eligibility, keine automatische Freigabe. Eazy Plug/Block ist vorgepuffert; früher Basisfeed bleibt vom Propagation-/Pflanzengate abhängig. Messdaten und Safety-Gates überschreiben Kalender.</x:v>
      </x:c>
      <x:c r="AI29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29" s="201" t="str">
        <x:f>IF(A29&lt;'01_Run_Config'!$B$32,"—",IF(A29&lt;'01_Run_Config'!$B$33,"G"&amp;MIN(4,INT((A29-'01_Run_Config'!$B$32)/7)+1),AM29))</x:f>
        <x:v>G4</x:v>
      </x:c>
      <x:c r="AK29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29" s="60" t="str">
        <x:f>IF(A29&lt;'01_Run_Config'!$B$33,"",A29-'01_Run_Config'!$B$33+1)</x:f>
      </x:c>
      <x:c r="AM29" s="60" t="str">
        <x:f>IF(AL29="","",IF(AL29&gt;49,CHAR(66)&amp;"7+",CHAR(66)&amp;TEXT(INT((AL29-1)/7)+1,"0")))</x:f>
      </x:c>
      <x:c r="AN29" s="60" t="n">
        <x:f>ROUND(0.6108*EXP(17.27*L29/(L29+237.3))*(1-N29/100),2)</x:f>
        <x:v>1.37</x:v>
      </x:c>
      <x:c r="AO29" s="60" t="n">
        <x:f>H29*G29/1000</x:f>
        <x:v>1.71</x:v>
      </x:c>
      <x:c r="AP29" s="60" t="n">
        <x:f>SUM($AO$2:AO29)</x:f>
        <x:v>31.68000000000001</x:v>
      </x:c>
      <x:c r="AQ29" t="n">
        <x:f>'01_Run_Config'!$B$17</x:f>
        <x:v>0</x:v>
      </x:c>
      <x:c r="AR29" t="n">
        <x:f>'01_Run_Config'!$B$22</x:f>
        <x:v>0</x:v>
      </x:c>
      <x:c r="AS29" t="n">
        <x:f>'01_Run_Config'!$B$25</x:f>
        <x:v>0</x:v>
      </x:c>
      <x:c r="AT29" t="n">
        <x:f>IF(AND('01_Run_Config'!$B$46="Voodoo + Piranha + Tarantula",AC29&gt;0),2,0)</x:f>
        <x:v>0</x:v>
      </x:c>
      <x:c r="AU29" t="n">
        <x:f>IF(AND(OR('01_Run_Config'!$B$46="Voodoo + Tarantula",'01_Run_Config'!$B$46="Voodoo + Piranha + Tarantula"),AC29&gt;0),2,0)</x:f>
        <x:v>0</x:v>
      </x:c>
      <x:c r="AV29" t="n">
        <x:f>IF('01_Run_Config'!$B$47&lt;&gt;"ON / A-B",0,IF(OR(AND(A29&gt;='01_Run_Config'!$B$32,A29&lt;'01_Run_Config'!$B$33),AND(ISNUMBER(AL29),AL29&gt;=15,AL29&lt;=49)),2,0))</x:f>
        <x:v>0</x:v>
      </x:c>
      <x:c r="AW29" t="n">
        <x:f>IF('01_Run_Config'!$B$48="AN Bud Candy (replaces HESI Boost)",IF(AND(A29&gt;='01_Run_Config'!$B$32,OR(AL29="",AL29&lt;=49)),2,0),0)</x:f>
        <x:v>0</x:v>
      </x:c>
      <x:c r="AX29" t="n">
        <x:f>IF('01_Run_Config'!$B$49&lt;&gt;"ON / EXPERIMENTAL",0,IF(OR(AND(A29&gt;='01_Run_Config'!$B$32+7,A29&lt;'01_Run_Config'!$B$33),AND(ISNUMBER(AL29),AL29&gt;=1,AL29&lt;=49)),2,0))</x:f>
        <x:v>0</x:v>
      </x:c>
      <x:c r="AY29" t="n">
        <x:f>IF('01_Run_Config'!$B$50="AN Sensizym",IF(AND(A29&gt;='01_Run_Config'!$B$32,OR(AL29="",AL29&lt;=49)),2,0),0)</x:f>
        <x:v>0</x:v>
      </x:c>
      <x:c r="AZ29" t="n">
        <x:f>IF('01_Run_Config'!$B$51="AN Rhino Skin",IF(AND(A29&gt;='01_Run_Config'!$B$32,OR(AL29="",AL29&lt;=49)),2,0),0)</x:f>
        <x:v>0</x:v>
      </x:c>
      <x:c r="BA29" t="n">
        <x:f>IF(AND('01_Run_Config'!$B$52="AN Bud Ignitor &gt; Big Bud &gt; Overdrive",ISNUMBER(AL29),AL29&gt;=1,AL29&lt;=14),2,0)</x:f>
        <x:v>0</x:v>
      </x:c>
      <x:c r="BB29" t="n">
        <x:f>IF(AND('01_Run_Config'!$B$52="AN Bud Ignitor &gt; Big Bud &gt; Overdrive",ISNUMBER(AL29),AL29&gt;=8,AL29&lt;=35),2,0)</x:f>
        <x:v>0</x:v>
      </x:c>
      <x:c r="BC29" t="n">
        <x:f>IF(AND('01_Run_Config'!$B$52="AN Bud Ignitor &gt; Big Bud &gt; Overdrive",ISNUMBER(AL29),AL29&gt;=36,AL29&lt;=49),2,0)</x:f>
        <x:v>0</x:v>
      </x:c>
      <x:c r="BD29" t="n">
        <x:f>IF('01_Run_Config'!$B$53="ON / EXPERIMENTAL",IF(OR(AND(A29&gt;='01_Run_Config'!$B$32,A29&lt;'01_Run_Config'!$B$33),AND(ISNUMBER(AL29),AL29&gt;=15,AL29&lt;=49)),2,0),0)</x:f>
        <x:v>0</x:v>
      </x:c>
      <x:c r="BE29" t="n">
        <x:f>IF('01_Run_Config'!$B$54="AN Sensi CalMag Xtra conditional",'01_Run_Config'!$B$17,0)</x:f>
        <x:v>0</x:v>
      </x:c>
      <x:c r="BF29" t="n">
        <x:f>0</x:f>
        <x:v>0</x:v>
      </x:c>
      <x:c r="BG29" t="str">
        <x:f>'01_Run_Config'!$E$57</x:f>
        <x:v>OK</x:v>
      </x:c>
      <x:c r="BH29" t="str">
        <x:f>IF(SUM(AC29,AT29:BF29)=0,"keine AN-Dosis heute",IF(AC29&gt;0,"Voodoo "&amp;AC29&amp;" ml/L; ","")&amp;IF(AT29&gt;0,"Piranha "&amp;AT29&amp;" ml/L; ","")&amp;IF(AU29&gt;0,"Tarantula "&amp;AU29&amp;" ml/L; ","")&amp;IF(AV29&gt;0,"B-52 "&amp;AV29&amp;" ml/L; ","")&amp;IF(AW29&gt;0,"Bud Candy "&amp;AW29&amp;" ml/L; ","")&amp;IF(AX29&gt;0,"Bud Factor X "&amp;AX29&amp;" ml/L; ","")&amp;IF(AY29&gt;0,"Sensizym "&amp;AY29&amp;" ml/L; ","")&amp;IF(AZ29&gt;0,"Rhino Skin "&amp;AZ29&amp;" ml/L; ","")&amp;IF(BA29&gt;0,"Bud Ignitor "&amp;BA29&amp;" ml/L; ","")&amp;IF(BB29&gt;0,"Big Bud "&amp;BB29&amp;" ml/L; ","")&amp;IF(BC29&gt;0,"Overdrive "&amp;BC29&amp;" ml/L; ","")&amp;IF(BD29&gt;0,"Tasty Terpenes "&amp;BD29&amp;" ml/L; ","")&amp;IF(BE29&gt;0,"Sensi CalMag "&amp;BE29&amp;" ml/L",""))</x:f>
        <x:v>keine AN-Dosis heute</x:v>
      </x:c>
    </x:row>
    <x:row r="30">
      <x:c r="A30" s="34" t="n">
        <x:v>28</x:v>
      </x:c>
      <x:c r="B30" s="129" t="n">
        <x:f>'01_Run_Config'!$B$4+A30</x:f>
        <x:v>46270</x:v>
      </x:c>
      <x:c r="C30" s="63" t="n">
        <x:f>INT(A30/7)+1</x:f>
        <x:v>5</x:v>
      </x:c>
      <x:c r="D30" s="63" t="str">
        <x:f>"M"&amp;MIN(3,INT(A30/30)+1)</x:f>
        <x:v>M1</x:v>
      </x:c>
      <x:c r="E30" s="63" t="str">
        <x:f>IF(A30&lt;4,"Keimung",IF(A30&lt;8,"Etablierung",IF(A30&lt;15,"Early Veg",IF(A30&lt;'01_Run_Config'!$B$33,IF(A30&lt;22,"Veg / LST","Preflower-Watch"),IF(A30-'01_Run_Config'!$B$33&lt;=6,"Transition / Stretch ("&amp;AM30&amp;")",IF(A30-'01_Run_Config'!$B$33&lt;=13,"Early Flower ("&amp;AM30&amp;")",IF(A30-'01_Run_Config'!$B$33&lt;=20,"Flower I ("&amp;AM30&amp;")",IF(A30-'01_Run_Config'!$B$33&lt;=34,"Peak Flower ("&amp;AM30&amp;")",IF(A30-'01_Run_Config'!$B$33&lt;=41,"Late Flower ("&amp;AM30&amp;")",IF(A30-'01_Run_Config'!$B$33&lt;=48,"Ripening ("&amp;AM30&amp;")","Harvest / Extension ("&amp;AM30&amp;")"))))))))))</x:f>
        <x:v>Transition / Stretch (B1)</x:v>
      </x:c>
      <x:c r="F30" s="63" t="str">
        <x:f>IF(A30&lt;4,"Keimung + Wurzelstart",IF(A30&lt;8,"Sämling etablieren; Wurzelraum erschließen",IF(A30&lt;15,"kompakter Aufbau; LST erst bei Vitalität",IF(A30&lt;'01_Run_Config'!$B$33,"Canopy aufbauen; Preflower beobachten",IF(A30-'01_Run_Config'!$B$33&lt;=6,"Stretch kontrollieren; Bloom-Trigger dokumentieren",IF(A30-'01_Run_Config'!$B$33&lt;=13,"Blütenansatz stabilisieren",IF(A30-'01_Run_Config'!$B$33&lt;=20,"Blütenaufbau ohne neue Stressoren",IF(A30-'01_Run_Config'!$B$33&lt;=34,"stabile Peak-Photosynthese; Klima priorisieren",IF(A30-'01_Run_Config'!$B$33&lt;=41,"Qualität/Schimmelprävention",IF(A30-'01_Run_Config'!$B$33&lt;=48,"Reife ohne Überfütterung","Erntefenster nach Pflanze; keine Kalenderernte"))))))))))</x:f>
        <x:v>Stretch kontrollieren; Bloom-Trigger dokumentieren</x:v>
      </x:c>
      <x:c r="G30" s="63" t="n">
        <x:v>18</x:v>
      </x:c>
      <x:c r="H30" s="63" t="n">
        <x:v>95</x:v>
      </x:c>
      <x:c r="I30" s="63" t="n">
        <x:v>450</x:v>
      </x:c>
      <x:c r="J30" s="63" t="n">
        <x:f>I30*G30*3600/1000000</x:f>
        <x:v>29.16</x:v>
      </x:c>
      <x:c r="K30" s="63" t="n">
        <x:v>40</x:v>
      </x:c>
      <x:c r="L30" s="63" t="n">
        <x:v>25.5</x:v>
      </x:c>
      <x:c r="M30" s="63" t="n">
        <x:v>22</x:v>
      </x:c>
      <x:c r="N30" s="63" t="n">
        <x:v>58</x:v>
      </x:c>
      <x:c r="O30" s="63" t="n">
        <x:f>ROUND(0.6108*EXP(17.27*(L30+'01_Run_Config'!$B$34)/(L30+'01_Run_Config'!$B$34+237.3))-(N30/100)*0.6108*EXP(17.27*L30/(L30+237.3)),2)</x:f>
        <x:v>1.18</x:v>
      </x:c>
      <x:c r="P30" s="63" t="n">
        <x:f>IF(A30&lt;'01_Run_Config'!$B$32,0.55,IF(A30&lt;'01_Run_Config'!$B$33,IF(A30-'01_Run_Config'!$B$32&lt;=3,0.8,IF(A30-'01_Run_Config'!$B$32&lt;=10,1,IF(A30-'01_Run_Config'!$B$32&lt;=17,1.2,1.4))),IF(A30-'01_Run_Config'!$B$33&lt;=6,1.5,IF(A30-'01_Run_Config'!$B$33&lt;=13,1.6,IF(A30-'01_Run_Config'!$B$33&lt;=20,1.7,IF(A30-'01_Run_Config'!$B$33&lt;=34,1.8,IF(A30-'01_Run_Config'!$B$33&lt;=41,1.6,IF(A30-'01_Run_Config'!$B$33&lt;=48,1.4,1.15))))))))</x:f>
        <x:v>1.5</x:v>
      </x:c>
      <x:c r="Q30" s="63" t="n">
        <x:v>5.9</x:v>
      </x:c>
      <x:c r="R30" s="63" t="n">
        <x:v>0.4</x:v>
      </x:c>
      <x:c r="S30" s="63" t="n">
        <x:v>0.7</x:v>
      </x:c>
      <x:c r="T30" s="63" t="str">
        <x:f>IF(A30&lt;=7,"Manuell",'01_Run_Config'!$B$40)</x:f>
        <x:v>Manuell / indoor-freigegebene Automation</x:v>
      </x:c>
      <x:c r="U30" s="63" t="str">
        <x:f>IF(A30&lt;'01_Run_Config'!$B$32,"Kein Basisdünger",IF(A30&lt;'01_Run_Config'!$B$33,"HESI TNT","HESI Coco"))</x:f>
        <x:v>HESI Coco</x:v>
      </x:c>
      <x:c r="V30" s="63" t="n">
        <x:f>IF(A30&lt;'01_Run_Config'!$B$32,0,IF(A30&lt;'01_Run_Config'!$B$33,IF(A30-'01_Run_Config'!$B$32&lt;=3,1.25,IF(A30-'01_Run_Config'!$B$32&lt;=10,2,2.5)),IF(A30-'01_Run_Config'!$B$33&lt;=6,2.5,IF(A30-'01_Run_Config'!$B$33&lt;=13,3.25,IF(A30-'01_Run_Config'!$B$33&lt;=20,3.75,IF(A30-'01_Run_Config'!$B$33&lt;=34,4,IF(A30-'01_Run_Config'!$B$33&lt;=41,3.5,IF(A30-'01_Run_Config'!$B$33&lt;=48,2.5,1.5))))))))</x:f>
        <x:v>2.5</x:v>
      </x:c>
      <x:c r="W30" s="63" t="n">
        <x:f>IF(A30&lt;=14,2.5,0)</x:f>
        <x:v>0</x:v>
      </x:c>
      <x:c r="X30" s="63" t="n">
        <x:f>IF('01_Run_Config'!$B$50="AN Sensizym",0,IF(AND(A30&gt;='01_Run_Config'!$B$32,OR(AL30="",AL30&lt;=49)),2,0))</x:f>
        <x:v>2</x:v>
      </x:c>
      <x:c r="Y30" s="63" t="n">
        <x:f>0.015</x:f>
        <x:v>0.015</x:v>
      </x:c>
      <x:c r="Z30" s="63" t="n">
        <x:f>IF('01_Run_Config'!$B$51="HESI Hesilicio",2,0)</x:f>
        <x:v>0</x:v>
      </x:c>
      <x:c r="AA30" s="63" t="n">
        <x:f>IF('01_Run_Config'!$B$48="AN Bud Candy (replaces HESI Boost)",0,IF(AND(A30&gt;='01_Run_Config'!$B$33,MOD(A30-'01_Run_Config'!$B$33,7)=0),2,0))</x:f>
        <x:v>2</x:v>
      </x:c>
      <x:c r="AB30" s="63" t="n">
        <x:f>IF('01_Run_Config'!$B$52="AN Bud Ignitor &gt; Big Bud &gt; Overdrive",0,IF(AND(ISNUMBER(AL30),AL30&gt;=29,AL30&lt;=42),0.25+((AL30-29)/13)*0.25,0))</x:f>
        <x:v>0</x:v>
      </x:c>
      <x:c r="AC30" s="63" t="n">
        <x:f>IF('01_Run_Config'!$B$46="OFF",0,IF(OR(A30='01_Run_Config'!$B$32,A30='01_Run_Config'!$B$32+7,A30='01_Run_Config'!$B$33+1,A30='01_Run_Config'!$B$33+8),2,0))</x:f>
        <x:v>0</x:v>
      </x:c>
      <x:c r="AD30" s="63" t="str">
        <x:f>IF(BG30="BLOCK","HYBRID BLOCKED - Konfiguration prüfen",IF(SUM(AC30,AT30:BF30)&gt;0,"AN aktiv: "&amp;BH30,"AN: keine Dosis heute / Module aus"))</x:f>
        <x:v>AN: keine Dosis heute / Module aus</x:v>
      </x:c>
      <x:c r="AE30" s="63" t="str">
        <x:v>Letzte strukturelle Korrekturen</x:v>
      </x:c>
      <x:c r="AF30" s="63" t="str">
        <x:v>Morgens Klima/Pflanze/Bewässerung/Leck; Mitte Lichtphase Blattwinkel; vor Dunkel LF/Drain/stehendes Wasser. WÖCHENTLICH: pH/EC kalibrieren, Foto, Canopy messen, PPFD-Spotcheck, Reservoir falls genutzt / Tray reinigen.</x:v>
      </x:c>
      <x:c r="AG30" s="63" t="str">
        <x:v>EC nicht erhöhen bei steigender Diagnose-Drain-EC; PPFD nicht erhöhen bei Stress; Wasserband nie erzwingen; nie mehrere neue Booster gleichzeitig.</x:v>
      </x:c>
      <x:c r="AH30" s="35" t="str">
        <x:f>"UKD v9 evidence-guarded: Planwerte sind Ziele/Eligibility, keine automatische Freigabe. Eazy Plug/Block ist vorgepuffert; früher Basisfeed bleibt vom Propagation-/Pflanzengate abhängig. Messdaten und Safety-Gates überschreiben Kalender."</x:f>
        <x:v>UKD v9 evidence-guarded: Planwerte sind Ziele/Eligibility, keine automatische Freigabe. Eazy Plug/Block ist vorgepuffert; früher Basisfeed bleibt vom Propagation-/Pflanzengate abhängig. Messdaten und Safety-Gates überschreiben Kalender.</x:v>
      </x:c>
      <x:c r="AI30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30" s="201" t="str">
        <x:f>IF(A30&lt;'01_Run_Config'!$B$32,"—",IF(A30&lt;'01_Run_Config'!$B$33,"G"&amp;MIN(4,INT((A30-'01_Run_Config'!$B$32)/7)+1),AM30))</x:f>
        <x:v>B1</x:v>
      </x:c>
      <x:c r="AK30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30" s="60" t="n">
        <x:f>IF(A30&lt;'01_Run_Config'!$B$33,"",A30-'01_Run_Config'!$B$33+1)</x:f>
        <x:v>1</x:v>
      </x:c>
      <x:c r="AM30" s="60" t="str">
        <x:f>IF(AL30="","",IF(AL30&gt;49,CHAR(66)&amp;"7+",CHAR(66)&amp;TEXT(INT((AL30-1)/7)+1,"0")))</x:f>
        <x:v>B1</x:v>
      </x:c>
      <x:c r="AN30" s="60" t="n">
        <x:f>ROUND(0.6108*EXP(17.27*L30/(L30+237.3))*(1-N30/100),2)</x:f>
        <x:v>1.37</x:v>
      </x:c>
      <x:c r="AO30" s="60" t="n">
        <x:f>H30*G30/1000</x:f>
        <x:v>1.71</x:v>
      </x:c>
      <x:c r="AP30" s="60" t="n">
        <x:f>SUM($AO$2:AO30)</x:f>
        <x:v>33.39000000000001</x:v>
      </x:c>
      <x:c r="AQ30" t="n">
        <x:f>'01_Run_Config'!$B$17</x:f>
        <x:v>0</x:v>
      </x:c>
      <x:c r="AR30" t="n">
        <x:f>'01_Run_Config'!$B$22</x:f>
        <x:v>0</x:v>
      </x:c>
      <x:c r="AS30" t="n">
        <x:f>'01_Run_Config'!$B$25</x:f>
        <x:v>0</x:v>
      </x:c>
      <x:c r="AT30" t="n">
        <x:f>IF(AND('01_Run_Config'!$B$46="Voodoo + Piranha + Tarantula",AC30&gt;0),2,0)</x:f>
        <x:v>0</x:v>
      </x:c>
      <x:c r="AU30" t="n">
        <x:f>IF(AND(OR('01_Run_Config'!$B$46="Voodoo + Tarantula",'01_Run_Config'!$B$46="Voodoo + Piranha + Tarantula"),AC30&gt;0),2,0)</x:f>
        <x:v>0</x:v>
      </x:c>
      <x:c r="AV30" t="n">
        <x:f>IF('01_Run_Config'!$B$47&lt;&gt;"ON / A-B",0,IF(OR(AND(A30&gt;='01_Run_Config'!$B$32,A30&lt;'01_Run_Config'!$B$33),AND(ISNUMBER(AL30),AL30&gt;=15,AL30&lt;=49)),2,0))</x:f>
        <x:v>0</x:v>
      </x:c>
      <x:c r="AW30" t="n">
        <x:f>IF('01_Run_Config'!$B$48="AN Bud Candy (replaces HESI Boost)",IF(AND(A30&gt;='01_Run_Config'!$B$32,OR(AL30="",AL30&lt;=49)),2,0),0)</x:f>
        <x:v>0</x:v>
      </x:c>
      <x:c r="AX30" t="n">
        <x:f>IF('01_Run_Config'!$B$49&lt;&gt;"ON / EXPERIMENTAL",0,IF(OR(AND(A30&gt;='01_Run_Config'!$B$32+7,A30&lt;'01_Run_Config'!$B$33),AND(ISNUMBER(AL30),AL30&gt;=1,AL30&lt;=49)),2,0))</x:f>
        <x:v>0</x:v>
      </x:c>
      <x:c r="AY30" t="n">
        <x:f>IF('01_Run_Config'!$B$50="AN Sensizym",IF(AND(A30&gt;='01_Run_Config'!$B$32,OR(AL30="",AL30&lt;=49)),2,0),0)</x:f>
        <x:v>0</x:v>
      </x:c>
      <x:c r="AZ30" t="n">
        <x:f>IF('01_Run_Config'!$B$51="AN Rhino Skin",IF(AND(A30&gt;='01_Run_Config'!$B$32,OR(AL30="",AL30&lt;=49)),2,0),0)</x:f>
        <x:v>0</x:v>
      </x:c>
      <x:c r="BA30" t="n">
        <x:f>IF(AND('01_Run_Config'!$B$52="AN Bud Ignitor &gt; Big Bud &gt; Overdrive",ISNUMBER(AL30),AL30&gt;=1,AL30&lt;=14),2,0)</x:f>
        <x:v>0</x:v>
      </x:c>
      <x:c r="BB30" t="n">
        <x:f>IF(AND('01_Run_Config'!$B$52="AN Bud Ignitor &gt; Big Bud &gt; Overdrive",ISNUMBER(AL30),AL30&gt;=8,AL30&lt;=35),2,0)</x:f>
        <x:v>0</x:v>
      </x:c>
      <x:c r="BC30" t="n">
        <x:f>IF(AND('01_Run_Config'!$B$52="AN Bud Ignitor &gt; Big Bud &gt; Overdrive",ISNUMBER(AL30),AL30&gt;=36,AL30&lt;=49),2,0)</x:f>
        <x:v>0</x:v>
      </x:c>
      <x:c r="BD30" t="n">
        <x:f>IF('01_Run_Config'!$B$53="ON / EXPERIMENTAL",IF(OR(AND(A30&gt;='01_Run_Config'!$B$32,A30&lt;'01_Run_Config'!$B$33),AND(ISNUMBER(AL30),AL30&gt;=15,AL30&lt;=49)),2,0),0)</x:f>
        <x:v>0</x:v>
      </x:c>
      <x:c r="BE30" t="n">
        <x:f>IF('01_Run_Config'!$B$54="AN Sensi CalMag Xtra conditional",'01_Run_Config'!$B$17,0)</x:f>
        <x:v>0</x:v>
      </x:c>
      <x:c r="BF30" t="n">
        <x:f>0</x:f>
        <x:v>0</x:v>
      </x:c>
      <x:c r="BG30" t="str">
        <x:f>'01_Run_Config'!$E$57</x:f>
        <x:v>OK</x:v>
      </x:c>
      <x:c r="BH30" t="str">
        <x:f>IF(SUM(AC30,AT30:BF30)=0,"keine AN-Dosis heute",IF(AC30&gt;0,"Voodoo "&amp;AC30&amp;" ml/L; ","")&amp;IF(AT30&gt;0,"Piranha "&amp;AT30&amp;" ml/L; ","")&amp;IF(AU30&gt;0,"Tarantula "&amp;AU30&amp;" ml/L; ","")&amp;IF(AV30&gt;0,"B-52 "&amp;AV30&amp;" ml/L; ","")&amp;IF(AW30&gt;0,"Bud Candy "&amp;AW30&amp;" ml/L; ","")&amp;IF(AX30&gt;0,"Bud Factor X "&amp;AX30&amp;" ml/L; ","")&amp;IF(AY30&gt;0,"Sensizym "&amp;AY30&amp;" ml/L; ","")&amp;IF(AZ30&gt;0,"Rhino Skin "&amp;AZ30&amp;" ml/L; ","")&amp;IF(BA30&gt;0,"Bud Ignitor "&amp;BA30&amp;" ml/L; ","")&amp;IF(BB30&gt;0,"Big Bud "&amp;BB30&amp;" ml/L; ","")&amp;IF(BC30&gt;0,"Overdrive "&amp;BC30&amp;" ml/L; ","")&amp;IF(BD30&gt;0,"Tasty Terpenes "&amp;BD30&amp;" ml/L; ","")&amp;IF(BE30&gt;0,"Sensi CalMag "&amp;BE30&amp;" ml/L",""))</x:f>
        <x:v>keine AN-Dosis heute</x:v>
      </x:c>
    </x:row>
    <x:row r="31">
      <x:c r="A31" s="34" t="n">
        <x:v>29</x:v>
      </x:c>
      <x:c r="B31" s="129" t="n">
        <x:f>'01_Run_Config'!$B$4+A31</x:f>
        <x:v>46271</x:v>
      </x:c>
      <x:c r="C31" s="63" t="n">
        <x:f>INT(A31/7)+1</x:f>
        <x:v>5</x:v>
      </x:c>
      <x:c r="D31" s="63" t="str">
        <x:f>"M"&amp;MIN(3,INT(A31/30)+1)</x:f>
        <x:v>M1</x:v>
      </x:c>
      <x:c r="E31" s="63" t="str">
        <x:f>IF(A31&lt;4,"Keimung",IF(A31&lt;8,"Etablierung",IF(A31&lt;15,"Early Veg",IF(A31&lt;'01_Run_Config'!$B$33,IF(A31&lt;22,"Veg / LST","Preflower-Watch"),IF(A31-'01_Run_Config'!$B$33&lt;=6,"Transition / Stretch ("&amp;AM31&amp;")",IF(A31-'01_Run_Config'!$B$33&lt;=13,"Early Flower ("&amp;AM31&amp;")",IF(A31-'01_Run_Config'!$B$33&lt;=20,"Flower I ("&amp;AM31&amp;")",IF(A31-'01_Run_Config'!$B$33&lt;=34,"Peak Flower ("&amp;AM31&amp;")",IF(A31-'01_Run_Config'!$B$33&lt;=41,"Late Flower ("&amp;AM31&amp;")",IF(A31-'01_Run_Config'!$B$33&lt;=48,"Ripening ("&amp;AM31&amp;")","Harvest / Extension ("&amp;AM31&amp;")"))))))))))</x:f>
        <x:v>Transition / Stretch (B1)</x:v>
      </x:c>
      <x:c r="F31" s="63" t="str">
        <x:f>IF(A31&lt;4,"Keimung + Wurzelstart",IF(A31&lt;8,"Sämling etablieren; Wurzelraum erschließen",IF(A31&lt;15,"kompakter Aufbau; LST erst bei Vitalität",IF(A31&lt;'01_Run_Config'!$B$33,"Canopy aufbauen; Preflower beobachten",IF(A31-'01_Run_Config'!$B$33&lt;=6,"Stretch kontrollieren; Bloom-Trigger dokumentieren",IF(A31-'01_Run_Config'!$B$33&lt;=13,"Blütenansatz stabilisieren",IF(A31-'01_Run_Config'!$B$33&lt;=20,"Blütenaufbau ohne neue Stressoren",IF(A31-'01_Run_Config'!$B$33&lt;=34,"stabile Peak-Photosynthese; Klima priorisieren",IF(A31-'01_Run_Config'!$B$33&lt;=41,"Qualität/Schimmelprävention",IF(A31-'01_Run_Config'!$B$33&lt;=48,"Reife ohne Überfütterung","Erntefenster nach Pflanze; keine Kalenderernte"))))))))))</x:f>
        <x:v>Stretch kontrollieren; Bloom-Trigger dokumentieren</x:v>
      </x:c>
      <x:c r="G31" s="63" t="n">
        <x:v>18</x:v>
      </x:c>
      <x:c r="H31" s="63" t="n">
        <x:v>120</x:v>
      </x:c>
      <x:c r="I31" s="63" t="n">
        <x:v>550</x:v>
      </x:c>
      <x:c r="J31" s="63" t="n">
        <x:f>I31*G31*3600/1000000</x:f>
        <x:v>35.64</x:v>
      </x:c>
      <x:c r="K31" s="63" t="n">
        <x:v>36</x:v>
      </x:c>
      <x:c r="L31" s="63" t="n">
        <x:v>25</x:v>
      </x:c>
      <x:c r="M31" s="63" t="n">
        <x:v>21.5</x:v>
      </x:c>
      <x:c r="N31" s="63" t="n">
        <x:v>53</x:v>
      </x:c>
      <x:c r="O31" s="63" t="n">
        <x:f>ROUND(0.6108*EXP(17.27*(L31+'01_Run_Config'!$B$34)/(L31+'01_Run_Config'!$B$34+237.3))-(N31/100)*0.6108*EXP(17.27*L31/(L31+237.3)),2)</x:f>
        <x:v>1.3</x:v>
      </x:c>
      <x:c r="P31" s="63" t="n">
        <x:f>IF(A31&lt;'01_Run_Config'!$B$32,0.55,IF(A31&lt;'01_Run_Config'!$B$33,IF(A31-'01_Run_Config'!$B$32&lt;=3,0.8,IF(A31-'01_Run_Config'!$B$32&lt;=10,1,IF(A31-'01_Run_Config'!$B$32&lt;=17,1.2,1.4))),IF(A31-'01_Run_Config'!$B$33&lt;=6,1.5,IF(A31-'01_Run_Config'!$B$33&lt;=13,1.6,IF(A31-'01_Run_Config'!$B$33&lt;=20,1.7,IF(A31-'01_Run_Config'!$B$33&lt;=34,1.8,IF(A31-'01_Run_Config'!$B$33&lt;=41,1.6,IF(A31-'01_Run_Config'!$B$33&lt;=48,1.4,1.15))))))))</x:f>
        <x:v>1.5</x:v>
      </x:c>
      <x:c r="Q31" s="63" t="n">
        <x:v>5.9</x:v>
      </x:c>
      <x:c r="R31" s="63" t="n">
        <x:v>0.6</x:v>
      </x:c>
      <x:c r="S31" s="63" t="n">
        <x:v>1</x:v>
      </x:c>
      <x:c r="T31" s="63" t="str">
        <x:f>IF(A31&lt;=7,"Manuell",'01_Run_Config'!$B$40)</x:f>
        <x:v>Manuell / indoor-freigegebene Automation</x:v>
      </x:c>
      <x:c r="U31" s="63" t="str">
        <x:f>IF(A31&lt;'01_Run_Config'!$B$32,"Kein Basisdünger",IF(A31&lt;'01_Run_Config'!$B$33,"HESI TNT","HESI Coco"))</x:f>
        <x:v>HESI Coco</x:v>
      </x:c>
      <x:c r="V31" s="63" t="n">
        <x:f>IF(A31&lt;'01_Run_Config'!$B$32,0,IF(A31&lt;'01_Run_Config'!$B$33,IF(A31-'01_Run_Config'!$B$32&lt;=3,1.25,IF(A31-'01_Run_Config'!$B$32&lt;=10,2,2.5)),IF(A31-'01_Run_Config'!$B$33&lt;=6,2.5,IF(A31-'01_Run_Config'!$B$33&lt;=13,3.25,IF(A31-'01_Run_Config'!$B$33&lt;=20,3.75,IF(A31-'01_Run_Config'!$B$33&lt;=34,4,IF(A31-'01_Run_Config'!$B$33&lt;=41,3.5,IF(A31-'01_Run_Config'!$B$33&lt;=48,2.5,1.5))))))))</x:f>
        <x:v>2.5</x:v>
      </x:c>
      <x:c r="W31" s="63" t="n">
        <x:f>IF(A31&lt;=14,2.5,0)</x:f>
        <x:v>0</x:v>
      </x:c>
      <x:c r="X31" s="63" t="n">
        <x:f>IF('01_Run_Config'!$B$50="AN Sensizym",0,IF(AND(A31&gt;='01_Run_Config'!$B$32,OR(AL31="",AL31&lt;=49)),2,0))</x:f>
        <x:v>2</x:v>
      </x:c>
      <x:c r="Y31" s="63" t="n">
        <x:f>0.015</x:f>
        <x:v>0.015</x:v>
      </x:c>
      <x:c r="Z31" s="63" t="n">
        <x:f>IF('01_Run_Config'!$B$51="HESI Hesilicio",2,0)</x:f>
        <x:v>0</x:v>
      </x:c>
      <x:c r="AA31" s="63" t="n">
        <x:f>IF('01_Run_Config'!$B$48="AN Bud Candy (replaces HESI Boost)",0,IF(AND(A31&gt;='01_Run_Config'!$B$33,MOD(A31-'01_Run_Config'!$B$33,7)=0),2,0))</x:f>
        <x:v>0</x:v>
      </x:c>
      <x:c r="AB31" s="63" t="n">
        <x:f>IF('01_Run_Config'!$B$52="AN Bud Ignitor &gt; Big Bud &gt; Overdrive",0,IF(AND(ISNUMBER(AL31),AL31&gt;=29,AL31&lt;=42),0.25+((AL31-29)/13)*0.25,0))</x:f>
        <x:v>0</x:v>
      </x:c>
      <x:c r="AC31" s="63" t="n">
        <x:f>IF('01_Run_Config'!$B$46="OFF",0,IF(OR(A31='01_Run_Config'!$B$32,A31='01_Run_Config'!$B$32+7,A31='01_Run_Config'!$B$33+1,A31='01_Run_Config'!$B$33+8),2,0))</x:f>
        <x:v>2</x:v>
      </x:c>
      <x:c r="AD31" s="63" t="str">
        <x:f>IF(BG31="BLOCK","HYBRID BLOCKED - Konfiguration prüfen",IF(SUM(AC31,AT31:BF31)&gt;0,"AN aktiv: "&amp;BH31,"AN: keine Dosis heute / Module aus"))</x:f>
        <x:v>AN aktiv: Voodoo 2 ml/L; Tarantula 2 ml/L; </x:v>
      </x:c>
      <x:c r="AE31" s="63" t="str">
        <x:v>Strukturelles Training beenden</x:v>
      </x:c>
      <x:c r="AF31" s="63" t="str">
        <x:v>Morgens Klima/Pflanze/Bewässerung/Leck; Mitte Lichtphase Blattwinkel; vor Dunkel LF/Drain/stehendes Wasser.</x:v>
      </x:c>
      <x:c r="AG31" s="63" t="str">
        <x:v>EC nicht erhöhen bei steigender Diagnose-Drain-EC; PPFD nicht erhöhen bei Stress; Wasserband nie erzwingen; nie mehrere neue Booster gleichzeitig.</x:v>
      </x:c>
      <x:c r="AH31" s="35" t="str">
        <x:f>"UKD v9 evidence-guarded: Planwerte sind Ziele/Eligibility, keine automatische Freigabe. Eazy Plug/Block ist vorgepuffert; früher Basisfeed bleibt vom Propagation-/Pflanzengate abhängig. Messdaten und Safety-Gates überschreiben Kalender."</x:f>
        <x:v>UKD v9 evidence-guarded: Planwerte sind Ziele/Eligibility, keine automatische Freigabe. Eazy Plug/Block ist vorgepuffert; früher Basisfeed bleibt vom Propagation-/Pflanzengate abhängig. Messdaten und Safety-Gates überschreiben Kalender.</x:v>
      </x:c>
      <x:c r="AI31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31" s="201" t="str">
        <x:f>IF(A31&lt;'01_Run_Config'!$B$32,"—",IF(A31&lt;'01_Run_Config'!$B$33,"G"&amp;MIN(4,INT((A31-'01_Run_Config'!$B$32)/7)+1),AM31))</x:f>
        <x:v>B1</x:v>
      </x:c>
      <x:c r="AK31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31" s="60" t="n">
        <x:f>IF(A31&lt;'01_Run_Config'!$B$33,"",A31-'01_Run_Config'!$B$33+1)</x:f>
        <x:v>2</x:v>
      </x:c>
      <x:c r="AM31" s="60" t="str">
        <x:f>IF(AL31="","",IF(AL31&gt;49,CHAR(66)&amp;"7+",CHAR(66)&amp;TEXT(INT((AL31-1)/7)+1,"0")))</x:f>
        <x:v>B1</x:v>
      </x:c>
      <x:c r="AN31" s="60" t="n">
        <x:f>ROUND(0.6108*EXP(17.27*L31/(L31+237.3))*(1-N31/100),2)</x:f>
        <x:v>1.49</x:v>
      </x:c>
      <x:c r="AO31" s="60" t="n">
        <x:f>H31*G31/1000</x:f>
        <x:v>2.16</x:v>
      </x:c>
      <x:c r="AP31" s="60" t="n">
        <x:f>SUM($AO$2:AO31)</x:f>
        <x:v>35.55000000000001</x:v>
      </x:c>
      <x:c r="AQ31" t="n">
        <x:f>'01_Run_Config'!$B$17</x:f>
        <x:v>0</x:v>
      </x:c>
      <x:c r="AR31" t="n">
        <x:f>'01_Run_Config'!$B$22</x:f>
        <x:v>0</x:v>
      </x:c>
      <x:c r="AS31" t="n">
        <x:f>'01_Run_Config'!$B$25</x:f>
        <x:v>0</x:v>
      </x:c>
      <x:c r="AT31" t="n">
        <x:f>IF(AND('01_Run_Config'!$B$46="Voodoo + Piranha + Tarantula",AC31&gt;0),2,0)</x:f>
        <x:v>0</x:v>
      </x:c>
      <x:c r="AU31" t="n">
        <x:f>IF(AND(OR('01_Run_Config'!$B$46="Voodoo + Tarantula",'01_Run_Config'!$B$46="Voodoo + Piranha + Tarantula"),AC31&gt;0),2,0)</x:f>
        <x:v>2</x:v>
      </x:c>
      <x:c r="AV31" t="n">
        <x:f>IF('01_Run_Config'!$B$47&lt;&gt;"ON / A-B",0,IF(OR(AND(A31&gt;='01_Run_Config'!$B$32,A31&lt;'01_Run_Config'!$B$33),AND(ISNUMBER(AL31),AL31&gt;=15,AL31&lt;=49)),2,0))</x:f>
        <x:v>0</x:v>
      </x:c>
      <x:c r="AW31" t="n">
        <x:f>IF('01_Run_Config'!$B$48="AN Bud Candy (replaces HESI Boost)",IF(AND(A31&gt;='01_Run_Config'!$B$32,OR(AL31="",AL31&lt;=49)),2,0),0)</x:f>
        <x:v>0</x:v>
      </x:c>
      <x:c r="AX31" t="n">
        <x:f>IF('01_Run_Config'!$B$49&lt;&gt;"ON / EXPERIMENTAL",0,IF(OR(AND(A31&gt;='01_Run_Config'!$B$32+7,A31&lt;'01_Run_Config'!$B$33),AND(ISNUMBER(AL31),AL31&gt;=1,AL31&lt;=49)),2,0))</x:f>
        <x:v>0</x:v>
      </x:c>
      <x:c r="AY31" t="n">
        <x:f>IF('01_Run_Config'!$B$50="AN Sensizym",IF(AND(A31&gt;='01_Run_Config'!$B$32,OR(AL31="",AL31&lt;=49)),2,0),0)</x:f>
        <x:v>0</x:v>
      </x:c>
      <x:c r="AZ31" t="n">
        <x:f>IF('01_Run_Config'!$B$51="AN Rhino Skin",IF(AND(A31&gt;='01_Run_Config'!$B$32,OR(AL31="",AL31&lt;=49)),2,0),0)</x:f>
        <x:v>0</x:v>
      </x:c>
      <x:c r="BA31" t="n">
        <x:f>IF(AND('01_Run_Config'!$B$52="AN Bud Ignitor &gt; Big Bud &gt; Overdrive",ISNUMBER(AL31),AL31&gt;=1,AL31&lt;=14),2,0)</x:f>
        <x:v>0</x:v>
      </x:c>
      <x:c r="BB31" t="n">
        <x:f>IF(AND('01_Run_Config'!$B$52="AN Bud Ignitor &gt; Big Bud &gt; Overdrive",ISNUMBER(AL31),AL31&gt;=8,AL31&lt;=35),2,0)</x:f>
        <x:v>0</x:v>
      </x:c>
      <x:c r="BC31" t="n">
        <x:f>IF(AND('01_Run_Config'!$B$52="AN Bud Ignitor &gt; Big Bud &gt; Overdrive",ISNUMBER(AL31),AL31&gt;=36,AL31&lt;=49),2,0)</x:f>
        <x:v>0</x:v>
      </x:c>
      <x:c r="BD31" t="n">
        <x:f>IF('01_Run_Config'!$B$53="ON / EXPERIMENTAL",IF(OR(AND(A31&gt;='01_Run_Config'!$B$32,A31&lt;'01_Run_Config'!$B$33),AND(ISNUMBER(AL31),AL31&gt;=15,AL31&lt;=49)),2,0),0)</x:f>
        <x:v>0</x:v>
      </x:c>
      <x:c r="BE31" t="n">
        <x:f>IF('01_Run_Config'!$B$54="AN Sensi CalMag Xtra conditional",'01_Run_Config'!$B$17,0)</x:f>
        <x:v>0</x:v>
      </x:c>
      <x:c r="BF31" t="n">
        <x:f>0</x:f>
        <x:v>0</x:v>
      </x:c>
      <x:c r="BG31" t="str">
        <x:f>'01_Run_Config'!$E$57</x:f>
        <x:v>OK</x:v>
      </x:c>
      <x:c r="BH31" t="str">
        <x:f>IF(SUM(AC31,AT31:BF31)=0,"keine AN-Dosis heute",IF(AC31&gt;0,"Voodoo "&amp;AC31&amp;" ml/L; ","")&amp;IF(AT31&gt;0,"Piranha "&amp;AT31&amp;" ml/L; ","")&amp;IF(AU31&gt;0,"Tarantula "&amp;AU31&amp;" ml/L; ","")&amp;IF(AV31&gt;0,"B-52 "&amp;AV31&amp;" ml/L; ","")&amp;IF(AW31&gt;0,"Bud Candy "&amp;AW31&amp;" ml/L; ","")&amp;IF(AX31&gt;0,"Bud Factor X "&amp;AX31&amp;" ml/L; ","")&amp;IF(AY31&gt;0,"Sensizym "&amp;AY31&amp;" ml/L; ","")&amp;IF(AZ31&gt;0,"Rhino Skin "&amp;AZ31&amp;" ml/L; ","")&amp;IF(BA31&gt;0,"Bud Ignitor "&amp;BA31&amp;" ml/L; ","")&amp;IF(BB31&gt;0,"Big Bud "&amp;BB31&amp;" ml/L; ","")&amp;IF(BC31&gt;0,"Overdrive "&amp;BC31&amp;" ml/L; ","")&amp;IF(BD31&gt;0,"Tasty Terpenes "&amp;BD31&amp;" ml/L; ","")&amp;IF(BE31&gt;0,"Sensi CalMag "&amp;BE31&amp;" ml/L",""))</x:f>
        <x:v>Voodoo 2 ml/L; Tarantula 2 ml/L; </x:v>
      </x:c>
    </x:row>
    <x:row r="32">
      <x:c r="A32" s="34" t="n">
        <x:v>30</x:v>
      </x:c>
      <x:c r="B32" s="129" t="n">
        <x:f>'01_Run_Config'!$B$4+A32</x:f>
        <x:v>46272</x:v>
      </x:c>
      <x:c r="C32" s="63" t="n">
        <x:f>INT(A32/7)+1</x:f>
        <x:v>5</x:v>
      </x:c>
      <x:c r="D32" s="63" t="str">
        <x:f>"M"&amp;MIN(3,INT(A32/30)+1)</x:f>
        <x:v>M2</x:v>
      </x:c>
      <x:c r="E32" s="63" t="str">
        <x:f>IF(A32&lt;4,"Keimung",IF(A32&lt;8,"Etablierung",IF(A32&lt;15,"Early Veg",IF(A32&lt;'01_Run_Config'!$B$33,IF(A32&lt;22,"Veg / LST","Preflower-Watch"),IF(A32-'01_Run_Config'!$B$33&lt;=6,"Transition / Stretch ("&amp;AM32&amp;")",IF(A32-'01_Run_Config'!$B$33&lt;=13,"Early Flower ("&amp;AM32&amp;")",IF(A32-'01_Run_Config'!$B$33&lt;=20,"Flower I ("&amp;AM32&amp;")",IF(A32-'01_Run_Config'!$B$33&lt;=34,"Peak Flower ("&amp;AM32&amp;")",IF(A32-'01_Run_Config'!$B$33&lt;=41,"Late Flower ("&amp;AM32&amp;")",IF(A32-'01_Run_Config'!$B$33&lt;=48,"Ripening ("&amp;AM32&amp;")","Harvest / Extension ("&amp;AM32&amp;")"))))))))))</x:f>
        <x:v>Transition / Stretch (B1)</x:v>
      </x:c>
      <x:c r="F32" s="63" t="str">
        <x:f>IF(A32&lt;4,"Keimung + Wurzelstart",IF(A32&lt;8,"Sämling etablieren; Wurzelraum erschließen",IF(A32&lt;15,"kompakter Aufbau; LST erst bei Vitalität",IF(A32&lt;'01_Run_Config'!$B$33,"Canopy aufbauen; Preflower beobachten",IF(A32-'01_Run_Config'!$B$33&lt;=6,"Stretch kontrollieren; Bloom-Trigger dokumentieren",IF(A32-'01_Run_Config'!$B$33&lt;=13,"Blütenansatz stabilisieren",IF(A32-'01_Run_Config'!$B$33&lt;=20,"Blütenaufbau ohne neue Stressoren",IF(A32-'01_Run_Config'!$B$33&lt;=34,"stabile Peak-Photosynthese; Klima priorisieren",IF(A32-'01_Run_Config'!$B$33&lt;=41,"Qualität/Schimmelprävention",IF(A32-'01_Run_Config'!$B$33&lt;=48,"Reife ohne Überfütterung","Erntefenster nach Pflanze; keine Kalenderernte"))))))))))</x:f>
        <x:v>Stretch kontrollieren; Bloom-Trigger dokumentieren</x:v>
      </x:c>
      <x:c r="G32" s="63" t="n">
        <x:v>18</x:v>
      </x:c>
      <x:c r="H32" s="63" t="n">
        <x:v>120</x:v>
      </x:c>
      <x:c r="I32" s="63" t="n">
        <x:v>550</x:v>
      </x:c>
      <x:c r="J32" s="63" t="n">
        <x:f>I32*G32*3600/1000000</x:f>
        <x:v>35.64</x:v>
      </x:c>
      <x:c r="K32" s="63" t="n">
        <x:v>36</x:v>
      </x:c>
      <x:c r="L32" s="63" t="n">
        <x:v>25</x:v>
      </x:c>
      <x:c r="M32" s="63" t="n">
        <x:v>21.5</x:v>
      </x:c>
      <x:c r="N32" s="63" t="n">
        <x:v>53</x:v>
      </x:c>
      <x:c r="O32" s="63" t="n">
        <x:f>ROUND(0.6108*EXP(17.27*(L32+'01_Run_Config'!$B$34)/(L32+'01_Run_Config'!$B$34+237.3))-(N32/100)*0.6108*EXP(17.27*L32/(L32+237.3)),2)</x:f>
        <x:v>1.3</x:v>
      </x:c>
      <x:c r="P32" s="63" t="n">
        <x:f>IF(A32&lt;'01_Run_Config'!$B$32,0.55,IF(A32&lt;'01_Run_Config'!$B$33,IF(A32-'01_Run_Config'!$B$32&lt;=3,0.8,IF(A32-'01_Run_Config'!$B$32&lt;=10,1,IF(A32-'01_Run_Config'!$B$32&lt;=17,1.2,1.4))),IF(A32-'01_Run_Config'!$B$33&lt;=6,1.5,IF(A32-'01_Run_Config'!$B$33&lt;=13,1.6,IF(A32-'01_Run_Config'!$B$33&lt;=20,1.7,IF(A32-'01_Run_Config'!$B$33&lt;=34,1.8,IF(A32-'01_Run_Config'!$B$33&lt;=41,1.6,IF(A32-'01_Run_Config'!$B$33&lt;=48,1.4,1.15))))))))</x:f>
        <x:v>1.5</x:v>
      </x:c>
      <x:c r="Q32" s="63" t="n">
        <x:v>5.9</x:v>
      </x:c>
      <x:c r="R32" s="63" t="n">
        <x:v>0.6</x:v>
      </x:c>
      <x:c r="S32" s="63" t="n">
        <x:v>1</x:v>
      </x:c>
      <x:c r="T32" s="63" t="str">
        <x:f>IF(A32&lt;=7,"Manuell",'01_Run_Config'!$B$40)</x:f>
        <x:v>Manuell / indoor-freigegebene Automation</x:v>
      </x:c>
      <x:c r="U32" s="63" t="str">
        <x:f>IF(A32&lt;'01_Run_Config'!$B$32,"Kein Basisdünger",IF(A32&lt;'01_Run_Config'!$B$33,"HESI TNT","HESI Coco"))</x:f>
        <x:v>HESI Coco</x:v>
      </x:c>
      <x:c r="V32" s="63" t="n">
        <x:f>IF(A32&lt;'01_Run_Config'!$B$32,0,IF(A32&lt;'01_Run_Config'!$B$33,IF(A32-'01_Run_Config'!$B$32&lt;=3,1.25,IF(A32-'01_Run_Config'!$B$32&lt;=10,2,2.5)),IF(A32-'01_Run_Config'!$B$33&lt;=6,2.5,IF(A32-'01_Run_Config'!$B$33&lt;=13,3.25,IF(A32-'01_Run_Config'!$B$33&lt;=20,3.75,IF(A32-'01_Run_Config'!$B$33&lt;=34,4,IF(A32-'01_Run_Config'!$B$33&lt;=41,3.5,IF(A32-'01_Run_Config'!$B$33&lt;=48,2.5,1.5))))))))</x:f>
        <x:v>2.5</x:v>
      </x:c>
      <x:c r="W32" s="63" t="n">
        <x:f>IF(A32&lt;=14,2.5,0)</x:f>
        <x:v>0</x:v>
      </x:c>
      <x:c r="X32" s="63" t="n">
        <x:f>IF('01_Run_Config'!$B$50="AN Sensizym",0,IF(AND(A32&gt;='01_Run_Config'!$B$32,OR(AL32="",AL32&lt;=49)),2,0))</x:f>
        <x:v>2</x:v>
      </x:c>
      <x:c r="Y32" s="63" t="n">
        <x:f>0.015</x:f>
        <x:v>0.015</x:v>
      </x:c>
      <x:c r="Z32" s="63" t="n">
        <x:f>IF('01_Run_Config'!$B$51="HESI Hesilicio",2,0)</x:f>
        <x:v>0</x:v>
      </x:c>
      <x:c r="AA32" s="63" t="n">
        <x:f>IF('01_Run_Config'!$B$48="AN Bud Candy (replaces HESI Boost)",0,IF(AND(A32&gt;='01_Run_Config'!$B$33,MOD(A32-'01_Run_Config'!$B$33,7)=0),2,0))</x:f>
        <x:v>0</x:v>
      </x:c>
      <x:c r="AB32" s="63" t="n">
        <x:f>IF('01_Run_Config'!$B$52="AN Bud Ignitor &gt; Big Bud &gt; Overdrive",0,IF(AND(ISNUMBER(AL32),AL32&gt;=29,AL32&lt;=42),0.25+((AL32-29)/13)*0.25,0))</x:f>
        <x:v>0</x:v>
      </x:c>
      <x:c r="AC32" s="63" t="n">
        <x:f>IF('01_Run_Config'!$B$46="OFF",0,IF(OR(A32='01_Run_Config'!$B$32,A32='01_Run_Config'!$B$32+7,A32='01_Run_Config'!$B$33+1,A32='01_Run_Config'!$B$33+8),2,0))</x:f>
        <x:v>0</x:v>
      </x:c>
      <x:c r="AD32" s="63" t="str">
        <x:f>IF(BG32="BLOCK","HYBRID BLOCKED - Konfiguration prüfen",IF(SUM(AC32,AT32:BF32)&gt;0,"AN aktiv: "&amp;BH32,"AN: keine Dosis heute / Module aus"))</x:f>
        <x:v>AN: keine Dosis heute / Module aus</x:v>
      </x:c>
      <x:c r="AE32" s="63" t="str">
        <x:v>Strukturelles Training beenden</x:v>
      </x:c>
      <x:c r="AF32" s="63" t="str">
        <x:v>Morgens Klima/Pflanze/Bewässerung/Leck; Mitte Lichtphase Blattwinkel; vor Dunkel LF/Drain/stehendes Wasser.</x:v>
      </x:c>
      <x:c r="AG32" s="63" t="str">
        <x:v>EC nicht erhöhen bei steigender Diagnose-Drain-EC; PPFD nicht erhöhen bei Stress; Wasserband nie erzwingen; nie mehrere neue Booster gleichzeitig.</x:v>
      </x:c>
      <x:c r="AH32" s="35" t="str">
        <x:f>"UKD v9 evidence-guarded: Planwerte sind Ziele/Eligibility, keine automatische Freigabe. Eazy Plug/Block ist vorgepuffert; früher Basisfeed bleibt vom Propagation-/Pflanzengate abhängig. Messdaten und Safety-Gates überschreiben Kalender."</x:f>
        <x:v>UKD v9 evidence-guarded: Planwerte sind Ziele/Eligibility, keine automatische Freigabe. Eazy Plug/Block ist vorgepuffert; früher Basisfeed bleibt vom Propagation-/Pflanzengate abhängig. Messdaten und Safety-Gates überschreiben Kalender.</x:v>
      </x:c>
      <x:c r="AI32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32" s="201" t="str">
        <x:f>IF(A32&lt;'01_Run_Config'!$B$32,"—",IF(A32&lt;'01_Run_Config'!$B$33,"G"&amp;MIN(4,INT((A32-'01_Run_Config'!$B$32)/7)+1),AM32))</x:f>
        <x:v>B1</x:v>
      </x:c>
      <x:c r="AK32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32" s="60" t="n">
        <x:f>IF(A32&lt;'01_Run_Config'!$B$33,"",A32-'01_Run_Config'!$B$33+1)</x:f>
        <x:v>3</x:v>
      </x:c>
      <x:c r="AM32" s="60" t="str">
        <x:f>IF(AL32="","",IF(AL32&gt;49,CHAR(66)&amp;"7+",CHAR(66)&amp;TEXT(INT((AL32-1)/7)+1,"0")))</x:f>
        <x:v>B1</x:v>
      </x:c>
      <x:c r="AN32" s="60" t="n">
        <x:f>ROUND(0.6108*EXP(17.27*L32/(L32+237.3))*(1-N32/100),2)</x:f>
        <x:v>1.49</x:v>
      </x:c>
      <x:c r="AO32" s="60" t="n">
        <x:f>H32*G32/1000</x:f>
        <x:v>2.16</x:v>
      </x:c>
      <x:c r="AP32" s="60" t="n">
        <x:f>SUM($AO$2:AO32)</x:f>
        <x:v>37.71000000000001</x:v>
      </x:c>
      <x:c r="AQ32" t="n">
        <x:f>'01_Run_Config'!$B$17</x:f>
        <x:v>0</x:v>
      </x:c>
      <x:c r="AR32" t="n">
        <x:f>'01_Run_Config'!$B$22</x:f>
        <x:v>0</x:v>
      </x:c>
      <x:c r="AS32" t="n">
        <x:f>'01_Run_Config'!$B$25</x:f>
        <x:v>0</x:v>
      </x:c>
      <x:c r="AT32" t="n">
        <x:f>IF(AND('01_Run_Config'!$B$46="Voodoo + Piranha + Tarantula",AC32&gt;0),2,0)</x:f>
        <x:v>0</x:v>
      </x:c>
      <x:c r="AU32" t="n">
        <x:f>IF(AND(OR('01_Run_Config'!$B$46="Voodoo + Tarantula",'01_Run_Config'!$B$46="Voodoo + Piranha + Tarantula"),AC32&gt;0),2,0)</x:f>
        <x:v>0</x:v>
      </x:c>
      <x:c r="AV32" t="n">
        <x:f>IF('01_Run_Config'!$B$47&lt;&gt;"ON / A-B",0,IF(OR(AND(A32&gt;='01_Run_Config'!$B$32,A32&lt;'01_Run_Config'!$B$33),AND(ISNUMBER(AL32),AL32&gt;=15,AL32&lt;=49)),2,0))</x:f>
        <x:v>0</x:v>
      </x:c>
      <x:c r="AW32" t="n">
        <x:f>IF('01_Run_Config'!$B$48="AN Bud Candy (replaces HESI Boost)",IF(AND(A32&gt;='01_Run_Config'!$B$32,OR(AL32="",AL32&lt;=49)),2,0),0)</x:f>
        <x:v>0</x:v>
      </x:c>
      <x:c r="AX32" t="n">
        <x:f>IF('01_Run_Config'!$B$49&lt;&gt;"ON / EXPERIMENTAL",0,IF(OR(AND(A32&gt;='01_Run_Config'!$B$32+7,A32&lt;'01_Run_Config'!$B$33),AND(ISNUMBER(AL32),AL32&gt;=1,AL32&lt;=49)),2,0))</x:f>
        <x:v>0</x:v>
      </x:c>
      <x:c r="AY32" t="n">
        <x:f>IF('01_Run_Config'!$B$50="AN Sensizym",IF(AND(A32&gt;='01_Run_Config'!$B$32,OR(AL32="",AL32&lt;=49)),2,0),0)</x:f>
        <x:v>0</x:v>
      </x:c>
      <x:c r="AZ32" t="n">
        <x:f>IF('01_Run_Config'!$B$51="AN Rhino Skin",IF(AND(A32&gt;='01_Run_Config'!$B$32,OR(AL32="",AL32&lt;=49)),2,0),0)</x:f>
        <x:v>0</x:v>
      </x:c>
      <x:c r="BA32" t="n">
        <x:f>IF(AND('01_Run_Config'!$B$52="AN Bud Ignitor &gt; Big Bud &gt; Overdrive",ISNUMBER(AL32),AL32&gt;=1,AL32&lt;=14),2,0)</x:f>
        <x:v>0</x:v>
      </x:c>
      <x:c r="BB32" t="n">
        <x:f>IF(AND('01_Run_Config'!$B$52="AN Bud Ignitor &gt; Big Bud &gt; Overdrive",ISNUMBER(AL32),AL32&gt;=8,AL32&lt;=35),2,0)</x:f>
        <x:v>0</x:v>
      </x:c>
      <x:c r="BC32" t="n">
        <x:f>IF(AND('01_Run_Config'!$B$52="AN Bud Ignitor &gt; Big Bud &gt; Overdrive",ISNUMBER(AL32),AL32&gt;=36,AL32&lt;=49),2,0)</x:f>
        <x:v>0</x:v>
      </x:c>
      <x:c r="BD32" t="n">
        <x:f>IF('01_Run_Config'!$B$53="ON / EXPERIMENTAL",IF(OR(AND(A32&gt;='01_Run_Config'!$B$32,A32&lt;'01_Run_Config'!$B$33),AND(ISNUMBER(AL32),AL32&gt;=15,AL32&lt;=49)),2,0),0)</x:f>
        <x:v>0</x:v>
      </x:c>
      <x:c r="BE32" t="n">
        <x:f>IF('01_Run_Config'!$B$54="AN Sensi CalMag Xtra conditional",'01_Run_Config'!$B$17,0)</x:f>
        <x:v>0</x:v>
      </x:c>
      <x:c r="BF32" t="n">
        <x:f>0</x:f>
        <x:v>0</x:v>
      </x:c>
      <x:c r="BG32" t="str">
        <x:f>'01_Run_Config'!$E$57</x:f>
        <x:v>OK</x:v>
      </x:c>
      <x:c r="BH32" t="str">
        <x:f>IF(SUM(AC32,AT32:BF32)=0,"keine AN-Dosis heute",IF(AC32&gt;0,"Voodoo "&amp;AC32&amp;" ml/L; ","")&amp;IF(AT32&gt;0,"Piranha "&amp;AT32&amp;" ml/L; ","")&amp;IF(AU32&gt;0,"Tarantula "&amp;AU32&amp;" ml/L; ","")&amp;IF(AV32&gt;0,"B-52 "&amp;AV32&amp;" ml/L; ","")&amp;IF(AW32&gt;0,"Bud Candy "&amp;AW32&amp;" ml/L; ","")&amp;IF(AX32&gt;0,"Bud Factor X "&amp;AX32&amp;" ml/L; ","")&amp;IF(AY32&gt;0,"Sensizym "&amp;AY32&amp;" ml/L; ","")&amp;IF(AZ32&gt;0,"Rhino Skin "&amp;AZ32&amp;" ml/L; ","")&amp;IF(BA32&gt;0,"Bud Ignitor "&amp;BA32&amp;" ml/L; ","")&amp;IF(BB32&gt;0,"Big Bud "&amp;BB32&amp;" ml/L; ","")&amp;IF(BC32&gt;0,"Overdrive "&amp;BC32&amp;" ml/L; ","")&amp;IF(BD32&gt;0,"Tasty Terpenes "&amp;BD32&amp;" ml/L; ","")&amp;IF(BE32&gt;0,"Sensi CalMag "&amp;BE32&amp;" ml/L",""))</x:f>
        <x:v>keine AN-Dosis heute</x:v>
      </x:c>
    </x:row>
    <x:row r="33">
      <x:c r="A33" s="34" t="n">
        <x:v>31</x:v>
      </x:c>
      <x:c r="B33" s="129" t="n">
        <x:f>'01_Run_Config'!$B$4+A33</x:f>
        <x:v>46273</x:v>
      </x:c>
      <x:c r="C33" s="63" t="n">
        <x:f>INT(A33/7)+1</x:f>
        <x:v>5</x:v>
      </x:c>
      <x:c r="D33" s="63" t="str">
        <x:f>"M"&amp;MIN(3,INT(A33/30)+1)</x:f>
        <x:v>M2</x:v>
      </x:c>
      <x:c r="E33" s="63" t="str">
        <x:f>IF(A33&lt;4,"Keimung",IF(A33&lt;8,"Etablierung",IF(A33&lt;15,"Early Veg",IF(A33&lt;'01_Run_Config'!$B$33,IF(A33&lt;22,"Veg / LST","Preflower-Watch"),IF(A33-'01_Run_Config'!$B$33&lt;=6,"Transition / Stretch ("&amp;AM33&amp;")",IF(A33-'01_Run_Config'!$B$33&lt;=13,"Early Flower ("&amp;AM33&amp;")",IF(A33-'01_Run_Config'!$B$33&lt;=20,"Flower I ("&amp;AM33&amp;")",IF(A33-'01_Run_Config'!$B$33&lt;=34,"Peak Flower ("&amp;AM33&amp;")",IF(A33-'01_Run_Config'!$B$33&lt;=41,"Late Flower ("&amp;AM33&amp;")",IF(A33-'01_Run_Config'!$B$33&lt;=48,"Ripening ("&amp;AM33&amp;")","Harvest / Extension ("&amp;AM33&amp;")"))))))))))</x:f>
        <x:v>Transition / Stretch (B1)</x:v>
      </x:c>
      <x:c r="F33" s="63" t="str">
        <x:f>IF(A33&lt;4,"Keimung + Wurzelstart",IF(A33&lt;8,"Sämling etablieren; Wurzelraum erschließen",IF(A33&lt;15,"kompakter Aufbau; LST erst bei Vitalität",IF(A33&lt;'01_Run_Config'!$B$33,"Canopy aufbauen; Preflower beobachten",IF(A33-'01_Run_Config'!$B$33&lt;=6,"Stretch kontrollieren; Bloom-Trigger dokumentieren",IF(A33-'01_Run_Config'!$B$33&lt;=13,"Blütenansatz stabilisieren",IF(A33-'01_Run_Config'!$B$33&lt;=20,"Blütenaufbau ohne neue Stressoren",IF(A33-'01_Run_Config'!$B$33&lt;=34,"stabile Peak-Photosynthese; Klima priorisieren",IF(A33-'01_Run_Config'!$B$33&lt;=41,"Qualität/Schimmelprävention",IF(A33-'01_Run_Config'!$B$33&lt;=48,"Reife ohne Überfütterung","Erntefenster nach Pflanze; keine Kalenderernte"))))))))))</x:f>
        <x:v>Stretch kontrollieren; Bloom-Trigger dokumentieren</x:v>
      </x:c>
      <x:c r="G33" s="63" t="n">
        <x:v>18</x:v>
      </x:c>
      <x:c r="H33" s="63" t="n">
        <x:v>120</x:v>
      </x:c>
      <x:c r="I33" s="63" t="n">
        <x:v>550</x:v>
      </x:c>
      <x:c r="J33" s="63" t="n">
        <x:f>I33*G33*3600/1000000</x:f>
        <x:v>35.64</x:v>
      </x:c>
      <x:c r="K33" s="63" t="n">
        <x:v>36</x:v>
      </x:c>
      <x:c r="L33" s="63" t="n">
        <x:v>25</x:v>
      </x:c>
      <x:c r="M33" s="63" t="n">
        <x:v>21.5</x:v>
      </x:c>
      <x:c r="N33" s="63" t="n">
        <x:v>53</x:v>
      </x:c>
      <x:c r="O33" s="63" t="n">
        <x:f>ROUND(0.6108*EXP(17.27*(L33+'01_Run_Config'!$B$34)/(L33+'01_Run_Config'!$B$34+237.3))-(N33/100)*0.6108*EXP(17.27*L33/(L33+237.3)),2)</x:f>
        <x:v>1.3</x:v>
      </x:c>
      <x:c r="P33" s="63" t="n">
        <x:f>IF(A33&lt;'01_Run_Config'!$B$32,0.55,IF(A33&lt;'01_Run_Config'!$B$33,IF(A33-'01_Run_Config'!$B$32&lt;=3,0.8,IF(A33-'01_Run_Config'!$B$32&lt;=10,1,IF(A33-'01_Run_Config'!$B$32&lt;=17,1.2,1.4))),IF(A33-'01_Run_Config'!$B$33&lt;=6,1.5,IF(A33-'01_Run_Config'!$B$33&lt;=13,1.6,IF(A33-'01_Run_Config'!$B$33&lt;=20,1.7,IF(A33-'01_Run_Config'!$B$33&lt;=34,1.8,IF(A33-'01_Run_Config'!$B$33&lt;=41,1.6,IF(A33-'01_Run_Config'!$B$33&lt;=48,1.4,1.15))))))))</x:f>
        <x:v>1.5</x:v>
      </x:c>
      <x:c r="Q33" s="63" t="n">
        <x:v>5.9</x:v>
      </x:c>
      <x:c r="R33" s="63" t="n">
        <x:v>0.6</x:v>
      </x:c>
      <x:c r="S33" s="63" t="n">
        <x:v>1</x:v>
      </x:c>
      <x:c r="T33" s="63" t="str">
        <x:f>IF(A33&lt;=7,"Manuell",'01_Run_Config'!$B$40)</x:f>
        <x:v>Manuell / indoor-freigegebene Automation</x:v>
      </x:c>
      <x:c r="U33" s="63" t="str">
        <x:f>IF(A33&lt;'01_Run_Config'!$B$32,"Kein Basisdünger",IF(A33&lt;'01_Run_Config'!$B$33,"HESI TNT","HESI Coco"))</x:f>
        <x:v>HESI Coco</x:v>
      </x:c>
      <x:c r="V33" s="63" t="n">
        <x:f>IF(A33&lt;'01_Run_Config'!$B$32,0,IF(A33&lt;'01_Run_Config'!$B$33,IF(A33-'01_Run_Config'!$B$32&lt;=3,1.25,IF(A33-'01_Run_Config'!$B$32&lt;=10,2,2.5)),IF(A33-'01_Run_Config'!$B$33&lt;=6,2.5,IF(A33-'01_Run_Config'!$B$33&lt;=13,3.25,IF(A33-'01_Run_Config'!$B$33&lt;=20,3.75,IF(A33-'01_Run_Config'!$B$33&lt;=34,4,IF(A33-'01_Run_Config'!$B$33&lt;=41,3.5,IF(A33-'01_Run_Config'!$B$33&lt;=48,2.5,1.5))))))))</x:f>
        <x:v>2.5</x:v>
      </x:c>
      <x:c r="W33" s="63" t="n">
        <x:f>IF(A33&lt;=14,2.5,0)</x:f>
        <x:v>0</x:v>
      </x:c>
      <x:c r="X33" s="63" t="n">
        <x:f>IF('01_Run_Config'!$B$50="AN Sensizym",0,IF(AND(A33&gt;='01_Run_Config'!$B$32,OR(AL33="",AL33&lt;=49)),2,0))</x:f>
        <x:v>2</x:v>
      </x:c>
      <x:c r="Y33" s="63" t="n">
        <x:f>0.015</x:f>
        <x:v>0.015</x:v>
      </x:c>
      <x:c r="Z33" s="63" t="n">
        <x:f>IF('01_Run_Config'!$B$51="HESI Hesilicio",2,0)</x:f>
        <x:v>0</x:v>
      </x:c>
      <x:c r="AA33" s="63" t="n">
        <x:f>IF('01_Run_Config'!$B$48="AN Bud Candy (replaces HESI Boost)",0,IF(AND(A33&gt;='01_Run_Config'!$B$33,MOD(A33-'01_Run_Config'!$B$33,7)=0),2,0))</x:f>
        <x:v>0</x:v>
      </x:c>
      <x:c r="AB33" s="63" t="n">
        <x:f>IF('01_Run_Config'!$B$52="AN Bud Ignitor &gt; Big Bud &gt; Overdrive",0,IF(AND(ISNUMBER(AL33),AL33&gt;=29,AL33&lt;=42),0.25+((AL33-29)/13)*0.25,0))</x:f>
        <x:v>0</x:v>
      </x:c>
      <x:c r="AC33" s="63" t="n">
        <x:f>IF('01_Run_Config'!$B$46="OFF",0,IF(OR(A33='01_Run_Config'!$B$32,A33='01_Run_Config'!$B$32+7,A33='01_Run_Config'!$B$33+1,A33='01_Run_Config'!$B$33+8),2,0))</x:f>
        <x:v>0</x:v>
      </x:c>
      <x:c r="AD33" s="63" t="str">
        <x:f>IF(BG33="BLOCK","HYBRID BLOCKED - Konfiguration prüfen",IF(SUM(AC33,AT33:BF33)&gt;0,"AN aktiv: "&amp;BH33,"AN: keine Dosis heute / Module aus"))</x:f>
        <x:v>AN: keine Dosis heute / Module aus</x:v>
      </x:c>
      <x:c r="AE33" s="63" t="str">
        <x:v>Strukturelles Training beenden</x:v>
      </x:c>
      <x:c r="AF33" s="63" t="str">
        <x:v>Morgens Klima/Pflanze/Bewässerung/Leck; Mitte Lichtphase Blattwinkel; vor Dunkel LF/Drain/stehendes Wasser.</x:v>
      </x:c>
      <x:c r="AG33" s="63" t="str">
        <x:v>EC nicht erhöhen bei steigender Diagnose-Drain-EC; PPFD nicht erhöhen bei Stress; Wasserband nie erzwingen; nie mehrere neue Booster gleichzeitig.</x:v>
      </x:c>
      <x:c r="AH33" s="35" t="str">
        <x:f>"UKD v9 evidence-guarded: Planwerte sind Ziele/Eligibility, keine automatische Freigabe. Eazy Plug/Block ist vorgepuffert; früher Basisfeed bleibt vom Propagation-/Pflanzengate abhängig. Messdaten und Safety-Gates überschreiben Kalender."</x:f>
        <x:v>UKD v9 evidence-guarded: Planwerte sind Ziele/Eligibility, keine automatische Freigabe. Eazy Plug/Block ist vorgepuffert; früher Basisfeed bleibt vom Propagation-/Pflanzengate abhängig. Messdaten und Safety-Gates überschreiben Kalender.</x:v>
      </x:c>
      <x:c r="AI33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33" s="201" t="str">
        <x:f>IF(A33&lt;'01_Run_Config'!$B$32,"—",IF(A33&lt;'01_Run_Config'!$B$33,"G"&amp;MIN(4,INT((A33-'01_Run_Config'!$B$32)/7)+1),AM33))</x:f>
        <x:v>B1</x:v>
      </x:c>
      <x:c r="AK33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33" s="60" t="n">
        <x:f>IF(A33&lt;'01_Run_Config'!$B$33,"",A33-'01_Run_Config'!$B$33+1)</x:f>
        <x:v>4</x:v>
      </x:c>
      <x:c r="AM33" s="60" t="str">
        <x:f>IF(AL33="","",IF(AL33&gt;49,CHAR(66)&amp;"7+",CHAR(66)&amp;TEXT(INT((AL33-1)/7)+1,"0")))</x:f>
        <x:v>B1</x:v>
      </x:c>
      <x:c r="AN33" s="60" t="n">
        <x:f>ROUND(0.6108*EXP(17.27*L33/(L33+237.3))*(1-N33/100),2)</x:f>
        <x:v>1.49</x:v>
      </x:c>
      <x:c r="AO33" s="60" t="n">
        <x:f>H33*G33/1000</x:f>
        <x:v>2.16</x:v>
      </x:c>
      <x:c r="AP33" s="60" t="n">
        <x:f>SUM($AO$2:AO33)</x:f>
        <x:v>39.870000000000005</x:v>
      </x:c>
      <x:c r="AQ33" t="n">
        <x:f>'01_Run_Config'!$B$17</x:f>
        <x:v>0</x:v>
      </x:c>
      <x:c r="AR33" t="n">
        <x:f>'01_Run_Config'!$B$22</x:f>
        <x:v>0</x:v>
      </x:c>
      <x:c r="AS33" t="n">
        <x:f>'01_Run_Config'!$B$25</x:f>
        <x:v>0</x:v>
      </x:c>
      <x:c r="AT33" t="n">
        <x:f>IF(AND('01_Run_Config'!$B$46="Voodoo + Piranha + Tarantula",AC33&gt;0),2,0)</x:f>
        <x:v>0</x:v>
      </x:c>
      <x:c r="AU33" t="n">
        <x:f>IF(AND(OR('01_Run_Config'!$B$46="Voodoo + Tarantula",'01_Run_Config'!$B$46="Voodoo + Piranha + Tarantula"),AC33&gt;0),2,0)</x:f>
        <x:v>0</x:v>
      </x:c>
      <x:c r="AV33" t="n">
        <x:f>IF('01_Run_Config'!$B$47&lt;&gt;"ON / A-B",0,IF(OR(AND(A33&gt;='01_Run_Config'!$B$32,A33&lt;'01_Run_Config'!$B$33),AND(ISNUMBER(AL33),AL33&gt;=15,AL33&lt;=49)),2,0))</x:f>
        <x:v>0</x:v>
      </x:c>
      <x:c r="AW33" t="n">
        <x:f>IF('01_Run_Config'!$B$48="AN Bud Candy (replaces HESI Boost)",IF(AND(A33&gt;='01_Run_Config'!$B$32,OR(AL33="",AL33&lt;=49)),2,0),0)</x:f>
        <x:v>0</x:v>
      </x:c>
      <x:c r="AX33" t="n">
        <x:f>IF('01_Run_Config'!$B$49&lt;&gt;"ON / EXPERIMENTAL",0,IF(OR(AND(A33&gt;='01_Run_Config'!$B$32+7,A33&lt;'01_Run_Config'!$B$33),AND(ISNUMBER(AL33),AL33&gt;=1,AL33&lt;=49)),2,0))</x:f>
        <x:v>0</x:v>
      </x:c>
      <x:c r="AY33" t="n">
        <x:f>IF('01_Run_Config'!$B$50="AN Sensizym",IF(AND(A33&gt;='01_Run_Config'!$B$32,OR(AL33="",AL33&lt;=49)),2,0),0)</x:f>
        <x:v>0</x:v>
      </x:c>
      <x:c r="AZ33" t="n">
        <x:f>IF('01_Run_Config'!$B$51="AN Rhino Skin",IF(AND(A33&gt;='01_Run_Config'!$B$32,OR(AL33="",AL33&lt;=49)),2,0),0)</x:f>
        <x:v>0</x:v>
      </x:c>
      <x:c r="BA33" t="n">
        <x:f>IF(AND('01_Run_Config'!$B$52="AN Bud Ignitor &gt; Big Bud &gt; Overdrive",ISNUMBER(AL33),AL33&gt;=1,AL33&lt;=14),2,0)</x:f>
        <x:v>0</x:v>
      </x:c>
      <x:c r="BB33" t="n">
        <x:f>IF(AND('01_Run_Config'!$B$52="AN Bud Ignitor &gt; Big Bud &gt; Overdrive",ISNUMBER(AL33),AL33&gt;=8,AL33&lt;=35),2,0)</x:f>
        <x:v>0</x:v>
      </x:c>
      <x:c r="BC33" t="n">
        <x:f>IF(AND('01_Run_Config'!$B$52="AN Bud Ignitor &gt; Big Bud &gt; Overdrive",ISNUMBER(AL33),AL33&gt;=36,AL33&lt;=49),2,0)</x:f>
        <x:v>0</x:v>
      </x:c>
      <x:c r="BD33" t="n">
        <x:f>IF('01_Run_Config'!$B$53="ON / EXPERIMENTAL",IF(OR(AND(A33&gt;='01_Run_Config'!$B$32,A33&lt;'01_Run_Config'!$B$33),AND(ISNUMBER(AL33),AL33&gt;=15,AL33&lt;=49)),2,0),0)</x:f>
        <x:v>0</x:v>
      </x:c>
      <x:c r="BE33" t="n">
        <x:f>IF('01_Run_Config'!$B$54="AN Sensi CalMag Xtra conditional",'01_Run_Config'!$B$17,0)</x:f>
        <x:v>0</x:v>
      </x:c>
      <x:c r="BF33" t="n">
        <x:f>0</x:f>
        <x:v>0</x:v>
      </x:c>
      <x:c r="BG33" t="str">
        <x:f>'01_Run_Config'!$E$57</x:f>
        <x:v>OK</x:v>
      </x:c>
      <x:c r="BH33" t="str">
        <x:f>IF(SUM(AC33,AT33:BF33)=0,"keine AN-Dosis heute",IF(AC33&gt;0,"Voodoo "&amp;AC33&amp;" ml/L; ","")&amp;IF(AT33&gt;0,"Piranha "&amp;AT33&amp;" ml/L; ","")&amp;IF(AU33&gt;0,"Tarantula "&amp;AU33&amp;" ml/L; ","")&amp;IF(AV33&gt;0,"B-52 "&amp;AV33&amp;" ml/L; ","")&amp;IF(AW33&gt;0,"Bud Candy "&amp;AW33&amp;" ml/L; ","")&amp;IF(AX33&gt;0,"Bud Factor X "&amp;AX33&amp;" ml/L; ","")&amp;IF(AY33&gt;0,"Sensizym "&amp;AY33&amp;" ml/L; ","")&amp;IF(AZ33&gt;0,"Rhino Skin "&amp;AZ33&amp;" ml/L; ","")&amp;IF(BA33&gt;0,"Bud Ignitor "&amp;BA33&amp;" ml/L; ","")&amp;IF(BB33&gt;0,"Big Bud "&amp;BB33&amp;" ml/L; ","")&amp;IF(BC33&gt;0,"Overdrive "&amp;BC33&amp;" ml/L; ","")&amp;IF(BD33&gt;0,"Tasty Terpenes "&amp;BD33&amp;" ml/L; ","")&amp;IF(BE33&gt;0,"Sensi CalMag "&amp;BE33&amp;" ml/L",""))</x:f>
        <x:v>keine AN-Dosis heute</x:v>
      </x:c>
    </x:row>
    <x:row r="34">
      <x:c r="A34" s="34" t="n">
        <x:v>32</x:v>
      </x:c>
      <x:c r="B34" s="129" t="n">
        <x:f>'01_Run_Config'!$B$4+A34</x:f>
        <x:v>46274</x:v>
      </x:c>
      <x:c r="C34" s="63" t="n">
        <x:f>INT(A34/7)+1</x:f>
        <x:v>5</x:v>
      </x:c>
      <x:c r="D34" s="63" t="str">
        <x:f>"M"&amp;MIN(3,INT(A34/30)+1)</x:f>
        <x:v>M2</x:v>
      </x:c>
      <x:c r="E34" s="63" t="str">
        <x:f>IF(A34&lt;4,"Keimung",IF(A34&lt;8,"Etablierung",IF(A34&lt;15,"Early Veg",IF(A34&lt;'01_Run_Config'!$B$33,IF(A34&lt;22,"Veg / LST","Preflower-Watch"),IF(A34-'01_Run_Config'!$B$33&lt;=6,"Transition / Stretch ("&amp;AM34&amp;")",IF(A34-'01_Run_Config'!$B$33&lt;=13,"Early Flower ("&amp;AM34&amp;")",IF(A34-'01_Run_Config'!$B$33&lt;=20,"Flower I ("&amp;AM34&amp;")",IF(A34-'01_Run_Config'!$B$33&lt;=34,"Peak Flower ("&amp;AM34&amp;")",IF(A34-'01_Run_Config'!$B$33&lt;=41,"Late Flower ("&amp;AM34&amp;")",IF(A34-'01_Run_Config'!$B$33&lt;=48,"Ripening ("&amp;AM34&amp;")","Harvest / Extension ("&amp;AM34&amp;")"))))))))))</x:f>
        <x:v>Transition / Stretch (B1)</x:v>
      </x:c>
      <x:c r="F34" s="63" t="str">
        <x:f>IF(A34&lt;4,"Keimung + Wurzelstart",IF(A34&lt;8,"Sämling etablieren; Wurzelraum erschließen",IF(A34&lt;15,"kompakter Aufbau; LST erst bei Vitalität",IF(A34&lt;'01_Run_Config'!$B$33,"Canopy aufbauen; Preflower beobachten",IF(A34-'01_Run_Config'!$B$33&lt;=6,"Stretch kontrollieren; Bloom-Trigger dokumentieren",IF(A34-'01_Run_Config'!$B$33&lt;=13,"Blütenansatz stabilisieren",IF(A34-'01_Run_Config'!$B$33&lt;=20,"Blütenaufbau ohne neue Stressoren",IF(A34-'01_Run_Config'!$B$33&lt;=34,"stabile Peak-Photosynthese; Klima priorisieren",IF(A34-'01_Run_Config'!$B$33&lt;=41,"Qualität/Schimmelprävention",IF(A34-'01_Run_Config'!$B$33&lt;=48,"Reife ohne Überfütterung","Erntefenster nach Pflanze; keine Kalenderernte"))))))))))</x:f>
        <x:v>Stretch kontrollieren; Bloom-Trigger dokumentieren</x:v>
      </x:c>
      <x:c r="G34" s="63" t="n">
        <x:v>18</x:v>
      </x:c>
      <x:c r="H34" s="63" t="n">
        <x:v>120</x:v>
      </x:c>
      <x:c r="I34" s="63" t="n">
        <x:v>550</x:v>
      </x:c>
      <x:c r="J34" s="63" t="n">
        <x:f>I34*G34*3600/1000000</x:f>
        <x:v>35.64</x:v>
      </x:c>
      <x:c r="K34" s="63" t="n">
        <x:v>36</x:v>
      </x:c>
      <x:c r="L34" s="63" t="n">
        <x:v>25</x:v>
      </x:c>
      <x:c r="M34" s="63" t="n">
        <x:v>21.5</x:v>
      </x:c>
      <x:c r="N34" s="63" t="n">
        <x:v>53</x:v>
      </x:c>
      <x:c r="O34" s="63" t="n">
        <x:f>ROUND(0.6108*EXP(17.27*(L34+'01_Run_Config'!$B$34)/(L34+'01_Run_Config'!$B$34+237.3))-(N34/100)*0.6108*EXP(17.27*L34/(L34+237.3)),2)</x:f>
        <x:v>1.3</x:v>
      </x:c>
      <x:c r="P34" s="63" t="n">
        <x:f>IF(A34&lt;'01_Run_Config'!$B$32,0.55,IF(A34&lt;'01_Run_Config'!$B$33,IF(A34-'01_Run_Config'!$B$32&lt;=3,0.8,IF(A34-'01_Run_Config'!$B$32&lt;=10,1,IF(A34-'01_Run_Config'!$B$32&lt;=17,1.2,1.4))),IF(A34-'01_Run_Config'!$B$33&lt;=6,1.5,IF(A34-'01_Run_Config'!$B$33&lt;=13,1.6,IF(A34-'01_Run_Config'!$B$33&lt;=20,1.7,IF(A34-'01_Run_Config'!$B$33&lt;=34,1.8,IF(A34-'01_Run_Config'!$B$33&lt;=41,1.6,IF(A34-'01_Run_Config'!$B$33&lt;=48,1.4,1.15))))))))</x:f>
        <x:v>1.5</x:v>
      </x:c>
      <x:c r="Q34" s="63" t="n">
        <x:v>5.9</x:v>
      </x:c>
      <x:c r="R34" s="63" t="n">
        <x:v>0.6</x:v>
      </x:c>
      <x:c r="S34" s="63" t="n">
        <x:v>1</x:v>
      </x:c>
      <x:c r="T34" s="63" t="str">
        <x:f>IF(A34&lt;=7,"Manuell",'01_Run_Config'!$B$40)</x:f>
        <x:v>Manuell / indoor-freigegebene Automation</x:v>
      </x:c>
      <x:c r="U34" s="63" t="str">
        <x:f>IF(A34&lt;'01_Run_Config'!$B$32,"Kein Basisdünger",IF(A34&lt;'01_Run_Config'!$B$33,"HESI TNT","HESI Coco"))</x:f>
        <x:v>HESI Coco</x:v>
      </x:c>
      <x:c r="V34" s="63" t="n">
        <x:f>IF(A34&lt;'01_Run_Config'!$B$32,0,IF(A34&lt;'01_Run_Config'!$B$33,IF(A34-'01_Run_Config'!$B$32&lt;=3,1.25,IF(A34-'01_Run_Config'!$B$32&lt;=10,2,2.5)),IF(A34-'01_Run_Config'!$B$33&lt;=6,2.5,IF(A34-'01_Run_Config'!$B$33&lt;=13,3.25,IF(A34-'01_Run_Config'!$B$33&lt;=20,3.75,IF(A34-'01_Run_Config'!$B$33&lt;=34,4,IF(A34-'01_Run_Config'!$B$33&lt;=41,3.5,IF(A34-'01_Run_Config'!$B$33&lt;=48,2.5,1.5))))))))</x:f>
        <x:v>2.5</x:v>
      </x:c>
      <x:c r="W34" s="63" t="n">
        <x:f>IF(A34&lt;=14,2.5,0)</x:f>
        <x:v>0</x:v>
      </x:c>
      <x:c r="X34" s="63" t="n">
        <x:f>IF('01_Run_Config'!$B$50="AN Sensizym",0,IF(AND(A34&gt;='01_Run_Config'!$B$32,OR(AL34="",AL34&lt;=49)),2,0))</x:f>
        <x:v>2</x:v>
      </x:c>
      <x:c r="Y34" s="63" t="n">
        <x:f>0.015</x:f>
        <x:v>0.015</x:v>
      </x:c>
      <x:c r="Z34" s="63" t="n">
        <x:f>IF('01_Run_Config'!$B$51="HESI Hesilicio",2,0)</x:f>
        <x:v>0</x:v>
      </x:c>
      <x:c r="AA34" s="63" t="n">
        <x:f>IF('01_Run_Config'!$B$48="AN Bud Candy (replaces HESI Boost)",0,IF(AND(A34&gt;='01_Run_Config'!$B$33,MOD(A34-'01_Run_Config'!$B$33,7)=0),2,0))</x:f>
        <x:v>0</x:v>
      </x:c>
      <x:c r="AB34" s="63" t="n">
        <x:f>IF('01_Run_Config'!$B$52="AN Bud Ignitor &gt; Big Bud &gt; Overdrive",0,IF(AND(ISNUMBER(AL34),AL34&gt;=29,AL34&lt;=42),0.25+((AL34-29)/13)*0.25,0))</x:f>
        <x:v>0</x:v>
      </x:c>
      <x:c r="AC34" s="63" t="n">
        <x:f>IF('01_Run_Config'!$B$46="OFF",0,IF(OR(A34='01_Run_Config'!$B$32,A34='01_Run_Config'!$B$32+7,A34='01_Run_Config'!$B$33+1,A34='01_Run_Config'!$B$33+8),2,0))</x:f>
        <x:v>0</x:v>
      </x:c>
      <x:c r="AD34" s="63" t="str">
        <x:f>IF(BG34="BLOCK","HYBRID BLOCKED - Konfiguration prüfen",IF(SUM(AC34,AT34:BF34)&gt;0,"AN aktiv: "&amp;BH34,"AN: keine Dosis heute / Module aus"))</x:f>
        <x:v>AN: keine Dosis heute / Module aus</x:v>
      </x:c>
      <x:c r="AE34" s="63" t="str">
        <x:v>Strukturelles Training beenden</x:v>
      </x:c>
      <x:c r="AF34" s="63" t="str">
        <x:v>Morgens Klima/Pflanze/Bewässerung/Leck; Mitte Lichtphase Blattwinkel; vor Dunkel LF/Drain/stehendes Wasser.</x:v>
      </x:c>
      <x:c r="AG34" s="63" t="str">
        <x:v>EC nicht erhöhen bei steigender Diagnose-Drain-EC; PPFD nicht erhöhen bei Stress; Wasserband nie erzwingen; nie mehrere neue Booster gleichzeitig.</x:v>
      </x:c>
      <x:c r="AH34" s="35" t="str">
        <x:f>"UKD v9 evidence-guarded: Planwerte sind Ziele/Eligibility, keine automatische Freigabe. Eazy Plug/Block ist vorgepuffert; früher Basisfeed bleibt vom Propagation-/Pflanzengate abhängig. Messdaten und Safety-Gates überschreiben Kalender."</x:f>
        <x:v>UKD v9 evidence-guarded: Planwerte sind Ziele/Eligibility, keine automatische Freigabe. Eazy Plug/Block ist vorgepuffert; früher Basisfeed bleibt vom Propagation-/Pflanzengate abhängig. Messdaten und Safety-Gates überschreiben Kalender.</x:v>
      </x:c>
      <x:c r="AI34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34" s="201" t="str">
        <x:f>IF(A34&lt;'01_Run_Config'!$B$32,"—",IF(A34&lt;'01_Run_Config'!$B$33,"G"&amp;MIN(4,INT((A34-'01_Run_Config'!$B$32)/7)+1),AM34))</x:f>
        <x:v>B1</x:v>
      </x:c>
      <x:c r="AK34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34" s="60" t="n">
        <x:f>IF(A34&lt;'01_Run_Config'!$B$33,"",A34-'01_Run_Config'!$B$33+1)</x:f>
        <x:v>5</x:v>
      </x:c>
      <x:c r="AM34" s="60" t="str">
        <x:f>IF(AL34="","",IF(AL34&gt;49,CHAR(66)&amp;"7+",CHAR(66)&amp;TEXT(INT((AL34-1)/7)+1,"0")))</x:f>
        <x:v>B1</x:v>
      </x:c>
      <x:c r="AN34" s="60" t="n">
        <x:f>ROUND(0.6108*EXP(17.27*L34/(L34+237.3))*(1-N34/100),2)</x:f>
        <x:v>1.49</x:v>
      </x:c>
      <x:c r="AO34" s="60" t="n">
        <x:f>H34*G34/1000</x:f>
        <x:v>2.16</x:v>
      </x:c>
      <x:c r="AP34" s="60" t="n">
        <x:f>SUM($AO$2:AO34)</x:f>
        <x:v>42.03</x:v>
      </x:c>
      <x:c r="AQ34" t="n">
        <x:f>'01_Run_Config'!$B$17</x:f>
        <x:v>0</x:v>
      </x:c>
      <x:c r="AR34" t="n">
        <x:f>'01_Run_Config'!$B$22</x:f>
        <x:v>0</x:v>
      </x:c>
      <x:c r="AS34" t="n">
        <x:f>'01_Run_Config'!$B$25</x:f>
        <x:v>0</x:v>
      </x:c>
      <x:c r="AT34" t="n">
        <x:f>IF(AND('01_Run_Config'!$B$46="Voodoo + Piranha + Tarantula",AC34&gt;0),2,0)</x:f>
        <x:v>0</x:v>
      </x:c>
      <x:c r="AU34" t="n">
        <x:f>IF(AND(OR('01_Run_Config'!$B$46="Voodoo + Tarantula",'01_Run_Config'!$B$46="Voodoo + Piranha + Tarantula"),AC34&gt;0),2,0)</x:f>
        <x:v>0</x:v>
      </x:c>
      <x:c r="AV34" t="n">
        <x:f>IF('01_Run_Config'!$B$47&lt;&gt;"ON / A-B",0,IF(OR(AND(A34&gt;='01_Run_Config'!$B$32,A34&lt;'01_Run_Config'!$B$33),AND(ISNUMBER(AL34),AL34&gt;=15,AL34&lt;=49)),2,0))</x:f>
        <x:v>0</x:v>
      </x:c>
      <x:c r="AW34" t="n">
        <x:f>IF('01_Run_Config'!$B$48="AN Bud Candy (replaces HESI Boost)",IF(AND(A34&gt;='01_Run_Config'!$B$32,OR(AL34="",AL34&lt;=49)),2,0),0)</x:f>
        <x:v>0</x:v>
      </x:c>
      <x:c r="AX34" t="n">
        <x:f>IF('01_Run_Config'!$B$49&lt;&gt;"ON / EXPERIMENTAL",0,IF(OR(AND(A34&gt;='01_Run_Config'!$B$32+7,A34&lt;'01_Run_Config'!$B$33),AND(ISNUMBER(AL34),AL34&gt;=1,AL34&lt;=49)),2,0))</x:f>
        <x:v>0</x:v>
      </x:c>
      <x:c r="AY34" t="n">
        <x:f>IF('01_Run_Config'!$B$50="AN Sensizym",IF(AND(A34&gt;='01_Run_Config'!$B$32,OR(AL34="",AL34&lt;=49)),2,0),0)</x:f>
        <x:v>0</x:v>
      </x:c>
      <x:c r="AZ34" t="n">
        <x:f>IF('01_Run_Config'!$B$51="AN Rhino Skin",IF(AND(A34&gt;='01_Run_Config'!$B$32,OR(AL34="",AL34&lt;=49)),2,0),0)</x:f>
        <x:v>0</x:v>
      </x:c>
      <x:c r="BA34" t="n">
        <x:f>IF(AND('01_Run_Config'!$B$52="AN Bud Ignitor &gt; Big Bud &gt; Overdrive",ISNUMBER(AL34),AL34&gt;=1,AL34&lt;=14),2,0)</x:f>
        <x:v>0</x:v>
      </x:c>
      <x:c r="BB34" t="n">
        <x:f>IF(AND('01_Run_Config'!$B$52="AN Bud Ignitor &gt; Big Bud &gt; Overdrive",ISNUMBER(AL34),AL34&gt;=8,AL34&lt;=35),2,0)</x:f>
        <x:v>0</x:v>
      </x:c>
      <x:c r="BC34" t="n">
        <x:f>IF(AND('01_Run_Config'!$B$52="AN Bud Ignitor &gt; Big Bud &gt; Overdrive",ISNUMBER(AL34),AL34&gt;=36,AL34&lt;=49),2,0)</x:f>
        <x:v>0</x:v>
      </x:c>
      <x:c r="BD34" t="n">
        <x:f>IF('01_Run_Config'!$B$53="ON / EXPERIMENTAL",IF(OR(AND(A34&gt;='01_Run_Config'!$B$32,A34&lt;'01_Run_Config'!$B$33),AND(ISNUMBER(AL34),AL34&gt;=15,AL34&lt;=49)),2,0),0)</x:f>
        <x:v>0</x:v>
      </x:c>
      <x:c r="BE34" t="n">
        <x:f>IF('01_Run_Config'!$B$54="AN Sensi CalMag Xtra conditional",'01_Run_Config'!$B$17,0)</x:f>
        <x:v>0</x:v>
      </x:c>
      <x:c r="BF34" t="n">
        <x:f>0</x:f>
        <x:v>0</x:v>
      </x:c>
      <x:c r="BG34" t="str">
        <x:f>'01_Run_Config'!$E$57</x:f>
        <x:v>OK</x:v>
      </x:c>
      <x:c r="BH34" t="str">
        <x:f>IF(SUM(AC34,AT34:BF34)=0,"keine AN-Dosis heute",IF(AC34&gt;0,"Voodoo "&amp;AC34&amp;" ml/L; ","")&amp;IF(AT34&gt;0,"Piranha "&amp;AT34&amp;" ml/L; ","")&amp;IF(AU34&gt;0,"Tarantula "&amp;AU34&amp;" ml/L; ","")&amp;IF(AV34&gt;0,"B-52 "&amp;AV34&amp;" ml/L; ","")&amp;IF(AW34&gt;0,"Bud Candy "&amp;AW34&amp;" ml/L; ","")&amp;IF(AX34&gt;0,"Bud Factor X "&amp;AX34&amp;" ml/L; ","")&amp;IF(AY34&gt;0,"Sensizym "&amp;AY34&amp;" ml/L; ","")&amp;IF(AZ34&gt;0,"Rhino Skin "&amp;AZ34&amp;" ml/L; ","")&amp;IF(BA34&gt;0,"Bud Ignitor "&amp;BA34&amp;" ml/L; ","")&amp;IF(BB34&gt;0,"Big Bud "&amp;BB34&amp;" ml/L; ","")&amp;IF(BC34&gt;0,"Overdrive "&amp;BC34&amp;" ml/L; ","")&amp;IF(BD34&gt;0,"Tasty Terpenes "&amp;BD34&amp;" ml/L; ","")&amp;IF(BE34&gt;0,"Sensi CalMag "&amp;BE34&amp;" ml/L",""))</x:f>
        <x:v>keine AN-Dosis heute</x:v>
      </x:c>
    </x:row>
    <x:row r="35">
      <x:c r="A35" s="34" t="n">
        <x:v>33</x:v>
      </x:c>
      <x:c r="B35" s="129" t="n">
        <x:f>'01_Run_Config'!$B$4+A35</x:f>
        <x:v>46275</x:v>
      </x:c>
      <x:c r="C35" s="63" t="n">
        <x:f>INT(A35/7)+1</x:f>
        <x:v>5</x:v>
      </x:c>
      <x:c r="D35" s="63" t="str">
        <x:f>"M"&amp;MIN(3,INT(A35/30)+1)</x:f>
        <x:v>M2</x:v>
      </x:c>
      <x:c r="E35" s="63" t="str">
        <x:f>IF(A35&lt;4,"Keimung",IF(A35&lt;8,"Etablierung",IF(A35&lt;15,"Early Veg",IF(A35&lt;'01_Run_Config'!$B$33,IF(A35&lt;22,"Veg / LST","Preflower-Watch"),IF(A35-'01_Run_Config'!$B$33&lt;=6,"Transition / Stretch ("&amp;AM35&amp;")",IF(A35-'01_Run_Config'!$B$33&lt;=13,"Early Flower ("&amp;AM35&amp;")",IF(A35-'01_Run_Config'!$B$33&lt;=20,"Flower I ("&amp;AM35&amp;")",IF(A35-'01_Run_Config'!$B$33&lt;=34,"Peak Flower ("&amp;AM35&amp;")",IF(A35-'01_Run_Config'!$B$33&lt;=41,"Late Flower ("&amp;AM35&amp;")",IF(A35-'01_Run_Config'!$B$33&lt;=48,"Ripening ("&amp;AM35&amp;")","Harvest / Extension ("&amp;AM35&amp;")"))))))))))</x:f>
        <x:v>Transition / Stretch (B1)</x:v>
      </x:c>
      <x:c r="F35" s="63" t="str">
        <x:f>IF(A35&lt;4,"Keimung + Wurzelstart",IF(A35&lt;8,"Sämling etablieren; Wurzelraum erschließen",IF(A35&lt;15,"kompakter Aufbau; LST erst bei Vitalität",IF(A35&lt;'01_Run_Config'!$B$33,"Canopy aufbauen; Preflower beobachten",IF(A35-'01_Run_Config'!$B$33&lt;=6,"Stretch kontrollieren; Bloom-Trigger dokumentieren",IF(A35-'01_Run_Config'!$B$33&lt;=13,"Blütenansatz stabilisieren",IF(A35-'01_Run_Config'!$B$33&lt;=20,"Blütenaufbau ohne neue Stressoren",IF(A35-'01_Run_Config'!$B$33&lt;=34,"stabile Peak-Photosynthese; Klima priorisieren",IF(A35-'01_Run_Config'!$B$33&lt;=41,"Qualität/Schimmelprävention",IF(A35-'01_Run_Config'!$B$33&lt;=48,"Reife ohne Überfütterung","Erntefenster nach Pflanze; keine Kalenderernte"))))))))))</x:f>
        <x:v>Stretch kontrollieren; Bloom-Trigger dokumentieren</x:v>
      </x:c>
      <x:c r="G35" s="63" t="n">
        <x:v>18</x:v>
      </x:c>
      <x:c r="H35" s="63" t="n">
        <x:v>120</x:v>
      </x:c>
      <x:c r="I35" s="63" t="n">
        <x:v>550</x:v>
      </x:c>
      <x:c r="J35" s="63" t="n">
        <x:f>I35*G35*3600/1000000</x:f>
        <x:v>35.64</x:v>
      </x:c>
      <x:c r="K35" s="63" t="n">
        <x:v>36</x:v>
      </x:c>
      <x:c r="L35" s="63" t="n">
        <x:v>25</x:v>
      </x:c>
      <x:c r="M35" s="63" t="n">
        <x:v>21.5</x:v>
      </x:c>
      <x:c r="N35" s="63" t="n">
        <x:v>53</x:v>
      </x:c>
      <x:c r="O35" s="63" t="n">
        <x:f>ROUND(0.6108*EXP(17.27*(L35+'01_Run_Config'!$B$34)/(L35+'01_Run_Config'!$B$34+237.3))-(N35/100)*0.6108*EXP(17.27*L35/(L35+237.3)),2)</x:f>
        <x:v>1.3</x:v>
      </x:c>
      <x:c r="P35" s="63" t="n">
        <x:f>IF(A35&lt;'01_Run_Config'!$B$32,0.55,IF(A35&lt;'01_Run_Config'!$B$33,IF(A35-'01_Run_Config'!$B$32&lt;=3,0.8,IF(A35-'01_Run_Config'!$B$32&lt;=10,1,IF(A35-'01_Run_Config'!$B$32&lt;=17,1.2,1.4))),IF(A35-'01_Run_Config'!$B$33&lt;=6,1.5,IF(A35-'01_Run_Config'!$B$33&lt;=13,1.6,IF(A35-'01_Run_Config'!$B$33&lt;=20,1.7,IF(A35-'01_Run_Config'!$B$33&lt;=34,1.8,IF(A35-'01_Run_Config'!$B$33&lt;=41,1.6,IF(A35-'01_Run_Config'!$B$33&lt;=48,1.4,1.15))))))))</x:f>
        <x:v>1.5</x:v>
      </x:c>
      <x:c r="Q35" s="63" t="n">
        <x:v>5.9</x:v>
      </x:c>
      <x:c r="R35" s="63" t="n">
        <x:v>0.6</x:v>
      </x:c>
      <x:c r="S35" s="63" t="n">
        <x:v>1</x:v>
      </x:c>
      <x:c r="T35" s="63" t="str">
        <x:f>IF(A35&lt;=7,"Manuell",'01_Run_Config'!$B$40)</x:f>
        <x:v>Manuell / indoor-freigegebene Automation</x:v>
      </x:c>
      <x:c r="U35" s="63" t="str">
        <x:f>IF(A35&lt;'01_Run_Config'!$B$32,"Kein Basisdünger",IF(A35&lt;'01_Run_Config'!$B$33,"HESI TNT","HESI Coco"))</x:f>
        <x:v>HESI Coco</x:v>
      </x:c>
      <x:c r="V35" s="63" t="n">
        <x:f>IF(A35&lt;'01_Run_Config'!$B$32,0,IF(A35&lt;'01_Run_Config'!$B$33,IF(A35-'01_Run_Config'!$B$32&lt;=3,1.25,IF(A35-'01_Run_Config'!$B$32&lt;=10,2,2.5)),IF(A35-'01_Run_Config'!$B$33&lt;=6,2.5,IF(A35-'01_Run_Config'!$B$33&lt;=13,3.25,IF(A35-'01_Run_Config'!$B$33&lt;=20,3.75,IF(A35-'01_Run_Config'!$B$33&lt;=34,4,IF(A35-'01_Run_Config'!$B$33&lt;=41,3.5,IF(A35-'01_Run_Config'!$B$33&lt;=48,2.5,1.5))))))))</x:f>
        <x:v>2.5</x:v>
      </x:c>
      <x:c r="W35" s="63" t="n">
        <x:f>IF(A35&lt;=14,2.5,0)</x:f>
        <x:v>0</x:v>
      </x:c>
      <x:c r="X35" s="63" t="n">
        <x:f>IF('01_Run_Config'!$B$50="AN Sensizym",0,IF(AND(A35&gt;='01_Run_Config'!$B$32,OR(AL35="",AL35&lt;=49)),2,0))</x:f>
        <x:v>2</x:v>
      </x:c>
      <x:c r="Y35" s="63" t="n">
        <x:f>0.015</x:f>
        <x:v>0.015</x:v>
      </x:c>
      <x:c r="Z35" s="63" t="n">
        <x:f>IF('01_Run_Config'!$B$51="HESI Hesilicio",2,0)</x:f>
        <x:v>0</x:v>
      </x:c>
      <x:c r="AA35" s="63" t="n">
        <x:f>IF('01_Run_Config'!$B$48="AN Bud Candy (replaces HESI Boost)",0,IF(AND(A35&gt;='01_Run_Config'!$B$33,MOD(A35-'01_Run_Config'!$B$33,7)=0),2,0))</x:f>
        <x:v>0</x:v>
      </x:c>
      <x:c r="AB35" s="63" t="n">
        <x:f>IF('01_Run_Config'!$B$52="AN Bud Ignitor &gt; Big Bud &gt; Overdrive",0,IF(AND(ISNUMBER(AL35),AL35&gt;=29,AL35&lt;=42),0.25+((AL35-29)/13)*0.25,0))</x:f>
        <x:v>0</x:v>
      </x:c>
      <x:c r="AC35" s="63" t="n">
        <x:f>IF('01_Run_Config'!$B$46="OFF",0,IF(OR(A35='01_Run_Config'!$B$32,A35='01_Run_Config'!$B$32+7,A35='01_Run_Config'!$B$33+1,A35='01_Run_Config'!$B$33+8),2,0))</x:f>
        <x:v>0</x:v>
      </x:c>
      <x:c r="AD35" s="63" t="str">
        <x:f>IF(BG35="BLOCK","HYBRID BLOCKED - Konfiguration prüfen",IF(SUM(AC35,AT35:BF35)&gt;0,"AN aktiv: "&amp;BH35,"AN: keine Dosis heute / Module aus"))</x:f>
        <x:v>AN: keine Dosis heute / Module aus</x:v>
      </x:c>
      <x:c r="AE35" s="63" t="str">
        <x:v>Strukturelles Training beenden</x:v>
      </x:c>
      <x:c r="AF35" s="63" t="str">
        <x:v>Morgens Klima/Pflanze/Bewässerung/Leck; Mitte Lichtphase Blattwinkel; vor Dunkel LF/Drain/stehendes Wasser.</x:v>
      </x:c>
      <x:c r="AG35" s="63" t="str">
        <x:v>EC nicht erhöhen bei steigender Diagnose-Drain-EC; PPFD nicht erhöhen bei Stress; Wasserband nie erzwingen; nie mehrere neue Booster gleichzeitig.</x:v>
      </x:c>
      <x:c r="AH35" s="35" t="str">
        <x:f>"UKD v9 evidence-guarded: Planwerte sind Ziele/Eligibility, keine automatische Freigabe. Eazy Plug/Block ist vorgepuffert; früher Basisfeed bleibt vom Propagation-/Pflanzengate abhängig. Messdaten und Safety-Gates überschreiben Kalender."</x:f>
        <x:v>UKD v9 evidence-guarded: Planwerte sind Ziele/Eligibility, keine automatische Freigabe. Eazy Plug/Block ist vorgepuffert; früher Basisfeed bleibt vom Propagation-/Pflanzengate abhängig. Messdaten und Safety-Gates überschreiben Kalender.</x:v>
      </x:c>
      <x:c r="AI35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35" s="201" t="str">
        <x:f>IF(A35&lt;'01_Run_Config'!$B$32,"—",IF(A35&lt;'01_Run_Config'!$B$33,"G"&amp;MIN(4,INT((A35-'01_Run_Config'!$B$32)/7)+1),AM35))</x:f>
        <x:v>B1</x:v>
      </x:c>
      <x:c r="AK35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35" s="60" t="n">
        <x:f>IF(A35&lt;'01_Run_Config'!$B$33,"",A35-'01_Run_Config'!$B$33+1)</x:f>
        <x:v>6</x:v>
      </x:c>
      <x:c r="AM35" s="60" t="str">
        <x:f>IF(AL35="","",IF(AL35&gt;49,CHAR(66)&amp;"7+",CHAR(66)&amp;TEXT(INT((AL35-1)/7)+1,"0")))</x:f>
        <x:v>B1</x:v>
      </x:c>
      <x:c r="AN35" s="60" t="n">
        <x:f>ROUND(0.6108*EXP(17.27*L35/(L35+237.3))*(1-N35/100),2)</x:f>
        <x:v>1.49</x:v>
      </x:c>
      <x:c r="AO35" s="60" t="n">
        <x:f>H35*G35/1000</x:f>
        <x:v>2.16</x:v>
      </x:c>
      <x:c r="AP35" s="60" t="n">
        <x:f>SUM($AO$2:AO35)</x:f>
        <x:v>44.19</x:v>
      </x:c>
      <x:c r="AQ35" t="n">
        <x:f>'01_Run_Config'!$B$17</x:f>
        <x:v>0</x:v>
      </x:c>
      <x:c r="AR35" t="n">
        <x:f>'01_Run_Config'!$B$22</x:f>
        <x:v>0</x:v>
      </x:c>
      <x:c r="AS35" t="n">
        <x:f>'01_Run_Config'!$B$25</x:f>
        <x:v>0</x:v>
      </x:c>
      <x:c r="AT35" t="n">
        <x:f>IF(AND('01_Run_Config'!$B$46="Voodoo + Piranha + Tarantula",AC35&gt;0),2,0)</x:f>
        <x:v>0</x:v>
      </x:c>
      <x:c r="AU35" t="n">
        <x:f>IF(AND(OR('01_Run_Config'!$B$46="Voodoo + Tarantula",'01_Run_Config'!$B$46="Voodoo + Piranha + Tarantula"),AC35&gt;0),2,0)</x:f>
        <x:v>0</x:v>
      </x:c>
      <x:c r="AV35" t="n">
        <x:f>IF('01_Run_Config'!$B$47&lt;&gt;"ON / A-B",0,IF(OR(AND(A35&gt;='01_Run_Config'!$B$32,A35&lt;'01_Run_Config'!$B$33),AND(ISNUMBER(AL35),AL35&gt;=15,AL35&lt;=49)),2,0))</x:f>
        <x:v>0</x:v>
      </x:c>
      <x:c r="AW35" t="n">
        <x:f>IF('01_Run_Config'!$B$48="AN Bud Candy (replaces HESI Boost)",IF(AND(A35&gt;='01_Run_Config'!$B$32,OR(AL35="",AL35&lt;=49)),2,0),0)</x:f>
        <x:v>0</x:v>
      </x:c>
      <x:c r="AX35" t="n">
        <x:f>IF('01_Run_Config'!$B$49&lt;&gt;"ON / EXPERIMENTAL",0,IF(OR(AND(A35&gt;='01_Run_Config'!$B$32+7,A35&lt;'01_Run_Config'!$B$33),AND(ISNUMBER(AL35),AL35&gt;=1,AL35&lt;=49)),2,0))</x:f>
        <x:v>0</x:v>
      </x:c>
      <x:c r="AY35" t="n">
        <x:f>IF('01_Run_Config'!$B$50="AN Sensizym",IF(AND(A35&gt;='01_Run_Config'!$B$32,OR(AL35="",AL35&lt;=49)),2,0),0)</x:f>
        <x:v>0</x:v>
      </x:c>
      <x:c r="AZ35" t="n">
        <x:f>IF('01_Run_Config'!$B$51="AN Rhino Skin",IF(AND(A35&gt;='01_Run_Config'!$B$32,OR(AL35="",AL35&lt;=49)),2,0),0)</x:f>
        <x:v>0</x:v>
      </x:c>
      <x:c r="BA35" t="n">
        <x:f>IF(AND('01_Run_Config'!$B$52="AN Bud Ignitor &gt; Big Bud &gt; Overdrive",ISNUMBER(AL35),AL35&gt;=1,AL35&lt;=14),2,0)</x:f>
        <x:v>0</x:v>
      </x:c>
      <x:c r="BB35" t="n">
        <x:f>IF(AND('01_Run_Config'!$B$52="AN Bud Ignitor &gt; Big Bud &gt; Overdrive",ISNUMBER(AL35),AL35&gt;=8,AL35&lt;=35),2,0)</x:f>
        <x:v>0</x:v>
      </x:c>
      <x:c r="BC35" t="n">
        <x:f>IF(AND('01_Run_Config'!$B$52="AN Bud Ignitor &gt; Big Bud &gt; Overdrive",ISNUMBER(AL35),AL35&gt;=36,AL35&lt;=49),2,0)</x:f>
        <x:v>0</x:v>
      </x:c>
      <x:c r="BD35" t="n">
        <x:f>IF('01_Run_Config'!$B$53="ON / EXPERIMENTAL",IF(OR(AND(A35&gt;='01_Run_Config'!$B$32,A35&lt;'01_Run_Config'!$B$33),AND(ISNUMBER(AL35),AL35&gt;=15,AL35&lt;=49)),2,0),0)</x:f>
        <x:v>0</x:v>
      </x:c>
      <x:c r="BE35" t="n">
        <x:f>IF('01_Run_Config'!$B$54="AN Sensi CalMag Xtra conditional",'01_Run_Config'!$B$17,0)</x:f>
        <x:v>0</x:v>
      </x:c>
      <x:c r="BF35" t="n">
        <x:f>0</x:f>
        <x:v>0</x:v>
      </x:c>
      <x:c r="BG35" t="str">
        <x:f>'01_Run_Config'!$E$57</x:f>
        <x:v>OK</x:v>
      </x:c>
      <x:c r="BH35" t="str">
        <x:f>IF(SUM(AC35,AT35:BF35)=0,"keine AN-Dosis heute",IF(AC35&gt;0,"Voodoo "&amp;AC35&amp;" ml/L; ","")&amp;IF(AT35&gt;0,"Piranha "&amp;AT35&amp;" ml/L; ","")&amp;IF(AU35&gt;0,"Tarantula "&amp;AU35&amp;" ml/L; ","")&amp;IF(AV35&gt;0,"B-52 "&amp;AV35&amp;" ml/L; ","")&amp;IF(AW35&gt;0,"Bud Candy "&amp;AW35&amp;" ml/L; ","")&amp;IF(AX35&gt;0,"Bud Factor X "&amp;AX35&amp;" ml/L; ","")&amp;IF(AY35&gt;0,"Sensizym "&amp;AY35&amp;" ml/L; ","")&amp;IF(AZ35&gt;0,"Rhino Skin "&amp;AZ35&amp;" ml/L; ","")&amp;IF(BA35&gt;0,"Bud Ignitor "&amp;BA35&amp;" ml/L; ","")&amp;IF(BB35&gt;0,"Big Bud "&amp;BB35&amp;" ml/L; ","")&amp;IF(BC35&gt;0,"Overdrive "&amp;BC35&amp;" ml/L; ","")&amp;IF(BD35&gt;0,"Tasty Terpenes "&amp;BD35&amp;" ml/L; ","")&amp;IF(BE35&gt;0,"Sensi CalMag "&amp;BE35&amp;" ml/L",""))</x:f>
        <x:v>keine AN-Dosis heute</x:v>
      </x:c>
    </x:row>
    <x:row r="36">
      <x:c r="A36" s="34" t="n">
        <x:v>34</x:v>
      </x:c>
      <x:c r="B36" s="129" t="n">
        <x:f>'01_Run_Config'!$B$4+A36</x:f>
        <x:v>46276</x:v>
      </x:c>
      <x:c r="C36" s="63" t="n">
        <x:f>INT(A36/7)+1</x:f>
        <x:v>5</x:v>
      </x:c>
      <x:c r="D36" s="63" t="str">
        <x:f>"M"&amp;MIN(3,INT(A36/30)+1)</x:f>
        <x:v>M2</x:v>
      </x:c>
      <x:c r="E36" s="63" t="str">
        <x:f>IF(A36&lt;4,"Keimung",IF(A36&lt;8,"Etablierung",IF(A36&lt;15,"Early Veg",IF(A36&lt;'01_Run_Config'!$B$33,IF(A36&lt;22,"Veg / LST","Preflower-Watch"),IF(A36-'01_Run_Config'!$B$33&lt;=6,"Transition / Stretch ("&amp;AM36&amp;")",IF(A36-'01_Run_Config'!$B$33&lt;=13,"Early Flower ("&amp;AM36&amp;")",IF(A36-'01_Run_Config'!$B$33&lt;=20,"Flower I ("&amp;AM36&amp;")",IF(A36-'01_Run_Config'!$B$33&lt;=34,"Peak Flower ("&amp;AM36&amp;")",IF(A36-'01_Run_Config'!$B$33&lt;=41,"Late Flower ("&amp;AM36&amp;")",IF(A36-'01_Run_Config'!$B$33&lt;=48,"Ripening ("&amp;AM36&amp;")","Harvest / Extension ("&amp;AM36&amp;")"))))))))))</x:f>
        <x:v>Transition / Stretch (B1)</x:v>
      </x:c>
      <x:c r="F36" s="63" t="str">
        <x:f>IF(A36&lt;4,"Keimung + Wurzelstart",IF(A36&lt;8,"Sämling etablieren; Wurzelraum erschließen",IF(A36&lt;15,"kompakter Aufbau; LST erst bei Vitalität",IF(A36&lt;'01_Run_Config'!$B$33,"Canopy aufbauen; Preflower beobachten",IF(A36-'01_Run_Config'!$B$33&lt;=6,"Stretch kontrollieren; Bloom-Trigger dokumentieren",IF(A36-'01_Run_Config'!$B$33&lt;=13,"Blütenansatz stabilisieren",IF(A36-'01_Run_Config'!$B$33&lt;=20,"Blütenaufbau ohne neue Stressoren",IF(A36-'01_Run_Config'!$B$33&lt;=34,"stabile Peak-Photosynthese; Klima priorisieren",IF(A36-'01_Run_Config'!$B$33&lt;=41,"Qualität/Schimmelprävention",IF(A36-'01_Run_Config'!$B$33&lt;=48,"Reife ohne Überfütterung","Erntefenster nach Pflanze; keine Kalenderernte"))))))))))</x:f>
        <x:v>Stretch kontrollieren; Bloom-Trigger dokumentieren</x:v>
      </x:c>
      <x:c r="G36" s="63" t="n">
        <x:v>18</x:v>
      </x:c>
      <x:c r="H36" s="63" t="n">
        <x:v>120</x:v>
      </x:c>
      <x:c r="I36" s="63" t="n">
        <x:v>550</x:v>
      </x:c>
      <x:c r="J36" s="63" t="n">
        <x:f>I36*G36*3600/1000000</x:f>
        <x:v>35.64</x:v>
      </x:c>
      <x:c r="K36" s="63" t="n">
        <x:v>36</x:v>
      </x:c>
      <x:c r="L36" s="63" t="n">
        <x:v>25</x:v>
      </x:c>
      <x:c r="M36" s="63" t="n">
        <x:v>21.5</x:v>
      </x:c>
      <x:c r="N36" s="63" t="n">
        <x:v>53</x:v>
      </x:c>
      <x:c r="O36" s="63" t="n">
        <x:f>ROUND(0.6108*EXP(17.27*(L36+'01_Run_Config'!$B$34)/(L36+'01_Run_Config'!$B$34+237.3))-(N36/100)*0.6108*EXP(17.27*L36/(L36+237.3)),2)</x:f>
        <x:v>1.3</x:v>
      </x:c>
      <x:c r="P36" s="63" t="n">
        <x:f>IF(A36&lt;'01_Run_Config'!$B$32,0.55,IF(A36&lt;'01_Run_Config'!$B$33,IF(A36-'01_Run_Config'!$B$32&lt;=3,0.8,IF(A36-'01_Run_Config'!$B$32&lt;=10,1,IF(A36-'01_Run_Config'!$B$32&lt;=17,1.2,1.4))),IF(A36-'01_Run_Config'!$B$33&lt;=6,1.5,IF(A36-'01_Run_Config'!$B$33&lt;=13,1.6,IF(A36-'01_Run_Config'!$B$33&lt;=20,1.7,IF(A36-'01_Run_Config'!$B$33&lt;=34,1.8,IF(A36-'01_Run_Config'!$B$33&lt;=41,1.6,IF(A36-'01_Run_Config'!$B$33&lt;=48,1.4,1.15))))))))</x:f>
        <x:v>1.5</x:v>
      </x:c>
      <x:c r="Q36" s="63" t="n">
        <x:v>5.9</x:v>
      </x:c>
      <x:c r="R36" s="63" t="n">
        <x:v>0.6</x:v>
      </x:c>
      <x:c r="S36" s="63" t="n">
        <x:v>1</x:v>
      </x:c>
      <x:c r="T36" s="63" t="str">
        <x:f>IF(A36&lt;=7,"Manuell",'01_Run_Config'!$B$40)</x:f>
        <x:v>Manuell / indoor-freigegebene Automation</x:v>
      </x:c>
      <x:c r="U36" s="63" t="str">
        <x:f>IF(A36&lt;'01_Run_Config'!$B$32,"Kein Basisdünger",IF(A36&lt;'01_Run_Config'!$B$33,"HESI TNT","HESI Coco"))</x:f>
        <x:v>HESI Coco</x:v>
      </x:c>
      <x:c r="V36" s="63" t="n">
        <x:f>IF(A36&lt;'01_Run_Config'!$B$32,0,IF(A36&lt;'01_Run_Config'!$B$33,IF(A36-'01_Run_Config'!$B$32&lt;=3,1.25,IF(A36-'01_Run_Config'!$B$32&lt;=10,2,2.5)),IF(A36-'01_Run_Config'!$B$33&lt;=6,2.5,IF(A36-'01_Run_Config'!$B$33&lt;=13,3.25,IF(A36-'01_Run_Config'!$B$33&lt;=20,3.75,IF(A36-'01_Run_Config'!$B$33&lt;=34,4,IF(A36-'01_Run_Config'!$B$33&lt;=41,3.5,IF(A36-'01_Run_Config'!$B$33&lt;=48,2.5,1.5))))))))</x:f>
        <x:v>2.5</x:v>
      </x:c>
      <x:c r="W36" s="63" t="n">
        <x:f>IF(A36&lt;=14,2.5,0)</x:f>
        <x:v>0</x:v>
      </x:c>
      <x:c r="X36" s="63" t="n">
        <x:f>IF('01_Run_Config'!$B$50="AN Sensizym",0,IF(AND(A36&gt;='01_Run_Config'!$B$32,OR(AL36="",AL36&lt;=49)),2,0))</x:f>
        <x:v>2</x:v>
      </x:c>
      <x:c r="Y36" s="63" t="n">
        <x:f>0.015</x:f>
        <x:v>0.015</x:v>
      </x:c>
      <x:c r="Z36" s="63" t="n">
        <x:f>IF('01_Run_Config'!$B$51="HESI Hesilicio",2,0)</x:f>
        <x:v>0</x:v>
      </x:c>
      <x:c r="AA36" s="63" t="n">
        <x:f>IF('01_Run_Config'!$B$48="AN Bud Candy (replaces HESI Boost)",0,IF(AND(A36&gt;='01_Run_Config'!$B$33,MOD(A36-'01_Run_Config'!$B$33,7)=0),2,0))</x:f>
        <x:v>0</x:v>
      </x:c>
      <x:c r="AB36" s="63" t="n">
        <x:f>IF('01_Run_Config'!$B$52="AN Bud Ignitor &gt; Big Bud &gt; Overdrive",0,IF(AND(ISNUMBER(AL36),AL36&gt;=29,AL36&lt;=42),0.25+((AL36-29)/13)*0.25,0))</x:f>
        <x:v>0</x:v>
      </x:c>
      <x:c r="AC36" s="63" t="n">
        <x:f>IF('01_Run_Config'!$B$46="OFF",0,IF(OR(A36='01_Run_Config'!$B$32,A36='01_Run_Config'!$B$32+7,A36='01_Run_Config'!$B$33+1,A36='01_Run_Config'!$B$33+8),2,0))</x:f>
        <x:v>0</x:v>
      </x:c>
      <x:c r="AD36" s="63" t="str">
        <x:f>IF(BG36="BLOCK","HYBRID BLOCKED - Konfiguration prüfen",IF(SUM(AC36,AT36:BF36)&gt;0,"AN aktiv: "&amp;BH36,"AN: keine Dosis heute / Module aus"))</x:f>
        <x:v>AN: keine Dosis heute / Module aus</x:v>
      </x:c>
      <x:c r="AE36" s="63" t="str">
        <x:v>Strukturelles Training beenden</x:v>
      </x:c>
      <x:c r="AF36" s="63" t="str">
        <x:v>Morgens Klima/Pflanze/Bewässerung/Leck; Mitte Lichtphase Blattwinkel; vor Dunkel LF/Drain/stehendes Wasser.</x:v>
      </x:c>
      <x:c r="AG36" s="63" t="str">
        <x:v>EC nicht erhöhen bei steigender Diagnose-Drain-EC; PPFD nicht erhöhen bei Stress; Wasserband nie erzwingen; nie mehrere neue Booster gleichzeitig.</x:v>
      </x:c>
      <x:c r="AH36" s="35" t="str">
        <x:f>"UKD v9 evidence-guarded: Planwerte sind Ziele/Eligibility, keine automatische Freigabe. Eazy Plug/Block ist vorgepuffert; früher Basisfeed bleibt vom Propagation-/Pflanzengate abhängig. Messdaten und Safety-Gates überschreiben Kalender."</x:f>
        <x:v>UKD v9 evidence-guarded: Planwerte sind Ziele/Eligibility, keine automatische Freigabe. Eazy Plug/Block ist vorgepuffert; früher Basisfeed bleibt vom Propagation-/Pflanzengate abhängig. Messdaten und Safety-Gates überschreiben Kalender.</x:v>
      </x:c>
      <x:c r="AI36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36" s="201" t="str">
        <x:f>IF(A36&lt;'01_Run_Config'!$B$32,"—",IF(A36&lt;'01_Run_Config'!$B$33,"G"&amp;MIN(4,INT((A36-'01_Run_Config'!$B$32)/7)+1),AM36))</x:f>
        <x:v>B1</x:v>
      </x:c>
      <x:c r="AK36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36" s="60" t="n">
        <x:f>IF(A36&lt;'01_Run_Config'!$B$33,"",A36-'01_Run_Config'!$B$33+1)</x:f>
        <x:v>7</x:v>
      </x:c>
      <x:c r="AM36" s="60" t="str">
        <x:f>IF(AL36="","",IF(AL36&gt;49,CHAR(66)&amp;"7+",CHAR(66)&amp;TEXT(INT((AL36-1)/7)+1,"0")))</x:f>
        <x:v>B1</x:v>
      </x:c>
      <x:c r="AN36" s="60" t="n">
        <x:f>ROUND(0.6108*EXP(17.27*L36/(L36+237.3))*(1-N36/100),2)</x:f>
        <x:v>1.49</x:v>
      </x:c>
      <x:c r="AO36" s="60" t="n">
        <x:f>H36*G36/1000</x:f>
        <x:v>2.16</x:v>
      </x:c>
      <x:c r="AP36" s="60" t="n">
        <x:f>SUM($AO$2:AO36)</x:f>
        <x:v>46.349999999999994</x:v>
      </x:c>
      <x:c r="AQ36" t="n">
        <x:f>'01_Run_Config'!$B$17</x:f>
        <x:v>0</x:v>
      </x:c>
      <x:c r="AR36" t="n">
        <x:f>'01_Run_Config'!$B$22</x:f>
        <x:v>0</x:v>
      </x:c>
      <x:c r="AS36" t="n">
        <x:f>'01_Run_Config'!$B$25</x:f>
        <x:v>0</x:v>
      </x:c>
      <x:c r="AT36" t="n">
        <x:f>IF(AND('01_Run_Config'!$B$46="Voodoo + Piranha + Tarantula",AC36&gt;0),2,0)</x:f>
        <x:v>0</x:v>
      </x:c>
      <x:c r="AU36" t="n">
        <x:f>IF(AND(OR('01_Run_Config'!$B$46="Voodoo + Tarantula",'01_Run_Config'!$B$46="Voodoo + Piranha + Tarantula"),AC36&gt;0),2,0)</x:f>
        <x:v>0</x:v>
      </x:c>
      <x:c r="AV36" t="n">
        <x:f>IF('01_Run_Config'!$B$47&lt;&gt;"ON / A-B",0,IF(OR(AND(A36&gt;='01_Run_Config'!$B$32,A36&lt;'01_Run_Config'!$B$33),AND(ISNUMBER(AL36),AL36&gt;=15,AL36&lt;=49)),2,0))</x:f>
        <x:v>0</x:v>
      </x:c>
      <x:c r="AW36" t="n">
        <x:f>IF('01_Run_Config'!$B$48="AN Bud Candy (replaces HESI Boost)",IF(AND(A36&gt;='01_Run_Config'!$B$32,OR(AL36="",AL36&lt;=49)),2,0),0)</x:f>
        <x:v>0</x:v>
      </x:c>
      <x:c r="AX36" t="n">
        <x:f>IF('01_Run_Config'!$B$49&lt;&gt;"ON / EXPERIMENTAL",0,IF(OR(AND(A36&gt;='01_Run_Config'!$B$32+7,A36&lt;'01_Run_Config'!$B$33),AND(ISNUMBER(AL36),AL36&gt;=1,AL36&lt;=49)),2,0))</x:f>
        <x:v>0</x:v>
      </x:c>
      <x:c r="AY36" t="n">
        <x:f>IF('01_Run_Config'!$B$50="AN Sensizym",IF(AND(A36&gt;='01_Run_Config'!$B$32,OR(AL36="",AL36&lt;=49)),2,0),0)</x:f>
        <x:v>0</x:v>
      </x:c>
      <x:c r="AZ36" t="n">
        <x:f>IF('01_Run_Config'!$B$51="AN Rhino Skin",IF(AND(A36&gt;='01_Run_Config'!$B$32,OR(AL36="",AL36&lt;=49)),2,0),0)</x:f>
        <x:v>0</x:v>
      </x:c>
      <x:c r="BA36" t="n">
        <x:f>IF(AND('01_Run_Config'!$B$52="AN Bud Ignitor &gt; Big Bud &gt; Overdrive",ISNUMBER(AL36),AL36&gt;=1,AL36&lt;=14),2,0)</x:f>
        <x:v>0</x:v>
      </x:c>
      <x:c r="BB36" t="n">
        <x:f>IF(AND('01_Run_Config'!$B$52="AN Bud Ignitor &gt; Big Bud &gt; Overdrive",ISNUMBER(AL36),AL36&gt;=8,AL36&lt;=35),2,0)</x:f>
        <x:v>0</x:v>
      </x:c>
      <x:c r="BC36" t="n">
        <x:f>IF(AND('01_Run_Config'!$B$52="AN Bud Ignitor &gt; Big Bud &gt; Overdrive",ISNUMBER(AL36),AL36&gt;=36,AL36&lt;=49),2,0)</x:f>
        <x:v>0</x:v>
      </x:c>
      <x:c r="BD36" t="n">
        <x:f>IF('01_Run_Config'!$B$53="ON / EXPERIMENTAL",IF(OR(AND(A36&gt;='01_Run_Config'!$B$32,A36&lt;'01_Run_Config'!$B$33),AND(ISNUMBER(AL36),AL36&gt;=15,AL36&lt;=49)),2,0),0)</x:f>
        <x:v>0</x:v>
      </x:c>
      <x:c r="BE36" t="n">
        <x:f>IF('01_Run_Config'!$B$54="AN Sensi CalMag Xtra conditional",'01_Run_Config'!$B$17,0)</x:f>
        <x:v>0</x:v>
      </x:c>
      <x:c r="BF36" t="n">
        <x:f>0</x:f>
        <x:v>0</x:v>
      </x:c>
      <x:c r="BG36" t="str">
        <x:f>'01_Run_Config'!$E$57</x:f>
        <x:v>OK</x:v>
      </x:c>
      <x:c r="BH36" t="str">
        <x:f>IF(SUM(AC36,AT36:BF36)=0,"keine AN-Dosis heute",IF(AC36&gt;0,"Voodoo "&amp;AC36&amp;" ml/L; ","")&amp;IF(AT36&gt;0,"Piranha "&amp;AT36&amp;" ml/L; ","")&amp;IF(AU36&gt;0,"Tarantula "&amp;AU36&amp;" ml/L; ","")&amp;IF(AV36&gt;0,"B-52 "&amp;AV36&amp;" ml/L; ","")&amp;IF(AW36&gt;0,"Bud Candy "&amp;AW36&amp;" ml/L; ","")&amp;IF(AX36&gt;0,"Bud Factor X "&amp;AX36&amp;" ml/L; ","")&amp;IF(AY36&gt;0,"Sensizym "&amp;AY36&amp;" ml/L; ","")&amp;IF(AZ36&gt;0,"Rhino Skin "&amp;AZ36&amp;" ml/L; ","")&amp;IF(BA36&gt;0,"Bud Ignitor "&amp;BA36&amp;" ml/L; ","")&amp;IF(BB36&gt;0,"Big Bud "&amp;BB36&amp;" ml/L; ","")&amp;IF(BC36&gt;0,"Overdrive "&amp;BC36&amp;" ml/L; ","")&amp;IF(BD36&gt;0,"Tasty Terpenes "&amp;BD36&amp;" ml/L; ","")&amp;IF(BE36&gt;0,"Sensi CalMag "&amp;BE36&amp;" ml/L",""))</x:f>
        <x:v>keine AN-Dosis heute</x:v>
      </x:c>
    </x:row>
    <x:row r="37">
      <x:c r="A37" s="34" t="n">
        <x:v>35</x:v>
      </x:c>
      <x:c r="B37" s="129" t="n">
        <x:f>'01_Run_Config'!$B$4+A37</x:f>
        <x:v>46277</x:v>
      </x:c>
      <x:c r="C37" s="63" t="n">
        <x:f>INT(A37/7)+1</x:f>
        <x:v>6</x:v>
      </x:c>
      <x:c r="D37" s="63" t="str">
        <x:f>"M"&amp;MIN(3,INT(A37/30)+1)</x:f>
        <x:v>M2</x:v>
      </x:c>
      <x:c r="E37" s="63" t="str">
        <x:f>IF(A37&lt;4,"Keimung",IF(A37&lt;8,"Etablierung",IF(A37&lt;15,"Early Veg",IF(A37&lt;'01_Run_Config'!$B$33,IF(A37&lt;22,"Veg / LST","Preflower-Watch"),IF(A37-'01_Run_Config'!$B$33&lt;=6,"Transition / Stretch ("&amp;AM37&amp;")",IF(A37-'01_Run_Config'!$B$33&lt;=13,"Early Flower ("&amp;AM37&amp;")",IF(A37-'01_Run_Config'!$B$33&lt;=20,"Flower I ("&amp;AM37&amp;")",IF(A37-'01_Run_Config'!$B$33&lt;=34,"Peak Flower ("&amp;AM37&amp;")",IF(A37-'01_Run_Config'!$B$33&lt;=41,"Late Flower ("&amp;AM37&amp;")",IF(A37-'01_Run_Config'!$B$33&lt;=48,"Ripening ("&amp;AM37&amp;")","Harvest / Extension ("&amp;AM37&amp;")"))))))))))</x:f>
        <x:v>Early Flower (B2)</x:v>
      </x:c>
      <x:c r="F37" s="63" t="str">
        <x:f>IF(A37&lt;4,"Keimung + Wurzelstart",IF(A37&lt;8,"Sämling etablieren; Wurzelraum erschließen",IF(A37&lt;15,"kompakter Aufbau; LST erst bei Vitalität",IF(A37&lt;'01_Run_Config'!$B$33,"Canopy aufbauen; Preflower beobachten",IF(A37-'01_Run_Config'!$B$33&lt;=6,"Stretch kontrollieren; Bloom-Trigger dokumentieren",IF(A37-'01_Run_Config'!$B$33&lt;=13,"Blütenansatz stabilisieren",IF(A37-'01_Run_Config'!$B$33&lt;=20,"Blütenaufbau ohne neue Stressoren",IF(A37-'01_Run_Config'!$B$33&lt;=34,"stabile Peak-Photosynthese; Klima priorisieren",IF(A37-'01_Run_Config'!$B$33&lt;=41,"Qualität/Schimmelprävention",IF(A37-'01_Run_Config'!$B$33&lt;=48,"Reife ohne Überfütterung","Erntefenster nach Pflanze; keine Kalenderernte"))))))))))</x:f>
        <x:v>Blütenansatz stabilisieren</x:v>
      </x:c>
      <x:c r="G37" s="63" t="n">
        <x:v>18</x:v>
      </x:c>
      <x:c r="H37" s="63" t="n">
        <x:v>120</x:v>
      </x:c>
      <x:c r="I37" s="63" t="n">
        <x:v>550</x:v>
      </x:c>
      <x:c r="J37" s="63" t="n">
        <x:f>I37*G37*3600/1000000</x:f>
        <x:v>35.64</x:v>
      </x:c>
      <x:c r="K37" s="63" t="n">
        <x:v>36</x:v>
      </x:c>
      <x:c r="L37" s="63" t="n">
        <x:v>25</x:v>
      </x:c>
      <x:c r="M37" s="63" t="n">
        <x:v>21.5</x:v>
      </x:c>
      <x:c r="N37" s="63" t="n">
        <x:v>53</x:v>
      </x:c>
      <x:c r="O37" s="63" t="n">
        <x:f>ROUND(0.6108*EXP(17.27*(L37+'01_Run_Config'!$B$34)/(L37+'01_Run_Config'!$B$34+237.3))-(N37/100)*0.6108*EXP(17.27*L37/(L37+237.3)),2)</x:f>
        <x:v>1.3</x:v>
      </x:c>
      <x:c r="P37" s="63" t="n">
        <x:f>IF(A37&lt;'01_Run_Config'!$B$32,0.55,IF(A37&lt;'01_Run_Config'!$B$33,IF(A37-'01_Run_Config'!$B$32&lt;=3,0.8,IF(A37-'01_Run_Config'!$B$32&lt;=10,1,IF(A37-'01_Run_Config'!$B$32&lt;=17,1.2,1.4))),IF(A37-'01_Run_Config'!$B$33&lt;=6,1.5,IF(A37-'01_Run_Config'!$B$33&lt;=13,1.6,IF(A37-'01_Run_Config'!$B$33&lt;=20,1.7,IF(A37-'01_Run_Config'!$B$33&lt;=34,1.8,IF(A37-'01_Run_Config'!$B$33&lt;=41,1.6,IF(A37-'01_Run_Config'!$B$33&lt;=48,1.4,1.15))))))))</x:f>
        <x:v>1.6</x:v>
      </x:c>
      <x:c r="Q37" s="63" t="n">
        <x:v>5.9</x:v>
      </x:c>
      <x:c r="R37" s="63" t="n">
        <x:v>0.6</x:v>
      </x:c>
      <x:c r="S37" s="63" t="n">
        <x:v>1</x:v>
      </x:c>
      <x:c r="T37" s="63" t="str">
        <x:f>IF(A37&lt;=7,"Manuell",'01_Run_Config'!$B$40)</x:f>
        <x:v>Manuell / indoor-freigegebene Automation</x:v>
      </x:c>
      <x:c r="U37" s="63" t="str">
        <x:f>IF(A37&lt;'01_Run_Config'!$B$32,"Kein Basisdünger",IF(A37&lt;'01_Run_Config'!$B$33,"HESI TNT","HESI Coco"))</x:f>
        <x:v>HESI Coco</x:v>
      </x:c>
      <x:c r="V37" s="63" t="n">
        <x:f>IF(A37&lt;'01_Run_Config'!$B$32,0,IF(A37&lt;'01_Run_Config'!$B$33,IF(A37-'01_Run_Config'!$B$32&lt;=3,1.25,IF(A37-'01_Run_Config'!$B$32&lt;=10,2,2.5)),IF(A37-'01_Run_Config'!$B$33&lt;=6,2.5,IF(A37-'01_Run_Config'!$B$33&lt;=13,3.25,IF(A37-'01_Run_Config'!$B$33&lt;=20,3.75,IF(A37-'01_Run_Config'!$B$33&lt;=34,4,IF(A37-'01_Run_Config'!$B$33&lt;=41,3.5,IF(A37-'01_Run_Config'!$B$33&lt;=48,2.5,1.5))))))))</x:f>
        <x:v>3.25</x:v>
      </x:c>
      <x:c r="W37" s="63" t="n">
        <x:f>IF(A37&lt;=14,2.5,0)</x:f>
        <x:v>0</x:v>
      </x:c>
      <x:c r="X37" s="63" t="n">
        <x:f>IF('01_Run_Config'!$B$50="AN Sensizym",0,IF(AND(A37&gt;='01_Run_Config'!$B$32,OR(AL37="",AL37&lt;=49)),2,0))</x:f>
        <x:v>2</x:v>
      </x:c>
      <x:c r="Y37" s="63" t="n">
        <x:f>0.015</x:f>
        <x:v>0.015</x:v>
      </x:c>
      <x:c r="Z37" s="63" t="n">
        <x:f>IF('01_Run_Config'!$B$51="HESI Hesilicio",2,0)</x:f>
        <x:v>0</x:v>
      </x:c>
      <x:c r="AA37" s="63" t="n">
        <x:f>IF('01_Run_Config'!$B$48="AN Bud Candy (replaces HESI Boost)",0,IF(AND(A37&gt;='01_Run_Config'!$B$33,MOD(A37-'01_Run_Config'!$B$33,7)=0),2,0))</x:f>
        <x:v>2</x:v>
      </x:c>
      <x:c r="AB37" s="63" t="n">
        <x:f>IF('01_Run_Config'!$B$52="AN Bud Ignitor &gt; Big Bud &gt; Overdrive",0,IF(AND(ISNUMBER(AL37),AL37&gt;=29,AL37&lt;=42),0.25+((AL37-29)/13)*0.25,0))</x:f>
        <x:v>0</x:v>
      </x:c>
      <x:c r="AC37" s="63" t="n">
        <x:f>IF('01_Run_Config'!$B$46="OFF",0,IF(OR(A37='01_Run_Config'!$B$32,A37='01_Run_Config'!$B$32+7,A37='01_Run_Config'!$B$33+1,A37='01_Run_Config'!$B$33+8),2,0))</x:f>
        <x:v>0</x:v>
      </x:c>
      <x:c r="AD37" s="63" t="str">
        <x:f>IF(BG37="BLOCK","HYBRID BLOCKED - Konfiguration prüfen",IF(SUM(AC37,AT37:BF37)&gt;0,"AN aktiv: "&amp;BH37,"AN: keine Dosis heute / Module aus"))</x:f>
        <x:v>AN: keine Dosis heute / Module aus</x:v>
      </x:c>
      <x:c r="AE37" s="63" t="str">
        <x:v>Strukturelles Training beenden</x:v>
      </x:c>
      <x:c r="AF37" s="63" t="str">
        <x:v>Morgens Klima/Pflanze/Bewässerung/Leck; Mitte Lichtphase Blattwinkel; vor Dunkel LF/Drain/stehendes Wasser. WÖCHENTLICH: pH/EC kalibrieren, Foto, Canopy messen, PPFD-Spotcheck, Reservoir falls genutzt / Tray reinigen.</x:v>
      </x:c>
      <x:c r="AG37" s="63" t="str">
        <x:v>EC nicht erhöhen bei steigender Diagnose-Drain-EC; PPFD nicht erhöhen bei Stress; Wasserband nie erzwingen; nie mehrere neue Booster gleichzeitig.</x:v>
      </x:c>
      <x:c r="AH37" s="35" t="str">
        <x:f>"UKD v9 evidence-guarded: Planwerte sind Ziele/Eligibility, keine automatische Freigabe. Eazy Plug/Block ist vorgepuffert; früher Basisfeed bleibt vom Propagation-/Pflanzengate abhängig. Messdaten und Safety-Gates überschreiben Kalender."</x:f>
        <x:v>UKD v9 evidence-guarded: Planwerte sind Ziele/Eligibility, keine automatische Freigabe. Eazy Plug/Block ist vorgepuffert; früher Basisfeed bleibt vom Propagation-/Pflanzengate abhängig. Messdaten und Safety-Gates überschreiben Kalender.</x:v>
      </x:c>
      <x:c r="AI37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37" s="201" t="str">
        <x:f>IF(A37&lt;'01_Run_Config'!$B$32,"—",IF(A37&lt;'01_Run_Config'!$B$33,"G"&amp;MIN(4,INT((A37-'01_Run_Config'!$B$32)/7)+1),AM37))</x:f>
        <x:v>B2</x:v>
      </x:c>
      <x:c r="AK37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37" s="60" t="n">
        <x:f>IF(A37&lt;'01_Run_Config'!$B$33,"",A37-'01_Run_Config'!$B$33+1)</x:f>
        <x:v>8</x:v>
      </x:c>
      <x:c r="AM37" s="60" t="str">
        <x:f>IF(AL37="","",IF(AL37&gt;49,CHAR(66)&amp;"7+",CHAR(66)&amp;TEXT(INT((AL37-1)/7)+1,"0")))</x:f>
        <x:v>B2</x:v>
      </x:c>
      <x:c r="AN37" s="60" t="n">
        <x:f>ROUND(0.6108*EXP(17.27*L37/(L37+237.3))*(1-N37/100),2)</x:f>
        <x:v>1.49</x:v>
      </x:c>
      <x:c r="AO37" s="60" t="n">
        <x:f>H37*G37/1000</x:f>
        <x:v>2.16</x:v>
      </x:c>
      <x:c r="AP37" s="60" t="n">
        <x:f>SUM($AO$2:AO37)</x:f>
        <x:v>48.50999999999999</x:v>
      </x:c>
      <x:c r="AQ37" t="n">
        <x:f>'01_Run_Config'!$B$17</x:f>
        <x:v>0</x:v>
      </x:c>
      <x:c r="AR37" t="n">
        <x:f>'01_Run_Config'!$B$22</x:f>
        <x:v>0</x:v>
      </x:c>
      <x:c r="AS37" t="n">
        <x:f>'01_Run_Config'!$B$25</x:f>
        <x:v>0</x:v>
      </x:c>
      <x:c r="AT37" t="n">
        <x:f>IF(AND('01_Run_Config'!$B$46="Voodoo + Piranha + Tarantula",AC37&gt;0),2,0)</x:f>
        <x:v>0</x:v>
      </x:c>
      <x:c r="AU37" t="n">
        <x:f>IF(AND(OR('01_Run_Config'!$B$46="Voodoo + Tarantula",'01_Run_Config'!$B$46="Voodoo + Piranha + Tarantula"),AC37&gt;0),2,0)</x:f>
        <x:v>0</x:v>
      </x:c>
      <x:c r="AV37" t="n">
        <x:f>IF('01_Run_Config'!$B$47&lt;&gt;"ON / A-B",0,IF(OR(AND(A37&gt;='01_Run_Config'!$B$32,A37&lt;'01_Run_Config'!$B$33),AND(ISNUMBER(AL37),AL37&gt;=15,AL37&lt;=49)),2,0))</x:f>
        <x:v>0</x:v>
      </x:c>
      <x:c r="AW37" t="n">
        <x:f>IF('01_Run_Config'!$B$48="AN Bud Candy (replaces HESI Boost)",IF(AND(A37&gt;='01_Run_Config'!$B$32,OR(AL37="",AL37&lt;=49)),2,0),0)</x:f>
        <x:v>0</x:v>
      </x:c>
      <x:c r="AX37" t="n">
        <x:f>IF('01_Run_Config'!$B$49&lt;&gt;"ON / EXPERIMENTAL",0,IF(OR(AND(A37&gt;='01_Run_Config'!$B$32+7,A37&lt;'01_Run_Config'!$B$33),AND(ISNUMBER(AL37),AL37&gt;=1,AL37&lt;=49)),2,0))</x:f>
        <x:v>0</x:v>
      </x:c>
      <x:c r="AY37" t="n">
        <x:f>IF('01_Run_Config'!$B$50="AN Sensizym",IF(AND(A37&gt;='01_Run_Config'!$B$32,OR(AL37="",AL37&lt;=49)),2,0),0)</x:f>
        <x:v>0</x:v>
      </x:c>
      <x:c r="AZ37" t="n">
        <x:f>IF('01_Run_Config'!$B$51="AN Rhino Skin",IF(AND(A37&gt;='01_Run_Config'!$B$32,OR(AL37="",AL37&lt;=49)),2,0),0)</x:f>
        <x:v>0</x:v>
      </x:c>
      <x:c r="BA37" t="n">
        <x:f>IF(AND('01_Run_Config'!$B$52="AN Bud Ignitor &gt; Big Bud &gt; Overdrive",ISNUMBER(AL37),AL37&gt;=1,AL37&lt;=14),2,0)</x:f>
        <x:v>0</x:v>
      </x:c>
      <x:c r="BB37" t="n">
        <x:f>IF(AND('01_Run_Config'!$B$52="AN Bud Ignitor &gt; Big Bud &gt; Overdrive",ISNUMBER(AL37),AL37&gt;=8,AL37&lt;=35),2,0)</x:f>
        <x:v>0</x:v>
      </x:c>
      <x:c r="BC37" t="n">
        <x:f>IF(AND('01_Run_Config'!$B$52="AN Bud Ignitor &gt; Big Bud &gt; Overdrive",ISNUMBER(AL37),AL37&gt;=36,AL37&lt;=49),2,0)</x:f>
        <x:v>0</x:v>
      </x:c>
      <x:c r="BD37" t="n">
        <x:f>IF('01_Run_Config'!$B$53="ON / EXPERIMENTAL",IF(OR(AND(A37&gt;='01_Run_Config'!$B$32,A37&lt;'01_Run_Config'!$B$33),AND(ISNUMBER(AL37),AL37&gt;=15,AL37&lt;=49)),2,0),0)</x:f>
        <x:v>0</x:v>
      </x:c>
      <x:c r="BE37" t="n">
        <x:f>IF('01_Run_Config'!$B$54="AN Sensi CalMag Xtra conditional",'01_Run_Config'!$B$17,0)</x:f>
        <x:v>0</x:v>
      </x:c>
      <x:c r="BF37" t="n">
        <x:f>0</x:f>
        <x:v>0</x:v>
      </x:c>
      <x:c r="BG37" t="str">
        <x:f>'01_Run_Config'!$E$57</x:f>
        <x:v>OK</x:v>
      </x:c>
      <x:c r="BH37" t="str">
        <x:f>IF(SUM(AC37,AT37:BF37)=0,"keine AN-Dosis heute",IF(AC37&gt;0,"Voodoo "&amp;AC37&amp;" ml/L; ","")&amp;IF(AT37&gt;0,"Piranha "&amp;AT37&amp;" ml/L; ","")&amp;IF(AU37&gt;0,"Tarantula "&amp;AU37&amp;" ml/L; ","")&amp;IF(AV37&gt;0,"B-52 "&amp;AV37&amp;" ml/L; ","")&amp;IF(AW37&gt;0,"Bud Candy "&amp;AW37&amp;" ml/L; ","")&amp;IF(AX37&gt;0,"Bud Factor X "&amp;AX37&amp;" ml/L; ","")&amp;IF(AY37&gt;0,"Sensizym "&amp;AY37&amp;" ml/L; ","")&amp;IF(AZ37&gt;0,"Rhino Skin "&amp;AZ37&amp;" ml/L; ","")&amp;IF(BA37&gt;0,"Bud Ignitor "&amp;BA37&amp;" ml/L; ","")&amp;IF(BB37&gt;0,"Big Bud "&amp;BB37&amp;" ml/L; ","")&amp;IF(BC37&gt;0,"Overdrive "&amp;BC37&amp;" ml/L; ","")&amp;IF(BD37&gt;0,"Tasty Terpenes "&amp;BD37&amp;" ml/L; ","")&amp;IF(BE37&gt;0,"Sensi CalMag "&amp;BE37&amp;" ml/L",""))</x:f>
        <x:v>keine AN-Dosis heute</x:v>
      </x:c>
    </x:row>
    <x:row r="38">
      <x:c r="A38" s="34" t="n">
        <x:v>36</x:v>
      </x:c>
      <x:c r="B38" s="129" t="n">
        <x:f>'01_Run_Config'!$B$4+A38</x:f>
        <x:v>46278</x:v>
      </x:c>
      <x:c r="C38" s="63" t="n">
        <x:f>INT(A38/7)+1</x:f>
        <x:v>6</x:v>
      </x:c>
      <x:c r="D38" s="63" t="str">
        <x:f>"M"&amp;MIN(3,INT(A38/30)+1)</x:f>
        <x:v>M2</x:v>
      </x:c>
      <x:c r="E38" s="63" t="str">
        <x:f>IF(A38&lt;4,"Keimung",IF(A38&lt;8,"Etablierung",IF(A38&lt;15,"Early Veg",IF(A38&lt;'01_Run_Config'!$B$33,IF(A38&lt;22,"Veg / LST","Preflower-Watch"),IF(A38-'01_Run_Config'!$B$33&lt;=6,"Transition / Stretch ("&amp;AM38&amp;")",IF(A38-'01_Run_Config'!$B$33&lt;=13,"Early Flower ("&amp;AM38&amp;")",IF(A38-'01_Run_Config'!$B$33&lt;=20,"Flower I ("&amp;AM38&amp;")",IF(A38-'01_Run_Config'!$B$33&lt;=34,"Peak Flower ("&amp;AM38&amp;")",IF(A38-'01_Run_Config'!$B$33&lt;=41,"Late Flower ("&amp;AM38&amp;")",IF(A38-'01_Run_Config'!$B$33&lt;=48,"Ripening ("&amp;AM38&amp;")","Harvest / Extension ("&amp;AM38&amp;")"))))))))))</x:f>
        <x:v>Early Flower (B2)</x:v>
      </x:c>
      <x:c r="F38" s="63" t="str">
        <x:f>IF(A38&lt;4,"Keimung + Wurzelstart",IF(A38&lt;8,"Sämling etablieren; Wurzelraum erschließen",IF(A38&lt;15,"kompakter Aufbau; LST erst bei Vitalität",IF(A38&lt;'01_Run_Config'!$B$33,"Canopy aufbauen; Preflower beobachten",IF(A38-'01_Run_Config'!$B$33&lt;=6,"Stretch kontrollieren; Bloom-Trigger dokumentieren",IF(A38-'01_Run_Config'!$B$33&lt;=13,"Blütenansatz stabilisieren",IF(A38-'01_Run_Config'!$B$33&lt;=20,"Blütenaufbau ohne neue Stressoren",IF(A38-'01_Run_Config'!$B$33&lt;=34,"stabile Peak-Photosynthese; Klima priorisieren",IF(A38-'01_Run_Config'!$B$33&lt;=41,"Qualität/Schimmelprävention",IF(A38-'01_Run_Config'!$B$33&lt;=48,"Reife ohne Überfütterung","Erntefenster nach Pflanze; keine Kalenderernte"))))))))))</x:f>
        <x:v>Blütenansatz stabilisieren</x:v>
      </x:c>
      <x:c r="G38" s="63" t="n">
        <x:v>18</x:v>
      </x:c>
      <x:c r="H38" s="63" t="n">
        <x:v>135</x:v>
      </x:c>
      <x:c r="I38" s="63" t="n">
        <x:v>600</x:v>
      </x:c>
      <x:c r="J38" s="63" t="n">
        <x:f>I38*G38*3600/1000000</x:f>
        <x:v>38.88</x:v>
      </x:c>
      <x:c r="K38" s="63" t="n">
        <x:v>34</x:v>
      </x:c>
      <x:c r="L38" s="63" t="n">
        <x:v>25</x:v>
      </x:c>
      <x:c r="M38" s="63" t="n">
        <x:v>21.5</x:v>
      </x:c>
      <x:c r="N38" s="63" t="n">
        <x:v>50</x:v>
      </x:c>
      <x:c r="O38" s="63" t="n">
        <x:f>ROUND(0.6108*EXP(17.27*(L38+'01_Run_Config'!$B$34)/(L38+'01_Run_Config'!$B$34+237.3))-(N38/100)*0.6108*EXP(17.27*L38/(L38+237.3)),2)</x:f>
        <x:v>1.4</x:v>
      </x:c>
      <x:c r="P38" s="63" t="n">
        <x:f>IF(A38&lt;'01_Run_Config'!$B$32,0.55,IF(A38&lt;'01_Run_Config'!$B$33,IF(A38-'01_Run_Config'!$B$32&lt;=3,0.8,IF(A38-'01_Run_Config'!$B$32&lt;=10,1,IF(A38-'01_Run_Config'!$B$32&lt;=17,1.2,1.4))),IF(A38-'01_Run_Config'!$B$33&lt;=6,1.5,IF(A38-'01_Run_Config'!$B$33&lt;=13,1.6,IF(A38-'01_Run_Config'!$B$33&lt;=20,1.7,IF(A38-'01_Run_Config'!$B$33&lt;=34,1.8,IF(A38-'01_Run_Config'!$B$33&lt;=41,1.6,IF(A38-'01_Run_Config'!$B$33&lt;=48,1.4,1.15))))))))</x:f>
        <x:v>1.6</x:v>
      </x:c>
      <x:c r="Q38" s="63" t="n">
        <x:v>5.9</x:v>
      </x:c>
      <x:c r="R38" s="63" t="n">
        <x:v>0.8</x:v>
      </x:c>
      <x:c r="S38" s="63" t="n">
        <x:v>1.2</x:v>
      </x:c>
      <x:c r="T38" s="63" t="str">
        <x:f>IF(A38&lt;=7,"Manuell",'01_Run_Config'!$B$40)</x:f>
        <x:v>Manuell / indoor-freigegebene Automation</x:v>
      </x:c>
      <x:c r="U38" s="63" t="str">
        <x:f>IF(A38&lt;'01_Run_Config'!$B$32,"Kein Basisdünger",IF(A38&lt;'01_Run_Config'!$B$33,"HESI TNT","HESI Coco"))</x:f>
        <x:v>HESI Coco</x:v>
      </x:c>
      <x:c r="V38" s="63" t="n">
        <x:f>IF(A38&lt;'01_Run_Config'!$B$32,0,IF(A38&lt;'01_Run_Config'!$B$33,IF(A38-'01_Run_Config'!$B$32&lt;=3,1.25,IF(A38-'01_Run_Config'!$B$32&lt;=10,2,2.5)),IF(A38-'01_Run_Config'!$B$33&lt;=6,2.5,IF(A38-'01_Run_Config'!$B$33&lt;=13,3.25,IF(A38-'01_Run_Config'!$B$33&lt;=20,3.75,IF(A38-'01_Run_Config'!$B$33&lt;=34,4,IF(A38-'01_Run_Config'!$B$33&lt;=41,3.5,IF(A38-'01_Run_Config'!$B$33&lt;=48,2.5,1.5))))))))</x:f>
        <x:v>3.25</x:v>
      </x:c>
      <x:c r="W38" s="63" t="n">
        <x:f>IF(A38&lt;=14,2.5,0)</x:f>
        <x:v>0</x:v>
      </x:c>
      <x:c r="X38" s="63" t="n">
        <x:f>IF('01_Run_Config'!$B$50="AN Sensizym",0,IF(AND(A38&gt;='01_Run_Config'!$B$32,OR(AL38="",AL38&lt;=49)),2,0))</x:f>
        <x:v>2</x:v>
      </x:c>
      <x:c r="Y38" s="63" t="n">
        <x:f>0.015</x:f>
        <x:v>0.015</x:v>
      </x:c>
      <x:c r="Z38" s="63" t="n">
        <x:f>IF('01_Run_Config'!$B$51="HESI Hesilicio",2,0)</x:f>
        <x:v>0</x:v>
      </x:c>
      <x:c r="AA38" s="63" t="n">
        <x:f>IF('01_Run_Config'!$B$48="AN Bud Candy (replaces HESI Boost)",0,IF(AND(A38&gt;='01_Run_Config'!$B$33,MOD(A38-'01_Run_Config'!$B$33,7)=0),2,0))</x:f>
        <x:v>0</x:v>
      </x:c>
      <x:c r="AB38" s="63" t="n">
        <x:f>IF('01_Run_Config'!$B$52="AN Bud Ignitor &gt; Big Bud &gt; Overdrive",0,IF(AND(ISNUMBER(AL38),AL38&gt;=29,AL38&lt;=42),0.25+((AL38-29)/13)*0.25,0))</x:f>
        <x:v>0</x:v>
      </x:c>
      <x:c r="AC38" s="63" t="n">
        <x:f>IF('01_Run_Config'!$B$46="OFF",0,IF(OR(A38='01_Run_Config'!$B$32,A38='01_Run_Config'!$B$32+7,A38='01_Run_Config'!$B$33+1,A38='01_Run_Config'!$B$33+8),2,0))</x:f>
        <x:v>2</x:v>
      </x:c>
      <x:c r="AD38" s="63" t="str">
        <x:f>IF(BG38="BLOCK","HYBRID BLOCKED - Konfiguration prüfen",IF(SUM(AC38,AT38:BF38)&gt;0,"AN aktiv: "&amp;BH38,"AN: keine Dosis heute / Module aus"))</x:f>
        <x:v>AN aktiv: Voodoo 2 ml/L; Tarantula 2 ml/L; </x:v>
      </x:c>
      <x:c r="AE38" s="63" t="str">
        <x:v>Leaf-tucking / minimal entlasten</x:v>
      </x:c>
      <x:c r="AF38" s="63" t="str">
        <x:v>Morgens Klima/Pflanze/Bewässerung/Leck; Mitte Lichtphase Blattwinkel; vor Dunkel LF/Drain/stehendes Wasser.</x:v>
      </x:c>
      <x:c r="AG38" s="63" t="str">
        <x:v>EC nicht erhöhen bei steigender Diagnose-Drain-EC; PPFD nicht erhöhen bei Stress; Wasserband nie erzwingen; nie mehrere neue Booster gleichzeitig.</x:v>
      </x:c>
      <x:c r="AH38" s="35" t="str">
        <x:f>"UKD v9 evidence-guarded: Planwerte sind Ziele/Eligibility, keine automatische Freigabe. Eazy Plug/Block ist vorgepuffert; früher Basisfeed bleibt vom Propagation-/Pflanzengate abhängig. Messdaten und Safety-Gates überschreiben Kalender."</x:f>
        <x:v>UKD v9 evidence-guarded: Planwerte sind Ziele/Eligibility, keine automatische Freigabe. Eazy Plug/Block ist vorgepuffert; früher Basisfeed bleibt vom Propagation-/Pflanzengate abhängig. Messdaten und Safety-Gates überschreiben Kalender.</x:v>
      </x:c>
      <x:c r="AI38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38" s="201" t="str">
        <x:f>IF(A38&lt;'01_Run_Config'!$B$32,"—",IF(A38&lt;'01_Run_Config'!$B$33,"G"&amp;MIN(4,INT((A38-'01_Run_Config'!$B$32)/7)+1),AM38))</x:f>
        <x:v>B2</x:v>
      </x:c>
      <x:c r="AK38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38" s="60" t="n">
        <x:f>IF(A38&lt;'01_Run_Config'!$B$33,"",A38-'01_Run_Config'!$B$33+1)</x:f>
        <x:v>9</x:v>
      </x:c>
      <x:c r="AM38" s="60" t="str">
        <x:f>IF(AL38="","",IF(AL38&gt;49,CHAR(66)&amp;"7+",CHAR(66)&amp;TEXT(INT((AL38-1)/7)+1,"0")))</x:f>
        <x:v>B2</x:v>
      </x:c>
      <x:c r="AN38" s="60" t="n">
        <x:f>ROUND(0.6108*EXP(17.27*L38/(L38+237.3))*(1-N38/100),2)</x:f>
        <x:v>1.58</x:v>
      </x:c>
      <x:c r="AO38" s="60" t="n">
        <x:f>H38*G38/1000</x:f>
        <x:v>2.43</x:v>
      </x:c>
      <x:c r="AP38" s="60" t="n">
        <x:f>SUM($AO$2:AO38)</x:f>
        <x:v>50.93999999999999</x:v>
      </x:c>
      <x:c r="AQ38" t="n">
        <x:f>'01_Run_Config'!$B$17</x:f>
        <x:v>0</x:v>
      </x:c>
      <x:c r="AR38" t="n">
        <x:f>'01_Run_Config'!$B$22</x:f>
        <x:v>0</x:v>
      </x:c>
      <x:c r="AS38" t="n">
        <x:f>'01_Run_Config'!$B$25</x:f>
        <x:v>0</x:v>
      </x:c>
      <x:c r="AT38" t="n">
        <x:f>IF(AND('01_Run_Config'!$B$46="Voodoo + Piranha + Tarantula",AC38&gt;0),2,0)</x:f>
        <x:v>0</x:v>
      </x:c>
      <x:c r="AU38" t="n">
        <x:f>IF(AND(OR('01_Run_Config'!$B$46="Voodoo + Tarantula",'01_Run_Config'!$B$46="Voodoo + Piranha + Tarantula"),AC38&gt;0),2,0)</x:f>
        <x:v>2</x:v>
      </x:c>
      <x:c r="AV38" t="n">
        <x:f>IF('01_Run_Config'!$B$47&lt;&gt;"ON / A-B",0,IF(OR(AND(A38&gt;='01_Run_Config'!$B$32,A38&lt;'01_Run_Config'!$B$33),AND(ISNUMBER(AL38),AL38&gt;=15,AL38&lt;=49)),2,0))</x:f>
        <x:v>0</x:v>
      </x:c>
      <x:c r="AW38" t="n">
        <x:f>IF('01_Run_Config'!$B$48="AN Bud Candy (replaces HESI Boost)",IF(AND(A38&gt;='01_Run_Config'!$B$32,OR(AL38="",AL38&lt;=49)),2,0),0)</x:f>
        <x:v>0</x:v>
      </x:c>
      <x:c r="AX38" t="n">
        <x:f>IF('01_Run_Config'!$B$49&lt;&gt;"ON / EXPERIMENTAL",0,IF(OR(AND(A38&gt;='01_Run_Config'!$B$32+7,A38&lt;'01_Run_Config'!$B$33),AND(ISNUMBER(AL38),AL38&gt;=1,AL38&lt;=49)),2,0))</x:f>
        <x:v>0</x:v>
      </x:c>
      <x:c r="AY38" t="n">
        <x:f>IF('01_Run_Config'!$B$50="AN Sensizym",IF(AND(A38&gt;='01_Run_Config'!$B$32,OR(AL38="",AL38&lt;=49)),2,0),0)</x:f>
        <x:v>0</x:v>
      </x:c>
      <x:c r="AZ38" t="n">
        <x:f>IF('01_Run_Config'!$B$51="AN Rhino Skin",IF(AND(A38&gt;='01_Run_Config'!$B$32,OR(AL38="",AL38&lt;=49)),2,0),0)</x:f>
        <x:v>0</x:v>
      </x:c>
      <x:c r="BA38" t="n">
        <x:f>IF(AND('01_Run_Config'!$B$52="AN Bud Ignitor &gt; Big Bud &gt; Overdrive",ISNUMBER(AL38),AL38&gt;=1,AL38&lt;=14),2,0)</x:f>
        <x:v>0</x:v>
      </x:c>
      <x:c r="BB38" t="n">
        <x:f>IF(AND('01_Run_Config'!$B$52="AN Bud Ignitor &gt; Big Bud &gt; Overdrive",ISNUMBER(AL38),AL38&gt;=8,AL38&lt;=35),2,0)</x:f>
        <x:v>0</x:v>
      </x:c>
      <x:c r="BC38" t="n">
        <x:f>IF(AND('01_Run_Config'!$B$52="AN Bud Ignitor &gt; Big Bud &gt; Overdrive",ISNUMBER(AL38),AL38&gt;=36,AL38&lt;=49),2,0)</x:f>
        <x:v>0</x:v>
      </x:c>
      <x:c r="BD38" t="n">
        <x:f>IF('01_Run_Config'!$B$53="ON / EXPERIMENTAL",IF(OR(AND(A38&gt;='01_Run_Config'!$B$32,A38&lt;'01_Run_Config'!$B$33),AND(ISNUMBER(AL38),AL38&gt;=15,AL38&lt;=49)),2,0),0)</x:f>
        <x:v>0</x:v>
      </x:c>
      <x:c r="BE38" t="n">
        <x:f>IF('01_Run_Config'!$B$54="AN Sensi CalMag Xtra conditional",'01_Run_Config'!$B$17,0)</x:f>
        <x:v>0</x:v>
      </x:c>
      <x:c r="BF38" t="n">
        <x:f>0</x:f>
        <x:v>0</x:v>
      </x:c>
      <x:c r="BG38" t="str">
        <x:f>'01_Run_Config'!$E$57</x:f>
        <x:v>OK</x:v>
      </x:c>
      <x:c r="BH38" t="str">
        <x:f>IF(SUM(AC38,AT38:BF38)=0,"keine AN-Dosis heute",IF(AC38&gt;0,"Voodoo "&amp;AC38&amp;" ml/L; ","")&amp;IF(AT38&gt;0,"Piranha "&amp;AT38&amp;" ml/L; ","")&amp;IF(AU38&gt;0,"Tarantula "&amp;AU38&amp;" ml/L; ","")&amp;IF(AV38&gt;0,"B-52 "&amp;AV38&amp;" ml/L; ","")&amp;IF(AW38&gt;0,"Bud Candy "&amp;AW38&amp;" ml/L; ","")&amp;IF(AX38&gt;0,"Bud Factor X "&amp;AX38&amp;" ml/L; ","")&amp;IF(AY38&gt;0,"Sensizym "&amp;AY38&amp;" ml/L; ","")&amp;IF(AZ38&gt;0,"Rhino Skin "&amp;AZ38&amp;" ml/L; ","")&amp;IF(BA38&gt;0,"Bud Ignitor "&amp;BA38&amp;" ml/L; ","")&amp;IF(BB38&gt;0,"Big Bud "&amp;BB38&amp;" ml/L; ","")&amp;IF(BC38&gt;0,"Overdrive "&amp;BC38&amp;" ml/L; ","")&amp;IF(BD38&gt;0,"Tasty Terpenes "&amp;BD38&amp;" ml/L; ","")&amp;IF(BE38&gt;0,"Sensi CalMag "&amp;BE38&amp;" ml/L",""))</x:f>
        <x:v>Voodoo 2 ml/L; Tarantula 2 ml/L; </x:v>
      </x:c>
    </x:row>
    <x:row r="39">
      <x:c r="A39" s="34" t="n">
        <x:v>37</x:v>
      </x:c>
      <x:c r="B39" s="129" t="n">
        <x:f>'01_Run_Config'!$B$4+A39</x:f>
        <x:v>46279</x:v>
      </x:c>
      <x:c r="C39" s="63" t="n">
        <x:f>INT(A39/7)+1</x:f>
        <x:v>6</x:v>
      </x:c>
      <x:c r="D39" s="63" t="str">
        <x:f>"M"&amp;MIN(3,INT(A39/30)+1)</x:f>
        <x:v>M2</x:v>
      </x:c>
      <x:c r="E39" s="63" t="str">
        <x:f>IF(A39&lt;4,"Keimung",IF(A39&lt;8,"Etablierung",IF(A39&lt;15,"Early Veg",IF(A39&lt;'01_Run_Config'!$B$33,IF(A39&lt;22,"Veg / LST","Preflower-Watch"),IF(A39-'01_Run_Config'!$B$33&lt;=6,"Transition / Stretch ("&amp;AM39&amp;")",IF(A39-'01_Run_Config'!$B$33&lt;=13,"Early Flower ("&amp;AM39&amp;")",IF(A39-'01_Run_Config'!$B$33&lt;=20,"Flower I ("&amp;AM39&amp;")",IF(A39-'01_Run_Config'!$B$33&lt;=34,"Peak Flower ("&amp;AM39&amp;")",IF(A39-'01_Run_Config'!$B$33&lt;=41,"Late Flower ("&amp;AM39&amp;")",IF(A39-'01_Run_Config'!$B$33&lt;=48,"Ripening ("&amp;AM39&amp;")","Harvest / Extension ("&amp;AM39&amp;")"))))))))))</x:f>
        <x:v>Early Flower (B2)</x:v>
      </x:c>
      <x:c r="F39" s="63" t="str">
        <x:f>IF(A39&lt;4,"Keimung + Wurzelstart",IF(A39&lt;8,"Sämling etablieren; Wurzelraum erschließen",IF(A39&lt;15,"kompakter Aufbau; LST erst bei Vitalität",IF(A39&lt;'01_Run_Config'!$B$33,"Canopy aufbauen; Preflower beobachten",IF(A39-'01_Run_Config'!$B$33&lt;=6,"Stretch kontrollieren; Bloom-Trigger dokumentieren",IF(A39-'01_Run_Config'!$B$33&lt;=13,"Blütenansatz stabilisieren",IF(A39-'01_Run_Config'!$B$33&lt;=20,"Blütenaufbau ohne neue Stressoren",IF(A39-'01_Run_Config'!$B$33&lt;=34,"stabile Peak-Photosynthese; Klima priorisieren",IF(A39-'01_Run_Config'!$B$33&lt;=41,"Qualität/Schimmelprävention",IF(A39-'01_Run_Config'!$B$33&lt;=48,"Reife ohne Überfütterung","Erntefenster nach Pflanze; keine Kalenderernte"))))))))))</x:f>
        <x:v>Blütenansatz stabilisieren</x:v>
      </x:c>
      <x:c r="G39" s="63" t="n">
        <x:v>18</x:v>
      </x:c>
      <x:c r="H39" s="63" t="n">
        <x:v>135</x:v>
      </x:c>
      <x:c r="I39" s="63" t="n">
        <x:v>600</x:v>
      </x:c>
      <x:c r="J39" s="63" t="n">
        <x:f>I39*G39*3600/1000000</x:f>
        <x:v>38.88</x:v>
      </x:c>
      <x:c r="K39" s="63" t="n">
        <x:v>34</x:v>
      </x:c>
      <x:c r="L39" s="63" t="n">
        <x:v>25</x:v>
      </x:c>
      <x:c r="M39" s="63" t="n">
        <x:v>21.5</x:v>
      </x:c>
      <x:c r="N39" s="63" t="n">
        <x:v>50</x:v>
      </x:c>
      <x:c r="O39" s="63" t="n">
        <x:f>ROUND(0.6108*EXP(17.27*(L39+'01_Run_Config'!$B$34)/(L39+'01_Run_Config'!$B$34+237.3))-(N39/100)*0.6108*EXP(17.27*L39/(L39+237.3)),2)</x:f>
        <x:v>1.4</x:v>
      </x:c>
      <x:c r="P39" s="63" t="n">
        <x:f>IF(A39&lt;'01_Run_Config'!$B$32,0.55,IF(A39&lt;'01_Run_Config'!$B$33,IF(A39-'01_Run_Config'!$B$32&lt;=3,0.8,IF(A39-'01_Run_Config'!$B$32&lt;=10,1,IF(A39-'01_Run_Config'!$B$32&lt;=17,1.2,1.4))),IF(A39-'01_Run_Config'!$B$33&lt;=6,1.5,IF(A39-'01_Run_Config'!$B$33&lt;=13,1.6,IF(A39-'01_Run_Config'!$B$33&lt;=20,1.7,IF(A39-'01_Run_Config'!$B$33&lt;=34,1.8,IF(A39-'01_Run_Config'!$B$33&lt;=41,1.6,IF(A39-'01_Run_Config'!$B$33&lt;=48,1.4,1.15))))))))</x:f>
        <x:v>1.6</x:v>
      </x:c>
      <x:c r="Q39" s="63" t="n">
        <x:v>5.9</x:v>
      </x:c>
      <x:c r="R39" s="63" t="n">
        <x:v>0.8</x:v>
      </x:c>
      <x:c r="S39" s="63" t="n">
        <x:v>1.2</x:v>
      </x:c>
      <x:c r="T39" s="63" t="str">
        <x:f>IF(A39&lt;=7,"Manuell",'01_Run_Config'!$B$40)</x:f>
        <x:v>Manuell / indoor-freigegebene Automation</x:v>
      </x:c>
      <x:c r="U39" s="63" t="str">
        <x:f>IF(A39&lt;'01_Run_Config'!$B$32,"Kein Basisdünger",IF(A39&lt;'01_Run_Config'!$B$33,"HESI TNT","HESI Coco"))</x:f>
        <x:v>HESI Coco</x:v>
      </x:c>
      <x:c r="V39" s="63" t="n">
        <x:f>IF(A39&lt;'01_Run_Config'!$B$32,0,IF(A39&lt;'01_Run_Config'!$B$33,IF(A39-'01_Run_Config'!$B$32&lt;=3,1.25,IF(A39-'01_Run_Config'!$B$32&lt;=10,2,2.5)),IF(A39-'01_Run_Config'!$B$33&lt;=6,2.5,IF(A39-'01_Run_Config'!$B$33&lt;=13,3.25,IF(A39-'01_Run_Config'!$B$33&lt;=20,3.75,IF(A39-'01_Run_Config'!$B$33&lt;=34,4,IF(A39-'01_Run_Config'!$B$33&lt;=41,3.5,IF(A39-'01_Run_Config'!$B$33&lt;=48,2.5,1.5))))))))</x:f>
        <x:v>3.25</x:v>
      </x:c>
      <x:c r="W39" s="63" t="n">
        <x:f>IF(A39&lt;=14,2.5,0)</x:f>
        <x:v>0</x:v>
      </x:c>
      <x:c r="X39" s="63" t="n">
        <x:f>IF('01_Run_Config'!$B$50="AN Sensizym",0,IF(AND(A39&gt;='01_Run_Config'!$B$32,OR(AL39="",AL39&lt;=49)),2,0))</x:f>
        <x:v>2</x:v>
      </x:c>
      <x:c r="Y39" s="63" t="n">
        <x:f>0.015</x:f>
        <x:v>0.015</x:v>
      </x:c>
      <x:c r="Z39" s="63" t="n">
        <x:f>IF('01_Run_Config'!$B$51="HESI Hesilicio",2,0)</x:f>
        <x:v>0</x:v>
      </x:c>
      <x:c r="AA39" s="63" t="n">
        <x:f>IF('01_Run_Config'!$B$48="AN Bud Candy (replaces HESI Boost)",0,IF(AND(A39&gt;='01_Run_Config'!$B$33,MOD(A39-'01_Run_Config'!$B$33,7)=0),2,0))</x:f>
        <x:v>0</x:v>
      </x:c>
      <x:c r="AB39" s="63" t="n">
        <x:f>IF('01_Run_Config'!$B$52="AN Bud Ignitor &gt; Big Bud &gt; Overdrive",0,IF(AND(ISNUMBER(AL39),AL39&gt;=29,AL39&lt;=42),0.25+((AL39-29)/13)*0.25,0))</x:f>
        <x:v>0</x:v>
      </x:c>
      <x:c r="AC39" s="63" t="n">
        <x:f>IF('01_Run_Config'!$B$46="OFF",0,IF(OR(A39='01_Run_Config'!$B$32,A39='01_Run_Config'!$B$32+7,A39='01_Run_Config'!$B$33+1,A39='01_Run_Config'!$B$33+8),2,0))</x:f>
        <x:v>0</x:v>
      </x:c>
      <x:c r="AD39" s="63" t="str">
        <x:f>IF(BG39="BLOCK","HYBRID BLOCKED - Konfiguration prüfen",IF(SUM(AC39,AT39:BF39)&gt;0,"AN aktiv: "&amp;BH39,"AN: keine Dosis heute / Module aus"))</x:f>
        <x:v>AN: keine Dosis heute / Module aus</x:v>
      </x:c>
      <x:c r="AE39" s="63" t="str">
        <x:v>Leaf-tucking / minimal entlasten</x:v>
      </x:c>
      <x:c r="AF39" s="63" t="str">
        <x:v>Morgens Klima/Pflanze/Bewässerung/Leck; Mitte Lichtphase Blattwinkel; vor Dunkel LF/Drain/stehendes Wasser.</x:v>
      </x:c>
      <x:c r="AG39" s="63" t="str">
        <x:v>EC nicht erhöhen bei steigender Diagnose-Drain-EC; PPFD nicht erhöhen bei Stress; Wasserband nie erzwingen; nie mehrere neue Booster gleichzeitig.</x:v>
      </x:c>
      <x:c r="AH39" s="35" t="str">
        <x:f>"UKD v9 evidence-guarded: Planwerte sind Ziele/Eligibility, keine automatische Freigabe. Eazy Plug/Block ist vorgepuffert; früher Basisfeed bleibt vom Propagation-/Pflanzengate abhängig. Messdaten und Safety-Gates überschreiben Kalender."</x:f>
        <x:v>UKD v9 evidence-guarded: Planwerte sind Ziele/Eligibility, keine automatische Freigabe. Eazy Plug/Block ist vorgepuffert; früher Basisfeed bleibt vom Propagation-/Pflanzengate abhängig. Messdaten und Safety-Gates überschreiben Kalender.</x:v>
      </x:c>
      <x:c r="AI39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39" s="201" t="str">
        <x:f>IF(A39&lt;'01_Run_Config'!$B$32,"—",IF(A39&lt;'01_Run_Config'!$B$33,"G"&amp;MIN(4,INT((A39-'01_Run_Config'!$B$32)/7)+1),AM39))</x:f>
        <x:v>B2</x:v>
      </x:c>
      <x:c r="AK39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39" s="60" t="n">
        <x:f>IF(A39&lt;'01_Run_Config'!$B$33,"",A39-'01_Run_Config'!$B$33+1)</x:f>
        <x:v>10</x:v>
      </x:c>
      <x:c r="AM39" s="60" t="str">
        <x:f>IF(AL39="","",IF(AL39&gt;49,CHAR(66)&amp;"7+",CHAR(66)&amp;TEXT(INT((AL39-1)/7)+1,"0")))</x:f>
        <x:v>B2</x:v>
      </x:c>
      <x:c r="AN39" s="60" t="n">
        <x:f>ROUND(0.6108*EXP(17.27*L39/(L39+237.3))*(1-N39/100),2)</x:f>
        <x:v>1.58</x:v>
      </x:c>
      <x:c r="AO39" s="60" t="n">
        <x:f>H39*G39/1000</x:f>
        <x:v>2.43</x:v>
      </x:c>
      <x:c r="AP39" s="60" t="n">
        <x:f>SUM($AO$2:AO39)</x:f>
        <x:v>53.36999999999999</x:v>
      </x:c>
      <x:c r="AQ39" t="n">
        <x:f>'01_Run_Config'!$B$17</x:f>
        <x:v>0</x:v>
      </x:c>
      <x:c r="AR39" t="n">
        <x:f>'01_Run_Config'!$B$22</x:f>
        <x:v>0</x:v>
      </x:c>
      <x:c r="AS39" t="n">
        <x:f>'01_Run_Config'!$B$25</x:f>
        <x:v>0</x:v>
      </x:c>
      <x:c r="AT39" t="n">
        <x:f>IF(AND('01_Run_Config'!$B$46="Voodoo + Piranha + Tarantula",AC39&gt;0),2,0)</x:f>
        <x:v>0</x:v>
      </x:c>
      <x:c r="AU39" t="n">
        <x:f>IF(AND(OR('01_Run_Config'!$B$46="Voodoo + Tarantula",'01_Run_Config'!$B$46="Voodoo + Piranha + Tarantula"),AC39&gt;0),2,0)</x:f>
        <x:v>0</x:v>
      </x:c>
      <x:c r="AV39" t="n">
        <x:f>IF('01_Run_Config'!$B$47&lt;&gt;"ON / A-B",0,IF(OR(AND(A39&gt;='01_Run_Config'!$B$32,A39&lt;'01_Run_Config'!$B$33),AND(ISNUMBER(AL39),AL39&gt;=15,AL39&lt;=49)),2,0))</x:f>
        <x:v>0</x:v>
      </x:c>
      <x:c r="AW39" t="n">
        <x:f>IF('01_Run_Config'!$B$48="AN Bud Candy (replaces HESI Boost)",IF(AND(A39&gt;='01_Run_Config'!$B$32,OR(AL39="",AL39&lt;=49)),2,0),0)</x:f>
        <x:v>0</x:v>
      </x:c>
      <x:c r="AX39" t="n">
        <x:f>IF('01_Run_Config'!$B$49&lt;&gt;"ON / EXPERIMENTAL",0,IF(OR(AND(A39&gt;='01_Run_Config'!$B$32+7,A39&lt;'01_Run_Config'!$B$33),AND(ISNUMBER(AL39),AL39&gt;=1,AL39&lt;=49)),2,0))</x:f>
        <x:v>0</x:v>
      </x:c>
      <x:c r="AY39" t="n">
        <x:f>IF('01_Run_Config'!$B$50="AN Sensizym",IF(AND(A39&gt;='01_Run_Config'!$B$32,OR(AL39="",AL39&lt;=49)),2,0),0)</x:f>
        <x:v>0</x:v>
      </x:c>
      <x:c r="AZ39" t="n">
        <x:f>IF('01_Run_Config'!$B$51="AN Rhino Skin",IF(AND(A39&gt;='01_Run_Config'!$B$32,OR(AL39="",AL39&lt;=49)),2,0),0)</x:f>
        <x:v>0</x:v>
      </x:c>
      <x:c r="BA39" t="n">
        <x:f>IF(AND('01_Run_Config'!$B$52="AN Bud Ignitor &gt; Big Bud &gt; Overdrive",ISNUMBER(AL39),AL39&gt;=1,AL39&lt;=14),2,0)</x:f>
        <x:v>0</x:v>
      </x:c>
      <x:c r="BB39" t="n">
        <x:f>IF(AND('01_Run_Config'!$B$52="AN Bud Ignitor &gt; Big Bud &gt; Overdrive",ISNUMBER(AL39),AL39&gt;=8,AL39&lt;=35),2,0)</x:f>
        <x:v>0</x:v>
      </x:c>
      <x:c r="BC39" t="n">
        <x:f>IF(AND('01_Run_Config'!$B$52="AN Bud Ignitor &gt; Big Bud &gt; Overdrive",ISNUMBER(AL39),AL39&gt;=36,AL39&lt;=49),2,0)</x:f>
        <x:v>0</x:v>
      </x:c>
      <x:c r="BD39" t="n">
        <x:f>IF('01_Run_Config'!$B$53="ON / EXPERIMENTAL",IF(OR(AND(A39&gt;='01_Run_Config'!$B$32,A39&lt;'01_Run_Config'!$B$33),AND(ISNUMBER(AL39),AL39&gt;=15,AL39&lt;=49)),2,0),0)</x:f>
        <x:v>0</x:v>
      </x:c>
      <x:c r="BE39" t="n">
        <x:f>IF('01_Run_Config'!$B$54="AN Sensi CalMag Xtra conditional",'01_Run_Config'!$B$17,0)</x:f>
        <x:v>0</x:v>
      </x:c>
      <x:c r="BF39" t="n">
        <x:f>0</x:f>
        <x:v>0</x:v>
      </x:c>
      <x:c r="BG39" t="str">
        <x:f>'01_Run_Config'!$E$57</x:f>
        <x:v>OK</x:v>
      </x:c>
      <x:c r="BH39" t="str">
        <x:f>IF(SUM(AC39,AT39:BF39)=0,"keine AN-Dosis heute",IF(AC39&gt;0,"Voodoo "&amp;AC39&amp;" ml/L; ","")&amp;IF(AT39&gt;0,"Piranha "&amp;AT39&amp;" ml/L; ","")&amp;IF(AU39&gt;0,"Tarantula "&amp;AU39&amp;" ml/L; ","")&amp;IF(AV39&gt;0,"B-52 "&amp;AV39&amp;" ml/L; ","")&amp;IF(AW39&gt;0,"Bud Candy "&amp;AW39&amp;" ml/L; ","")&amp;IF(AX39&gt;0,"Bud Factor X "&amp;AX39&amp;" ml/L; ","")&amp;IF(AY39&gt;0,"Sensizym "&amp;AY39&amp;" ml/L; ","")&amp;IF(AZ39&gt;0,"Rhino Skin "&amp;AZ39&amp;" ml/L; ","")&amp;IF(BA39&gt;0,"Bud Ignitor "&amp;BA39&amp;" ml/L; ","")&amp;IF(BB39&gt;0,"Big Bud "&amp;BB39&amp;" ml/L; ","")&amp;IF(BC39&gt;0,"Overdrive "&amp;BC39&amp;" ml/L; ","")&amp;IF(BD39&gt;0,"Tasty Terpenes "&amp;BD39&amp;" ml/L; ","")&amp;IF(BE39&gt;0,"Sensi CalMag "&amp;BE39&amp;" ml/L",""))</x:f>
        <x:v>keine AN-Dosis heute</x:v>
      </x:c>
    </x:row>
    <x:row r="40">
      <x:c r="A40" s="34" t="n">
        <x:v>38</x:v>
      </x:c>
      <x:c r="B40" s="129" t="n">
        <x:f>'01_Run_Config'!$B$4+A40</x:f>
        <x:v>46280</x:v>
      </x:c>
      <x:c r="C40" s="63" t="n">
        <x:f>INT(A40/7)+1</x:f>
        <x:v>6</x:v>
      </x:c>
      <x:c r="D40" s="63" t="str">
        <x:f>"M"&amp;MIN(3,INT(A40/30)+1)</x:f>
        <x:v>M2</x:v>
      </x:c>
      <x:c r="E40" s="63" t="str">
        <x:f>IF(A40&lt;4,"Keimung",IF(A40&lt;8,"Etablierung",IF(A40&lt;15,"Early Veg",IF(A40&lt;'01_Run_Config'!$B$33,IF(A40&lt;22,"Veg / LST","Preflower-Watch"),IF(A40-'01_Run_Config'!$B$33&lt;=6,"Transition / Stretch ("&amp;AM40&amp;")",IF(A40-'01_Run_Config'!$B$33&lt;=13,"Early Flower ("&amp;AM40&amp;")",IF(A40-'01_Run_Config'!$B$33&lt;=20,"Flower I ("&amp;AM40&amp;")",IF(A40-'01_Run_Config'!$B$33&lt;=34,"Peak Flower ("&amp;AM40&amp;")",IF(A40-'01_Run_Config'!$B$33&lt;=41,"Late Flower ("&amp;AM40&amp;")",IF(A40-'01_Run_Config'!$B$33&lt;=48,"Ripening ("&amp;AM40&amp;")","Harvest / Extension ("&amp;AM40&amp;")"))))))))))</x:f>
        <x:v>Early Flower (B2)</x:v>
      </x:c>
      <x:c r="F40" s="63" t="str">
        <x:f>IF(A40&lt;4,"Keimung + Wurzelstart",IF(A40&lt;8,"Sämling etablieren; Wurzelraum erschließen",IF(A40&lt;15,"kompakter Aufbau; LST erst bei Vitalität",IF(A40&lt;'01_Run_Config'!$B$33,"Canopy aufbauen; Preflower beobachten",IF(A40-'01_Run_Config'!$B$33&lt;=6,"Stretch kontrollieren; Bloom-Trigger dokumentieren",IF(A40-'01_Run_Config'!$B$33&lt;=13,"Blütenansatz stabilisieren",IF(A40-'01_Run_Config'!$B$33&lt;=20,"Blütenaufbau ohne neue Stressoren",IF(A40-'01_Run_Config'!$B$33&lt;=34,"stabile Peak-Photosynthese; Klima priorisieren",IF(A40-'01_Run_Config'!$B$33&lt;=41,"Qualität/Schimmelprävention",IF(A40-'01_Run_Config'!$B$33&lt;=48,"Reife ohne Überfütterung","Erntefenster nach Pflanze; keine Kalenderernte"))))))))))</x:f>
        <x:v>Blütenansatz stabilisieren</x:v>
      </x:c>
      <x:c r="G40" s="63" t="n">
        <x:v>18</x:v>
      </x:c>
      <x:c r="H40" s="63" t="n">
        <x:v>135</x:v>
      </x:c>
      <x:c r="I40" s="63" t="n">
        <x:v>600</x:v>
      </x:c>
      <x:c r="J40" s="63" t="n">
        <x:f>I40*G40*3600/1000000</x:f>
        <x:v>38.88</x:v>
      </x:c>
      <x:c r="K40" s="63" t="n">
        <x:v>34</x:v>
      </x:c>
      <x:c r="L40" s="63" t="n">
        <x:v>25</x:v>
      </x:c>
      <x:c r="M40" s="63" t="n">
        <x:v>21.5</x:v>
      </x:c>
      <x:c r="N40" s="63" t="n">
        <x:v>50</x:v>
      </x:c>
      <x:c r="O40" s="63" t="n">
        <x:f>ROUND(0.6108*EXP(17.27*(L40+'01_Run_Config'!$B$34)/(L40+'01_Run_Config'!$B$34+237.3))-(N40/100)*0.6108*EXP(17.27*L40/(L40+237.3)),2)</x:f>
        <x:v>1.4</x:v>
      </x:c>
      <x:c r="P40" s="63" t="n">
        <x:f>IF(A40&lt;'01_Run_Config'!$B$32,0.55,IF(A40&lt;'01_Run_Config'!$B$33,IF(A40-'01_Run_Config'!$B$32&lt;=3,0.8,IF(A40-'01_Run_Config'!$B$32&lt;=10,1,IF(A40-'01_Run_Config'!$B$32&lt;=17,1.2,1.4))),IF(A40-'01_Run_Config'!$B$33&lt;=6,1.5,IF(A40-'01_Run_Config'!$B$33&lt;=13,1.6,IF(A40-'01_Run_Config'!$B$33&lt;=20,1.7,IF(A40-'01_Run_Config'!$B$33&lt;=34,1.8,IF(A40-'01_Run_Config'!$B$33&lt;=41,1.6,IF(A40-'01_Run_Config'!$B$33&lt;=48,1.4,1.15))))))))</x:f>
        <x:v>1.6</x:v>
      </x:c>
      <x:c r="Q40" s="63" t="n">
        <x:v>5.9</x:v>
      </x:c>
      <x:c r="R40" s="63" t="n">
        <x:v>0.8</x:v>
      </x:c>
      <x:c r="S40" s="63" t="n">
        <x:v>1.2</x:v>
      </x:c>
      <x:c r="T40" s="63" t="str">
        <x:f>IF(A40&lt;=7,"Manuell",'01_Run_Config'!$B$40)</x:f>
        <x:v>Manuell / indoor-freigegebene Automation</x:v>
      </x:c>
      <x:c r="U40" s="63" t="str">
        <x:f>IF(A40&lt;'01_Run_Config'!$B$32,"Kein Basisdünger",IF(A40&lt;'01_Run_Config'!$B$33,"HESI TNT","HESI Coco"))</x:f>
        <x:v>HESI Coco</x:v>
      </x:c>
      <x:c r="V40" s="63" t="n">
        <x:f>IF(A40&lt;'01_Run_Config'!$B$32,0,IF(A40&lt;'01_Run_Config'!$B$33,IF(A40-'01_Run_Config'!$B$32&lt;=3,1.25,IF(A40-'01_Run_Config'!$B$32&lt;=10,2,2.5)),IF(A40-'01_Run_Config'!$B$33&lt;=6,2.5,IF(A40-'01_Run_Config'!$B$33&lt;=13,3.25,IF(A40-'01_Run_Config'!$B$33&lt;=20,3.75,IF(A40-'01_Run_Config'!$B$33&lt;=34,4,IF(A40-'01_Run_Config'!$B$33&lt;=41,3.5,IF(A40-'01_Run_Config'!$B$33&lt;=48,2.5,1.5))))))))</x:f>
        <x:v>3.25</x:v>
      </x:c>
      <x:c r="W40" s="63" t="n">
        <x:f>IF(A40&lt;=14,2.5,0)</x:f>
        <x:v>0</x:v>
      </x:c>
      <x:c r="X40" s="63" t="n">
        <x:f>IF('01_Run_Config'!$B$50="AN Sensizym",0,IF(AND(A40&gt;='01_Run_Config'!$B$32,OR(AL40="",AL40&lt;=49)),2,0))</x:f>
        <x:v>2</x:v>
      </x:c>
      <x:c r="Y40" s="63" t="n">
        <x:f>0.015</x:f>
        <x:v>0.015</x:v>
      </x:c>
      <x:c r="Z40" s="63" t="n">
        <x:f>IF('01_Run_Config'!$B$51="HESI Hesilicio",2,0)</x:f>
        <x:v>0</x:v>
      </x:c>
      <x:c r="AA40" s="63" t="n">
        <x:f>IF('01_Run_Config'!$B$48="AN Bud Candy (replaces HESI Boost)",0,IF(AND(A40&gt;='01_Run_Config'!$B$33,MOD(A40-'01_Run_Config'!$B$33,7)=0),2,0))</x:f>
        <x:v>0</x:v>
      </x:c>
      <x:c r="AB40" s="63" t="n">
        <x:f>IF('01_Run_Config'!$B$52="AN Bud Ignitor &gt; Big Bud &gt; Overdrive",0,IF(AND(ISNUMBER(AL40),AL40&gt;=29,AL40&lt;=42),0.25+((AL40-29)/13)*0.25,0))</x:f>
        <x:v>0</x:v>
      </x:c>
      <x:c r="AC40" s="63" t="n">
        <x:f>IF('01_Run_Config'!$B$46="OFF",0,IF(OR(A40='01_Run_Config'!$B$32,A40='01_Run_Config'!$B$32+7,A40='01_Run_Config'!$B$33+1,A40='01_Run_Config'!$B$33+8),2,0))</x:f>
        <x:v>0</x:v>
      </x:c>
      <x:c r="AD40" s="63" t="str">
        <x:f>IF(BG40="BLOCK","HYBRID BLOCKED - Konfiguration prüfen",IF(SUM(AC40,AT40:BF40)&gt;0,"AN aktiv: "&amp;BH40,"AN: keine Dosis heute / Module aus"))</x:f>
        <x:v>AN: keine Dosis heute / Module aus</x:v>
      </x:c>
      <x:c r="AE40" s="63" t="str">
        <x:v>Leaf-tucking / minimal entlasten</x:v>
      </x:c>
      <x:c r="AF40" s="63" t="str">
        <x:v>Morgens Klima/Pflanze/Bewässerung/Leck; Mitte Lichtphase Blattwinkel; vor Dunkel LF/Drain/stehendes Wasser.</x:v>
      </x:c>
      <x:c r="AG40" s="63" t="str">
        <x:v>EC nicht erhöhen bei steigender Diagnose-Drain-EC; PPFD nicht erhöhen bei Stress; Wasserband nie erzwingen; nie mehrere neue Booster gleichzeitig.</x:v>
      </x:c>
      <x:c r="AH40" s="35" t="str">
        <x:f>"UKD v9 evidence-guarded: Planwerte sind Ziele/Eligibility, keine automatische Freigabe. Eazy Plug/Block ist vorgepuffert; früher Basisfeed bleibt vom Propagation-/Pflanzengate abhängig. Messdaten und Safety-Gates überschreiben Kalender."</x:f>
        <x:v>UKD v9 evidence-guarded: Planwerte sind Ziele/Eligibility, keine automatische Freigabe. Eazy Plug/Block ist vorgepuffert; früher Basisfeed bleibt vom Propagation-/Pflanzengate abhängig. Messdaten und Safety-Gates überschreiben Kalender.</x:v>
      </x:c>
      <x:c r="AI40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40" s="201" t="str">
        <x:f>IF(A40&lt;'01_Run_Config'!$B$32,"—",IF(A40&lt;'01_Run_Config'!$B$33,"G"&amp;MIN(4,INT((A40-'01_Run_Config'!$B$32)/7)+1),AM40))</x:f>
        <x:v>B2</x:v>
      </x:c>
      <x:c r="AK40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40" s="60" t="n">
        <x:f>IF(A40&lt;'01_Run_Config'!$B$33,"",A40-'01_Run_Config'!$B$33+1)</x:f>
        <x:v>11</x:v>
      </x:c>
      <x:c r="AM40" s="60" t="str">
        <x:f>IF(AL40="","",IF(AL40&gt;49,CHAR(66)&amp;"7+",CHAR(66)&amp;TEXT(INT((AL40-1)/7)+1,"0")))</x:f>
        <x:v>B2</x:v>
      </x:c>
      <x:c r="AN40" s="60" t="n">
        <x:f>ROUND(0.6108*EXP(17.27*L40/(L40+237.3))*(1-N40/100),2)</x:f>
        <x:v>1.58</x:v>
      </x:c>
      <x:c r="AO40" s="60" t="n">
        <x:f>H40*G40/1000</x:f>
        <x:v>2.43</x:v>
      </x:c>
      <x:c r="AP40" s="60" t="n">
        <x:f>SUM($AO$2:AO40)</x:f>
        <x:v>55.79999999999999</x:v>
      </x:c>
      <x:c r="AQ40" t="n">
        <x:f>'01_Run_Config'!$B$17</x:f>
        <x:v>0</x:v>
      </x:c>
      <x:c r="AR40" t="n">
        <x:f>'01_Run_Config'!$B$22</x:f>
        <x:v>0</x:v>
      </x:c>
      <x:c r="AS40" t="n">
        <x:f>'01_Run_Config'!$B$25</x:f>
        <x:v>0</x:v>
      </x:c>
      <x:c r="AT40" t="n">
        <x:f>IF(AND('01_Run_Config'!$B$46="Voodoo + Piranha + Tarantula",AC40&gt;0),2,0)</x:f>
        <x:v>0</x:v>
      </x:c>
      <x:c r="AU40" t="n">
        <x:f>IF(AND(OR('01_Run_Config'!$B$46="Voodoo + Tarantula",'01_Run_Config'!$B$46="Voodoo + Piranha + Tarantula"),AC40&gt;0),2,0)</x:f>
        <x:v>0</x:v>
      </x:c>
      <x:c r="AV40" t="n">
        <x:f>IF('01_Run_Config'!$B$47&lt;&gt;"ON / A-B",0,IF(OR(AND(A40&gt;='01_Run_Config'!$B$32,A40&lt;'01_Run_Config'!$B$33),AND(ISNUMBER(AL40),AL40&gt;=15,AL40&lt;=49)),2,0))</x:f>
        <x:v>0</x:v>
      </x:c>
      <x:c r="AW40" t="n">
        <x:f>IF('01_Run_Config'!$B$48="AN Bud Candy (replaces HESI Boost)",IF(AND(A40&gt;='01_Run_Config'!$B$32,OR(AL40="",AL40&lt;=49)),2,0),0)</x:f>
        <x:v>0</x:v>
      </x:c>
      <x:c r="AX40" t="n">
        <x:f>IF('01_Run_Config'!$B$49&lt;&gt;"ON / EXPERIMENTAL",0,IF(OR(AND(A40&gt;='01_Run_Config'!$B$32+7,A40&lt;'01_Run_Config'!$B$33),AND(ISNUMBER(AL40),AL40&gt;=1,AL40&lt;=49)),2,0))</x:f>
        <x:v>0</x:v>
      </x:c>
      <x:c r="AY40" t="n">
        <x:f>IF('01_Run_Config'!$B$50="AN Sensizym",IF(AND(A40&gt;='01_Run_Config'!$B$32,OR(AL40="",AL40&lt;=49)),2,0),0)</x:f>
        <x:v>0</x:v>
      </x:c>
      <x:c r="AZ40" t="n">
        <x:f>IF('01_Run_Config'!$B$51="AN Rhino Skin",IF(AND(A40&gt;='01_Run_Config'!$B$32,OR(AL40="",AL40&lt;=49)),2,0),0)</x:f>
        <x:v>0</x:v>
      </x:c>
      <x:c r="BA40" t="n">
        <x:f>IF(AND('01_Run_Config'!$B$52="AN Bud Ignitor &gt; Big Bud &gt; Overdrive",ISNUMBER(AL40),AL40&gt;=1,AL40&lt;=14),2,0)</x:f>
        <x:v>0</x:v>
      </x:c>
      <x:c r="BB40" t="n">
        <x:f>IF(AND('01_Run_Config'!$B$52="AN Bud Ignitor &gt; Big Bud &gt; Overdrive",ISNUMBER(AL40),AL40&gt;=8,AL40&lt;=35),2,0)</x:f>
        <x:v>0</x:v>
      </x:c>
      <x:c r="BC40" t="n">
        <x:f>IF(AND('01_Run_Config'!$B$52="AN Bud Ignitor &gt; Big Bud &gt; Overdrive",ISNUMBER(AL40),AL40&gt;=36,AL40&lt;=49),2,0)</x:f>
        <x:v>0</x:v>
      </x:c>
      <x:c r="BD40" t="n">
        <x:f>IF('01_Run_Config'!$B$53="ON / EXPERIMENTAL",IF(OR(AND(A40&gt;='01_Run_Config'!$B$32,A40&lt;'01_Run_Config'!$B$33),AND(ISNUMBER(AL40),AL40&gt;=15,AL40&lt;=49)),2,0),0)</x:f>
        <x:v>0</x:v>
      </x:c>
      <x:c r="BE40" t="n">
        <x:f>IF('01_Run_Config'!$B$54="AN Sensi CalMag Xtra conditional",'01_Run_Config'!$B$17,0)</x:f>
        <x:v>0</x:v>
      </x:c>
      <x:c r="BF40" t="n">
        <x:f>0</x:f>
        <x:v>0</x:v>
      </x:c>
      <x:c r="BG40" t="str">
        <x:f>'01_Run_Config'!$E$57</x:f>
        <x:v>OK</x:v>
      </x:c>
      <x:c r="BH40" t="str">
        <x:f>IF(SUM(AC40,AT40:BF40)=0,"keine AN-Dosis heute",IF(AC40&gt;0,"Voodoo "&amp;AC40&amp;" ml/L; ","")&amp;IF(AT40&gt;0,"Piranha "&amp;AT40&amp;" ml/L; ","")&amp;IF(AU40&gt;0,"Tarantula "&amp;AU40&amp;" ml/L; ","")&amp;IF(AV40&gt;0,"B-52 "&amp;AV40&amp;" ml/L; ","")&amp;IF(AW40&gt;0,"Bud Candy "&amp;AW40&amp;" ml/L; ","")&amp;IF(AX40&gt;0,"Bud Factor X "&amp;AX40&amp;" ml/L; ","")&amp;IF(AY40&gt;0,"Sensizym "&amp;AY40&amp;" ml/L; ","")&amp;IF(AZ40&gt;0,"Rhino Skin "&amp;AZ40&amp;" ml/L; ","")&amp;IF(BA40&gt;0,"Bud Ignitor "&amp;BA40&amp;" ml/L; ","")&amp;IF(BB40&gt;0,"Big Bud "&amp;BB40&amp;" ml/L; ","")&amp;IF(BC40&gt;0,"Overdrive "&amp;BC40&amp;" ml/L; ","")&amp;IF(BD40&gt;0,"Tasty Terpenes "&amp;BD40&amp;" ml/L; ","")&amp;IF(BE40&gt;0,"Sensi CalMag "&amp;BE40&amp;" ml/L",""))</x:f>
        <x:v>keine AN-Dosis heute</x:v>
      </x:c>
    </x:row>
    <x:row r="41">
      <x:c r="A41" s="34" t="n">
        <x:v>39</x:v>
      </x:c>
      <x:c r="B41" s="129" t="n">
        <x:f>'01_Run_Config'!$B$4+A41</x:f>
        <x:v>46281</x:v>
      </x:c>
      <x:c r="C41" s="63" t="n">
        <x:f>INT(A41/7)+1</x:f>
        <x:v>6</x:v>
      </x:c>
      <x:c r="D41" s="63" t="str">
        <x:f>"M"&amp;MIN(3,INT(A41/30)+1)</x:f>
        <x:v>M2</x:v>
      </x:c>
      <x:c r="E41" s="63" t="str">
        <x:f>IF(A41&lt;4,"Keimung",IF(A41&lt;8,"Etablierung",IF(A41&lt;15,"Early Veg",IF(A41&lt;'01_Run_Config'!$B$33,IF(A41&lt;22,"Veg / LST","Preflower-Watch"),IF(A41-'01_Run_Config'!$B$33&lt;=6,"Transition / Stretch ("&amp;AM41&amp;")",IF(A41-'01_Run_Config'!$B$33&lt;=13,"Early Flower ("&amp;AM41&amp;")",IF(A41-'01_Run_Config'!$B$33&lt;=20,"Flower I ("&amp;AM41&amp;")",IF(A41-'01_Run_Config'!$B$33&lt;=34,"Peak Flower ("&amp;AM41&amp;")",IF(A41-'01_Run_Config'!$B$33&lt;=41,"Late Flower ("&amp;AM41&amp;")",IF(A41-'01_Run_Config'!$B$33&lt;=48,"Ripening ("&amp;AM41&amp;")","Harvest / Extension ("&amp;AM41&amp;")"))))))))))</x:f>
        <x:v>Early Flower (B2)</x:v>
      </x:c>
      <x:c r="F41" s="63" t="str">
        <x:f>IF(A41&lt;4,"Keimung + Wurzelstart",IF(A41&lt;8,"Sämling etablieren; Wurzelraum erschließen",IF(A41&lt;15,"kompakter Aufbau; LST erst bei Vitalität",IF(A41&lt;'01_Run_Config'!$B$33,"Canopy aufbauen; Preflower beobachten",IF(A41-'01_Run_Config'!$B$33&lt;=6,"Stretch kontrollieren; Bloom-Trigger dokumentieren",IF(A41-'01_Run_Config'!$B$33&lt;=13,"Blütenansatz stabilisieren",IF(A41-'01_Run_Config'!$B$33&lt;=20,"Blütenaufbau ohne neue Stressoren",IF(A41-'01_Run_Config'!$B$33&lt;=34,"stabile Peak-Photosynthese; Klima priorisieren",IF(A41-'01_Run_Config'!$B$33&lt;=41,"Qualität/Schimmelprävention",IF(A41-'01_Run_Config'!$B$33&lt;=48,"Reife ohne Überfütterung","Erntefenster nach Pflanze; keine Kalenderernte"))))))))))</x:f>
        <x:v>Blütenansatz stabilisieren</x:v>
      </x:c>
      <x:c r="G41" s="63" t="n">
        <x:v>18</x:v>
      </x:c>
      <x:c r="H41" s="63" t="n">
        <x:v>135</x:v>
      </x:c>
      <x:c r="I41" s="63" t="n">
        <x:v>600</x:v>
      </x:c>
      <x:c r="J41" s="63" t="n">
        <x:f>I41*G41*3600/1000000</x:f>
        <x:v>38.88</x:v>
      </x:c>
      <x:c r="K41" s="63" t="n">
        <x:v>34</x:v>
      </x:c>
      <x:c r="L41" s="63" t="n">
        <x:v>25</x:v>
      </x:c>
      <x:c r="M41" s="63" t="n">
        <x:v>21.5</x:v>
      </x:c>
      <x:c r="N41" s="63" t="n">
        <x:v>50</x:v>
      </x:c>
      <x:c r="O41" s="63" t="n">
        <x:f>ROUND(0.6108*EXP(17.27*(L41+'01_Run_Config'!$B$34)/(L41+'01_Run_Config'!$B$34+237.3))-(N41/100)*0.6108*EXP(17.27*L41/(L41+237.3)),2)</x:f>
        <x:v>1.4</x:v>
      </x:c>
      <x:c r="P41" s="63" t="n">
        <x:f>IF(A41&lt;'01_Run_Config'!$B$32,0.55,IF(A41&lt;'01_Run_Config'!$B$33,IF(A41-'01_Run_Config'!$B$32&lt;=3,0.8,IF(A41-'01_Run_Config'!$B$32&lt;=10,1,IF(A41-'01_Run_Config'!$B$32&lt;=17,1.2,1.4))),IF(A41-'01_Run_Config'!$B$33&lt;=6,1.5,IF(A41-'01_Run_Config'!$B$33&lt;=13,1.6,IF(A41-'01_Run_Config'!$B$33&lt;=20,1.7,IF(A41-'01_Run_Config'!$B$33&lt;=34,1.8,IF(A41-'01_Run_Config'!$B$33&lt;=41,1.6,IF(A41-'01_Run_Config'!$B$33&lt;=48,1.4,1.15))))))))</x:f>
        <x:v>1.6</x:v>
      </x:c>
      <x:c r="Q41" s="63" t="n">
        <x:v>5.9</x:v>
      </x:c>
      <x:c r="R41" s="63" t="n">
        <x:v>0.8</x:v>
      </x:c>
      <x:c r="S41" s="63" t="n">
        <x:v>1.2</x:v>
      </x:c>
      <x:c r="T41" s="63" t="str">
        <x:f>IF(A41&lt;=7,"Manuell",'01_Run_Config'!$B$40)</x:f>
        <x:v>Manuell / indoor-freigegebene Automation</x:v>
      </x:c>
      <x:c r="U41" s="63" t="str">
        <x:f>IF(A41&lt;'01_Run_Config'!$B$32,"Kein Basisdünger",IF(A41&lt;'01_Run_Config'!$B$33,"HESI TNT","HESI Coco"))</x:f>
        <x:v>HESI Coco</x:v>
      </x:c>
      <x:c r="V41" s="63" t="n">
        <x:f>IF(A41&lt;'01_Run_Config'!$B$32,0,IF(A41&lt;'01_Run_Config'!$B$33,IF(A41-'01_Run_Config'!$B$32&lt;=3,1.25,IF(A41-'01_Run_Config'!$B$32&lt;=10,2,2.5)),IF(A41-'01_Run_Config'!$B$33&lt;=6,2.5,IF(A41-'01_Run_Config'!$B$33&lt;=13,3.25,IF(A41-'01_Run_Config'!$B$33&lt;=20,3.75,IF(A41-'01_Run_Config'!$B$33&lt;=34,4,IF(A41-'01_Run_Config'!$B$33&lt;=41,3.5,IF(A41-'01_Run_Config'!$B$33&lt;=48,2.5,1.5))))))))</x:f>
        <x:v>3.25</x:v>
      </x:c>
      <x:c r="W41" s="63" t="n">
        <x:f>IF(A41&lt;=14,2.5,0)</x:f>
        <x:v>0</x:v>
      </x:c>
      <x:c r="X41" s="63" t="n">
        <x:f>IF('01_Run_Config'!$B$50="AN Sensizym",0,IF(AND(A41&gt;='01_Run_Config'!$B$32,OR(AL41="",AL41&lt;=49)),2,0))</x:f>
        <x:v>2</x:v>
      </x:c>
      <x:c r="Y41" s="63" t="n">
        <x:f>0.015</x:f>
        <x:v>0.015</x:v>
      </x:c>
      <x:c r="Z41" s="63" t="n">
        <x:f>IF('01_Run_Config'!$B$51="HESI Hesilicio",2,0)</x:f>
        <x:v>0</x:v>
      </x:c>
      <x:c r="AA41" s="63" t="n">
        <x:f>IF('01_Run_Config'!$B$48="AN Bud Candy (replaces HESI Boost)",0,IF(AND(A41&gt;='01_Run_Config'!$B$33,MOD(A41-'01_Run_Config'!$B$33,7)=0),2,0))</x:f>
        <x:v>0</x:v>
      </x:c>
      <x:c r="AB41" s="63" t="n">
        <x:f>IF('01_Run_Config'!$B$52="AN Bud Ignitor &gt; Big Bud &gt; Overdrive",0,IF(AND(ISNUMBER(AL41),AL41&gt;=29,AL41&lt;=42),0.25+((AL41-29)/13)*0.25,0))</x:f>
        <x:v>0</x:v>
      </x:c>
      <x:c r="AC41" s="63" t="n">
        <x:f>IF('01_Run_Config'!$B$46="OFF",0,IF(OR(A41='01_Run_Config'!$B$32,A41='01_Run_Config'!$B$32+7,A41='01_Run_Config'!$B$33+1,A41='01_Run_Config'!$B$33+8),2,0))</x:f>
        <x:v>0</x:v>
      </x:c>
      <x:c r="AD41" s="63" t="str">
        <x:f>IF(BG41="BLOCK","HYBRID BLOCKED - Konfiguration prüfen",IF(SUM(AC41,AT41:BF41)&gt;0,"AN aktiv: "&amp;BH41,"AN: keine Dosis heute / Module aus"))</x:f>
        <x:v>AN: keine Dosis heute / Module aus</x:v>
      </x:c>
      <x:c r="AE41" s="63" t="str">
        <x:v>Leaf-tucking / minimal entlasten</x:v>
      </x:c>
      <x:c r="AF41" s="63" t="str">
        <x:v>Morgens Klima/Pflanze/Bewässerung/Leck; Mitte Lichtphase Blattwinkel; vor Dunkel LF/Drain/stehendes Wasser.</x:v>
      </x:c>
      <x:c r="AG41" s="63" t="str">
        <x:v>EC nicht erhöhen bei steigender Diagnose-Drain-EC; PPFD nicht erhöhen bei Stress; Wasserband nie erzwingen; nie mehrere neue Booster gleichzeitig.</x:v>
      </x:c>
      <x:c r="AH41" s="35" t="str">
        <x:f>"UKD v9 evidence-guarded: Planwerte sind Ziele/Eligibility, keine automatische Freigabe. Eazy Plug/Block ist vorgepuffert; früher Basisfeed bleibt vom Propagation-/Pflanzengate abhängig. Messdaten und Safety-Gates überschreiben Kalender."</x:f>
        <x:v>UKD v9 evidence-guarded: Planwerte sind Ziele/Eligibility, keine automatische Freigabe. Eazy Plug/Block ist vorgepuffert; früher Basisfeed bleibt vom Propagation-/Pflanzengate abhängig. Messdaten und Safety-Gates überschreiben Kalender.</x:v>
      </x:c>
      <x:c r="AI41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41" s="201" t="str">
        <x:f>IF(A41&lt;'01_Run_Config'!$B$32,"—",IF(A41&lt;'01_Run_Config'!$B$33,"G"&amp;MIN(4,INT((A41-'01_Run_Config'!$B$32)/7)+1),AM41))</x:f>
        <x:v>B2</x:v>
      </x:c>
      <x:c r="AK41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41" s="60" t="n">
        <x:f>IF(A41&lt;'01_Run_Config'!$B$33,"",A41-'01_Run_Config'!$B$33+1)</x:f>
        <x:v>12</x:v>
      </x:c>
      <x:c r="AM41" s="60" t="str">
        <x:f>IF(AL41="","",IF(AL41&gt;49,CHAR(66)&amp;"7+",CHAR(66)&amp;TEXT(INT((AL41-1)/7)+1,"0")))</x:f>
        <x:v>B2</x:v>
      </x:c>
      <x:c r="AN41" s="60" t="n">
        <x:f>ROUND(0.6108*EXP(17.27*L41/(L41+237.3))*(1-N41/100),2)</x:f>
        <x:v>1.58</x:v>
      </x:c>
      <x:c r="AO41" s="60" t="n">
        <x:f>H41*G41/1000</x:f>
        <x:v>2.43</x:v>
      </x:c>
      <x:c r="AP41" s="60" t="n">
        <x:f>SUM($AO$2:AO41)</x:f>
        <x:v>58.22999999999999</x:v>
      </x:c>
      <x:c r="AQ41" t="n">
        <x:f>'01_Run_Config'!$B$17</x:f>
        <x:v>0</x:v>
      </x:c>
      <x:c r="AR41" t="n">
        <x:f>'01_Run_Config'!$B$22</x:f>
        <x:v>0</x:v>
      </x:c>
      <x:c r="AS41" t="n">
        <x:f>'01_Run_Config'!$B$25</x:f>
        <x:v>0</x:v>
      </x:c>
      <x:c r="AT41" t="n">
        <x:f>IF(AND('01_Run_Config'!$B$46="Voodoo + Piranha + Tarantula",AC41&gt;0),2,0)</x:f>
        <x:v>0</x:v>
      </x:c>
      <x:c r="AU41" t="n">
        <x:f>IF(AND(OR('01_Run_Config'!$B$46="Voodoo + Tarantula",'01_Run_Config'!$B$46="Voodoo + Piranha + Tarantula"),AC41&gt;0),2,0)</x:f>
        <x:v>0</x:v>
      </x:c>
      <x:c r="AV41" t="n">
        <x:f>IF('01_Run_Config'!$B$47&lt;&gt;"ON / A-B",0,IF(OR(AND(A41&gt;='01_Run_Config'!$B$32,A41&lt;'01_Run_Config'!$B$33),AND(ISNUMBER(AL41),AL41&gt;=15,AL41&lt;=49)),2,0))</x:f>
        <x:v>0</x:v>
      </x:c>
      <x:c r="AW41" t="n">
        <x:f>IF('01_Run_Config'!$B$48="AN Bud Candy (replaces HESI Boost)",IF(AND(A41&gt;='01_Run_Config'!$B$32,OR(AL41="",AL41&lt;=49)),2,0),0)</x:f>
        <x:v>0</x:v>
      </x:c>
      <x:c r="AX41" t="n">
        <x:f>IF('01_Run_Config'!$B$49&lt;&gt;"ON / EXPERIMENTAL",0,IF(OR(AND(A41&gt;='01_Run_Config'!$B$32+7,A41&lt;'01_Run_Config'!$B$33),AND(ISNUMBER(AL41),AL41&gt;=1,AL41&lt;=49)),2,0))</x:f>
        <x:v>0</x:v>
      </x:c>
      <x:c r="AY41" t="n">
        <x:f>IF('01_Run_Config'!$B$50="AN Sensizym",IF(AND(A41&gt;='01_Run_Config'!$B$32,OR(AL41="",AL41&lt;=49)),2,0),0)</x:f>
        <x:v>0</x:v>
      </x:c>
      <x:c r="AZ41" t="n">
        <x:f>IF('01_Run_Config'!$B$51="AN Rhino Skin",IF(AND(A41&gt;='01_Run_Config'!$B$32,OR(AL41="",AL41&lt;=49)),2,0),0)</x:f>
        <x:v>0</x:v>
      </x:c>
      <x:c r="BA41" t="n">
        <x:f>IF(AND('01_Run_Config'!$B$52="AN Bud Ignitor &gt; Big Bud &gt; Overdrive",ISNUMBER(AL41),AL41&gt;=1,AL41&lt;=14),2,0)</x:f>
        <x:v>0</x:v>
      </x:c>
      <x:c r="BB41" t="n">
        <x:f>IF(AND('01_Run_Config'!$B$52="AN Bud Ignitor &gt; Big Bud &gt; Overdrive",ISNUMBER(AL41),AL41&gt;=8,AL41&lt;=35),2,0)</x:f>
        <x:v>0</x:v>
      </x:c>
      <x:c r="BC41" t="n">
        <x:f>IF(AND('01_Run_Config'!$B$52="AN Bud Ignitor &gt; Big Bud &gt; Overdrive",ISNUMBER(AL41),AL41&gt;=36,AL41&lt;=49),2,0)</x:f>
        <x:v>0</x:v>
      </x:c>
      <x:c r="BD41" t="n">
        <x:f>IF('01_Run_Config'!$B$53="ON / EXPERIMENTAL",IF(OR(AND(A41&gt;='01_Run_Config'!$B$32,A41&lt;'01_Run_Config'!$B$33),AND(ISNUMBER(AL41),AL41&gt;=15,AL41&lt;=49)),2,0),0)</x:f>
        <x:v>0</x:v>
      </x:c>
      <x:c r="BE41" t="n">
        <x:f>IF('01_Run_Config'!$B$54="AN Sensi CalMag Xtra conditional",'01_Run_Config'!$B$17,0)</x:f>
        <x:v>0</x:v>
      </x:c>
      <x:c r="BF41" t="n">
        <x:f>0</x:f>
        <x:v>0</x:v>
      </x:c>
      <x:c r="BG41" t="str">
        <x:f>'01_Run_Config'!$E$57</x:f>
        <x:v>OK</x:v>
      </x:c>
      <x:c r="BH41" t="str">
        <x:f>IF(SUM(AC41,AT41:BF41)=0,"keine AN-Dosis heute",IF(AC41&gt;0,"Voodoo "&amp;AC41&amp;" ml/L; ","")&amp;IF(AT41&gt;0,"Piranha "&amp;AT41&amp;" ml/L; ","")&amp;IF(AU41&gt;0,"Tarantula "&amp;AU41&amp;" ml/L; ","")&amp;IF(AV41&gt;0,"B-52 "&amp;AV41&amp;" ml/L; ","")&amp;IF(AW41&gt;0,"Bud Candy "&amp;AW41&amp;" ml/L; ","")&amp;IF(AX41&gt;0,"Bud Factor X "&amp;AX41&amp;" ml/L; ","")&amp;IF(AY41&gt;0,"Sensizym "&amp;AY41&amp;" ml/L; ","")&amp;IF(AZ41&gt;0,"Rhino Skin "&amp;AZ41&amp;" ml/L; ","")&amp;IF(BA41&gt;0,"Bud Ignitor "&amp;BA41&amp;" ml/L; ","")&amp;IF(BB41&gt;0,"Big Bud "&amp;BB41&amp;" ml/L; ","")&amp;IF(BC41&gt;0,"Overdrive "&amp;BC41&amp;" ml/L; ","")&amp;IF(BD41&gt;0,"Tasty Terpenes "&amp;BD41&amp;" ml/L; ","")&amp;IF(BE41&gt;0,"Sensi CalMag "&amp;BE41&amp;" ml/L",""))</x:f>
        <x:v>keine AN-Dosis heute</x:v>
      </x:c>
    </x:row>
    <x:row r="42">
      <x:c r="A42" s="34" t="n">
        <x:v>40</x:v>
      </x:c>
      <x:c r="B42" s="129" t="n">
        <x:f>'01_Run_Config'!$B$4+A42</x:f>
        <x:v>46282</x:v>
      </x:c>
      <x:c r="C42" s="63" t="n">
        <x:f>INT(A42/7)+1</x:f>
        <x:v>6</x:v>
      </x:c>
      <x:c r="D42" s="63" t="str">
        <x:f>"M"&amp;MIN(3,INT(A42/30)+1)</x:f>
        <x:v>M2</x:v>
      </x:c>
      <x:c r="E42" s="63" t="str">
        <x:f>IF(A42&lt;4,"Keimung",IF(A42&lt;8,"Etablierung",IF(A42&lt;15,"Early Veg",IF(A42&lt;'01_Run_Config'!$B$33,IF(A42&lt;22,"Veg / LST","Preflower-Watch"),IF(A42-'01_Run_Config'!$B$33&lt;=6,"Transition / Stretch ("&amp;AM42&amp;")",IF(A42-'01_Run_Config'!$B$33&lt;=13,"Early Flower ("&amp;AM42&amp;")",IF(A42-'01_Run_Config'!$B$33&lt;=20,"Flower I ("&amp;AM42&amp;")",IF(A42-'01_Run_Config'!$B$33&lt;=34,"Peak Flower ("&amp;AM42&amp;")",IF(A42-'01_Run_Config'!$B$33&lt;=41,"Late Flower ("&amp;AM42&amp;")",IF(A42-'01_Run_Config'!$B$33&lt;=48,"Ripening ("&amp;AM42&amp;")","Harvest / Extension ("&amp;AM42&amp;")"))))))))))</x:f>
        <x:v>Early Flower (B2)</x:v>
      </x:c>
      <x:c r="F42" s="63" t="str">
        <x:f>IF(A42&lt;4,"Keimung + Wurzelstart",IF(A42&lt;8,"Sämling etablieren; Wurzelraum erschließen",IF(A42&lt;15,"kompakter Aufbau; LST erst bei Vitalität",IF(A42&lt;'01_Run_Config'!$B$33,"Canopy aufbauen; Preflower beobachten",IF(A42-'01_Run_Config'!$B$33&lt;=6,"Stretch kontrollieren; Bloom-Trigger dokumentieren",IF(A42-'01_Run_Config'!$B$33&lt;=13,"Blütenansatz stabilisieren",IF(A42-'01_Run_Config'!$B$33&lt;=20,"Blütenaufbau ohne neue Stressoren",IF(A42-'01_Run_Config'!$B$33&lt;=34,"stabile Peak-Photosynthese; Klima priorisieren",IF(A42-'01_Run_Config'!$B$33&lt;=41,"Qualität/Schimmelprävention",IF(A42-'01_Run_Config'!$B$33&lt;=48,"Reife ohne Überfütterung","Erntefenster nach Pflanze; keine Kalenderernte"))))))))))</x:f>
        <x:v>Blütenansatz stabilisieren</x:v>
      </x:c>
      <x:c r="G42" s="63" t="n">
        <x:v>18</x:v>
      </x:c>
      <x:c r="H42" s="63" t="n">
        <x:v>135</x:v>
      </x:c>
      <x:c r="I42" s="63" t="n">
        <x:v>600</x:v>
      </x:c>
      <x:c r="J42" s="63" t="n">
        <x:f>I42*G42*3600/1000000</x:f>
        <x:v>38.88</x:v>
      </x:c>
      <x:c r="K42" s="63" t="n">
        <x:v>34</x:v>
      </x:c>
      <x:c r="L42" s="63" t="n">
        <x:v>25</x:v>
      </x:c>
      <x:c r="M42" s="63" t="n">
        <x:v>21.5</x:v>
      </x:c>
      <x:c r="N42" s="63" t="n">
        <x:v>50</x:v>
      </x:c>
      <x:c r="O42" s="63" t="n">
        <x:f>ROUND(0.6108*EXP(17.27*(L42+'01_Run_Config'!$B$34)/(L42+'01_Run_Config'!$B$34+237.3))-(N42/100)*0.6108*EXP(17.27*L42/(L42+237.3)),2)</x:f>
        <x:v>1.4</x:v>
      </x:c>
      <x:c r="P42" s="63" t="n">
        <x:f>IF(A42&lt;'01_Run_Config'!$B$32,0.55,IF(A42&lt;'01_Run_Config'!$B$33,IF(A42-'01_Run_Config'!$B$32&lt;=3,0.8,IF(A42-'01_Run_Config'!$B$32&lt;=10,1,IF(A42-'01_Run_Config'!$B$32&lt;=17,1.2,1.4))),IF(A42-'01_Run_Config'!$B$33&lt;=6,1.5,IF(A42-'01_Run_Config'!$B$33&lt;=13,1.6,IF(A42-'01_Run_Config'!$B$33&lt;=20,1.7,IF(A42-'01_Run_Config'!$B$33&lt;=34,1.8,IF(A42-'01_Run_Config'!$B$33&lt;=41,1.6,IF(A42-'01_Run_Config'!$B$33&lt;=48,1.4,1.15))))))))</x:f>
        <x:v>1.6</x:v>
      </x:c>
      <x:c r="Q42" s="63" t="n">
        <x:v>5.9</x:v>
      </x:c>
      <x:c r="R42" s="63" t="n">
        <x:v>0.8</x:v>
      </x:c>
      <x:c r="S42" s="63" t="n">
        <x:v>1.2</x:v>
      </x:c>
      <x:c r="T42" s="63" t="str">
        <x:f>IF(A42&lt;=7,"Manuell",'01_Run_Config'!$B$40)</x:f>
        <x:v>Manuell / indoor-freigegebene Automation</x:v>
      </x:c>
      <x:c r="U42" s="63" t="str">
        <x:f>IF(A42&lt;'01_Run_Config'!$B$32,"Kein Basisdünger",IF(A42&lt;'01_Run_Config'!$B$33,"HESI TNT","HESI Coco"))</x:f>
        <x:v>HESI Coco</x:v>
      </x:c>
      <x:c r="V42" s="63" t="n">
        <x:f>IF(A42&lt;'01_Run_Config'!$B$32,0,IF(A42&lt;'01_Run_Config'!$B$33,IF(A42-'01_Run_Config'!$B$32&lt;=3,1.25,IF(A42-'01_Run_Config'!$B$32&lt;=10,2,2.5)),IF(A42-'01_Run_Config'!$B$33&lt;=6,2.5,IF(A42-'01_Run_Config'!$B$33&lt;=13,3.25,IF(A42-'01_Run_Config'!$B$33&lt;=20,3.75,IF(A42-'01_Run_Config'!$B$33&lt;=34,4,IF(A42-'01_Run_Config'!$B$33&lt;=41,3.5,IF(A42-'01_Run_Config'!$B$33&lt;=48,2.5,1.5))))))))</x:f>
        <x:v>3.25</x:v>
      </x:c>
      <x:c r="W42" s="63" t="n">
        <x:f>IF(A42&lt;=14,2.5,0)</x:f>
        <x:v>0</x:v>
      </x:c>
      <x:c r="X42" s="63" t="n">
        <x:f>IF('01_Run_Config'!$B$50="AN Sensizym",0,IF(AND(A42&gt;='01_Run_Config'!$B$32,OR(AL42="",AL42&lt;=49)),2,0))</x:f>
        <x:v>2</x:v>
      </x:c>
      <x:c r="Y42" s="63" t="n">
        <x:f>0.015</x:f>
        <x:v>0.015</x:v>
      </x:c>
      <x:c r="Z42" s="63" t="n">
        <x:f>IF('01_Run_Config'!$B$51="HESI Hesilicio",2,0)</x:f>
        <x:v>0</x:v>
      </x:c>
      <x:c r="AA42" s="63" t="n">
        <x:f>IF('01_Run_Config'!$B$48="AN Bud Candy (replaces HESI Boost)",0,IF(AND(A42&gt;='01_Run_Config'!$B$33,MOD(A42-'01_Run_Config'!$B$33,7)=0),2,0))</x:f>
        <x:v>0</x:v>
      </x:c>
      <x:c r="AB42" s="63" t="n">
        <x:f>IF('01_Run_Config'!$B$52="AN Bud Ignitor &gt; Big Bud &gt; Overdrive",0,IF(AND(ISNUMBER(AL42),AL42&gt;=29,AL42&lt;=42),0.25+((AL42-29)/13)*0.25,0))</x:f>
        <x:v>0</x:v>
      </x:c>
      <x:c r="AC42" s="63" t="n">
        <x:f>IF('01_Run_Config'!$B$46="OFF",0,IF(OR(A42='01_Run_Config'!$B$32,A42='01_Run_Config'!$B$32+7,A42='01_Run_Config'!$B$33+1,A42='01_Run_Config'!$B$33+8),2,0))</x:f>
        <x:v>0</x:v>
      </x:c>
      <x:c r="AD42" s="63" t="str">
        <x:f>IF(BG42="BLOCK","HYBRID BLOCKED - Konfiguration prüfen",IF(SUM(AC42,AT42:BF42)&gt;0,"AN aktiv: "&amp;BH42,"AN: keine Dosis heute / Module aus"))</x:f>
        <x:v>AN: keine Dosis heute / Module aus</x:v>
      </x:c>
      <x:c r="AE42" s="63" t="str">
        <x:v>Leaf-tucking / minimal entlasten</x:v>
      </x:c>
      <x:c r="AF42" s="63" t="str">
        <x:v>Morgens Klima/Pflanze/Bewässerung/Leck; Mitte Lichtphase Blattwinkel; vor Dunkel LF/Drain/stehendes Wasser.</x:v>
      </x:c>
      <x:c r="AG42" s="63" t="str">
        <x:v>EC nicht erhöhen bei steigender Diagnose-Drain-EC; PPFD nicht erhöhen bei Stress; Wasserband nie erzwingen; nie mehrere neue Booster gleichzeitig.</x:v>
      </x:c>
      <x:c r="AH42" s="35" t="str">
        <x:f>"UKD v9 evidence-guarded: Planwerte sind Ziele/Eligibility, keine automatische Freigabe. Eazy Plug/Block ist vorgepuffert; früher Basisfeed bleibt vom Propagation-/Pflanzengate abhängig. Messdaten und Safety-Gates überschreiben Kalender."</x:f>
        <x:v>UKD v9 evidence-guarded: Planwerte sind Ziele/Eligibility, keine automatische Freigabe. Eazy Plug/Block ist vorgepuffert; früher Basisfeed bleibt vom Propagation-/Pflanzengate abhängig. Messdaten und Safety-Gates überschreiben Kalender.</x:v>
      </x:c>
      <x:c r="AI42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42" s="201" t="str">
        <x:f>IF(A42&lt;'01_Run_Config'!$B$32,"—",IF(A42&lt;'01_Run_Config'!$B$33,"G"&amp;MIN(4,INT((A42-'01_Run_Config'!$B$32)/7)+1),AM42))</x:f>
        <x:v>B2</x:v>
      </x:c>
      <x:c r="AK42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42" s="60" t="n">
        <x:f>IF(A42&lt;'01_Run_Config'!$B$33,"",A42-'01_Run_Config'!$B$33+1)</x:f>
        <x:v>13</x:v>
      </x:c>
      <x:c r="AM42" s="60" t="str">
        <x:f>IF(AL42="","",IF(AL42&gt;49,CHAR(66)&amp;"7+",CHAR(66)&amp;TEXT(INT((AL42-1)/7)+1,"0")))</x:f>
        <x:v>B2</x:v>
      </x:c>
      <x:c r="AN42" s="60" t="n">
        <x:f>ROUND(0.6108*EXP(17.27*L42/(L42+237.3))*(1-N42/100),2)</x:f>
        <x:v>1.58</x:v>
      </x:c>
      <x:c r="AO42" s="60" t="n">
        <x:f>H42*G42/1000</x:f>
        <x:v>2.43</x:v>
      </x:c>
      <x:c r="AP42" s="60" t="n">
        <x:f>SUM($AO$2:AO42)</x:f>
        <x:v>60.65999999999999</x:v>
      </x:c>
      <x:c r="AQ42" t="n">
        <x:f>'01_Run_Config'!$B$17</x:f>
        <x:v>0</x:v>
      </x:c>
      <x:c r="AR42" t="n">
        <x:f>'01_Run_Config'!$B$22</x:f>
        <x:v>0</x:v>
      </x:c>
      <x:c r="AS42" t="n">
        <x:f>'01_Run_Config'!$B$25</x:f>
        <x:v>0</x:v>
      </x:c>
      <x:c r="AT42" t="n">
        <x:f>IF(AND('01_Run_Config'!$B$46="Voodoo + Piranha + Tarantula",AC42&gt;0),2,0)</x:f>
        <x:v>0</x:v>
      </x:c>
      <x:c r="AU42" t="n">
        <x:f>IF(AND(OR('01_Run_Config'!$B$46="Voodoo + Tarantula",'01_Run_Config'!$B$46="Voodoo + Piranha + Tarantula"),AC42&gt;0),2,0)</x:f>
        <x:v>0</x:v>
      </x:c>
      <x:c r="AV42" t="n">
        <x:f>IF('01_Run_Config'!$B$47&lt;&gt;"ON / A-B",0,IF(OR(AND(A42&gt;='01_Run_Config'!$B$32,A42&lt;'01_Run_Config'!$B$33),AND(ISNUMBER(AL42),AL42&gt;=15,AL42&lt;=49)),2,0))</x:f>
        <x:v>0</x:v>
      </x:c>
      <x:c r="AW42" t="n">
        <x:f>IF('01_Run_Config'!$B$48="AN Bud Candy (replaces HESI Boost)",IF(AND(A42&gt;='01_Run_Config'!$B$32,OR(AL42="",AL42&lt;=49)),2,0),0)</x:f>
        <x:v>0</x:v>
      </x:c>
      <x:c r="AX42" t="n">
        <x:f>IF('01_Run_Config'!$B$49&lt;&gt;"ON / EXPERIMENTAL",0,IF(OR(AND(A42&gt;='01_Run_Config'!$B$32+7,A42&lt;'01_Run_Config'!$B$33),AND(ISNUMBER(AL42),AL42&gt;=1,AL42&lt;=49)),2,0))</x:f>
        <x:v>0</x:v>
      </x:c>
      <x:c r="AY42" t="n">
        <x:f>IF('01_Run_Config'!$B$50="AN Sensizym",IF(AND(A42&gt;='01_Run_Config'!$B$32,OR(AL42="",AL42&lt;=49)),2,0),0)</x:f>
        <x:v>0</x:v>
      </x:c>
      <x:c r="AZ42" t="n">
        <x:f>IF('01_Run_Config'!$B$51="AN Rhino Skin",IF(AND(A42&gt;='01_Run_Config'!$B$32,OR(AL42="",AL42&lt;=49)),2,0),0)</x:f>
        <x:v>0</x:v>
      </x:c>
      <x:c r="BA42" t="n">
        <x:f>IF(AND('01_Run_Config'!$B$52="AN Bud Ignitor &gt; Big Bud &gt; Overdrive",ISNUMBER(AL42),AL42&gt;=1,AL42&lt;=14),2,0)</x:f>
        <x:v>0</x:v>
      </x:c>
      <x:c r="BB42" t="n">
        <x:f>IF(AND('01_Run_Config'!$B$52="AN Bud Ignitor &gt; Big Bud &gt; Overdrive",ISNUMBER(AL42),AL42&gt;=8,AL42&lt;=35),2,0)</x:f>
        <x:v>0</x:v>
      </x:c>
      <x:c r="BC42" t="n">
        <x:f>IF(AND('01_Run_Config'!$B$52="AN Bud Ignitor &gt; Big Bud &gt; Overdrive",ISNUMBER(AL42),AL42&gt;=36,AL42&lt;=49),2,0)</x:f>
        <x:v>0</x:v>
      </x:c>
      <x:c r="BD42" t="n">
        <x:f>IF('01_Run_Config'!$B$53="ON / EXPERIMENTAL",IF(OR(AND(A42&gt;='01_Run_Config'!$B$32,A42&lt;'01_Run_Config'!$B$33),AND(ISNUMBER(AL42),AL42&gt;=15,AL42&lt;=49)),2,0),0)</x:f>
        <x:v>0</x:v>
      </x:c>
      <x:c r="BE42" t="n">
        <x:f>IF('01_Run_Config'!$B$54="AN Sensi CalMag Xtra conditional",'01_Run_Config'!$B$17,0)</x:f>
        <x:v>0</x:v>
      </x:c>
      <x:c r="BF42" t="n">
        <x:f>0</x:f>
        <x:v>0</x:v>
      </x:c>
      <x:c r="BG42" t="str">
        <x:f>'01_Run_Config'!$E$57</x:f>
        <x:v>OK</x:v>
      </x:c>
      <x:c r="BH42" t="str">
        <x:f>IF(SUM(AC42,AT42:BF42)=0,"keine AN-Dosis heute",IF(AC42&gt;0,"Voodoo "&amp;AC42&amp;" ml/L; ","")&amp;IF(AT42&gt;0,"Piranha "&amp;AT42&amp;" ml/L; ","")&amp;IF(AU42&gt;0,"Tarantula "&amp;AU42&amp;" ml/L; ","")&amp;IF(AV42&gt;0,"B-52 "&amp;AV42&amp;" ml/L; ","")&amp;IF(AW42&gt;0,"Bud Candy "&amp;AW42&amp;" ml/L; ","")&amp;IF(AX42&gt;0,"Bud Factor X "&amp;AX42&amp;" ml/L; ","")&amp;IF(AY42&gt;0,"Sensizym "&amp;AY42&amp;" ml/L; ","")&amp;IF(AZ42&gt;0,"Rhino Skin "&amp;AZ42&amp;" ml/L; ","")&amp;IF(BA42&gt;0,"Bud Ignitor "&amp;BA42&amp;" ml/L; ","")&amp;IF(BB42&gt;0,"Big Bud "&amp;BB42&amp;" ml/L; ","")&amp;IF(BC42&gt;0,"Overdrive "&amp;BC42&amp;" ml/L; ","")&amp;IF(BD42&gt;0,"Tasty Terpenes "&amp;BD42&amp;" ml/L; ","")&amp;IF(BE42&gt;0,"Sensi CalMag "&amp;BE42&amp;" ml/L",""))</x:f>
        <x:v>keine AN-Dosis heute</x:v>
      </x:c>
    </x:row>
    <x:row r="43">
      <x:c r="A43" s="34" t="n">
        <x:v>41</x:v>
      </x:c>
      <x:c r="B43" s="129" t="n">
        <x:f>'01_Run_Config'!$B$4+A43</x:f>
        <x:v>46283</x:v>
      </x:c>
      <x:c r="C43" s="63" t="n">
        <x:f>INT(A43/7)+1</x:f>
        <x:v>6</x:v>
      </x:c>
      <x:c r="D43" s="63" t="str">
        <x:f>"M"&amp;MIN(3,INT(A43/30)+1)</x:f>
        <x:v>M2</x:v>
      </x:c>
      <x:c r="E43" s="63" t="str">
        <x:f>IF(A43&lt;4,"Keimung",IF(A43&lt;8,"Etablierung",IF(A43&lt;15,"Early Veg",IF(A43&lt;'01_Run_Config'!$B$33,IF(A43&lt;22,"Veg / LST","Preflower-Watch"),IF(A43-'01_Run_Config'!$B$33&lt;=6,"Transition / Stretch ("&amp;AM43&amp;")",IF(A43-'01_Run_Config'!$B$33&lt;=13,"Early Flower ("&amp;AM43&amp;")",IF(A43-'01_Run_Config'!$B$33&lt;=20,"Flower I ("&amp;AM43&amp;")",IF(A43-'01_Run_Config'!$B$33&lt;=34,"Peak Flower ("&amp;AM43&amp;")",IF(A43-'01_Run_Config'!$B$33&lt;=41,"Late Flower ("&amp;AM43&amp;")",IF(A43-'01_Run_Config'!$B$33&lt;=48,"Ripening ("&amp;AM43&amp;")","Harvest / Extension ("&amp;AM43&amp;")"))))))))))</x:f>
        <x:v>Early Flower (B2)</x:v>
      </x:c>
      <x:c r="F43" s="63" t="str">
        <x:f>IF(A43&lt;4,"Keimung + Wurzelstart",IF(A43&lt;8,"Sämling etablieren; Wurzelraum erschließen",IF(A43&lt;15,"kompakter Aufbau; LST erst bei Vitalität",IF(A43&lt;'01_Run_Config'!$B$33,"Canopy aufbauen; Preflower beobachten",IF(A43-'01_Run_Config'!$B$33&lt;=6,"Stretch kontrollieren; Bloom-Trigger dokumentieren",IF(A43-'01_Run_Config'!$B$33&lt;=13,"Blütenansatz stabilisieren",IF(A43-'01_Run_Config'!$B$33&lt;=20,"Blütenaufbau ohne neue Stressoren",IF(A43-'01_Run_Config'!$B$33&lt;=34,"stabile Peak-Photosynthese; Klima priorisieren",IF(A43-'01_Run_Config'!$B$33&lt;=41,"Qualität/Schimmelprävention",IF(A43-'01_Run_Config'!$B$33&lt;=48,"Reife ohne Überfütterung","Erntefenster nach Pflanze; keine Kalenderernte"))))))))))</x:f>
        <x:v>Blütenansatz stabilisieren</x:v>
      </x:c>
      <x:c r="G43" s="63" t="n">
        <x:v>18</x:v>
      </x:c>
      <x:c r="H43" s="63" t="n">
        <x:v>135</x:v>
      </x:c>
      <x:c r="I43" s="63" t="n">
        <x:v>600</x:v>
      </x:c>
      <x:c r="J43" s="63" t="n">
        <x:f>I43*G43*3600/1000000</x:f>
        <x:v>38.88</x:v>
      </x:c>
      <x:c r="K43" s="63" t="n">
        <x:v>34</x:v>
      </x:c>
      <x:c r="L43" s="63" t="n">
        <x:v>25</x:v>
      </x:c>
      <x:c r="M43" s="63" t="n">
        <x:v>21.5</x:v>
      </x:c>
      <x:c r="N43" s="63" t="n">
        <x:v>50</x:v>
      </x:c>
      <x:c r="O43" s="63" t="n">
        <x:f>ROUND(0.6108*EXP(17.27*(L43+'01_Run_Config'!$B$34)/(L43+'01_Run_Config'!$B$34+237.3))-(N43/100)*0.6108*EXP(17.27*L43/(L43+237.3)),2)</x:f>
        <x:v>1.4</x:v>
      </x:c>
      <x:c r="P43" s="63" t="n">
        <x:f>IF(A43&lt;'01_Run_Config'!$B$32,0.55,IF(A43&lt;'01_Run_Config'!$B$33,IF(A43-'01_Run_Config'!$B$32&lt;=3,0.8,IF(A43-'01_Run_Config'!$B$32&lt;=10,1,IF(A43-'01_Run_Config'!$B$32&lt;=17,1.2,1.4))),IF(A43-'01_Run_Config'!$B$33&lt;=6,1.5,IF(A43-'01_Run_Config'!$B$33&lt;=13,1.6,IF(A43-'01_Run_Config'!$B$33&lt;=20,1.7,IF(A43-'01_Run_Config'!$B$33&lt;=34,1.8,IF(A43-'01_Run_Config'!$B$33&lt;=41,1.6,IF(A43-'01_Run_Config'!$B$33&lt;=48,1.4,1.15))))))))</x:f>
        <x:v>1.6</x:v>
      </x:c>
      <x:c r="Q43" s="63" t="n">
        <x:v>5.9</x:v>
      </x:c>
      <x:c r="R43" s="63" t="n">
        <x:v>0.8</x:v>
      </x:c>
      <x:c r="S43" s="63" t="n">
        <x:v>1.2</x:v>
      </x:c>
      <x:c r="T43" s="63" t="str">
        <x:f>IF(A43&lt;=7,"Manuell",'01_Run_Config'!$B$40)</x:f>
        <x:v>Manuell / indoor-freigegebene Automation</x:v>
      </x:c>
      <x:c r="U43" s="63" t="str">
        <x:f>IF(A43&lt;'01_Run_Config'!$B$32,"Kein Basisdünger",IF(A43&lt;'01_Run_Config'!$B$33,"HESI TNT","HESI Coco"))</x:f>
        <x:v>HESI Coco</x:v>
      </x:c>
      <x:c r="V43" s="63" t="n">
        <x:f>IF(A43&lt;'01_Run_Config'!$B$32,0,IF(A43&lt;'01_Run_Config'!$B$33,IF(A43-'01_Run_Config'!$B$32&lt;=3,1.25,IF(A43-'01_Run_Config'!$B$32&lt;=10,2,2.5)),IF(A43-'01_Run_Config'!$B$33&lt;=6,2.5,IF(A43-'01_Run_Config'!$B$33&lt;=13,3.25,IF(A43-'01_Run_Config'!$B$33&lt;=20,3.75,IF(A43-'01_Run_Config'!$B$33&lt;=34,4,IF(A43-'01_Run_Config'!$B$33&lt;=41,3.5,IF(A43-'01_Run_Config'!$B$33&lt;=48,2.5,1.5))))))))</x:f>
        <x:v>3.25</x:v>
      </x:c>
      <x:c r="W43" s="63" t="n">
        <x:f>IF(A43&lt;=14,2.5,0)</x:f>
        <x:v>0</x:v>
      </x:c>
      <x:c r="X43" s="63" t="n">
        <x:f>IF('01_Run_Config'!$B$50="AN Sensizym",0,IF(AND(A43&gt;='01_Run_Config'!$B$32,OR(AL43="",AL43&lt;=49)),2,0))</x:f>
        <x:v>2</x:v>
      </x:c>
      <x:c r="Y43" s="63" t="n">
        <x:f>0.015</x:f>
        <x:v>0.015</x:v>
      </x:c>
      <x:c r="Z43" s="63" t="n">
        <x:f>IF('01_Run_Config'!$B$51="HESI Hesilicio",2,0)</x:f>
        <x:v>0</x:v>
      </x:c>
      <x:c r="AA43" s="63" t="n">
        <x:f>IF('01_Run_Config'!$B$48="AN Bud Candy (replaces HESI Boost)",0,IF(AND(A43&gt;='01_Run_Config'!$B$33,MOD(A43-'01_Run_Config'!$B$33,7)=0),2,0))</x:f>
        <x:v>0</x:v>
      </x:c>
      <x:c r="AB43" s="63" t="n">
        <x:f>IF('01_Run_Config'!$B$52="AN Bud Ignitor &gt; Big Bud &gt; Overdrive",0,IF(AND(ISNUMBER(AL43),AL43&gt;=29,AL43&lt;=42),0.25+((AL43-29)/13)*0.25,0))</x:f>
        <x:v>0</x:v>
      </x:c>
      <x:c r="AC43" s="63" t="n">
        <x:f>IF('01_Run_Config'!$B$46="OFF",0,IF(OR(A43='01_Run_Config'!$B$32,A43='01_Run_Config'!$B$32+7,A43='01_Run_Config'!$B$33+1,A43='01_Run_Config'!$B$33+8),2,0))</x:f>
        <x:v>0</x:v>
      </x:c>
      <x:c r="AD43" s="63" t="str">
        <x:f>IF(BG43="BLOCK","HYBRID BLOCKED - Konfiguration prüfen",IF(SUM(AC43,AT43:BF43)&gt;0,"AN aktiv: "&amp;BH43,"AN: keine Dosis heute / Module aus"))</x:f>
        <x:v>AN: keine Dosis heute / Module aus</x:v>
      </x:c>
      <x:c r="AE43" s="63" t="str">
        <x:v>Leaf-tucking / minimal entlasten</x:v>
      </x:c>
      <x:c r="AF43" s="63" t="str">
        <x:v>Morgens Klima/Pflanze/Bewässerung/Leck; Mitte Lichtphase Blattwinkel; vor Dunkel LF/Drain/stehendes Wasser.</x:v>
      </x:c>
      <x:c r="AG43" s="63" t="str">
        <x:v>EC nicht erhöhen bei steigender Diagnose-Drain-EC; PPFD nicht erhöhen bei Stress; Wasserband nie erzwingen; nie mehrere neue Booster gleichzeitig.</x:v>
      </x:c>
      <x:c r="AH43" s="35" t="str">
        <x:f>"UKD v9 evidence-guarded: Planwerte sind Ziele/Eligibility, keine automatische Freigabe. Eazy Plug/Block ist vorgepuffert; früher Basisfeed bleibt vom Propagation-/Pflanzengate abhängig. Messdaten und Safety-Gates überschreiben Kalender."</x:f>
        <x:v>UKD v9 evidence-guarded: Planwerte sind Ziele/Eligibility, keine automatische Freigabe. Eazy Plug/Block ist vorgepuffert; früher Basisfeed bleibt vom Propagation-/Pflanzengate abhängig. Messdaten und Safety-Gates überschreiben Kalender.</x:v>
      </x:c>
      <x:c r="AI43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43" s="201" t="str">
        <x:f>IF(A43&lt;'01_Run_Config'!$B$32,"—",IF(A43&lt;'01_Run_Config'!$B$33,"G"&amp;MIN(4,INT((A43-'01_Run_Config'!$B$32)/7)+1),AM43))</x:f>
        <x:v>B2</x:v>
      </x:c>
      <x:c r="AK43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43" s="60" t="n">
        <x:f>IF(A43&lt;'01_Run_Config'!$B$33,"",A43-'01_Run_Config'!$B$33+1)</x:f>
        <x:v>14</x:v>
      </x:c>
      <x:c r="AM43" s="60" t="str">
        <x:f>IF(AL43="","",IF(AL43&gt;49,CHAR(66)&amp;"7+",CHAR(66)&amp;TEXT(INT((AL43-1)/7)+1,"0")))</x:f>
        <x:v>B2</x:v>
      </x:c>
      <x:c r="AN43" s="60" t="n">
        <x:f>ROUND(0.6108*EXP(17.27*L43/(L43+237.3))*(1-N43/100),2)</x:f>
        <x:v>1.58</x:v>
      </x:c>
      <x:c r="AO43" s="60" t="n">
        <x:f>H43*G43/1000</x:f>
        <x:v>2.43</x:v>
      </x:c>
      <x:c r="AP43" s="60" t="n">
        <x:f>SUM($AO$2:AO43)</x:f>
        <x:v>63.08999999999999</x:v>
      </x:c>
      <x:c r="AQ43" t="n">
        <x:f>'01_Run_Config'!$B$17</x:f>
        <x:v>0</x:v>
      </x:c>
      <x:c r="AR43" t="n">
        <x:f>'01_Run_Config'!$B$22</x:f>
        <x:v>0</x:v>
      </x:c>
      <x:c r="AS43" t="n">
        <x:f>'01_Run_Config'!$B$25</x:f>
        <x:v>0</x:v>
      </x:c>
      <x:c r="AT43" t="n">
        <x:f>IF(AND('01_Run_Config'!$B$46="Voodoo + Piranha + Tarantula",AC43&gt;0),2,0)</x:f>
        <x:v>0</x:v>
      </x:c>
      <x:c r="AU43" t="n">
        <x:f>IF(AND(OR('01_Run_Config'!$B$46="Voodoo + Tarantula",'01_Run_Config'!$B$46="Voodoo + Piranha + Tarantula"),AC43&gt;0),2,0)</x:f>
        <x:v>0</x:v>
      </x:c>
      <x:c r="AV43" t="n">
        <x:f>IF('01_Run_Config'!$B$47&lt;&gt;"ON / A-B",0,IF(OR(AND(A43&gt;='01_Run_Config'!$B$32,A43&lt;'01_Run_Config'!$B$33),AND(ISNUMBER(AL43),AL43&gt;=15,AL43&lt;=49)),2,0))</x:f>
        <x:v>0</x:v>
      </x:c>
      <x:c r="AW43" t="n">
        <x:f>IF('01_Run_Config'!$B$48="AN Bud Candy (replaces HESI Boost)",IF(AND(A43&gt;='01_Run_Config'!$B$32,OR(AL43="",AL43&lt;=49)),2,0),0)</x:f>
        <x:v>0</x:v>
      </x:c>
      <x:c r="AX43" t="n">
        <x:f>IF('01_Run_Config'!$B$49&lt;&gt;"ON / EXPERIMENTAL",0,IF(OR(AND(A43&gt;='01_Run_Config'!$B$32+7,A43&lt;'01_Run_Config'!$B$33),AND(ISNUMBER(AL43),AL43&gt;=1,AL43&lt;=49)),2,0))</x:f>
        <x:v>0</x:v>
      </x:c>
      <x:c r="AY43" t="n">
        <x:f>IF('01_Run_Config'!$B$50="AN Sensizym",IF(AND(A43&gt;='01_Run_Config'!$B$32,OR(AL43="",AL43&lt;=49)),2,0),0)</x:f>
        <x:v>0</x:v>
      </x:c>
      <x:c r="AZ43" t="n">
        <x:f>IF('01_Run_Config'!$B$51="AN Rhino Skin",IF(AND(A43&gt;='01_Run_Config'!$B$32,OR(AL43="",AL43&lt;=49)),2,0),0)</x:f>
        <x:v>0</x:v>
      </x:c>
      <x:c r="BA43" t="n">
        <x:f>IF(AND('01_Run_Config'!$B$52="AN Bud Ignitor &gt; Big Bud &gt; Overdrive",ISNUMBER(AL43),AL43&gt;=1,AL43&lt;=14),2,0)</x:f>
        <x:v>0</x:v>
      </x:c>
      <x:c r="BB43" t="n">
        <x:f>IF(AND('01_Run_Config'!$B$52="AN Bud Ignitor &gt; Big Bud &gt; Overdrive",ISNUMBER(AL43),AL43&gt;=8,AL43&lt;=35),2,0)</x:f>
        <x:v>0</x:v>
      </x:c>
      <x:c r="BC43" t="n">
        <x:f>IF(AND('01_Run_Config'!$B$52="AN Bud Ignitor &gt; Big Bud &gt; Overdrive",ISNUMBER(AL43),AL43&gt;=36,AL43&lt;=49),2,0)</x:f>
        <x:v>0</x:v>
      </x:c>
      <x:c r="BD43" t="n">
        <x:f>IF('01_Run_Config'!$B$53="ON / EXPERIMENTAL",IF(OR(AND(A43&gt;='01_Run_Config'!$B$32,A43&lt;'01_Run_Config'!$B$33),AND(ISNUMBER(AL43),AL43&gt;=15,AL43&lt;=49)),2,0),0)</x:f>
        <x:v>0</x:v>
      </x:c>
      <x:c r="BE43" t="n">
        <x:f>IF('01_Run_Config'!$B$54="AN Sensi CalMag Xtra conditional",'01_Run_Config'!$B$17,0)</x:f>
        <x:v>0</x:v>
      </x:c>
      <x:c r="BF43" t="n">
        <x:f>0</x:f>
        <x:v>0</x:v>
      </x:c>
      <x:c r="BG43" t="str">
        <x:f>'01_Run_Config'!$E$57</x:f>
        <x:v>OK</x:v>
      </x:c>
      <x:c r="BH43" t="str">
        <x:f>IF(SUM(AC43,AT43:BF43)=0,"keine AN-Dosis heute",IF(AC43&gt;0,"Voodoo "&amp;AC43&amp;" ml/L; ","")&amp;IF(AT43&gt;0,"Piranha "&amp;AT43&amp;" ml/L; ","")&amp;IF(AU43&gt;0,"Tarantula "&amp;AU43&amp;" ml/L; ","")&amp;IF(AV43&gt;0,"B-52 "&amp;AV43&amp;" ml/L; ","")&amp;IF(AW43&gt;0,"Bud Candy "&amp;AW43&amp;" ml/L; ","")&amp;IF(AX43&gt;0,"Bud Factor X "&amp;AX43&amp;" ml/L; ","")&amp;IF(AY43&gt;0,"Sensizym "&amp;AY43&amp;" ml/L; ","")&amp;IF(AZ43&gt;0,"Rhino Skin "&amp;AZ43&amp;" ml/L; ","")&amp;IF(BA43&gt;0,"Bud Ignitor "&amp;BA43&amp;" ml/L; ","")&amp;IF(BB43&gt;0,"Big Bud "&amp;BB43&amp;" ml/L; ","")&amp;IF(BC43&gt;0,"Overdrive "&amp;BC43&amp;" ml/L; ","")&amp;IF(BD43&gt;0,"Tasty Terpenes "&amp;BD43&amp;" ml/L; ","")&amp;IF(BE43&gt;0,"Sensi CalMag "&amp;BE43&amp;" ml/L",""))</x:f>
        <x:v>keine AN-Dosis heute</x:v>
      </x:c>
    </x:row>
    <x:row r="44">
      <x:c r="A44" s="34" t="n">
        <x:v>42</x:v>
      </x:c>
      <x:c r="B44" s="129" t="n">
        <x:f>'01_Run_Config'!$B$4+A44</x:f>
        <x:v>46284</x:v>
      </x:c>
      <x:c r="C44" s="63" t="n">
        <x:f>INT(A44/7)+1</x:f>
        <x:v>7</x:v>
      </x:c>
      <x:c r="D44" s="63" t="str">
        <x:f>"M"&amp;MIN(3,INT(A44/30)+1)</x:f>
        <x:v>M2</x:v>
      </x:c>
      <x:c r="E44" s="63" t="str">
        <x:f>IF(A44&lt;4,"Keimung",IF(A44&lt;8,"Etablierung",IF(A44&lt;15,"Early Veg",IF(A44&lt;'01_Run_Config'!$B$33,IF(A44&lt;22,"Veg / LST","Preflower-Watch"),IF(A44-'01_Run_Config'!$B$33&lt;=6,"Transition / Stretch ("&amp;AM44&amp;")",IF(A44-'01_Run_Config'!$B$33&lt;=13,"Early Flower ("&amp;AM44&amp;")",IF(A44-'01_Run_Config'!$B$33&lt;=20,"Flower I ("&amp;AM44&amp;")",IF(A44-'01_Run_Config'!$B$33&lt;=34,"Peak Flower ("&amp;AM44&amp;")",IF(A44-'01_Run_Config'!$B$33&lt;=41,"Late Flower ("&amp;AM44&amp;")",IF(A44-'01_Run_Config'!$B$33&lt;=48,"Ripening ("&amp;AM44&amp;")","Harvest / Extension ("&amp;AM44&amp;")"))))))))))</x:f>
        <x:v>Flower I (B3)</x:v>
      </x:c>
      <x:c r="F44" s="63" t="str">
        <x:f>IF(A44&lt;4,"Keimung + Wurzelstart",IF(A44&lt;8,"Sämling etablieren; Wurzelraum erschließen",IF(A44&lt;15,"kompakter Aufbau; LST erst bei Vitalität",IF(A44&lt;'01_Run_Config'!$B$33,"Canopy aufbauen; Preflower beobachten",IF(A44-'01_Run_Config'!$B$33&lt;=6,"Stretch kontrollieren; Bloom-Trigger dokumentieren",IF(A44-'01_Run_Config'!$B$33&lt;=13,"Blütenansatz stabilisieren",IF(A44-'01_Run_Config'!$B$33&lt;=20,"Blütenaufbau ohne neue Stressoren",IF(A44-'01_Run_Config'!$B$33&lt;=34,"stabile Peak-Photosynthese; Klima priorisieren",IF(A44-'01_Run_Config'!$B$33&lt;=41,"Qualität/Schimmelprävention",IF(A44-'01_Run_Config'!$B$33&lt;=48,"Reife ohne Überfütterung","Erntefenster nach Pflanze; keine Kalenderernte"))))))))))</x:f>
        <x:v>Blütenaufbau ohne neue Stressoren</x:v>
      </x:c>
      <x:c r="G44" s="63" t="n">
        <x:v>18</x:v>
      </x:c>
      <x:c r="H44" s="63" t="n">
        <x:v>135</x:v>
      </x:c>
      <x:c r="I44" s="63" t="n">
        <x:v>600</x:v>
      </x:c>
      <x:c r="J44" s="63" t="n">
        <x:f>I44*G44*3600/1000000</x:f>
        <x:v>38.88</x:v>
      </x:c>
      <x:c r="K44" s="63" t="n">
        <x:v>34</x:v>
      </x:c>
      <x:c r="L44" s="63" t="n">
        <x:v>25</x:v>
      </x:c>
      <x:c r="M44" s="63" t="n">
        <x:v>21.5</x:v>
      </x:c>
      <x:c r="N44" s="63" t="n">
        <x:v>50</x:v>
      </x:c>
      <x:c r="O44" s="63" t="n">
        <x:f>ROUND(0.6108*EXP(17.27*(L44+'01_Run_Config'!$B$34)/(L44+'01_Run_Config'!$B$34+237.3))-(N44/100)*0.6108*EXP(17.27*L44/(L44+237.3)),2)</x:f>
        <x:v>1.4</x:v>
      </x:c>
      <x:c r="P44" s="63" t="n">
        <x:f>IF(A44&lt;'01_Run_Config'!$B$32,0.55,IF(A44&lt;'01_Run_Config'!$B$33,IF(A44-'01_Run_Config'!$B$32&lt;=3,0.8,IF(A44-'01_Run_Config'!$B$32&lt;=10,1,IF(A44-'01_Run_Config'!$B$32&lt;=17,1.2,1.4))),IF(A44-'01_Run_Config'!$B$33&lt;=6,1.5,IF(A44-'01_Run_Config'!$B$33&lt;=13,1.6,IF(A44-'01_Run_Config'!$B$33&lt;=20,1.7,IF(A44-'01_Run_Config'!$B$33&lt;=34,1.8,IF(A44-'01_Run_Config'!$B$33&lt;=41,1.6,IF(A44-'01_Run_Config'!$B$33&lt;=48,1.4,1.15))))))))</x:f>
        <x:v>1.7</x:v>
      </x:c>
      <x:c r="Q44" s="63" t="n">
        <x:v>5.9</x:v>
      </x:c>
      <x:c r="R44" s="63" t="n">
        <x:v>0.8</x:v>
      </x:c>
      <x:c r="S44" s="63" t="n">
        <x:v>1.2</x:v>
      </x:c>
      <x:c r="T44" s="63" t="str">
        <x:f>IF(A44&lt;=7,"Manuell",'01_Run_Config'!$B$40)</x:f>
        <x:v>Manuell / indoor-freigegebene Automation</x:v>
      </x:c>
      <x:c r="U44" s="63" t="str">
        <x:f>IF(A44&lt;'01_Run_Config'!$B$32,"Kein Basisdünger",IF(A44&lt;'01_Run_Config'!$B$33,"HESI TNT","HESI Coco"))</x:f>
        <x:v>HESI Coco</x:v>
      </x:c>
      <x:c r="V44" s="63" t="n">
        <x:f>IF(A44&lt;'01_Run_Config'!$B$32,0,IF(A44&lt;'01_Run_Config'!$B$33,IF(A44-'01_Run_Config'!$B$32&lt;=3,1.25,IF(A44-'01_Run_Config'!$B$32&lt;=10,2,2.5)),IF(A44-'01_Run_Config'!$B$33&lt;=6,2.5,IF(A44-'01_Run_Config'!$B$33&lt;=13,3.25,IF(A44-'01_Run_Config'!$B$33&lt;=20,3.75,IF(A44-'01_Run_Config'!$B$33&lt;=34,4,IF(A44-'01_Run_Config'!$B$33&lt;=41,3.5,IF(A44-'01_Run_Config'!$B$33&lt;=48,2.5,1.5))))))))</x:f>
        <x:v>3.75</x:v>
      </x:c>
      <x:c r="W44" s="63" t="n">
        <x:f>IF(A44&lt;=14,2.5,0)</x:f>
        <x:v>0</x:v>
      </x:c>
      <x:c r="X44" s="63" t="n">
        <x:f>IF('01_Run_Config'!$B$50="AN Sensizym",0,IF(AND(A44&gt;='01_Run_Config'!$B$32,OR(AL44="",AL44&lt;=49)),2,0))</x:f>
        <x:v>2</x:v>
      </x:c>
      <x:c r="Y44" s="63" t="n">
        <x:f>0.015</x:f>
        <x:v>0.015</x:v>
      </x:c>
      <x:c r="Z44" s="63" t="n">
        <x:f>IF('01_Run_Config'!$B$51="HESI Hesilicio",2,0)</x:f>
        <x:v>0</x:v>
      </x:c>
      <x:c r="AA44" s="63" t="n">
        <x:f>IF('01_Run_Config'!$B$48="AN Bud Candy (replaces HESI Boost)",0,IF(AND(A44&gt;='01_Run_Config'!$B$33,MOD(A44-'01_Run_Config'!$B$33,7)=0),2,0))</x:f>
        <x:v>2</x:v>
      </x:c>
      <x:c r="AB44" s="63" t="n">
        <x:f>IF('01_Run_Config'!$B$52="AN Bud Ignitor &gt; Big Bud &gt; Overdrive",0,IF(AND(ISNUMBER(AL44),AL44&gt;=29,AL44&lt;=42),0.25+((AL44-29)/13)*0.25,0))</x:f>
        <x:v>0</x:v>
      </x:c>
      <x:c r="AC44" s="63" t="n">
        <x:f>IF('01_Run_Config'!$B$46="OFF",0,IF(OR(A44='01_Run_Config'!$B$32,A44='01_Run_Config'!$B$32+7,A44='01_Run_Config'!$B$33+1,A44='01_Run_Config'!$B$33+8),2,0))</x:f>
        <x:v>0</x:v>
      </x:c>
      <x:c r="AD44" s="63" t="str">
        <x:f>IF(BG44="BLOCK","HYBRID BLOCKED - Konfiguration prüfen",IF(SUM(AC44,AT44:BF44)&gt;0,"AN aktiv: "&amp;BH44,"AN: keine Dosis heute / Module aus"))</x:f>
        <x:v>AN: keine Dosis heute / Module aus</x:v>
      </x:c>
      <x:c r="AE44" s="63" t="str">
        <x:v>Leaf-tucking / minimal entlasten</x:v>
      </x:c>
      <x:c r="AF44" s="63" t="str">
        <x:v>Morgens Klima/Pflanze/Bewässerung/Leck; Mitte Lichtphase Blattwinkel; vor Dunkel LF/Drain/stehendes Wasser. WÖCHENTLICH: pH/EC kalibrieren, Foto, Canopy messen, PPFD-Spotcheck, Reservoir falls genutzt / Tray reinigen.</x:v>
      </x:c>
      <x:c r="AG44" s="63" t="str">
        <x:v>EC nicht erhöhen bei steigender Diagnose-Drain-EC; PPFD nicht erhöhen bei Stress; Wasserband nie erzwingen; nie mehrere neue Booster gleichzeitig.</x:v>
      </x:c>
      <x:c r="AH44" s="35" t="str">
        <x:f>"UKD v9 evidence-guarded: Planwerte sind Ziele/Eligibility, keine automatische Freigabe. Eazy Plug/Block ist vorgepuffert; früher Basisfeed bleibt vom Propagation-/Pflanzengate abhängig. Messdaten und Safety-Gates überschreiben Kalender."</x:f>
        <x:v>UKD v9 evidence-guarded: Planwerte sind Ziele/Eligibility, keine automatische Freigabe. Eazy Plug/Block ist vorgepuffert; früher Basisfeed bleibt vom Propagation-/Pflanzengate abhängig. Messdaten und Safety-Gates überschreiben Kalender.</x:v>
      </x:c>
      <x:c r="AI44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44" s="201" t="str">
        <x:f>IF(A44&lt;'01_Run_Config'!$B$32,"—",IF(A44&lt;'01_Run_Config'!$B$33,"G"&amp;MIN(4,INT((A44-'01_Run_Config'!$B$32)/7)+1),AM44))</x:f>
        <x:v>B3</x:v>
      </x:c>
      <x:c r="AK44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44" s="60" t="n">
        <x:f>IF(A44&lt;'01_Run_Config'!$B$33,"",A44-'01_Run_Config'!$B$33+1)</x:f>
        <x:v>15</x:v>
      </x:c>
      <x:c r="AM44" s="60" t="str">
        <x:f>IF(AL44="","",IF(AL44&gt;49,CHAR(66)&amp;"7+",CHAR(66)&amp;TEXT(INT((AL44-1)/7)+1,"0")))</x:f>
        <x:v>B3</x:v>
      </x:c>
      <x:c r="AN44" s="60" t="n">
        <x:f>ROUND(0.6108*EXP(17.27*L44/(L44+237.3))*(1-N44/100),2)</x:f>
        <x:v>1.58</x:v>
      </x:c>
      <x:c r="AO44" s="60" t="n">
        <x:f>H44*G44/1000</x:f>
        <x:v>2.43</x:v>
      </x:c>
      <x:c r="AP44" s="60" t="n">
        <x:f>SUM($AO$2:AO44)</x:f>
        <x:v>65.52</x:v>
      </x:c>
      <x:c r="AQ44" t="n">
        <x:f>'01_Run_Config'!$B$17</x:f>
        <x:v>0</x:v>
      </x:c>
      <x:c r="AR44" t="n">
        <x:f>'01_Run_Config'!$B$22</x:f>
        <x:v>0</x:v>
      </x:c>
      <x:c r="AS44" t="n">
        <x:f>'01_Run_Config'!$B$25</x:f>
        <x:v>0</x:v>
      </x:c>
      <x:c r="AT44" t="n">
        <x:f>IF(AND('01_Run_Config'!$B$46="Voodoo + Piranha + Tarantula",AC44&gt;0),2,0)</x:f>
        <x:v>0</x:v>
      </x:c>
      <x:c r="AU44" t="n">
        <x:f>IF(AND(OR('01_Run_Config'!$B$46="Voodoo + Tarantula",'01_Run_Config'!$B$46="Voodoo + Piranha + Tarantula"),AC44&gt;0),2,0)</x:f>
        <x:v>0</x:v>
      </x:c>
      <x:c r="AV44" t="n">
        <x:f>IF('01_Run_Config'!$B$47&lt;&gt;"ON / A-B",0,IF(OR(AND(A44&gt;='01_Run_Config'!$B$32,A44&lt;'01_Run_Config'!$B$33),AND(ISNUMBER(AL44),AL44&gt;=15,AL44&lt;=49)),2,0))</x:f>
        <x:v>0</x:v>
      </x:c>
      <x:c r="AW44" t="n">
        <x:f>IF('01_Run_Config'!$B$48="AN Bud Candy (replaces HESI Boost)",IF(AND(A44&gt;='01_Run_Config'!$B$32,OR(AL44="",AL44&lt;=49)),2,0),0)</x:f>
        <x:v>0</x:v>
      </x:c>
      <x:c r="AX44" t="n">
        <x:f>IF('01_Run_Config'!$B$49&lt;&gt;"ON / EXPERIMENTAL",0,IF(OR(AND(A44&gt;='01_Run_Config'!$B$32+7,A44&lt;'01_Run_Config'!$B$33),AND(ISNUMBER(AL44),AL44&gt;=1,AL44&lt;=49)),2,0))</x:f>
        <x:v>0</x:v>
      </x:c>
      <x:c r="AY44" t="n">
        <x:f>IF('01_Run_Config'!$B$50="AN Sensizym",IF(AND(A44&gt;='01_Run_Config'!$B$32,OR(AL44="",AL44&lt;=49)),2,0),0)</x:f>
        <x:v>0</x:v>
      </x:c>
      <x:c r="AZ44" t="n">
        <x:f>IF('01_Run_Config'!$B$51="AN Rhino Skin",IF(AND(A44&gt;='01_Run_Config'!$B$32,OR(AL44="",AL44&lt;=49)),2,0),0)</x:f>
        <x:v>0</x:v>
      </x:c>
      <x:c r="BA44" t="n">
        <x:f>IF(AND('01_Run_Config'!$B$52="AN Bud Ignitor &gt; Big Bud &gt; Overdrive",ISNUMBER(AL44),AL44&gt;=1,AL44&lt;=14),2,0)</x:f>
        <x:v>0</x:v>
      </x:c>
      <x:c r="BB44" t="n">
        <x:f>IF(AND('01_Run_Config'!$B$52="AN Bud Ignitor &gt; Big Bud &gt; Overdrive",ISNUMBER(AL44),AL44&gt;=8,AL44&lt;=35),2,0)</x:f>
        <x:v>0</x:v>
      </x:c>
      <x:c r="BC44" t="n">
        <x:f>IF(AND('01_Run_Config'!$B$52="AN Bud Ignitor &gt; Big Bud &gt; Overdrive",ISNUMBER(AL44),AL44&gt;=36,AL44&lt;=49),2,0)</x:f>
        <x:v>0</x:v>
      </x:c>
      <x:c r="BD44" t="n">
        <x:f>IF('01_Run_Config'!$B$53="ON / EXPERIMENTAL",IF(OR(AND(A44&gt;='01_Run_Config'!$B$32,A44&lt;'01_Run_Config'!$B$33),AND(ISNUMBER(AL44),AL44&gt;=15,AL44&lt;=49)),2,0),0)</x:f>
        <x:v>0</x:v>
      </x:c>
      <x:c r="BE44" t="n">
        <x:f>IF('01_Run_Config'!$B$54="AN Sensi CalMag Xtra conditional",'01_Run_Config'!$B$17,0)</x:f>
        <x:v>0</x:v>
      </x:c>
      <x:c r="BF44" t="n">
        <x:f>0</x:f>
        <x:v>0</x:v>
      </x:c>
      <x:c r="BG44" t="str">
        <x:f>'01_Run_Config'!$E$57</x:f>
        <x:v>OK</x:v>
      </x:c>
      <x:c r="BH44" t="str">
        <x:f>IF(SUM(AC44,AT44:BF44)=0,"keine AN-Dosis heute",IF(AC44&gt;0,"Voodoo "&amp;AC44&amp;" ml/L; ","")&amp;IF(AT44&gt;0,"Piranha "&amp;AT44&amp;" ml/L; ","")&amp;IF(AU44&gt;0,"Tarantula "&amp;AU44&amp;" ml/L; ","")&amp;IF(AV44&gt;0,"B-52 "&amp;AV44&amp;" ml/L; ","")&amp;IF(AW44&gt;0,"Bud Candy "&amp;AW44&amp;" ml/L; ","")&amp;IF(AX44&gt;0,"Bud Factor X "&amp;AX44&amp;" ml/L; ","")&amp;IF(AY44&gt;0,"Sensizym "&amp;AY44&amp;" ml/L; ","")&amp;IF(AZ44&gt;0,"Rhino Skin "&amp;AZ44&amp;" ml/L; ","")&amp;IF(BA44&gt;0,"Bud Ignitor "&amp;BA44&amp;" ml/L; ","")&amp;IF(BB44&gt;0,"Big Bud "&amp;BB44&amp;" ml/L; ","")&amp;IF(BC44&gt;0,"Overdrive "&amp;BC44&amp;" ml/L; ","")&amp;IF(BD44&gt;0,"Tasty Terpenes "&amp;BD44&amp;" ml/L; ","")&amp;IF(BE44&gt;0,"Sensi CalMag "&amp;BE44&amp;" ml/L",""))</x:f>
        <x:v>keine AN-Dosis heute</x:v>
      </x:c>
    </x:row>
    <x:row r="45">
      <x:c r="A45" s="34" t="n">
        <x:v>43</x:v>
      </x:c>
      <x:c r="B45" s="129" t="n">
        <x:f>'01_Run_Config'!$B$4+A45</x:f>
        <x:v>46285</x:v>
      </x:c>
      <x:c r="C45" s="63" t="n">
        <x:f>INT(A45/7)+1</x:f>
        <x:v>7</x:v>
      </x:c>
      <x:c r="D45" s="63" t="str">
        <x:f>"M"&amp;MIN(3,INT(A45/30)+1)</x:f>
        <x:v>M2</x:v>
      </x:c>
      <x:c r="E45" s="63" t="str">
        <x:f>IF(A45&lt;4,"Keimung",IF(A45&lt;8,"Etablierung",IF(A45&lt;15,"Early Veg",IF(A45&lt;'01_Run_Config'!$B$33,IF(A45&lt;22,"Veg / LST","Preflower-Watch"),IF(A45-'01_Run_Config'!$B$33&lt;=6,"Transition / Stretch ("&amp;AM45&amp;")",IF(A45-'01_Run_Config'!$B$33&lt;=13,"Early Flower ("&amp;AM45&amp;")",IF(A45-'01_Run_Config'!$B$33&lt;=20,"Flower I ("&amp;AM45&amp;")",IF(A45-'01_Run_Config'!$B$33&lt;=34,"Peak Flower ("&amp;AM45&amp;")",IF(A45-'01_Run_Config'!$B$33&lt;=41,"Late Flower ("&amp;AM45&amp;")",IF(A45-'01_Run_Config'!$B$33&lt;=48,"Ripening ("&amp;AM45&amp;")","Harvest / Extension ("&amp;AM45&amp;")"))))))))))</x:f>
        <x:v>Flower I (B3)</x:v>
      </x:c>
      <x:c r="F45" s="63" t="str">
        <x:f>IF(A45&lt;4,"Keimung + Wurzelstart",IF(A45&lt;8,"Sämling etablieren; Wurzelraum erschließen",IF(A45&lt;15,"kompakter Aufbau; LST erst bei Vitalität",IF(A45&lt;'01_Run_Config'!$B$33,"Canopy aufbauen; Preflower beobachten",IF(A45-'01_Run_Config'!$B$33&lt;=6,"Stretch kontrollieren; Bloom-Trigger dokumentieren",IF(A45-'01_Run_Config'!$B$33&lt;=13,"Blütenansatz stabilisieren",IF(A45-'01_Run_Config'!$B$33&lt;=20,"Blütenaufbau ohne neue Stressoren",IF(A45-'01_Run_Config'!$B$33&lt;=34,"stabile Peak-Photosynthese; Klima priorisieren",IF(A45-'01_Run_Config'!$B$33&lt;=41,"Qualität/Schimmelprävention",IF(A45-'01_Run_Config'!$B$33&lt;=48,"Reife ohne Überfütterung","Erntefenster nach Pflanze; keine Kalenderernte"))))))))))</x:f>
        <x:v>Blütenaufbau ohne neue Stressoren</x:v>
      </x:c>
      <x:c r="G45" s="63" t="n">
        <x:v>18</x:v>
      </x:c>
      <x:c r="H45" s="63" t="n">
        <x:v>140</x:v>
      </x:c>
      <x:c r="I45" s="63" t="n">
        <x:v>625</x:v>
      </x:c>
      <x:c r="J45" s="63" t="n">
        <x:f>I45*G45*3600/1000000</x:f>
        <x:v>40.5</x:v>
      </x:c>
      <x:c r="K45" s="63" t="n">
        <x:v>34</x:v>
      </x:c>
      <x:c r="L45" s="63" t="n">
        <x:v>24.5</x:v>
      </x:c>
      <x:c r="M45" s="63" t="n">
        <x:v>21</x:v>
      </x:c>
      <x:c r="N45" s="63" t="n">
        <x:v>47</x:v>
      </x:c>
      <x:c r="O45" s="63" t="n">
        <x:f>ROUND(0.6108*EXP(17.27*(L45+'01_Run_Config'!$B$34)/(L45+'01_Run_Config'!$B$34+237.3))-(N45/100)*0.6108*EXP(17.27*L45/(L45+237.3)),2)</x:f>
        <x:v>1.45</x:v>
      </x:c>
      <x:c r="P45" s="63" t="n">
        <x:f>IF(A45&lt;'01_Run_Config'!$B$32,0.55,IF(A45&lt;'01_Run_Config'!$B$33,IF(A45-'01_Run_Config'!$B$32&lt;=3,0.8,IF(A45-'01_Run_Config'!$B$32&lt;=10,1,IF(A45-'01_Run_Config'!$B$32&lt;=17,1.2,1.4))),IF(A45-'01_Run_Config'!$B$33&lt;=6,1.5,IF(A45-'01_Run_Config'!$B$33&lt;=13,1.6,IF(A45-'01_Run_Config'!$B$33&lt;=20,1.7,IF(A45-'01_Run_Config'!$B$33&lt;=34,1.8,IF(A45-'01_Run_Config'!$B$33&lt;=41,1.6,IF(A45-'01_Run_Config'!$B$33&lt;=48,1.4,1.15))))))))</x:f>
        <x:v>1.7</x:v>
      </x:c>
      <x:c r="Q45" s="63" t="n">
        <x:v>5.9</x:v>
      </x:c>
      <x:c r="R45" s="63" t="n">
        <x:v>0.9</x:v>
      </x:c>
      <x:c r="S45" s="63" t="n">
        <x:v>1.5</x:v>
      </x:c>
      <x:c r="T45" s="63" t="str">
        <x:f>IF(A45&lt;=7,"Manuell",'01_Run_Config'!$B$40)</x:f>
        <x:v>Manuell / indoor-freigegebene Automation</x:v>
      </x:c>
      <x:c r="U45" s="63" t="str">
        <x:f>IF(A45&lt;'01_Run_Config'!$B$32,"Kein Basisdünger",IF(A45&lt;'01_Run_Config'!$B$33,"HESI TNT","HESI Coco"))</x:f>
        <x:v>HESI Coco</x:v>
      </x:c>
      <x:c r="V45" s="63" t="n">
        <x:f>IF(A45&lt;'01_Run_Config'!$B$32,0,IF(A45&lt;'01_Run_Config'!$B$33,IF(A45-'01_Run_Config'!$B$32&lt;=3,1.25,IF(A45-'01_Run_Config'!$B$32&lt;=10,2,2.5)),IF(A45-'01_Run_Config'!$B$33&lt;=6,2.5,IF(A45-'01_Run_Config'!$B$33&lt;=13,3.25,IF(A45-'01_Run_Config'!$B$33&lt;=20,3.75,IF(A45-'01_Run_Config'!$B$33&lt;=34,4,IF(A45-'01_Run_Config'!$B$33&lt;=41,3.5,IF(A45-'01_Run_Config'!$B$33&lt;=48,2.5,1.5))))))))</x:f>
        <x:v>3.75</x:v>
      </x:c>
      <x:c r="W45" s="63" t="n">
        <x:f>IF(A45&lt;=14,2.5,0)</x:f>
        <x:v>0</x:v>
      </x:c>
      <x:c r="X45" s="63" t="n">
        <x:f>IF('01_Run_Config'!$B$50="AN Sensizym",0,IF(AND(A45&gt;='01_Run_Config'!$B$32,OR(AL45="",AL45&lt;=49)),2,0))</x:f>
        <x:v>2</x:v>
      </x:c>
      <x:c r="Y45" s="63" t="n">
        <x:f>0.015</x:f>
        <x:v>0.015</x:v>
      </x:c>
      <x:c r="Z45" s="63" t="n">
        <x:f>IF('01_Run_Config'!$B$51="HESI Hesilicio",2,0)</x:f>
        <x:v>0</x:v>
      </x:c>
      <x:c r="AA45" s="63" t="n">
        <x:f>IF('01_Run_Config'!$B$48="AN Bud Candy (replaces HESI Boost)",0,IF(AND(A45&gt;='01_Run_Config'!$B$33,MOD(A45-'01_Run_Config'!$B$33,7)=0),2,0))</x:f>
        <x:v>0</x:v>
      </x:c>
      <x:c r="AB45" s="63" t="n">
        <x:f>IF('01_Run_Config'!$B$52="AN Bud Ignitor &gt; Big Bud &gt; Overdrive",0,IF(AND(ISNUMBER(AL45),AL45&gt;=29,AL45&lt;=42),0.25+((AL45-29)/13)*0.25,0))</x:f>
        <x:v>0</x:v>
      </x:c>
      <x:c r="AC45" s="63" t="n">
        <x:f>IF('01_Run_Config'!$B$46="OFF",0,IF(OR(A45='01_Run_Config'!$B$32,A45='01_Run_Config'!$B$32+7,A45='01_Run_Config'!$B$33+1,A45='01_Run_Config'!$B$33+8),2,0))</x:f>
        <x:v>0</x:v>
      </x:c>
      <x:c r="AD45" s="63" t="str">
        <x:f>IF(BG45="BLOCK","HYBRID BLOCKED - Konfiguration prüfen",IF(SUM(AC45,AT45:BF45)&gt;0,"AN aktiv: "&amp;BH45,"AN: keine Dosis heute / Module aus"))</x:f>
        <x:v>AN: keine Dosis heute / Module aus</x:v>
      </x:c>
      <x:c r="AE45" s="63" t="str">
        <x:v>Nur Support / Luftkanäle</x:v>
      </x:c>
      <x:c r="AF45" s="63" t="str">
        <x:v>Morgens Klima/Pflanze/Bewässerung/Leck; Mitte Lichtphase Blattwinkel; vor Dunkel LF/Drain/stehendes Wasser.</x:v>
      </x:c>
      <x:c r="AG45" s="63" t="str">
        <x:v>EC nicht erhöhen bei steigender Diagnose-Drain-EC; PPFD nicht erhöhen bei Stress; Wasserband nie erzwingen; nie mehrere neue Booster gleichzeitig.</x:v>
      </x:c>
      <x:c r="AH45" s="35" t="str">
        <x:f>"UKD v9 evidence-guarded: Planwerte sind Ziele/Eligibility, keine automatische Freigabe. Eazy Plug/Block ist vorgepuffert; früher Basisfeed bleibt vom Propagation-/Pflanzengate abhängig. Messdaten und Safety-Gates überschreiben Kalender."</x:f>
        <x:v>UKD v9 evidence-guarded: Planwerte sind Ziele/Eligibility, keine automatische Freigabe. Eazy Plug/Block ist vorgepuffert; früher Basisfeed bleibt vom Propagation-/Pflanzengate abhängig. Messdaten und Safety-Gates überschreiben Kalender.</x:v>
      </x:c>
      <x:c r="AI45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45" s="201" t="str">
        <x:f>IF(A45&lt;'01_Run_Config'!$B$32,"—",IF(A45&lt;'01_Run_Config'!$B$33,"G"&amp;MIN(4,INT((A45-'01_Run_Config'!$B$32)/7)+1),AM45))</x:f>
        <x:v>B3</x:v>
      </x:c>
      <x:c r="AK45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45" s="60" t="n">
        <x:f>IF(A45&lt;'01_Run_Config'!$B$33,"",A45-'01_Run_Config'!$B$33+1)</x:f>
        <x:v>16</x:v>
      </x:c>
      <x:c r="AM45" s="60" t="str">
        <x:f>IF(AL45="","",IF(AL45&gt;49,CHAR(66)&amp;"7+",CHAR(66)&amp;TEXT(INT((AL45-1)/7)+1,"0")))</x:f>
        <x:v>B3</x:v>
      </x:c>
      <x:c r="AN45" s="60" t="n">
        <x:f>ROUND(0.6108*EXP(17.27*L45/(L45+237.3))*(1-N45/100),2)</x:f>
        <x:v>1.63</x:v>
      </x:c>
      <x:c r="AO45" s="60" t="n">
        <x:f>H45*G45/1000</x:f>
        <x:v>2.52</x:v>
      </x:c>
      <x:c r="AP45" s="60" t="n">
        <x:f>SUM($AO$2:AO45)</x:f>
        <x:v>68.03999999999999</x:v>
      </x:c>
      <x:c r="AQ45" t="n">
        <x:f>'01_Run_Config'!$B$17</x:f>
        <x:v>0</x:v>
      </x:c>
      <x:c r="AR45" t="n">
        <x:f>'01_Run_Config'!$B$22</x:f>
        <x:v>0</x:v>
      </x:c>
      <x:c r="AS45" t="n">
        <x:f>'01_Run_Config'!$B$25</x:f>
        <x:v>0</x:v>
      </x:c>
      <x:c r="AT45" t="n">
        <x:f>IF(AND('01_Run_Config'!$B$46="Voodoo + Piranha + Tarantula",AC45&gt;0),2,0)</x:f>
        <x:v>0</x:v>
      </x:c>
      <x:c r="AU45" t="n">
        <x:f>IF(AND(OR('01_Run_Config'!$B$46="Voodoo + Tarantula",'01_Run_Config'!$B$46="Voodoo + Piranha + Tarantula"),AC45&gt;0),2,0)</x:f>
        <x:v>0</x:v>
      </x:c>
      <x:c r="AV45" t="n">
        <x:f>IF('01_Run_Config'!$B$47&lt;&gt;"ON / A-B",0,IF(OR(AND(A45&gt;='01_Run_Config'!$B$32,A45&lt;'01_Run_Config'!$B$33),AND(ISNUMBER(AL45),AL45&gt;=15,AL45&lt;=49)),2,0))</x:f>
        <x:v>0</x:v>
      </x:c>
      <x:c r="AW45" t="n">
        <x:f>IF('01_Run_Config'!$B$48="AN Bud Candy (replaces HESI Boost)",IF(AND(A45&gt;='01_Run_Config'!$B$32,OR(AL45="",AL45&lt;=49)),2,0),0)</x:f>
        <x:v>0</x:v>
      </x:c>
      <x:c r="AX45" t="n">
        <x:f>IF('01_Run_Config'!$B$49&lt;&gt;"ON / EXPERIMENTAL",0,IF(OR(AND(A45&gt;='01_Run_Config'!$B$32+7,A45&lt;'01_Run_Config'!$B$33),AND(ISNUMBER(AL45),AL45&gt;=1,AL45&lt;=49)),2,0))</x:f>
        <x:v>0</x:v>
      </x:c>
      <x:c r="AY45" t="n">
        <x:f>IF('01_Run_Config'!$B$50="AN Sensizym",IF(AND(A45&gt;='01_Run_Config'!$B$32,OR(AL45="",AL45&lt;=49)),2,0),0)</x:f>
        <x:v>0</x:v>
      </x:c>
      <x:c r="AZ45" t="n">
        <x:f>IF('01_Run_Config'!$B$51="AN Rhino Skin",IF(AND(A45&gt;='01_Run_Config'!$B$32,OR(AL45="",AL45&lt;=49)),2,0),0)</x:f>
        <x:v>0</x:v>
      </x:c>
      <x:c r="BA45" t="n">
        <x:f>IF(AND('01_Run_Config'!$B$52="AN Bud Ignitor &gt; Big Bud &gt; Overdrive",ISNUMBER(AL45),AL45&gt;=1,AL45&lt;=14),2,0)</x:f>
        <x:v>0</x:v>
      </x:c>
      <x:c r="BB45" t="n">
        <x:f>IF(AND('01_Run_Config'!$B$52="AN Bud Ignitor &gt; Big Bud &gt; Overdrive",ISNUMBER(AL45),AL45&gt;=8,AL45&lt;=35),2,0)</x:f>
        <x:v>0</x:v>
      </x:c>
      <x:c r="BC45" t="n">
        <x:f>IF(AND('01_Run_Config'!$B$52="AN Bud Ignitor &gt; Big Bud &gt; Overdrive",ISNUMBER(AL45),AL45&gt;=36,AL45&lt;=49),2,0)</x:f>
        <x:v>0</x:v>
      </x:c>
      <x:c r="BD45" t="n">
        <x:f>IF('01_Run_Config'!$B$53="ON / EXPERIMENTAL",IF(OR(AND(A45&gt;='01_Run_Config'!$B$32,A45&lt;'01_Run_Config'!$B$33),AND(ISNUMBER(AL45),AL45&gt;=15,AL45&lt;=49)),2,0),0)</x:f>
        <x:v>0</x:v>
      </x:c>
      <x:c r="BE45" t="n">
        <x:f>IF('01_Run_Config'!$B$54="AN Sensi CalMag Xtra conditional",'01_Run_Config'!$B$17,0)</x:f>
        <x:v>0</x:v>
      </x:c>
      <x:c r="BF45" t="n">
        <x:f>0</x:f>
        <x:v>0</x:v>
      </x:c>
      <x:c r="BG45" t="str">
        <x:f>'01_Run_Config'!$E$57</x:f>
        <x:v>OK</x:v>
      </x:c>
      <x:c r="BH45" t="str">
        <x:f>IF(SUM(AC45,AT45:BF45)=0,"keine AN-Dosis heute",IF(AC45&gt;0,"Voodoo "&amp;AC45&amp;" ml/L; ","")&amp;IF(AT45&gt;0,"Piranha "&amp;AT45&amp;" ml/L; ","")&amp;IF(AU45&gt;0,"Tarantula "&amp;AU45&amp;" ml/L; ","")&amp;IF(AV45&gt;0,"B-52 "&amp;AV45&amp;" ml/L; ","")&amp;IF(AW45&gt;0,"Bud Candy "&amp;AW45&amp;" ml/L; ","")&amp;IF(AX45&gt;0,"Bud Factor X "&amp;AX45&amp;" ml/L; ","")&amp;IF(AY45&gt;0,"Sensizym "&amp;AY45&amp;" ml/L; ","")&amp;IF(AZ45&gt;0,"Rhino Skin "&amp;AZ45&amp;" ml/L; ","")&amp;IF(BA45&gt;0,"Bud Ignitor "&amp;BA45&amp;" ml/L; ","")&amp;IF(BB45&gt;0,"Big Bud "&amp;BB45&amp;" ml/L; ","")&amp;IF(BC45&gt;0,"Overdrive "&amp;BC45&amp;" ml/L; ","")&amp;IF(BD45&gt;0,"Tasty Terpenes "&amp;BD45&amp;" ml/L; ","")&amp;IF(BE45&gt;0,"Sensi CalMag "&amp;BE45&amp;" ml/L",""))</x:f>
        <x:v>keine AN-Dosis heute</x:v>
      </x:c>
    </x:row>
    <x:row r="46">
      <x:c r="A46" s="34" t="n">
        <x:v>44</x:v>
      </x:c>
      <x:c r="B46" s="129" t="n">
        <x:f>'01_Run_Config'!$B$4+A46</x:f>
        <x:v>46286</x:v>
      </x:c>
      <x:c r="C46" s="63" t="n">
        <x:f>INT(A46/7)+1</x:f>
        <x:v>7</x:v>
      </x:c>
      <x:c r="D46" s="63" t="str">
        <x:f>"M"&amp;MIN(3,INT(A46/30)+1)</x:f>
        <x:v>M2</x:v>
      </x:c>
      <x:c r="E46" s="63" t="str">
        <x:f>IF(A46&lt;4,"Keimung",IF(A46&lt;8,"Etablierung",IF(A46&lt;15,"Early Veg",IF(A46&lt;'01_Run_Config'!$B$33,IF(A46&lt;22,"Veg / LST","Preflower-Watch"),IF(A46-'01_Run_Config'!$B$33&lt;=6,"Transition / Stretch ("&amp;AM46&amp;")",IF(A46-'01_Run_Config'!$B$33&lt;=13,"Early Flower ("&amp;AM46&amp;")",IF(A46-'01_Run_Config'!$B$33&lt;=20,"Flower I ("&amp;AM46&amp;")",IF(A46-'01_Run_Config'!$B$33&lt;=34,"Peak Flower ("&amp;AM46&amp;")",IF(A46-'01_Run_Config'!$B$33&lt;=41,"Late Flower ("&amp;AM46&amp;")",IF(A46-'01_Run_Config'!$B$33&lt;=48,"Ripening ("&amp;AM46&amp;")","Harvest / Extension ("&amp;AM46&amp;")"))))))))))</x:f>
        <x:v>Flower I (B3)</x:v>
      </x:c>
      <x:c r="F46" s="63" t="str">
        <x:f>IF(A46&lt;4,"Keimung + Wurzelstart",IF(A46&lt;8,"Sämling etablieren; Wurzelraum erschließen",IF(A46&lt;15,"kompakter Aufbau; LST erst bei Vitalität",IF(A46&lt;'01_Run_Config'!$B$33,"Canopy aufbauen; Preflower beobachten",IF(A46-'01_Run_Config'!$B$33&lt;=6,"Stretch kontrollieren; Bloom-Trigger dokumentieren",IF(A46-'01_Run_Config'!$B$33&lt;=13,"Blütenansatz stabilisieren",IF(A46-'01_Run_Config'!$B$33&lt;=20,"Blütenaufbau ohne neue Stressoren",IF(A46-'01_Run_Config'!$B$33&lt;=34,"stabile Peak-Photosynthese; Klima priorisieren",IF(A46-'01_Run_Config'!$B$33&lt;=41,"Qualität/Schimmelprävention",IF(A46-'01_Run_Config'!$B$33&lt;=48,"Reife ohne Überfütterung","Erntefenster nach Pflanze; keine Kalenderernte"))))))))))</x:f>
        <x:v>Blütenaufbau ohne neue Stressoren</x:v>
      </x:c>
      <x:c r="G46" s="63" t="n">
        <x:v>18</x:v>
      </x:c>
      <x:c r="H46" s="63" t="n">
        <x:v>140</x:v>
      </x:c>
      <x:c r="I46" s="63" t="n">
        <x:v>625</x:v>
      </x:c>
      <x:c r="J46" s="63" t="n">
        <x:f>I46*G46*3600/1000000</x:f>
        <x:v>40.5</x:v>
      </x:c>
      <x:c r="K46" s="63" t="n">
        <x:v>34</x:v>
      </x:c>
      <x:c r="L46" s="63" t="n">
        <x:v>24.5</x:v>
      </x:c>
      <x:c r="M46" s="63" t="n">
        <x:v>21</x:v>
      </x:c>
      <x:c r="N46" s="63" t="n">
        <x:v>47</x:v>
      </x:c>
      <x:c r="O46" s="63" t="n">
        <x:f>ROUND(0.6108*EXP(17.27*(L46+'01_Run_Config'!$B$34)/(L46+'01_Run_Config'!$B$34+237.3))-(N46/100)*0.6108*EXP(17.27*L46/(L46+237.3)),2)</x:f>
        <x:v>1.45</x:v>
      </x:c>
      <x:c r="P46" s="63" t="n">
        <x:f>IF(A46&lt;'01_Run_Config'!$B$32,0.55,IF(A46&lt;'01_Run_Config'!$B$33,IF(A46-'01_Run_Config'!$B$32&lt;=3,0.8,IF(A46-'01_Run_Config'!$B$32&lt;=10,1,IF(A46-'01_Run_Config'!$B$32&lt;=17,1.2,1.4))),IF(A46-'01_Run_Config'!$B$33&lt;=6,1.5,IF(A46-'01_Run_Config'!$B$33&lt;=13,1.6,IF(A46-'01_Run_Config'!$B$33&lt;=20,1.7,IF(A46-'01_Run_Config'!$B$33&lt;=34,1.8,IF(A46-'01_Run_Config'!$B$33&lt;=41,1.6,IF(A46-'01_Run_Config'!$B$33&lt;=48,1.4,1.15))))))))</x:f>
        <x:v>1.7</x:v>
      </x:c>
      <x:c r="Q46" s="63" t="n">
        <x:v>5.9</x:v>
      </x:c>
      <x:c r="R46" s="63" t="n">
        <x:v>0.9</x:v>
      </x:c>
      <x:c r="S46" s="63" t="n">
        <x:v>1.5</x:v>
      </x:c>
      <x:c r="T46" s="63" t="str">
        <x:f>IF(A46&lt;=7,"Manuell",'01_Run_Config'!$B$40)</x:f>
        <x:v>Manuell / indoor-freigegebene Automation</x:v>
      </x:c>
      <x:c r="U46" s="63" t="str">
        <x:f>IF(A46&lt;'01_Run_Config'!$B$32,"Kein Basisdünger",IF(A46&lt;'01_Run_Config'!$B$33,"HESI TNT","HESI Coco"))</x:f>
        <x:v>HESI Coco</x:v>
      </x:c>
      <x:c r="V46" s="63" t="n">
        <x:f>IF(A46&lt;'01_Run_Config'!$B$32,0,IF(A46&lt;'01_Run_Config'!$B$33,IF(A46-'01_Run_Config'!$B$32&lt;=3,1.25,IF(A46-'01_Run_Config'!$B$32&lt;=10,2,2.5)),IF(A46-'01_Run_Config'!$B$33&lt;=6,2.5,IF(A46-'01_Run_Config'!$B$33&lt;=13,3.25,IF(A46-'01_Run_Config'!$B$33&lt;=20,3.75,IF(A46-'01_Run_Config'!$B$33&lt;=34,4,IF(A46-'01_Run_Config'!$B$33&lt;=41,3.5,IF(A46-'01_Run_Config'!$B$33&lt;=48,2.5,1.5))))))))</x:f>
        <x:v>3.75</x:v>
      </x:c>
      <x:c r="W46" s="63" t="n">
        <x:f>IF(A46&lt;=14,2.5,0)</x:f>
        <x:v>0</x:v>
      </x:c>
      <x:c r="X46" s="63" t="n">
        <x:f>IF('01_Run_Config'!$B$50="AN Sensizym",0,IF(AND(A46&gt;='01_Run_Config'!$B$32,OR(AL46="",AL46&lt;=49)),2,0))</x:f>
        <x:v>2</x:v>
      </x:c>
      <x:c r="Y46" s="63" t="n">
        <x:f>0.015</x:f>
        <x:v>0.015</x:v>
      </x:c>
      <x:c r="Z46" s="63" t="n">
        <x:f>IF('01_Run_Config'!$B$51="HESI Hesilicio",2,0)</x:f>
        <x:v>0</x:v>
      </x:c>
      <x:c r="AA46" s="63" t="n">
        <x:f>IF('01_Run_Config'!$B$48="AN Bud Candy (replaces HESI Boost)",0,IF(AND(A46&gt;='01_Run_Config'!$B$33,MOD(A46-'01_Run_Config'!$B$33,7)=0),2,0))</x:f>
        <x:v>0</x:v>
      </x:c>
      <x:c r="AB46" s="63" t="n">
        <x:f>IF('01_Run_Config'!$B$52="AN Bud Ignitor &gt; Big Bud &gt; Overdrive",0,IF(AND(ISNUMBER(AL46),AL46&gt;=29,AL46&lt;=42),0.25+((AL46-29)/13)*0.25,0))</x:f>
        <x:v>0</x:v>
      </x:c>
      <x:c r="AC46" s="63" t="n">
        <x:f>IF('01_Run_Config'!$B$46="OFF",0,IF(OR(A46='01_Run_Config'!$B$32,A46='01_Run_Config'!$B$32+7,A46='01_Run_Config'!$B$33+1,A46='01_Run_Config'!$B$33+8),2,0))</x:f>
        <x:v>0</x:v>
      </x:c>
      <x:c r="AD46" s="63" t="str">
        <x:f>IF(BG46="BLOCK","HYBRID BLOCKED - Konfiguration prüfen",IF(SUM(AC46,AT46:BF46)&gt;0,"AN aktiv: "&amp;BH46,"AN: keine Dosis heute / Module aus"))</x:f>
        <x:v>AN: keine Dosis heute / Module aus</x:v>
      </x:c>
      <x:c r="AE46" s="63" t="str">
        <x:v>Nur Support / Luftkanäle</x:v>
      </x:c>
      <x:c r="AF46" s="63" t="str">
        <x:v>Morgens Klima/Pflanze/Bewässerung/Leck; Mitte Lichtphase Blattwinkel; vor Dunkel LF/Drain/stehendes Wasser.</x:v>
      </x:c>
      <x:c r="AG46" s="63" t="str">
        <x:v>EC nicht erhöhen bei steigender Diagnose-Drain-EC; PPFD nicht erhöhen bei Stress; Wasserband nie erzwingen; nie mehrere neue Booster gleichzeitig.</x:v>
      </x:c>
      <x:c r="AH46" s="35" t="str">
        <x:f>"UKD v9 evidence-guarded: Planwerte sind Ziele/Eligibility, keine automatische Freigabe. Eazy Plug/Block ist vorgepuffert; früher Basisfeed bleibt vom Propagation-/Pflanzengate abhängig. Messdaten und Safety-Gates überschreiben Kalender."</x:f>
        <x:v>UKD v9 evidence-guarded: Planwerte sind Ziele/Eligibility, keine automatische Freigabe. Eazy Plug/Block ist vorgepuffert; früher Basisfeed bleibt vom Propagation-/Pflanzengate abhängig. Messdaten und Safety-Gates überschreiben Kalender.</x:v>
      </x:c>
      <x:c r="AI46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46" s="201" t="str">
        <x:f>IF(A46&lt;'01_Run_Config'!$B$32,"—",IF(A46&lt;'01_Run_Config'!$B$33,"G"&amp;MIN(4,INT((A46-'01_Run_Config'!$B$32)/7)+1),AM46))</x:f>
        <x:v>B3</x:v>
      </x:c>
      <x:c r="AK46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46" s="60" t="n">
        <x:f>IF(A46&lt;'01_Run_Config'!$B$33,"",A46-'01_Run_Config'!$B$33+1)</x:f>
        <x:v>17</x:v>
      </x:c>
      <x:c r="AM46" s="60" t="str">
        <x:f>IF(AL46="","",IF(AL46&gt;49,CHAR(66)&amp;"7+",CHAR(66)&amp;TEXT(INT((AL46-1)/7)+1,"0")))</x:f>
        <x:v>B3</x:v>
      </x:c>
      <x:c r="AN46" s="60" t="n">
        <x:f>ROUND(0.6108*EXP(17.27*L46/(L46+237.3))*(1-N46/100),2)</x:f>
        <x:v>1.63</x:v>
      </x:c>
      <x:c r="AO46" s="60" t="n">
        <x:f>H46*G46/1000</x:f>
        <x:v>2.52</x:v>
      </x:c>
      <x:c r="AP46" s="60" t="n">
        <x:f>SUM($AO$2:AO46)</x:f>
        <x:v>70.55999999999999</x:v>
      </x:c>
      <x:c r="AQ46" t="n">
        <x:f>'01_Run_Config'!$B$17</x:f>
        <x:v>0</x:v>
      </x:c>
      <x:c r="AR46" t="n">
        <x:f>'01_Run_Config'!$B$22</x:f>
        <x:v>0</x:v>
      </x:c>
      <x:c r="AS46" t="n">
        <x:f>'01_Run_Config'!$B$25</x:f>
        <x:v>0</x:v>
      </x:c>
      <x:c r="AT46" t="n">
        <x:f>IF(AND('01_Run_Config'!$B$46="Voodoo + Piranha + Tarantula",AC46&gt;0),2,0)</x:f>
        <x:v>0</x:v>
      </x:c>
      <x:c r="AU46" t="n">
        <x:f>IF(AND(OR('01_Run_Config'!$B$46="Voodoo + Tarantula",'01_Run_Config'!$B$46="Voodoo + Piranha + Tarantula"),AC46&gt;0),2,0)</x:f>
        <x:v>0</x:v>
      </x:c>
      <x:c r="AV46" t="n">
        <x:f>IF('01_Run_Config'!$B$47&lt;&gt;"ON / A-B",0,IF(OR(AND(A46&gt;='01_Run_Config'!$B$32,A46&lt;'01_Run_Config'!$B$33),AND(ISNUMBER(AL46),AL46&gt;=15,AL46&lt;=49)),2,0))</x:f>
        <x:v>0</x:v>
      </x:c>
      <x:c r="AW46" t="n">
        <x:f>IF('01_Run_Config'!$B$48="AN Bud Candy (replaces HESI Boost)",IF(AND(A46&gt;='01_Run_Config'!$B$32,OR(AL46="",AL46&lt;=49)),2,0),0)</x:f>
        <x:v>0</x:v>
      </x:c>
      <x:c r="AX46" t="n">
        <x:f>IF('01_Run_Config'!$B$49&lt;&gt;"ON / EXPERIMENTAL",0,IF(OR(AND(A46&gt;='01_Run_Config'!$B$32+7,A46&lt;'01_Run_Config'!$B$33),AND(ISNUMBER(AL46),AL46&gt;=1,AL46&lt;=49)),2,0))</x:f>
        <x:v>0</x:v>
      </x:c>
      <x:c r="AY46" t="n">
        <x:f>IF('01_Run_Config'!$B$50="AN Sensizym",IF(AND(A46&gt;='01_Run_Config'!$B$32,OR(AL46="",AL46&lt;=49)),2,0),0)</x:f>
        <x:v>0</x:v>
      </x:c>
      <x:c r="AZ46" t="n">
        <x:f>IF('01_Run_Config'!$B$51="AN Rhino Skin",IF(AND(A46&gt;='01_Run_Config'!$B$32,OR(AL46="",AL46&lt;=49)),2,0),0)</x:f>
        <x:v>0</x:v>
      </x:c>
      <x:c r="BA46" t="n">
        <x:f>IF(AND('01_Run_Config'!$B$52="AN Bud Ignitor &gt; Big Bud &gt; Overdrive",ISNUMBER(AL46),AL46&gt;=1,AL46&lt;=14),2,0)</x:f>
        <x:v>0</x:v>
      </x:c>
      <x:c r="BB46" t="n">
        <x:f>IF(AND('01_Run_Config'!$B$52="AN Bud Ignitor &gt; Big Bud &gt; Overdrive",ISNUMBER(AL46),AL46&gt;=8,AL46&lt;=35),2,0)</x:f>
        <x:v>0</x:v>
      </x:c>
      <x:c r="BC46" t="n">
        <x:f>IF(AND('01_Run_Config'!$B$52="AN Bud Ignitor &gt; Big Bud &gt; Overdrive",ISNUMBER(AL46),AL46&gt;=36,AL46&lt;=49),2,0)</x:f>
        <x:v>0</x:v>
      </x:c>
      <x:c r="BD46" t="n">
        <x:f>IF('01_Run_Config'!$B$53="ON / EXPERIMENTAL",IF(OR(AND(A46&gt;='01_Run_Config'!$B$32,A46&lt;'01_Run_Config'!$B$33),AND(ISNUMBER(AL46),AL46&gt;=15,AL46&lt;=49)),2,0),0)</x:f>
        <x:v>0</x:v>
      </x:c>
      <x:c r="BE46" t="n">
        <x:f>IF('01_Run_Config'!$B$54="AN Sensi CalMag Xtra conditional",'01_Run_Config'!$B$17,0)</x:f>
        <x:v>0</x:v>
      </x:c>
      <x:c r="BF46" t="n">
        <x:f>0</x:f>
        <x:v>0</x:v>
      </x:c>
      <x:c r="BG46" t="str">
        <x:f>'01_Run_Config'!$E$57</x:f>
        <x:v>OK</x:v>
      </x:c>
      <x:c r="BH46" t="str">
        <x:f>IF(SUM(AC46,AT46:BF46)=0,"keine AN-Dosis heute",IF(AC46&gt;0,"Voodoo "&amp;AC46&amp;" ml/L; ","")&amp;IF(AT46&gt;0,"Piranha "&amp;AT46&amp;" ml/L; ","")&amp;IF(AU46&gt;0,"Tarantula "&amp;AU46&amp;" ml/L; ","")&amp;IF(AV46&gt;0,"B-52 "&amp;AV46&amp;" ml/L; ","")&amp;IF(AW46&gt;0,"Bud Candy "&amp;AW46&amp;" ml/L; ","")&amp;IF(AX46&gt;0,"Bud Factor X "&amp;AX46&amp;" ml/L; ","")&amp;IF(AY46&gt;0,"Sensizym "&amp;AY46&amp;" ml/L; ","")&amp;IF(AZ46&gt;0,"Rhino Skin "&amp;AZ46&amp;" ml/L; ","")&amp;IF(BA46&gt;0,"Bud Ignitor "&amp;BA46&amp;" ml/L; ","")&amp;IF(BB46&gt;0,"Big Bud "&amp;BB46&amp;" ml/L; ","")&amp;IF(BC46&gt;0,"Overdrive "&amp;BC46&amp;" ml/L; ","")&amp;IF(BD46&gt;0,"Tasty Terpenes "&amp;BD46&amp;" ml/L; ","")&amp;IF(BE46&gt;0,"Sensi CalMag "&amp;BE46&amp;" ml/L",""))</x:f>
        <x:v>keine AN-Dosis heute</x:v>
      </x:c>
    </x:row>
    <x:row r="47">
      <x:c r="A47" s="34" t="n">
        <x:v>45</x:v>
      </x:c>
      <x:c r="B47" s="129" t="n">
        <x:f>'01_Run_Config'!$B$4+A47</x:f>
        <x:v>46287</x:v>
      </x:c>
      <x:c r="C47" s="63" t="n">
        <x:f>INT(A47/7)+1</x:f>
        <x:v>7</x:v>
      </x:c>
      <x:c r="D47" s="63" t="str">
        <x:f>"M"&amp;MIN(3,INT(A47/30)+1)</x:f>
        <x:v>M2</x:v>
      </x:c>
      <x:c r="E47" s="63" t="str">
        <x:f>IF(A47&lt;4,"Keimung",IF(A47&lt;8,"Etablierung",IF(A47&lt;15,"Early Veg",IF(A47&lt;'01_Run_Config'!$B$33,IF(A47&lt;22,"Veg / LST","Preflower-Watch"),IF(A47-'01_Run_Config'!$B$33&lt;=6,"Transition / Stretch ("&amp;AM47&amp;")",IF(A47-'01_Run_Config'!$B$33&lt;=13,"Early Flower ("&amp;AM47&amp;")",IF(A47-'01_Run_Config'!$B$33&lt;=20,"Flower I ("&amp;AM47&amp;")",IF(A47-'01_Run_Config'!$B$33&lt;=34,"Peak Flower ("&amp;AM47&amp;")",IF(A47-'01_Run_Config'!$B$33&lt;=41,"Late Flower ("&amp;AM47&amp;")",IF(A47-'01_Run_Config'!$B$33&lt;=48,"Ripening ("&amp;AM47&amp;")","Harvest / Extension ("&amp;AM47&amp;")"))))))))))</x:f>
        <x:v>Flower I (B3)</x:v>
      </x:c>
      <x:c r="F47" s="63" t="str">
        <x:f>IF(A47&lt;4,"Keimung + Wurzelstart",IF(A47&lt;8,"Sämling etablieren; Wurzelraum erschließen",IF(A47&lt;15,"kompakter Aufbau; LST erst bei Vitalität",IF(A47&lt;'01_Run_Config'!$B$33,"Canopy aufbauen; Preflower beobachten",IF(A47-'01_Run_Config'!$B$33&lt;=6,"Stretch kontrollieren; Bloom-Trigger dokumentieren",IF(A47-'01_Run_Config'!$B$33&lt;=13,"Blütenansatz stabilisieren",IF(A47-'01_Run_Config'!$B$33&lt;=20,"Blütenaufbau ohne neue Stressoren",IF(A47-'01_Run_Config'!$B$33&lt;=34,"stabile Peak-Photosynthese; Klima priorisieren",IF(A47-'01_Run_Config'!$B$33&lt;=41,"Qualität/Schimmelprävention",IF(A47-'01_Run_Config'!$B$33&lt;=48,"Reife ohne Überfütterung","Erntefenster nach Pflanze; keine Kalenderernte"))))))))))</x:f>
        <x:v>Blütenaufbau ohne neue Stressoren</x:v>
      </x:c>
      <x:c r="G47" s="63" t="n">
        <x:v>18</x:v>
      </x:c>
      <x:c r="H47" s="63" t="n">
        <x:v>140</x:v>
      </x:c>
      <x:c r="I47" s="63" t="n">
        <x:v>625</x:v>
      </x:c>
      <x:c r="J47" s="63" t="n">
        <x:f>I47*G47*3600/1000000</x:f>
        <x:v>40.5</x:v>
      </x:c>
      <x:c r="K47" s="63" t="n">
        <x:v>34</x:v>
      </x:c>
      <x:c r="L47" s="63" t="n">
        <x:v>24.5</x:v>
      </x:c>
      <x:c r="M47" s="63" t="n">
        <x:v>21</x:v>
      </x:c>
      <x:c r="N47" s="63" t="n">
        <x:v>47</x:v>
      </x:c>
      <x:c r="O47" s="63" t="n">
        <x:f>ROUND(0.6108*EXP(17.27*(L47+'01_Run_Config'!$B$34)/(L47+'01_Run_Config'!$B$34+237.3))-(N47/100)*0.6108*EXP(17.27*L47/(L47+237.3)),2)</x:f>
        <x:v>1.45</x:v>
      </x:c>
      <x:c r="P47" s="63" t="n">
        <x:f>IF(A47&lt;'01_Run_Config'!$B$32,0.55,IF(A47&lt;'01_Run_Config'!$B$33,IF(A47-'01_Run_Config'!$B$32&lt;=3,0.8,IF(A47-'01_Run_Config'!$B$32&lt;=10,1,IF(A47-'01_Run_Config'!$B$32&lt;=17,1.2,1.4))),IF(A47-'01_Run_Config'!$B$33&lt;=6,1.5,IF(A47-'01_Run_Config'!$B$33&lt;=13,1.6,IF(A47-'01_Run_Config'!$B$33&lt;=20,1.7,IF(A47-'01_Run_Config'!$B$33&lt;=34,1.8,IF(A47-'01_Run_Config'!$B$33&lt;=41,1.6,IF(A47-'01_Run_Config'!$B$33&lt;=48,1.4,1.15))))))))</x:f>
        <x:v>1.7</x:v>
      </x:c>
      <x:c r="Q47" s="63" t="n">
        <x:v>5.9</x:v>
      </x:c>
      <x:c r="R47" s="63" t="n">
        <x:v>0.9</x:v>
      </x:c>
      <x:c r="S47" s="63" t="n">
        <x:v>1.5</x:v>
      </x:c>
      <x:c r="T47" s="63" t="str">
        <x:f>IF(A47&lt;=7,"Manuell",'01_Run_Config'!$B$40)</x:f>
        <x:v>Manuell / indoor-freigegebene Automation</x:v>
      </x:c>
      <x:c r="U47" s="63" t="str">
        <x:f>IF(A47&lt;'01_Run_Config'!$B$32,"Kein Basisdünger",IF(A47&lt;'01_Run_Config'!$B$33,"HESI TNT","HESI Coco"))</x:f>
        <x:v>HESI Coco</x:v>
      </x:c>
      <x:c r="V47" s="63" t="n">
        <x:f>IF(A47&lt;'01_Run_Config'!$B$32,0,IF(A47&lt;'01_Run_Config'!$B$33,IF(A47-'01_Run_Config'!$B$32&lt;=3,1.25,IF(A47-'01_Run_Config'!$B$32&lt;=10,2,2.5)),IF(A47-'01_Run_Config'!$B$33&lt;=6,2.5,IF(A47-'01_Run_Config'!$B$33&lt;=13,3.25,IF(A47-'01_Run_Config'!$B$33&lt;=20,3.75,IF(A47-'01_Run_Config'!$B$33&lt;=34,4,IF(A47-'01_Run_Config'!$B$33&lt;=41,3.5,IF(A47-'01_Run_Config'!$B$33&lt;=48,2.5,1.5))))))))</x:f>
        <x:v>3.75</x:v>
      </x:c>
      <x:c r="W47" s="63" t="n">
        <x:f>IF(A47&lt;=14,2.5,0)</x:f>
        <x:v>0</x:v>
      </x:c>
      <x:c r="X47" s="63" t="n">
        <x:f>IF('01_Run_Config'!$B$50="AN Sensizym",0,IF(AND(A47&gt;='01_Run_Config'!$B$32,OR(AL47="",AL47&lt;=49)),2,0))</x:f>
        <x:v>2</x:v>
      </x:c>
      <x:c r="Y47" s="63" t="n">
        <x:f>0.015</x:f>
        <x:v>0.015</x:v>
      </x:c>
      <x:c r="Z47" s="63" t="n">
        <x:f>IF('01_Run_Config'!$B$51="HESI Hesilicio",2,0)</x:f>
        <x:v>0</x:v>
      </x:c>
      <x:c r="AA47" s="63" t="n">
        <x:f>IF('01_Run_Config'!$B$48="AN Bud Candy (replaces HESI Boost)",0,IF(AND(A47&gt;='01_Run_Config'!$B$33,MOD(A47-'01_Run_Config'!$B$33,7)=0),2,0))</x:f>
        <x:v>0</x:v>
      </x:c>
      <x:c r="AB47" s="63" t="n">
        <x:f>IF('01_Run_Config'!$B$52="AN Bud Ignitor &gt; Big Bud &gt; Overdrive",0,IF(AND(ISNUMBER(AL47),AL47&gt;=29,AL47&lt;=42),0.25+((AL47-29)/13)*0.25,0))</x:f>
        <x:v>0</x:v>
      </x:c>
      <x:c r="AC47" s="63" t="n">
        <x:f>IF('01_Run_Config'!$B$46="OFF",0,IF(OR(A47='01_Run_Config'!$B$32,A47='01_Run_Config'!$B$32+7,A47='01_Run_Config'!$B$33+1,A47='01_Run_Config'!$B$33+8),2,0))</x:f>
        <x:v>0</x:v>
      </x:c>
      <x:c r="AD47" s="63" t="str">
        <x:f>IF(BG47="BLOCK","HYBRID BLOCKED - Konfiguration prüfen",IF(SUM(AC47,AT47:BF47)&gt;0,"AN aktiv: "&amp;BH47,"AN: keine Dosis heute / Module aus"))</x:f>
        <x:v>AN: keine Dosis heute / Module aus</x:v>
      </x:c>
      <x:c r="AE47" s="63" t="str">
        <x:v>Nur Support / Luftkanäle</x:v>
      </x:c>
      <x:c r="AF47" s="63" t="str">
        <x:v>Morgens Klima/Pflanze/Bewässerung/Leck; Mitte Lichtphase Blattwinkel; vor Dunkel LF/Drain/stehendes Wasser.</x:v>
      </x:c>
      <x:c r="AG47" s="63" t="str">
        <x:v>EC nicht erhöhen bei steigender Diagnose-Drain-EC; PPFD nicht erhöhen bei Stress; Wasserband nie erzwingen; nie mehrere neue Booster gleichzeitig.</x:v>
      </x:c>
      <x:c r="AH47" s="35" t="str">
        <x:f>"UKD v9 evidence-guarded: Planwerte sind Ziele/Eligibility, keine automatische Freigabe. Eazy Plug/Block ist vorgepuffert; früher Basisfeed bleibt vom Propagation-/Pflanzengate abhängig. Messdaten und Safety-Gates überschreiben Kalender."</x:f>
        <x:v>UKD v9 evidence-guarded: Planwerte sind Ziele/Eligibility, keine automatische Freigabe. Eazy Plug/Block ist vorgepuffert; früher Basisfeed bleibt vom Propagation-/Pflanzengate abhängig. Messdaten und Safety-Gates überschreiben Kalender.</x:v>
      </x:c>
      <x:c r="AI47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47" s="201" t="str">
        <x:f>IF(A47&lt;'01_Run_Config'!$B$32,"—",IF(A47&lt;'01_Run_Config'!$B$33,"G"&amp;MIN(4,INT((A47-'01_Run_Config'!$B$32)/7)+1),AM47))</x:f>
        <x:v>B3</x:v>
      </x:c>
      <x:c r="AK47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47" s="60" t="n">
        <x:f>IF(A47&lt;'01_Run_Config'!$B$33,"",A47-'01_Run_Config'!$B$33+1)</x:f>
        <x:v>18</x:v>
      </x:c>
      <x:c r="AM47" s="60" t="str">
        <x:f>IF(AL47="","",IF(AL47&gt;49,CHAR(66)&amp;"7+",CHAR(66)&amp;TEXT(INT((AL47-1)/7)+1,"0")))</x:f>
        <x:v>B3</x:v>
      </x:c>
      <x:c r="AN47" s="60" t="n">
        <x:f>ROUND(0.6108*EXP(17.27*L47/(L47+237.3))*(1-N47/100),2)</x:f>
        <x:v>1.63</x:v>
      </x:c>
      <x:c r="AO47" s="60" t="n">
        <x:f>H47*G47/1000</x:f>
        <x:v>2.52</x:v>
      </x:c>
      <x:c r="AP47" s="60" t="n">
        <x:f>SUM($AO$2:AO47)</x:f>
        <x:v>73.07999999999998</x:v>
      </x:c>
      <x:c r="AQ47" t="n">
        <x:f>'01_Run_Config'!$B$17</x:f>
        <x:v>0</x:v>
      </x:c>
      <x:c r="AR47" t="n">
        <x:f>'01_Run_Config'!$B$22</x:f>
        <x:v>0</x:v>
      </x:c>
      <x:c r="AS47" t="n">
        <x:f>'01_Run_Config'!$B$25</x:f>
        <x:v>0</x:v>
      </x:c>
      <x:c r="AT47" t="n">
        <x:f>IF(AND('01_Run_Config'!$B$46="Voodoo + Piranha + Tarantula",AC47&gt;0),2,0)</x:f>
        <x:v>0</x:v>
      </x:c>
      <x:c r="AU47" t="n">
        <x:f>IF(AND(OR('01_Run_Config'!$B$46="Voodoo + Tarantula",'01_Run_Config'!$B$46="Voodoo + Piranha + Tarantula"),AC47&gt;0),2,0)</x:f>
        <x:v>0</x:v>
      </x:c>
      <x:c r="AV47" t="n">
        <x:f>IF('01_Run_Config'!$B$47&lt;&gt;"ON / A-B",0,IF(OR(AND(A47&gt;='01_Run_Config'!$B$32,A47&lt;'01_Run_Config'!$B$33),AND(ISNUMBER(AL47),AL47&gt;=15,AL47&lt;=49)),2,0))</x:f>
        <x:v>0</x:v>
      </x:c>
      <x:c r="AW47" t="n">
        <x:f>IF('01_Run_Config'!$B$48="AN Bud Candy (replaces HESI Boost)",IF(AND(A47&gt;='01_Run_Config'!$B$32,OR(AL47="",AL47&lt;=49)),2,0),0)</x:f>
        <x:v>0</x:v>
      </x:c>
      <x:c r="AX47" t="n">
        <x:f>IF('01_Run_Config'!$B$49&lt;&gt;"ON / EXPERIMENTAL",0,IF(OR(AND(A47&gt;='01_Run_Config'!$B$32+7,A47&lt;'01_Run_Config'!$B$33),AND(ISNUMBER(AL47),AL47&gt;=1,AL47&lt;=49)),2,0))</x:f>
        <x:v>0</x:v>
      </x:c>
      <x:c r="AY47" t="n">
        <x:f>IF('01_Run_Config'!$B$50="AN Sensizym",IF(AND(A47&gt;='01_Run_Config'!$B$32,OR(AL47="",AL47&lt;=49)),2,0),0)</x:f>
        <x:v>0</x:v>
      </x:c>
      <x:c r="AZ47" t="n">
        <x:f>IF('01_Run_Config'!$B$51="AN Rhino Skin",IF(AND(A47&gt;='01_Run_Config'!$B$32,OR(AL47="",AL47&lt;=49)),2,0),0)</x:f>
        <x:v>0</x:v>
      </x:c>
      <x:c r="BA47" t="n">
        <x:f>IF(AND('01_Run_Config'!$B$52="AN Bud Ignitor &gt; Big Bud &gt; Overdrive",ISNUMBER(AL47),AL47&gt;=1,AL47&lt;=14),2,0)</x:f>
        <x:v>0</x:v>
      </x:c>
      <x:c r="BB47" t="n">
        <x:f>IF(AND('01_Run_Config'!$B$52="AN Bud Ignitor &gt; Big Bud &gt; Overdrive",ISNUMBER(AL47),AL47&gt;=8,AL47&lt;=35),2,0)</x:f>
        <x:v>0</x:v>
      </x:c>
      <x:c r="BC47" t="n">
        <x:f>IF(AND('01_Run_Config'!$B$52="AN Bud Ignitor &gt; Big Bud &gt; Overdrive",ISNUMBER(AL47),AL47&gt;=36,AL47&lt;=49),2,0)</x:f>
        <x:v>0</x:v>
      </x:c>
      <x:c r="BD47" t="n">
        <x:f>IF('01_Run_Config'!$B$53="ON / EXPERIMENTAL",IF(OR(AND(A47&gt;='01_Run_Config'!$B$32,A47&lt;'01_Run_Config'!$B$33),AND(ISNUMBER(AL47),AL47&gt;=15,AL47&lt;=49)),2,0),0)</x:f>
        <x:v>0</x:v>
      </x:c>
      <x:c r="BE47" t="n">
        <x:f>IF('01_Run_Config'!$B$54="AN Sensi CalMag Xtra conditional",'01_Run_Config'!$B$17,0)</x:f>
        <x:v>0</x:v>
      </x:c>
      <x:c r="BF47" t="n">
        <x:f>0</x:f>
        <x:v>0</x:v>
      </x:c>
      <x:c r="BG47" t="str">
        <x:f>'01_Run_Config'!$E$57</x:f>
        <x:v>OK</x:v>
      </x:c>
      <x:c r="BH47" t="str">
        <x:f>IF(SUM(AC47,AT47:BF47)=0,"keine AN-Dosis heute",IF(AC47&gt;0,"Voodoo "&amp;AC47&amp;" ml/L; ","")&amp;IF(AT47&gt;0,"Piranha "&amp;AT47&amp;" ml/L; ","")&amp;IF(AU47&gt;0,"Tarantula "&amp;AU47&amp;" ml/L; ","")&amp;IF(AV47&gt;0,"B-52 "&amp;AV47&amp;" ml/L; ","")&amp;IF(AW47&gt;0,"Bud Candy "&amp;AW47&amp;" ml/L; ","")&amp;IF(AX47&gt;0,"Bud Factor X "&amp;AX47&amp;" ml/L; ","")&amp;IF(AY47&gt;0,"Sensizym "&amp;AY47&amp;" ml/L; ","")&amp;IF(AZ47&gt;0,"Rhino Skin "&amp;AZ47&amp;" ml/L; ","")&amp;IF(BA47&gt;0,"Bud Ignitor "&amp;BA47&amp;" ml/L; ","")&amp;IF(BB47&gt;0,"Big Bud "&amp;BB47&amp;" ml/L; ","")&amp;IF(BC47&gt;0,"Overdrive "&amp;BC47&amp;" ml/L; ","")&amp;IF(BD47&gt;0,"Tasty Terpenes "&amp;BD47&amp;" ml/L; ","")&amp;IF(BE47&gt;0,"Sensi CalMag "&amp;BE47&amp;" ml/L",""))</x:f>
        <x:v>keine AN-Dosis heute</x:v>
      </x:c>
    </x:row>
    <x:row r="48">
      <x:c r="A48" s="34" t="n">
        <x:v>46</x:v>
      </x:c>
      <x:c r="B48" s="129" t="n">
        <x:f>'01_Run_Config'!$B$4+A48</x:f>
        <x:v>46288</x:v>
      </x:c>
      <x:c r="C48" s="63" t="n">
        <x:f>INT(A48/7)+1</x:f>
        <x:v>7</x:v>
      </x:c>
      <x:c r="D48" s="63" t="str">
        <x:f>"M"&amp;MIN(3,INT(A48/30)+1)</x:f>
        <x:v>M2</x:v>
      </x:c>
      <x:c r="E48" s="63" t="str">
        <x:f>IF(A48&lt;4,"Keimung",IF(A48&lt;8,"Etablierung",IF(A48&lt;15,"Early Veg",IF(A48&lt;'01_Run_Config'!$B$33,IF(A48&lt;22,"Veg / LST","Preflower-Watch"),IF(A48-'01_Run_Config'!$B$33&lt;=6,"Transition / Stretch ("&amp;AM48&amp;")",IF(A48-'01_Run_Config'!$B$33&lt;=13,"Early Flower ("&amp;AM48&amp;")",IF(A48-'01_Run_Config'!$B$33&lt;=20,"Flower I ("&amp;AM48&amp;")",IF(A48-'01_Run_Config'!$B$33&lt;=34,"Peak Flower ("&amp;AM48&amp;")",IF(A48-'01_Run_Config'!$B$33&lt;=41,"Late Flower ("&amp;AM48&amp;")",IF(A48-'01_Run_Config'!$B$33&lt;=48,"Ripening ("&amp;AM48&amp;")","Harvest / Extension ("&amp;AM48&amp;")"))))))))))</x:f>
        <x:v>Flower I (B3)</x:v>
      </x:c>
      <x:c r="F48" s="63" t="str">
        <x:f>IF(A48&lt;4,"Keimung + Wurzelstart",IF(A48&lt;8,"Sämling etablieren; Wurzelraum erschließen",IF(A48&lt;15,"kompakter Aufbau; LST erst bei Vitalität",IF(A48&lt;'01_Run_Config'!$B$33,"Canopy aufbauen; Preflower beobachten",IF(A48-'01_Run_Config'!$B$33&lt;=6,"Stretch kontrollieren; Bloom-Trigger dokumentieren",IF(A48-'01_Run_Config'!$B$33&lt;=13,"Blütenansatz stabilisieren",IF(A48-'01_Run_Config'!$B$33&lt;=20,"Blütenaufbau ohne neue Stressoren",IF(A48-'01_Run_Config'!$B$33&lt;=34,"stabile Peak-Photosynthese; Klima priorisieren",IF(A48-'01_Run_Config'!$B$33&lt;=41,"Qualität/Schimmelprävention",IF(A48-'01_Run_Config'!$B$33&lt;=48,"Reife ohne Überfütterung","Erntefenster nach Pflanze; keine Kalenderernte"))))))))))</x:f>
        <x:v>Blütenaufbau ohne neue Stressoren</x:v>
      </x:c>
      <x:c r="G48" s="63" t="n">
        <x:v>18</x:v>
      </x:c>
      <x:c r="H48" s="63" t="n">
        <x:v>140</x:v>
      </x:c>
      <x:c r="I48" s="63" t="n">
        <x:v>625</x:v>
      </x:c>
      <x:c r="J48" s="63" t="n">
        <x:f>I48*G48*3600/1000000</x:f>
        <x:v>40.5</x:v>
      </x:c>
      <x:c r="K48" s="63" t="n">
        <x:v>34</x:v>
      </x:c>
      <x:c r="L48" s="63" t="n">
        <x:v>24.5</x:v>
      </x:c>
      <x:c r="M48" s="63" t="n">
        <x:v>21</x:v>
      </x:c>
      <x:c r="N48" s="63" t="n">
        <x:v>47</x:v>
      </x:c>
      <x:c r="O48" s="63" t="n">
        <x:f>ROUND(0.6108*EXP(17.27*(L48+'01_Run_Config'!$B$34)/(L48+'01_Run_Config'!$B$34+237.3))-(N48/100)*0.6108*EXP(17.27*L48/(L48+237.3)),2)</x:f>
        <x:v>1.45</x:v>
      </x:c>
      <x:c r="P48" s="63" t="n">
        <x:f>IF(A48&lt;'01_Run_Config'!$B$32,0.55,IF(A48&lt;'01_Run_Config'!$B$33,IF(A48-'01_Run_Config'!$B$32&lt;=3,0.8,IF(A48-'01_Run_Config'!$B$32&lt;=10,1,IF(A48-'01_Run_Config'!$B$32&lt;=17,1.2,1.4))),IF(A48-'01_Run_Config'!$B$33&lt;=6,1.5,IF(A48-'01_Run_Config'!$B$33&lt;=13,1.6,IF(A48-'01_Run_Config'!$B$33&lt;=20,1.7,IF(A48-'01_Run_Config'!$B$33&lt;=34,1.8,IF(A48-'01_Run_Config'!$B$33&lt;=41,1.6,IF(A48-'01_Run_Config'!$B$33&lt;=48,1.4,1.15))))))))</x:f>
        <x:v>1.7</x:v>
      </x:c>
      <x:c r="Q48" s="63" t="n">
        <x:v>5.9</x:v>
      </x:c>
      <x:c r="R48" s="63" t="n">
        <x:v>0.9</x:v>
      </x:c>
      <x:c r="S48" s="63" t="n">
        <x:v>1.5</x:v>
      </x:c>
      <x:c r="T48" s="63" t="str">
        <x:f>IF(A48&lt;=7,"Manuell",'01_Run_Config'!$B$40)</x:f>
        <x:v>Manuell / indoor-freigegebene Automation</x:v>
      </x:c>
      <x:c r="U48" s="63" t="str">
        <x:f>IF(A48&lt;'01_Run_Config'!$B$32,"Kein Basisdünger",IF(A48&lt;'01_Run_Config'!$B$33,"HESI TNT","HESI Coco"))</x:f>
        <x:v>HESI Coco</x:v>
      </x:c>
      <x:c r="V48" s="63" t="n">
        <x:f>IF(A48&lt;'01_Run_Config'!$B$32,0,IF(A48&lt;'01_Run_Config'!$B$33,IF(A48-'01_Run_Config'!$B$32&lt;=3,1.25,IF(A48-'01_Run_Config'!$B$32&lt;=10,2,2.5)),IF(A48-'01_Run_Config'!$B$33&lt;=6,2.5,IF(A48-'01_Run_Config'!$B$33&lt;=13,3.25,IF(A48-'01_Run_Config'!$B$33&lt;=20,3.75,IF(A48-'01_Run_Config'!$B$33&lt;=34,4,IF(A48-'01_Run_Config'!$B$33&lt;=41,3.5,IF(A48-'01_Run_Config'!$B$33&lt;=48,2.5,1.5))))))))</x:f>
        <x:v>3.75</x:v>
      </x:c>
      <x:c r="W48" s="63" t="n">
        <x:f>IF(A48&lt;=14,2.5,0)</x:f>
        <x:v>0</x:v>
      </x:c>
      <x:c r="X48" s="63" t="n">
        <x:f>IF('01_Run_Config'!$B$50="AN Sensizym",0,IF(AND(A48&gt;='01_Run_Config'!$B$32,OR(AL48="",AL48&lt;=49)),2,0))</x:f>
        <x:v>2</x:v>
      </x:c>
      <x:c r="Y48" s="63" t="n">
        <x:f>0.015</x:f>
        <x:v>0.015</x:v>
      </x:c>
      <x:c r="Z48" s="63" t="n">
        <x:f>IF('01_Run_Config'!$B$51="HESI Hesilicio",2,0)</x:f>
        <x:v>0</x:v>
      </x:c>
      <x:c r="AA48" s="63" t="n">
        <x:f>IF('01_Run_Config'!$B$48="AN Bud Candy (replaces HESI Boost)",0,IF(AND(A48&gt;='01_Run_Config'!$B$33,MOD(A48-'01_Run_Config'!$B$33,7)=0),2,0))</x:f>
        <x:v>0</x:v>
      </x:c>
      <x:c r="AB48" s="63" t="n">
        <x:f>IF('01_Run_Config'!$B$52="AN Bud Ignitor &gt; Big Bud &gt; Overdrive",0,IF(AND(ISNUMBER(AL48),AL48&gt;=29,AL48&lt;=42),0.25+((AL48-29)/13)*0.25,0))</x:f>
        <x:v>0</x:v>
      </x:c>
      <x:c r="AC48" s="63" t="n">
        <x:f>IF('01_Run_Config'!$B$46="OFF",0,IF(OR(A48='01_Run_Config'!$B$32,A48='01_Run_Config'!$B$32+7,A48='01_Run_Config'!$B$33+1,A48='01_Run_Config'!$B$33+8),2,0))</x:f>
        <x:v>0</x:v>
      </x:c>
      <x:c r="AD48" s="63" t="str">
        <x:f>IF(BG48="BLOCK","HYBRID BLOCKED - Konfiguration prüfen",IF(SUM(AC48,AT48:BF48)&gt;0,"AN aktiv: "&amp;BH48,"AN: keine Dosis heute / Module aus"))</x:f>
        <x:v>AN: keine Dosis heute / Module aus</x:v>
      </x:c>
      <x:c r="AE48" s="63" t="str">
        <x:v>Nur Support / Luftkanäle</x:v>
      </x:c>
      <x:c r="AF48" s="63" t="str">
        <x:v>Morgens Klima/Pflanze/Bewässerung/Leck; Mitte Lichtphase Blattwinkel; vor Dunkel LF/Drain/stehendes Wasser.</x:v>
      </x:c>
      <x:c r="AG48" s="63" t="str">
        <x:v>EC nicht erhöhen bei steigender Diagnose-Drain-EC; PPFD nicht erhöhen bei Stress; Wasserband nie erzwingen; nie mehrere neue Booster gleichzeitig.</x:v>
      </x:c>
      <x:c r="AH48" s="35" t="str">
        <x:f>"UKD v9 evidence-guarded: Planwerte sind Ziele/Eligibility, keine automatische Freigabe. Eazy Plug/Block ist vorgepuffert; früher Basisfeed bleibt vom Propagation-/Pflanzengate abhängig. Messdaten und Safety-Gates überschreiben Kalender."</x:f>
        <x:v>UKD v9 evidence-guarded: Planwerte sind Ziele/Eligibility, keine automatische Freigabe. Eazy Plug/Block ist vorgepuffert; früher Basisfeed bleibt vom Propagation-/Pflanzengate abhängig. Messdaten und Safety-Gates überschreiben Kalender.</x:v>
      </x:c>
      <x:c r="AI48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48" s="201" t="str">
        <x:f>IF(A48&lt;'01_Run_Config'!$B$32,"—",IF(A48&lt;'01_Run_Config'!$B$33,"G"&amp;MIN(4,INT((A48-'01_Run_Config'!$B$32)/7)+1),AM48))</x:f>
        <x:v>B3</x:v>
      </x:c>
      <x:c r="AK48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48" s="60" t="n">
        <x:f>IF(A48&lt;'01_Run_Config'!$B$33,"",A48-'01_Run_Config'!$B$33+1)</x:f>
        <x:v>19</x:v>
      </x:c>
      <x:c r="AM48" s="60" t="str">
        <x:f>IF(AL48="","",IF(AL48&gt;49,CHAR(66)&amp;"7+",CHAR(66)&amp;TEXT(INT((AL48-1)/7)+1,"0")))</x:f>
        <x:v>B3</x:v>
      </x:c>
      <x:c r="AN48" s="60" t="n">
        <x:f>ROUND(0.6108*EXP(17.27*L48/(L48+237.3))*(1-N48/100),2)</x:f>
        <x:v>1.63</x:v>
      </x:c>
      <x:c r="AO48" s="60" t="n">
        <x:f>H48*G48/1000</x:f>
        <x:v>2.52</x:v>
      </x:c>
      <x:c r="AP48" s="60" t="n">
        <x:f>SUM($AO$2:AO48)</x:f>
        <x:v>75.59999999999998</x:v>
      </x:c>
      <x:c r="AQ48" t="n">
        <x:f>'01_Run_Config'!$B$17</x:f>
        <x:v>0</x:v>
      </x:c>
      <x:c r="AR48" t="n">
        <x:f>'01_Run_Config'!$B$22</x:f>
        <x:v>0</x:v>
      </x:c>
      <x:c r="AS48" t="n">
        <x:f>'01_Run_Config'!$B$25</x:f>
        <x:v>0</x:v>
      </x:c>
      <x:c r="AT48" t="n">
        <x:f>IF(AND('01_Run_Config'!$B$46="Voodoo + Piranha + Tarantula",AC48&gt;0),2,0)</x:f>
        <x:v>0</x:v>
      </x:c>
      <x:c r="AU48" t="n">
        <x:f>IF(AND(OR('01_Run_Config'!$B$46="Voodoo + Tarantula",'01_Run_Config'!$B$46="Voodoo + Piranha + Tarantula"),AC48&gt;0),2,0)</x:f>
        <x:v>0</x:v>
      </x:c>
      <x:c r="AV48" t="n">
        <x:f>IF('01_Run_Config'!$B$47&lt;&gt;"ON / A-B",0,IF(OR(AND(A48&gt;='01_Run_Config'!$B$32,A48&lt;'01_Run_Config'!$B$33),AND(ISNUMBER(AL48),AL48&gt;=15,AL48&lt;=49)),2,0))</x:f>
        <x:v>0</x:v>
      </x:c>
      <x:c r="AW48" t="n">
        <x:f>IF('01_Run_Config'!$B$48="AN Bud Candy (replaces HESI Boost)",IF(AND(A48&gt;='01_Run_Config'!$B$32,OR(AL48="",AL48&lt;=49)),2,0),0)</x:f>
        <x:v>0</x:v>
      </x:c>
      <x:c r="AX48" t="n">
        <x:f>IF('01_Run_Config'!$B$49&lt;&gt;"ON / EXPERIMENTAL",0,IF(OR(AND(A48&gt;='01_Run_Config'!$B$32+7,A48&lt;'01_Run_Config'!$B$33),AND(ISNUMBER(AL48),AL48&gt;=1,AL48&lt;=49)),2,0))</x:f>
        <x:v>0</x:v>
      </x:c>
      <x:c r="AY48" t="n">
        <x:f>IF('01_Run_Config'!$B$50="AN Sensizym",IF(AND(A48&gt;='01_Run_Config'!$B$32,OR(AL48="",AL48&lt;=49)),2,0),0)</x:f>
        <x:v>0</x:v>
      </x:c>
      <x:c r="AZ48" t="n">
        <x:f>IF('01_Run_Config'!$B$51="AN Rhino Skin",IF(AND(A48&gt;='01_Run_Config'!$B$32,OR(AL48="",AL48&lt;=49)),2,0),0)</x:f>
        <x:v>0</x:v>
      </x:c>
      <x:c r="BA48" t="n">
        <x:f>IF(AND('01_Run_Config'!$B$52="AN Bud Ignitor &gt; Big Bud &gt; Overdrive",ISNUMBER(AL48),AL48&gt;=1,AL48&lt;=14),2,0)</x:f>
        <x:v>0</x:v>
      </x:c>
      <x:c r="BB48" t="n">
        <x:f>IF(AND('01_Run_Config'!$B$52="AN Bud Ignitor &gt; Big Bud &gt; Overdrive",ISNUMBER(AL48),AL48&gt;=8,AL48&lt;=35),2,0)</x:f>
        <x:v>0</x:v>
      </x:c>
      <x:c r="BC48" t="n">
        <x:f>IF(AND('01_Run_Config'!$B$52="AN Bud Ignitor &gt; Big Bud &gt; Overdrive",ISNUMBER(AL48),AL48&gt;=36,AL48&lt;=49),2,0)</x:f>
        <x:v>0</x:v>
      </x:c>
      <x:c r="BD48" t="n">
        <x:f>IF('01_Run_Config'!$B$53="ON / EXPERIMENTAL",IF(OR(AND(A48&gt;='01_Run_Config'!$B$32,A48&lt;'01_Run_Config'!$B$33),AND(ISNUMBER(AL48),AL48&gt;=15,AL48&lt;=49)),2,0),0)</x:f>
        <x:v>0</x:v>
      </x:c>
      <x:c r="BE48" t="n">
        <x:f>IF('01_Run_Config'!$B$54="AN Sensi CalMag Xtra conditional",'01_Run_Config'!$B$17,0)</x:f>
        <x:v>0</x:v>
      </x:c>
      <x:c r="BF48" t="n">
        <x:f>0</x:f>
        <x:v>0</x:v>
      </x:c>
      <x:c r="BG48" t="str">
        <x:f>'01_Run_Config'!$E$57</x:f>
        <x:v>OK</x:v>
      </x:c>
      <x:c r="BH48" t="str">
        <x:f>IF(SUM(AC48,AT48:BF48)=0,"keine AN-Dosis heute",IF(AC48&gt;0,"Voodoo "&amp;AC48&amp;" ml/L; ","")&amp;IF(AT48&gt;0,"Piranha "&amp;AT48&amp;" ml/L; ","")&amp;IF(AU48&gt;0,"Tarantula "&amp;AU48&amp;" ml/L; ","")&amp;IF(AV48&gt;0,"B-52 "&amp;AV48&amp;" ml/L; ","")&amp;IF(AW48&gt;0,"Bud Candy "&amp;AW48&amp;" ml/L; ","")&amp;IF(AX48&gt;0,"Bud Factor X "&amp;AX48&amp;" ml/L; ","")&amp;IF(AY48&gt;0,"Sensizym "&amp;AY48&amp;" ml/L; ","")&amp;IF(AZ48&gt;0,"Rhino Skin "&amp;AZ48&amp;" ml/L; ","")&amp;IF(BA48&gt;0,"Bud Ignitor "&amp;BA48&amp;" ml/L; ","")&amp;IF(BB48&gt;0,"Big Bud "&amp;BB48&amp;" ml/L; ","")&amp;IF(BC48&gt;0,"Overdrive "&amp;BC48&amp;" ml/L; ","")&amp;IF(BD48&gt;0,"Tasty Terpenes "&amp;BD48&amp;" ml/L; ","")&amp;IF(BE48&gt;0,"Sensi CalMag "&amp;BE48&amp;" ml/L",""))</x:f>
        <x:v>keine AN-Dosis heute</x:v>
      </x:c>
    </x:row>
    <x:row r="49">
      <x:c r="A49" s="34" t="n">
        <x:v>47</x:v>
      </x:c>
      <x:c r="B49" s="129" t="n">
        <x:f>'01_Run_Config'!$B$4+A49</x:f>
        <x:v>46289</x:v>
      </x:c>
      <x:c r="C49" s="63" t="n">
        <x:f>INT(A49/7)+1</x:f>
        <x:v>7</x:v>
      </x:c>
      <x:c r="D49" s="63" t="str">
        <x:f>"M"&amp;MIN(3,INT(A49/30)+1)</x:f>
        <x:v>M2</x:v>
      </x:c>
      <x:c r="E49" s="63" t="str">
        <x:f>IF(A49&lt;4,"Keimung",IF(A49&lt;8,"Etablierung",IF(A49&lt;15,"Early Veg",IF(A49&lt;'01_Run_Config'!$B$33,IF(A49&lt;22,"Veg / LST","Preflower-Watch"),IF(A49-'01_Run_Config'!$B$33&lt;=6,"Transition / Stretch ("&amp;AM49&amp;")",IF(A49-'01_Run_Config'!$B$33&lt;=13,"Early Flower ("&amp;AM49&amp;")",IF(A49-'01_Run_Config'!$B$33&lt;=20,"Flower I ("&amp;AM49&amp;")",IF(A49-'01_Run_Config'!$B$33&lt;=34,"Peak Flower ("&amp;AM49&amp;")",IF(A49-'01_Run_Config'!$B$33&lt;=41,"Late Flower ("&amp;AM49&amp;")",IF(A49-'01_Run_Config'!$B$33&lt;=48,"Ripening ("&amp;AM49&amp;")","Harvest / Extension ("&amp;AM49&amp;")"))))))))))</x:f>
        <x:v>Flower I (B3)</x:v>
      </x:c>
      <x:c r="F49" s="63" t="str">
        <x:f>IF(A49&lt;4,"Keimung + Wurzelstart",IF(A49&lt;8,"Sämling etablieren; Wurzelraum erschließen",IF(A49&lt;15,"kompakter Aufbau; LST erst bei Vitalität",IF(A49&lt;'01_Run_Config'!$B$33,"Canopy aufbauen; Preflower beobachten",IF(A49-'01_Run_Config'!$B$33&lt;=6,"Stretch kontrollieren; Bloom-Trigger dokumentieren",IF(A49-'01_Run_Config'!$B$33&lt;=13,"Blütenansatz stabilisieren",IF(A49-'01_Run_Config'!$B$33&lt;=20,"Blütenaufbau ohne neue Stressoren",IF(A49-'01_Run_Config'!$B$33&lt;=34,"stabile Peak-Photosynthese; Klima priorisieren",IF(A49-'01_Run_Config'!$B$33&lt;=41,"Qualität/Schimmelprävention",IF(A49-'01_Run_Config'!$B$33&lt;=48,"Reife ohne Überfütterung","Erntefenster nach Pflanze; keine Kalenderernte"))))))))))</x:f>
        <x:v>Blütenaufbau ohne neue Stressoren</x:v>
      </x:c>
      <x:c r="G49" s="63" t="n">
        <x:v>18</x:v>
      </x:c>
      <x:c r="H49" s="63" t="n">
        <x:v>140</x:v>
      </x:c>
      <x:c r="I49" s="63" t="n">
        <x:v>625</x:v>
      </x:c>
      <x:c r="J49" s="63" t="n">
        <x:f>I49*G49*3600/1000000</x:f>
        <x:v>40.5</x:v>
      </x:c>
      <x:c r="K49" s="63" t="n">
        <x:v>34</x:v>
      </x:c>
      <x:c r="L49" s="63" t="n">
        <x:v>24.5</x:v>
      </x:c>
      <x:c r="M49" s="63" t="n">
        <x:v>21</x:v>
      </x:c>
      <x:c r="N49" s="63" t="n">
        <x:v>47</x:v>
      </x:c>
      <x:c r="O49" s="63" t="n">
        <x:f>ROUND(0.6108*EXP(17.27*(L49+'01_Run_Config'!$B$34)/(L49+'01_Run_Config'!$B$34+237.3))-(N49/100)*0.6108*EXP(17.27*L49/(L49+237.3)),2)</x:f>
        <x:v>1.45</x:v>
      </x:c>
      <x:c r="P49" s="63" t="n">
        <x:f>IF(A49&lt;'01_Run_Config'!$B$32,0.55,IF(A49&lt;'01_Run_Config'!$B$33,IF(A49-'01_Run_Config'!$B$32&lt;=3,0.8,IF(A49-'01_Run_Config'!$B$32&lt;=10,1,IF(A49-'01_Run_Config'!$B$32&lt;=17,1.2,1.4))),IF(A49-'01_Run_Config'!$B$33&lt;=6,1.5,IF(A49-'01_Run_Config'!$B$33&lt;=13,1.6,IF(A49-'01_Run_Config'!$B$33&lt;=20,1.7,IF(A49-'01_Run_Config'!$B$33&lt;=34,1.8,IF(A49-'01_Run_Config'!$B$33&lt;=41,1.6,IF(A49-'01_Run_Config'!$B$33&lt;=48,1.4,1.15))))))))</x:f>
        <x:v>1.7</x:v>
      </x:c>
      <x:c r="Q49" s="63" t="n">
        <x:v>5.9</x:v>
      </x:c>
      <x:c r="R49" s="63" t="n">
        <x:v>0.9</x:v>
      </x:c>
      <x:c r="S49" s="63" t="n">
        <x:v>1.5</x:v>
      </x:c>
      <x:c r="T49" s="63" t="str">
        <x:f>IF(A49&lt;=7,"Manuell",'01_Run_Config'!$B$40)</x:f>
        <x:v>Manuell / indoor-freigegebene Automation</x:v>
      </x:c>
      <x:c r="U49" s="63" t="str">
        <x:f>IF(A49&lt;'01_Run_Config'!$B$32,"Kein Basisdünger",IF(A49&lt;'01_Run_Config'!$B$33,"HESI TNT","HESI Coco"))</x:f>
        <x:v>HESI Coco</x:v>
      </x:c>
      <x:c r="V49" s="63" t="n">
        <x:f>IF(A49&lt;'01_Run_Config'!$B$32,0,IF(A49&lt;'01_Run_Config'!$B$33,IF(A49-'01_Run_Config'!$B$32&lt;=3,1.25,IF(A49-'01_Run_Config'!$B$32&lt;=10,2,2.5)),IF(A49-'01_Run_Config'!$B$33&lt;=6,2.5,IF(A49-'01_Run_Config'!$B$33&lt;=13,3.25,IF(A49-'01_Run_Config'!$B$33&lt;=20,3.75,IF(A49-'01_Run_Config'!$B$33&lt;=34,4,IF(A49-'01_Run_Config'!$B$33&lt;=41,3.5,IF(A49-'01_Run_Config'!$B$33&lt;=48,2.5,1.5))))))))</x:f>
        <x:v>3.75</x:v>
      </x:c>
      <x:c r="W49" s="63" t="n">
        <x:f>IF(A49&lt;=14,2.5,0)</x:f>
        <x:v>0</x:v>
      </x:c>
      <x:c r="X49" s="63" t="n">
        <x:f>IF('01_Run_Config'!$B$50="AN Sensizym",0,IF(AND(A49&gt;='01_Run_Config'!$B$32,OR(AL49="",AL49&lt;=49)),2,0))</x:f>
        <x:v>2</x:v>
      </x:c>
      <x:c r="Y49" s="63" t="n">
        <x:f>0.015</x:f>
        <x:v>0.015</x:v>
      </x:c>
      <x:c r="Z49" s="63" t="n">
        <x:f>IF('01_Run_Config'!$B$51="HESI Hesilicio",2,0)</x:f>
        <x:v>0</x:v>
      </x:c>
      <x:c r="AA49" s="63" t="n">
        <x:f>IF('01_Run_Config'!$B$48="AN Bud Candy (replaces HESI Boost)",0,IF(AND(A49&gt;='01_Run_Config'!$B$33,MOD(A49-'01_Run_Config'!$B$33,7)=0),2,0))</x:f>
        <x:v>0</x:v>
      </x:c>
      <x:c r="AB49" s="63" t="n">
        <x:f>IF('01_Run_Config'!$B$52="AN Bud Ignitor &gt; Big Bud &gt; Overdrive",0,IF(AND(ISNUMBER(AL49),AL49&gt;=29,AL49&lt;=42),0.25+((AL49-29)/13)*0.25,0))</x:f>
        <x:v>0</x:v>
      </x:c>
      <x:c r="AC49" s="63" t="n">
        <x:f>IF('01_Run_Config'!$B$46="OFF",0,IF(OR(A49='01_Run_Config'!$B$32,A49='01_Run_Config'!$B$32+7,A49='01_Run_Config'!$B$33+1,A49='01_Run_Config'!$B$33+8),2,0))</x:f>
        <x:v>0</x:v>
      </x:c>
      <x:c r="AD49" s="63" t="str">
        <x:f>IF(BG49="BLOCK","HYBRID BLOCKED - Konfiguration prüfen",IF(SUM(AC49,AT49:BF49)&gt;0,"AN aktiv: "&amp;BH49,"AN: keine Dosis heute / Module aus"))</x:f>
        <x:v>AN: keine Dosis heute / Module aus</x:v>
      </x:c>
      <x:c r="AE49" s="63" t="str">
        <x:v>Nur Support / Luftkanäle</x:v>
      </x:c>
      <x:c r="AF49" s="63" t="str">
        <x:v>Morgens Klima/Pflanze/Bewässerung/Leck; Mitte Lichtphase Blattwinkel; vor Dunkel LF/Drain/stehendes Wasser.</x:v>
      </x:c>
      <x:c r="AG49" s="63" t="str">
        <x:v>EC nicht erhöhen bei steigender Diagnose-Drain-EC; PPFD nicht erhöhen bei Stress; Wasserband nie erzwingen; nie mehrere neue Booster gleichzeitig.</x:v>
      </x:c>
      <x:c r="AH49" s="35" t="str">
        <x:f>"UKD v9 evidence-guarded: Planwerte sind Ziele/Eligibility, keine automatische Freigabe. Eazy Plug/Block ist vorgepuffert; früher Basisfeed bleibt vom Propagation-/Pflanzengate abhängig. Messdaten und Safety-Gates überschreiben Kalender."</x:f>
        <x:v>UKD v9 evidence-guarded: Planwerte sind Ziele/Eligibility, keine automatische Freigabe. Eazy Plug/Block ist vorgepuffert; früher Basisfeed bleibt vom Propagation-/Pflanzengate abhängig. Messdaten und Safety-Gates überschreiben Kalender.</x:v>
      </x:c>
      <x:c r="AI49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49" s="201" t="str">
        <x:f>IF(A49&lt;'01_Run_Config'!$B$32,"—",IF(A49&lt;'01_Run_Config'!$B$33,"G"&amp;MIN(4,INT((A49-'01_Run_Config'!$B$32)/7)+1),AM49))</x:f>
        <x:v>B3</x:v>
      </x:c>
      <x:c r="AK49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49" s="60" t="n">
        <x:f>IF(A49&lt;'01_Run_Config'!$B$33,"",A49-'01_Run_Config'!$B$33+1)</x:f>
        <x:v>20</x:v>
      </x:c>
      <x:c r="AM49" s="60" t="str">
        <x:f>IF(AL49="","",IF(AL49&gt;49,CHAR(66)&amp;"7+",CHAR(66)&amp;TEXT(INT((AL49-1)/7)+1,"0")))</x:f>
        <x:v>B3</x:v>
      </x:c>
      <x:c r="AN49" s="60" t="n">
        <x:f>ROUND(0.6108*EXP(17.27*L49/(L49+237.3))*(1-N49/100),2)</x:f>
        <x:v>1.63</x:v>
      </x:c>
      <x:c r="AO49" s="60" t="n">
        <x:f>H49*G49/1000</x:f>
        <x:v>2.52</x:v>
      </x:c>
      <x:c r="AP49" s="60" t="n">
        <x:f>SUM($AO$2:AO49)</x:f>
        <x:v>78.11999999999998</x:v>
      </x:c>
      <x:c r="AQ49" t="n">
        <x:f>'01_Run_Config'!$B$17</x:f>
        <x:v>0</x:v>
      </x:c>
      <x:c r="AR49" t="n">
        <x:f>'01_Run_Config'!$B$22</x:f>
        <x:v>0</x:v>
      </x:c>
      <x:c r="AS49" t="n">
        <x:f>'01_Run_Config'!$B$25</x:f>
        <x:v>0</x:v>
      </x:c>
      <x:c r="AT49" t="n">
        <x:f>IF(AND('01_Run_Config'!$B$46="Voodoo + Piranha + Tarantula",AC49&gt;0),2,0)</x:f>
        <x:v>0</x:v>
      </x:c>
      <x:c r="AU49" t="n">
        <x:f>IF(AND(OR('01_Run_Config'!$B$46="Voodoo + Tarantula",'01_Run_Config'!$B$46="Voodoo + Piranha + Tarantula"),AC49&gt;0),2,0)</x:f>
        <x:v>0</x:v>
      </x:c>
      <x:c r="AV49" t="n">
        <x:f>IF('01_Run_Config'!$B$47&lt;&gt;"ON / A-B",0,IF(OR(AND(A49&gt;='01_Run_Config'!$B$32,A49&lt;'01_Run_Config'!$B$33),AND(ISNUMBER(AL49),AL49&gt;=15,AL49&lt;=49)),2,0))</x:f>
        <x:v>0</x:v>
      </x:c>
      <x:c r="AW49" t="n">
        <x:f>IF('01_Run_Config'!$B$48="AN Bud Candy (replaces HESI Boost)",IF(AND(A49&gt;='01_Run_Config'!$B$32,OR(AL49="",AL49&lt;=49)),2,0),0)</x:f>
        <x:v>0</x:v>
      </x:c>
      <x:c r="AX49" t="n">
        <x:f>IF('01_Run_Config'!$B$49&lt;&gt;"ON / EXPERIMENTAL",0,IF(OR(AND(A49&gt;='01_Run_Config'!$B$32+7,A49&lt;'01_Run_Config'!$B$33),AND(ISNUMBER(AL49),AL49&gt;=1,AL49&lt;=49)),2,0))</x:f>
        <x:v>0</x:v>
      </x:c>
      <x:c r="AY49" t="n">
        <x:f>IF('01_Run_Config'!$B$50="AN Sensizym",IF(AND(A49&gt;='01_Run_Config'!$B$32,OR(AL49="",AL49&lt;=49)),2,0),0)</x:f>
        <x:v>0</x:v>
      </x:c>
      <x:c r="AZ49" t="n">
        <x:f>IF('01_Run_Config'!$B$51="AN Rhino Skin",IF(AND(A49&gt;='01_Run_Config'!$B$32,OR(AL49="",AL49&lt;=49)),2,0),0)</x:f>
        <x:v>0</x:v>
      </x:c>
      <x:c r="BA49" t="n">
        <x:f>IF(AND('01_Run_Config'!$B$52="AN Bud Ignitor &gt; Big Bud &gt; Overdrive",ISNUMBER(AL49),AL49&gt;=1,AL49&lt;=14),2,0)</x:f>
        <x:v>0</x:v>
      </x:c>
      <x:c r="BB49" t="n">
        <x:f>IF(AND('01_Run_Config'!$B$52="AN Bud Ignitor &gt; Big Bud &gt; Overdrive",ISNUMBER(AL49),AL49&gt;=8,AL49&lt;=35),2,0)</x:f>
        <x:v>0</x:v>
      </x:c>
      <x:c r="BC49" t="n">
        <x:f>IF(AND('01_Run_Config'!$B$52="AN Bud Ignitor &gt; Big Bud &gt; Overdrive",ISNUMBER(AL49),AL49&gt;=36,AL49&lt;=49),2,0)</x:f>
        <x:v>0</x:v>
      </x:c>
      <x:c r="BD49" t="n">
        <x:f>IF('01_Run_Config'!$B$53="ON / EXPERIMENTAL",IF(OR(AND(A49&gt;='01_Run_Config'!$B$32,A49&lt;'01_Run_Config'!$B$33),AND(ISNUMBER(AL49),AL49&gt;=15,AL49&lt;=49)),2,0),0)</x:f>
        <x:v>0</x:v>
      </x:c>
      <x:c r="BE49" t="n">
        <x:f>IF('01_Run_Config'!$B$54="AN Sensi CalMag Xtra conditional",'01_Run_Config'!$B$17,0)</x:f>
        <x:v>0</x:v>
      </x:c>
      <x:c r="BF49" t="n">
        <x:f>0</x:f>
        <x:v>0</x:v>
      </x:c>
      <x:c r="BG49" t="str">
        <x:f>'01_Run_Config'!$E$57</x:f>
        <x:v>OK</x:v>
      </x:c>
      <x:c r="BH49" t="str">
        <x:f>IF(SUM(AC49,AT49:BF49)=0,"keine AN-Dosis heute",IF(AC49&gt;0,"Voodoo "&amp;AC49&amp;" ml/L; ","")&amp;IF(AT49&gt;0,"Piranha "&amp;AT49&amp;" ml/L; ","")&amp;IF(AU49&gt;0,"Tarantula "&amp;AU49&amp;" ml/L; ","")&amp;IF(AV49&gt;0,"B-52 "&amp;AV49&amp;" ml/L; ","")&amp;IF(AW49&gt;0,"Bud Candy "&amp;AW49&amp;" ml/L; ","")&amp;IF(AX49&gt;0,"Bud Factor X "&amp;AX49&amp;" ml/L; ","")&amp;IF(AY49&gt;0,"Sensizym "&amp;AY49&amp;" ml/L; ","")&amp;IF(AZ49&gt;0,"Rhino Skin "&amp;AZ49&amp;" ml/L; ","")&amp;IF(BA49&gt;0,"Bud Ignitor "&amp;BA49&amp;" ml/L; ","")&amp;IF(BB49&gt;0,"Big Bud "&amp;BB49&amp;" ml/L; ","")&amp;IF(BC49&gt;0,"Overdrive "&amp;BC49&amp;" ml/L; ","")&amp;IF(BD49&gt;0,"Tasty Terpenes "&amp;BD49&amp;" ml/L; ","")&amp;IF(BE49&gt;0,"Sensi CalMag "&amp;BE49&amp;" ml/L",""))</x:f>
        <x:v>keine AN-Dosis heute</x:v>
      </x:c>
    </x:row>
    <x:row r="50">
      <x:c r="A50" s="34" t="n">
        <x:v>48</x:v>
      </x:c>
      <x:c r="B50" s="129" t="n">
        <x:f>'01_Run_Config'!$B$4+A50</x:f>
        <x:v>46290</x:v>
      </x:c>
      <x:c r="C50" s="63" t="n">
        <x:f>INT(A50/7)+1</x:f>
        <x:v>7</x:v>
      </x:c>
      <x:c r="D50" s="63" t="str">
        <x:f>"M"&amp;MIN(3,INT(A50/30)+1)</x:f>
        <x:v>M2</x:v>
      </x:c>
      <x:c r="E50" s="63" t="str">
        <x:f>IF(A50&lt;4,"Keimung",IF(A50&lt;8,"Etablierung",IF(A50&lt;15,"Early Veg",IF(A50&lt;'01_Run_Config'!$B$33,IF(A50&lt;22,"Veg / LST","Preflower-Watch"),IF(A50-'01_Run_Config'!$B$33&lt;=6,"Transition / Stretch ("&amp;AM50&amp;")",IF(A50-'01_Run_Config'!$B$33&lt;=13,"Early Flower ("&amp;AM50&amp;")",IF(A50-'01_Run_Config'!$B$33&lt;=20,"Flower I ("&amp;AM50&amp;")",IF(A50-'01_Run_Config'!$B$33&lt;=34,"Peak Flower ("&amp;AM50&amp;")",IF(A50-'01_Run_Config'!$B$33&lt;=41,"Late Flower ("&amp;AM50&amp;")",IF(A50-'01_Run_Config'!$B$33&lt;=48,"Ripening ("&amp;AM50&amp;")","Harvest / Extension ("&amp;AM50&amp;")"))))))))))</x:f>
        <x:v>Flower I (B3)</x:v>
      </x:c>
      <x:c r="F50" s="63" t="str">
        <x:f>IF(A50&lt;4,"Keimung + Wurzelstart",IF(A50&lt;8,"Sämling etablieren; Wurzelraum erschließen",IF(A50&lt;15,"kompakter Aufbau; LST erst bei Vitalität",IF(A50&lt;'01_Run_Config'!$B$33,"Canopy aufbauen; Preflower beobachten",IF(A50-'01_Run_Config'!$B$33&lt;=6,"Stretch kontrollieren; Bloom-Trigger dokumentieren",IF(A50-'01_Run_Config'!$B$33&lt;=13,"Blütenansatz stabilisieren",IF(A50-'01_Run_Config'!$B$33&lt;=20,"Blütenaufbau ohne neue Stressoren",IF(A50-'01_Run_Config'!$B$33&lt;=34,"stabile Peak-Photosynthese; Klima priorisieren",IF(A50-'01_Run_Config'!$B$33&lt;=41,"Qualität/Schimmelprävention",IF(A50-'01_Run_Config'!$B$33&lt;=48,"Reife ohne Überfütterung","Erntefenster nach Pflanze; keine Kalenderernte"))))))))))</x:f>
        <x:v>Blütenaufbau ohne neue Stressoren</x:v>
      </x:c>
      <x:c r="G50" s="63" t="n">
        <x:v>18</x:v>
      </x:c>
      <x:c r="H50" s="63" t="n">
        <x:v>140</x:v>
      </x:c>
      <x:c r="I50" s="63" t="n">
        <x:v>625</x:v>
      </x:c>
      <x:c r="J50" s="63" t="n">
        <x:f>I50*G50*3600/1000000</x:f>
        <x:v>40.5</x:v>
      </x:c>
      <x:c r="K50" s="63" t="n">
        <x:v>34</x:v>
      </x:c>
      <x:c r="L50" s="63" t="n">
        <x:v>24.5</x:v>
      </x:c>
      <x:c r="M50" s="63" t="n">
        <x:v>21</x:v>
      </x:c>
      <x:c r="N50" s="63" t="n">
        <x:v>47</x:v>
      </x:c>
      <x:c r="O50" s="63" t="n">
        <x:f>ROUND(0.6108*EXP(17.27*(L50+'01_Run_Config'!$B$34)/(L50+'01_Run_Config'!$B$34+237.3))-(N50/100)*0.6108*EXP(17.27*L50/(L50+237.3)),2)</x:f>
        <x:v>1.45</x:v>
      </x:c>
      <x:c r="P50" s="63" t="n">
        <x:f>IF(A50&lt;'01_Run_Config'!$B$32,0.55,IF(A50&lt;'01_Run_Config'!$B$33,IF(A50-'01_Run_Config'!$B$32&lt;=3,0.8,IF(A50-'01_Run_Config'!$B$32&lt;=10,1,IF(A50-'01_Run_Config'!$B$32&lt;=17,1.2,1.4))),IF(A50-'01_Run_Config'!$B$33&lt;=6,1.5,IF(A50-'01_Run_Config'!$B$33&lt;=13,1.6,IF(A50-'01_Run_Config'!$B$33&lt;=20,1.7,IF(A50-'01_Run_Config'!$B$33&lt;=34,1.8,IF(A50-'01_Run_Config'!$B$33&lt;=41,1.6,IF(A50-'01_Run_Config'!$B$33&lt;=48,1.4,1.15))))))))</x:f>
        <x:v>1.7</x:v>
      </x:c>
      <x:c r="Q50" s="63" t="n">
        <x:v>5.9</x:v>
      </x:c>
      <x:c r="R50" s="63" t="n">
        <x:v>0.9</x:v>
      </x:c>
      <x:c r="S50" s="63" t="n">
        <x:v>1.5</x:v>
      </x:c>
      <x:c r="T50" s="63" t="str">
        <x:f>IF(A50&lt;=7,"Manuell",'01_Run_Config'!$B$40)</x:f>
        <x:v>Manuell / indoor-freigegebene Automation</x:v>
      </x:c>
      <x:c r="U50" s="63" t="str">
        <x:f>IF(A50&lt;'01_Run_Config'!$B$32,"Kein Basisdünger",IF(A50&lt;'01_Run_Config'!$B$33,"HESI TNT","HESI Coco"))</x:f>
        <x:v>HESI Coco</x:v>
      </x:c>
      <x:c r="V50" s="63" t="n">
        <x:f>IF(A50&lt;'01_Run_Config'!$B$32,0,IF(A50&lt;'01_Run_Config'!$B$33,IF(A50-'01_Run_Config'!$B$32&lt;=3,1.25,IF(A50-'01_Run_Config'!$B$32&lt;=10,2,2.5)),IF(A50-'01_Run_Config'!$B$33&lt;=6,2.5,IF(A50-'01_Run_Config'!$B$33&lt;=13,3.25,IF(A50-'01_Run_Config'!$B$33&lt;=20,3.75,IF(A50-'01_Run_Config'!$B$33&lt;=34,4,IF(A50-'01_Run_Config'!$B$33&lt;=41,3.5,IF(A50-'01_Run_Config'!$B$33&lt;=48,2.5,1.5))))))))</x:f>
        <x:v>3.75</x:v>
      </x:c>
      <x:c r="W50" s="63" t="n">
        <x:f>IF(A50&lt;=14,2.5,0)</x:f>
        <x:v>0</x:v>
      </x:c>
      <x:c r="X50" s="63" t="n">
        <x:f>IF('01_Run_Config'!$B$50="AN Sensizym",0,IF(AND(A50&gt;='01_Run_Config'!$B$32,OR(AL50="",AL50&lt;=49)),2,0))</x:f>
        <x:v>2</x:v>
      </x:c>
      <x:c r="Y50" s="63" t="n">
        <x:f>0.015</x:f>
        <x:v>0.015</x:v>
      </x:c>
      <x:c r="Z50" s="63" t="n">
        <x:f>IF('01_Run_Config'!$B$51="HESI Hesilicio",2,0)</x:f>
        <x:v>0</x:v>
      </x:c>
      <x:c r="AA50" s="63" t="n">
        <x:f>IF('01_Run_Config'!$B$48="AN Bud Candy (replaces HESI Boost)",0,IF(AND(A50&gt;='01_Run_Config'!$B$33,MOD(A50-'01_Run_Config'!$B$33,7)=0),2,0))</x:f>
        <x:v>0</x:v>
      </x:c>
      <x:c r="AB50" s="63" t="n">
        <x:f>IF('01_Run_Config'!$B$52="AN Bud Ignitor &gt; Big Bud &gt; Overdrive",0,IF(AND(ISNUMBER(AL50),AL50&gt;=29,AL50&lt;=42),0.25+((AL50-29)/13)*0.25,0))</x:f>
        <x:v>0</x:v>
      </x:c>
      <x:c r="AC50" s="63" t="n">
        <x:f>IF('01_Run_Config'!$B$46="OFF",0,IF(OR(A50='01_Run_Config'!$B$32,A50='01_Run_Config'!$B$32+7,A50='01_Run_Config'!$B$33+1,A50='01_Run_Config'!$B$33+8),2,0))</x:f>
        <x:v>0</x:v>
      </x:c>
      <x:c r="AD50" s="63" t="str">
        <x:f>IF(BG50="BLOCK","HYBRID BLOCKED - Konfiguration prüfen",IF(SUM(AC50,AT50:BF50)&gt;0,"AN aktiv: "&amp;BH50,"AN: keine Dosis heute / Module aus"))</x:f>
        <x:v>AN: keine Dosis heute / Module aus</x:v>
      </x:c>
      <x:c r="AE50" s="63" t="str">
        <x:v>Nur Support / Luftkanäle</x:v>
      </x:c>
      <x:c r="AF50" s="63" t="str">
        <x:v>Morgens Klima/Pflanze/Bewässerung/Leck; Mitte Lichtphase Blattwinkel; vor Dunkel LF/Drain/stehendes Wasser.</x:v>
      </x:c>
      <x:c r="AG50" s="63" t="str">
        <x:v>EC nicht erhöhen bei steigender Diagnose-Drain-EC; PPFD nicht erhöhen bei Stress; Wasserband nie erzwingen; nie mehrere neue Booster gleichzeitig.</x:v>
      </x:c>
      <x:c r="AH50" s="35" t="str">
        <x:f>"UKD v9 evidence-guarded: Planwerte sind Ziele/Eligibility, keine automatische Freigabe. Eazy Plug/Block ist vorgepuffert; früher Basisfeed bleibt vom Propagation-/Pflanzengate abhängig. Messdaten und Safety-Gates überschreiben Kalender."</x:f>
        <x:v>UKD v9 evidence-guarded: Planwerte sind Ziele/Eligibility, keine automatische Freigabe. Eazy Plug/Block ist vorgepuffert; früher Basisfeed bleibt vom Propagation-/Pflanzengate abhängig. Messdaten und Safety-Gates überschreiben Kalender.</x:v>
      </x:c>
      <x:c r="AI50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50" s="201" t="str">
        <x:f>IF(A50&lt;'01_Run_Config'!$B$32,"—",IF(A50&lt;'01_Run_Config'!$B$33,"G"&amp;MIN(4,INT((A50-'01_Run_Config'!$B$32)/7)+1),AM50))</x:f>
        <x:v>B3</x:v>
      </x:c>
      <x:c r="AK50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50" s="60" t="n">
        <x:f>IF(A50&lt;'01_Run_Config'!$B$33,"",A50-'01_Run_Config'!$B$33+1)</x:f>
        <x:v>21</x:v>
      </x:c>
      <x:c r="AM50" s="60" t="str">
        <x:f>IF(AL50="","",IF(AL50&gt;49,CHAR(66)&amp;"7+",CHAR(66)&amp;TEXT(INT((AL50-1)/7)+1,"0")))</x:f>
        <x:v>B3</x:v>
      </x:c>
      <x:c r="AN50" s="60" t="n">
        <x:f>ROUND(0.6108*EXP(17.27*L50/(L50+237.3))*(1-N50/100),2)</x:f>
        <x:v>1.63</x:v>
      </x:c>
      <x:c r="AO50" s="60" t="n">
        <x:f>H50*G50/1000</x:f>
        <x:v>2.52</x:v>
      </x:c>
      <x:c r="AP50" s="60" t="n">
        <x:f>SUM($AO$2:AO50)</x:f>
        <x:v>80.63999999999997</x:v>
      </x:c>
      <x:c r="AQ50" t="n">
        <x:f>'01_Run_Config'!$B$17</x:f>
        <x:v>0</x:v>
      </x:c>
      <x:c r="AR50" t="n">
        <x:f>'01_Run_Config'!$B$22</x:f>
        <x:v>0</x:v>
      </x:c>
      <x:c r="AS50" t="n">
        <x:f>'01_Run_Config'!$B$25</x:f>
        <x:v>0</x:v>
      </x:c>
      <x:c r="AT50" t="n">
        <x:f>IF(AND('01_Run_Config'!$B$46="Voodoo + Piranha + Tarantula",AC50&gt;0),2,0)</x:f>
        <x:v>0</x:v>
      </x:c>
      <x:c r="AU50" t="n">
        <x:f>IF(AND(OR('01_Run_Config'!$B$46="Voodoo + Tarantula",'01_Run_Config'!$B$46="Voodoo + Piranha + Tarantula"),AC50&gt;0),2,0)</x:f>
        <x:v>0</x:v>
      </x:c>
      <x:c r="AV50" t="n">
        <x:f>IF('01_Run_Config'!$B$47&lt;&gt;"ON / A-B",0,IF(OR(AND(A50&gt;='01_Run_Config'!$B$32,A50&lt;'01_Run_Config'!$B$33),AND(ISNUMBER(AL50),AL50&gt;=15,AL50&lt;=49)),2,0))</x:f>
        <x:v>0</x:v>
      </x:c>
      <x:c r="AW50" t="n">
        <x:f>IF('01_Run_Config'!$B$48="AN Bud Candy (replaces HESI Boost)",IF(AND(A50&gt;='01_Run_Config'!$B$32,OR(AL50="",AL50&lt;=49)),2,0),0)</x:f>
        <x:v>0</x:v>
      </x:c>
      <x:c r="AX50" t="n">
        <x:f>IF('01_Run_Config'!$B$49&lt;&gt;"ON / EXPERIMENTAL",0,IF(OR(AND(A50&gt;='01_Run_Config'!$B$32+7,A50&lt;'01_Run_Config'!$B$33),AND(ISNUMBER(AL50),AL50&gt;=1,AL50&lt;=49)),2,0))</x:f>
        <x:v>0</x:v>
      </x:c>
      <x:c r="AY50" t="n">
        <x:f>IF('01_Run_Config'!$B$50="AN Sensizym",IF(AND(A50&gt;='01_Run_Config'!$B$32,OR(AL50="",AL50&lt;=49)),2,0),0)</x:f>
        <x:v>0</x:v>
      </x:c>
      <x:c r="AZ50" t="n">
        <x:f>IF('01_Run_Config'!$B$51="AN Rhino Skin",IF(AND(A50&gt;='01_Run_Config'!$B$32,OR(AL50="",AL50&lt;=49)),2,0),0)</x:f>
        <x:v>0</x:v>
      </x:c>
      <x:c r="BA50" t="n">
        <x:f>IF(AND('01_Run_Config'!$B$52="AN Bud Ignitor &gt; Big Bud &gt; Overdrive",ISNUMBER(AL50),AL50&gt;=1,AL50&lt;=14),2,0)</x:f>
        <x:v>0</x:v>
      </x:c>
      <x:c r="BB50" t="n">
        <x:f>IF(AND('01_Run_Config'!$B$52="AN Bud Ignitor &gt; Big Bud &gt; Overdrive",ISNUMBER(AL50),AL50&gt;=8,AL50&lt;=35),2,0)</x:f>
        <x:v>0</x:v>
      </x:c>
      <x:c r="BC50" t="n">
        <x:f>IF(AND('01_Run_Config'!$B$52="AN Bud Ignitor &gt; Big Bud &gt; Overdrive",ISNUMBER(AL50),AL50&gt;=36,AL50&lt;=49),2,0)</x:f>
        <x:v>0</x:v>
      </x:c>
      <x:c r="BD50" t="n">
        <x:f>IF('01_Run_Config'!$B$53="ON / EXPERIMENTAL",IF(OR(AND(A50&gt;='01_Run_Config'!$B$32,A50&lt;'01_Run_Config'!$B$33),AND(ISNUMBER(AL50),AL50&gt;=15,AL50&lt;=49)),2,0),0)</x:f>
        <x:v>0</x:v>
      </x:c>
      <x:c r="BE50" t="n">
        <x:f>IF('01_Run_Config'!$B$54="AN Sensi CalMag Xtra conditional",'01_Run_Config'!$B$17,0)</x:f>
        <x:v>0</x:v>
      </x:c>
      <x:c r="BF50" t="n">
        <x:f>0</x:f>
        <x:v>0</x:v>
      </x:c>
      <x:c r="BG50" t="str">
        <x:f>'01_Run_Config'!$E$57</x:f>
        <x:v>OK</x:v>
      </x:c>
      <x:c r="BH50" t="str">
        <x:f>IF(SUM(AC50,AT50:BF50)=0,"keine AN-Dosis heute",IF(AC50&gt;0,"Voodoo "&amp;AC50&amp;" ml/L; ","")&amp;IF(AT50&gt;0,"Piranha "&amp;AT50&amp;" ml/L; ","")&amp;IF(AU50&gt;0,"Tarantula "&amp;AU50&amp;" ml/L; ","")&amp;IF(AV50&gt;0,"B-52 "&amp;AV50&amp;" ml/L; ","")&amp;IF(AW50&gt;0,"Bud Candy "&amp;AW50&amp;" ml/L; ","")&amp;IF(AX50&gt;0,"Bud Factor X "&amp;AX50&amp;" ml/L; ","")&amp;IF(AY50&gt;0,"Sensizym "&amp;AY50&amp;" ml/L; ","")&amp;IF(AZ50&gt;0,"Rhino Skin "&amp;AZ50&amp;" ml/L; ","")&amp;IF(BA50&gt;0,"Bud Ignitor "&amp;BA50&amp;" ml/L; ","")&amp;IF(BB50&gt;0,"Big Bud "&amp;BB50&amp;" ml/L; ","")&amp;IF(BC50&gt;0,"Overdrive "&amp;BC50&amp;" ml/L; ","")&amp;IF(BD50&gt;0,"Tasty Terpenes "&amp;BD50&amp;" ml/L; ","")&amp;IF(BE50&gt;0,"Sensi CalMag "&amp;BE50&amp;" ml/L",""))</x:f>
        <x:v>keine AN-Dosis heute</x:v>
      </x:c>
    </x:row>
    <x:row r="51">
      <x:c r="A51" s="34" t="n">
        <x:v>49</x:v>
      </x:c>
      <x:c r="B51" s="129" t="n">
        <x:f>'01_Run_Config'!$B$4+A51</x:f>
        <x:v>46291</x:v>
      </x:c>
      <x:c r="C51" s="63" t="n">
        <x:f>INT(A51/7)+1</x:f>
        <x:v>8</x:v>
      </x:c>
      <x:c r="D51" s="63" t="str">
        <x:f>"M"&amp;MIN(3,INT(A51/30)+1)</x:f>
        <x:v>M2</x:v>
      </x:c>
      <x:c r="E51" s="63" t="str">
        <x:f>IF(A51&lt;4,"Keimung",IF(A51&lt;8,"Etablierung",IF(A51&lt;15,"Early Veg",IF(A51&lt;'01_Run_Config'!$B$33,IF(A51&lt;22,"Veg / LST","Preflower-Watch"),IF(A51-'01_Run_Config'!$B$33&lt;=6,"Transition / Stretch ("&amp;AM51&amp;")",IF(A51-'01_Run_Config'!$B$33&lt;=13,"Early Flower ("&amp;AM51&amp;")",IF(A51-'01_Run_Config'!$B$33&lt;=20,"Flower I ("&amp;AM51&amp;")",IF(A51-'01_Run_Config'!$B$33&lt;=34,"Peak Flower ("&amp;AM51&amp;")",IF(A51-'01_Run_Config'!$B$33&lt;=41,"Late Flower ("&amp;AM51&amp;")",IF(A51-'01_Run_Config'!$B$33&lt;=48,"Ripening ("&amp;AM51&amp;")","Harvest / Extension ("&amp;AM51&amp;")"))))))))))</x:f>
        <x:v>Peak Flower (B4)</x:v>
      </x:c>
      <x:c r="F51" s="63" t="str">
        <x:f>IF(A51&lt;4,"Keimung + Wurzelstart",IF(A51&lt;8,"Sämling etablieren; Wurzelraum erschließen",IF(A51&lt;15,"kompakter Aufbau; LST erst bei Vitalität",IF(A51&lt;'01_Run_Config'!$B$33,"Canopy aufbauen; Preflower beobachten",IF(A51-'01_Run_Config'!$B$33&lt;=6,"Stretch kontrollieren; Bloom-Trigger dokumentieren",IF(A51-'01_Run_Config'!$B$33&lt;=13,"Blütenansatz stabilisieren",IF(A51-'01_Run_Config'!$B$33&lt;=20,"Blütenaufbau ohne neue Stressoren",IF(A51-'01_Run_Config'!$B$33&lt;=34,"stabile Peak-Photosynthese; Klima priorisieren",IF(A51-'01_Run_Config'!$B$33&lt;=41,"Qualität/Schimmelprävention",IF(A51-'01_Run_Config'!$B$33&lt;=48,"Reife ohne Überfütterung","Erntefenster nach Pflanze; keine Kalenderernte"))))))))))</x:f>
        <x:v>stabile Peak-Photosynthese; Klima priorisieren</x:v>
      </x:c>
      <x:c r="G51" s="63" t="n">
        <x:v>18</x:v>
      </x:c>
      <x:c r="H51" s="63" t="n">
        <x:v>140</x:v>
      </x:c>
      <x:c r="I51" s="63" t="n">
        <x:v>625</x:v>
      </x:c>
      <x:c r="J51" s="63" t="n">
        <x:f>I51*G51*3600/1000000</x:f>
        <x:v>40.5</x:v>
      </x:c>
      <x:c r="K51" s="63" t="n">
        <x:v>34</x:v>
      </x:c>
      <x:c r="L51" s="63" t="n">
        <x:v>24.5</x:v>
      </x:c>
      <x:c r="M51" s="63" t="n">
        <x:v>21</x:v>
      </x:c>
      <x:c r="N51" s="63" t="n">
        <x:v>47</x:v>
      </x:c>
      <x:c r="O51" s="63" t="n">
        <x:f>ROUND(0.6108*EXP(17.27*(L51+'01_Run_Config'!$B$34)/(L51+'01_Run_Config'!$B$34+237.3))-(N51/100)*0.6108*EXP(17.27*L51/(L51+237.3)),2)</x:f>
        <x:v>1.45</x:v>
      </x:c>
      <x:c r="P51" s="63" t="n">
        <x:f>IF(A51&lt;'01_Run_Config'!$B$32,0.55,IF(A51&lt;'01_Run_Config'!$B$33,IF(A51-'01_Run_Config'!$B$32&lt;=3,0.8,IF(A51-'01_Run_Config'!$B$32&lt;=10,1,IF(A51-'01_Run_Config'!$B$32&lt;=17,1.2,1.4))),IF(A51-'01_Run_Config'!$B$33&lt;=6,1.5,IF(A51-'01_Run_Config'!$B$33&lt;=13,1.6,IF(A51-'01_Run_Config'!$B$33&lt;=20,1.7,IF(A51-'01_Run_Config'!$B$33&lt;=34,1.8,IF(A51-'01_Run_Config'!$B$33&lt;=41,1.6,IF(A51-'01_Run_Config'!$B$33&lt;=48,1.4,1.15))))))))</x:f>
        <x:v>1.8</x:v>
      </x:c>
      <x:c r="Q51" s="63" t="n">
        <x:v>5.9</x:v>
      </x:c>
      <x:c r="R51" s="63" t="n">
        <x:v>0.9</x:v>
      </x:c>
      <x:c r="S51" s="63" t="n">
        <x:v>1.5</x:v>
      </x:c>
      <x:c r="T51" s="63" t="str">
        <x:f>IF(A51&lt;=7,"Manuell",'01_Run_Config'!$B$40)</x:f>
        <x:v>Manuell / indoor-freigegebene Automation</x:v>
      </x:c>
      <x:c r="U51" s="63" t="str">
        <x:f>IF(A51&lt;'01_Run_Config'!$B$32,"Kein Basisdünger",IF(A51&lt;'01_Run_Config'!$B$33,"HESI TNT","HESI Coco"))</x:f>
        <x:v>HESI Coco</x:v>
      </x:c>
      <x:c r="V51" s="63" t="n">
        <x:f>IF(A51&lt;'01_Run_Config'!$B$32,0,IF(A51&lt;'01_Run_Config'!$B$33,IF(A51-'01_Run_Config'!$B$32&lt;=3,1.25,IF(A51-'01_Run_Config'!$B$32&lt;=10,2,2.5)),IF(A51-'01_Run_Config'!$B$33&lt;=6,2.5,IF(A51-'01_Run_Config'!$B$33&lt;=13,3.25,IF(A51-'01_Run_Config'!$B$33&lt;=20,3.75,IF(A51-'01_Run_Config'!$B$33&lt;=34,4,IF(A51-'01_Run_Config'!$B$33&lt;=41,3.5,IF(A51-'01_Run_Config'!$B$33&lt;=48,2.5,1.5))))))))</x:f>
        <x:v>4</x:v>
      </x:c>
      <x:c r="W51" s="63" t="n">
        <x:f>IF(A51&lt;=14,2.5,0)</x:f>
        <x:v>0</x:v>
      </x:c>
      <x:c r="X51" s="63" t="n">
        <x:f>IF('01_Run_Config'!$B$50="AN Sensizym",0,IF(AND(A51&gt;='01_Run_Config'!$B$32,OR(AL51="",AL51&lt;=49)),2,0))</x:f>
        <x:v>2</x:v>
      </x:c>
      <x:c r="Y51" s="63" t="n">
        <x:f>0.015</x:f>
        <x:v>0.015</x:v>
      </x:c>
      <x:c r="Z51" s="63" t="n">
        <x:f>IF('01_Run_Config'!$B$51="HESI Hesilicio",2,0)</x:f>
        <x:v>0</x:v>
      </x:c>
      <x:c r="AA51" s="63" t="n">
        <x:f>IF('01_Run_Config'!$B$48="AN Bud Candy (replaces HESI Boost)",0,IF(AND(A51&gt;='01_Run_Config'!$B$33,MOD(A51-'01_Run_Config'!$B$33,7)=0),2,0))</x:f>
        <x:v>2</x:v>
      </x:c>
      <x:c r="AB51" s="63" t="n">
        <x:f>IF('01_Run_Config'!$B$52="AN Bud Ignitor &gt; Big Bud &gt; Overdrive",0,IF(AND(ISNUMBER(AL51),AL51&gt;=29,AL51&lt;=42),0.25+((AL51-29)/13)*0.25,0))</x:f>
        <x:v>0</x:v>
      </x:c>
      <x:c r="AC51" s="63" t="n">
        <x:f>IF('01_Run_Config'!$B$46="OFF",0,IF(OR(A51='01_Run_Config'!$B$32,A51='01_Run_Config'!$B$32+7,A51='01_Run_Config'!$B$33+1,A51='01_Run_Config'!$B$33+8),2,0))</x:f>
        <x:v>0</x:v>
      </x:c>
      <x:c r="AD51" s="63" t="str">
        <x:f>IF(BG51="BLOCK","HYBRID BLOCKED - Konfiguration prüfen",IF(SUM(AC51,AT51:BF51)&gt;0,"AN aktiv: "&amp;BH51,"AN: keine Dosis heute / Module aus"))</x:f>
        <x:v>AN: keine Dosis heute / Module aus</x:v>
      </x:c>
      <x:c r="AE51" s="63" t="str">
        <x:v>Nur Support / Luftkanäle</x:v>
      </x:c>
      <x:c r="AF51" s="63" t="str">
        <x:v>Morgens Klima/Pflanze/Bewässerung/Leck; Mitte Lichtphase Blattwinkel; vor Dunkel LF/Drain/stehendes Wasser. WÖCHENTLICH: pH/EC kalibrieren, Foto, Canopy messen, PPFD-Spotcheck, Reservoir falls genutzt / Tray reinigen.</x:v>
      </x:c>
      <x:c r="AG51" s="63" t="str">
        <x:v>EC nicht erhöhen bei steigender Diagnose-Drain-EC; PPFD nicht erhöhen bei Stress; Wasserband nie erzwingen; nie mehrere neue Booster gleichzeitig.</x:v>
      </x:c>
      <x:c r="AH51" s="35" t="str">
        <x:f>"UKD v9 evidence-guarded: Planwerte sind Ziele/Eligibility, keine automatische Freigabe. Eazy Plug/Block ist vorgepuffert; früher Basisfeed bleibt vom Propagation-/Pflanzengate abhängig. Messdaten und Safety-Gates überschreiben Kalender."</x:f>
        <x:v>UKD v9 evidence-guarded: Planwerte sind Ziele/Eligibility, keine automatische Freigabe. Eazy Plug/Block ist vorgepuffert; früher Basisfeed bleibt vom Propagation-/Pflanzengate abhängig. Messdaten und Safety-Gates überschreiben Kalender.</x:v>
      </x:c>
      <x:c r="AI51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51" s="201" t="str">
        <x:f>IF(A51&lt;'01_Run_Config'!$B$32,"—",IF(A51&lt;'01_Run_Config'!$B$33,"G"&amp;MIN(4,INT((A51-'01_Run_Config'!$B$32)/7)+1),AM51))</x:f>
        <x:v>B4</x:v>
      </x:c>
      <x:c r="AK51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51" s="60" t="n">
        <x:f>IF(A51&lt;'01_Run_Config'!$B$33,"",A51-'01_Run_Config'!$B$33+1)</x:f>
        <x:v>22</x:v>
      </x:c>
      <x:c r="AM51" s="60" t="str">
        <x:f>IF(AL51="","",IF(AL51&gt;49,CHAR(66)&amp;"7+",CHAR(66)&amp;TEXT(INT((AL51-1)/7)+1,"0")))</x:f>
        <x:v>B4</x:v>
      </x:c>
      <x:c r="AN51" s="60" t="n">
        <x:f>ROUND(0.6108*EXP(17.27*L51/(L51+237.3))*(1-N51/100),2)</x:f>
        <x:v>1.63</x:v>
      </x:c>
      <x:c r="AO51" s="60" t="n">
        <x:f>H51*G51/1000</x:f>
        <x:v>2.52</x:v>
      </x:c>
      <x:c r="AP51" s="60" t="n">
        <x:f>SUM($AO$2:AO51)</x:f>
        <x:v>83.15999999999997</x:v>
      </x:c>
      <x:c r="AQ51" t="n">
        <x:f>'01_Run_Config'!$B$17</x:f>
        <x:v>0</x:v>
      </x:c>
      <x:c r="AR51" t="n">
        <x:f>'01_Run_Config'!$B$22</x:f>
        <x:v>0</x:v>
      </x:c>
      <x:c r="AS51" t="n">
        <x:f>'01_Run_Config'!$B$25</x:f>
        <x:v>0</x:v>
      </x:c>
      <x:c r="AT51" t="n">
        <x:f>IF(AND('01_Run_Config'!$B$46="Voodoo + Piranha + Tarantula",AC51&gt;0),2,0)</x:f>
        <x:v>0</x:v>
      </x:c>
      <x:c r="AU51" t="n">
        <x:f>IF(AND(OR('01_Run_Config'!$B$46="Voodoo + Tarantula",'01_Run_Config'!$B$46="Voodoo + Piranha + Tarantula"),AC51&gt;0),2,0)</x:f>
        <x:v>0</x:v>
      </x:c>
      <x:c r="AV51" t="n">
        <x:f>IF('01_Run_Config'!$B$47&lt;&gt;"ON / A-B",0,IF(OR(AND(A51&gt;='01_Run_Config'!$B$32,A51&lt;'01_Run_Config'!$B$33),AND(ISNUMBER(AL51),AL51&gt;=15,AL51&lt;=49)),2,0))</x:f>
        <x:v>0</x:v>
      </x:c>
      <x:c r="AW51" t="n">
        <x:f>IF('01_Run_Config'!$B$48="AN Bud Candy (replaces HESI Boost)",IF(AND(A51&gt;='01_Run_Config'!$B$32,OR(AL51="",AL51&lt;=49)),2,0),0)</x:f>
        <x:v>0</x:v>
      </x:c>
      <x:c r="AX51" t="n">
        <x:f>IF('01_Run_Config'!$B$49&lt;&gt;"ON / EXPERIMENTAL",0,IF(OR(AND(A51&gt;='01_Run_Config'!$B$32+7,A51&lt;'01_Run_Config'!$B$33),AND(ISNUMBER(AL51),AL51&gt;=1,AL51&lt;=49)),2,0))</x:f>
        <x:v>0</x:v>
      </x:c>
      <x:c r="AY51" t="n">
        <x:f>IF('01_Run_Config'!$B$50="AN Sensizym",IF(AND(A51&gt;='01_Run_Config'!$B$32,OR(AL51="",AL51&lt;=49)),2,0),0)</x:f>
        <x:v>0</x:v>
      </x:c>
      <x:c r="AZ51" t="n">
        <x:f>IF('01_Run_Config'!$B$51="AN Rhino Skin",IF(AND(A51&gt;='01_Run_Config'!$B$32,OR(AL51="",AL51&lt;=49)),2,0),0)</x:f>
        <x:v>0</x:v>
      </x:c>
      <x:c r="BA51" t="n">
        <x:f>IF(AND('01_Run_Config'!$B$52="AN Bud Ignitor &gt; Big Bud &gt; Overdrive",ISNUMBER(AL51),AL51&gt;=1,AL51&lt;=14),2,0)</x:f>
        <x:v>0</x:v>
      </x:c>
      <x:c r="BB51" t="n">
        <x:f>IF(AND('01_Run_Config'!$B$52="AN Bud Ignitor &gt; Big Bud &gt; Overdrive",ISNUMBER(AL51),AL51&gt;=8,AL51&lt;=35),2,0)</x:f>
        <x:v>0</x:v>
      </x:c>
      <x:c r="BC51" t="n">
        <x:f>IF(AND('01_Run_Config'!$B$52="AN Bud Ignitor &gt; Big Bud &gt; Overdrive",ISNUMBER(AL51),AL51&gt;=36,AL51&lt;=49),2,0)</x:f>
        <x:v>0</x:v>
      </x:c>
      <x:c r="BD51" t="n">
        <x:f>IF('01_Run_Config'!$B$53="ON / EXPERIMENTAL",IF(OR(AND(A51&gt;='01_Run_Config'!$B$32,A51&lt;'01_Run_Config'!$B$33),AND(ISNUMBER(AL51),AL51&gt;=15,AL51&lt;=49)),2,0),0)</x:f>
        <x:v>0</x:v>
      </x:c>
      <x:c r="BE51" t="n">
        <x:f>IF('01_Run_Config'!$B$54="AN Sensi CalMag Xtra conditional",'01_Run_Config'!$B$17,0)</x:f>
        <x:v>0</x:v>
      </x:c>
      <x:c r="BF51" t="n">
        <x:f>0</x:f>
        <x:v>0</x:v>
      </x:c>
      <x:c r="BG51" t="str">
        <x:f>'01_Run_Config'!$E$57</x:f>
        <x:v>OK</x:v>
      </x:c>
      <x:c r="BH51" t="str">
        <x:f>IF(SUM(AC51,AT51:BF51)=0,"keine AN-Dosis heute",IF(AC51&gt;0,"Voodoo "&amp;AC51&amp;" ml/L; ","")&amp;IF(AT51&gt;0,"Piranha "&amp;AT51&amp;" ml/L; ","")&amp;IF(AU51&gt;0,"Tarantula "&amp;AU51&amp;" ml/L; ","")&amp;IF(AV51&gt;0,"B-52 "&amp;AV51&amp;" ml/L; ","")&amp;IF(AW51&gt;0,"Bud Candy "&amp;AW51&amp;" ml/L; ","")&amp;IF(AX51&gt;0,"Bud Factor X "&amp;AX51&amp;" ml/L; ","")&amp;IF(AY51&gt;0,"Sensizym "&amp;AY51&amp;" ml/L; ","")&amp;IF(AZ51&gt;0,"Rhino Skin "&amp;AZ51&amp;" ml/L; ","")&amp;IF(BA51&gt;0,"Bud Ignitor "&amp;BA51&amp;" ml/L; ","")&amp;IF(BB51&gt;0,"Big Bud "&amp;BB51&amp;" ml/L; ","")&amp;IF(BC51&gt;0,"Overdrive "&amp;BC51&amp;" ml/L; ","")&amp;IF(BD51&gt;0,"Tasty Terpenes "&amp;BD51&amp;" ml/L; ","")&amp;IF(BE51&gt;0,"Sensi CalMag "&amp;BE51&amp;" ml/L",""))</x:f>
        <x:v>keine AN-Dosis heute</x:v>
      </x:c>
    </x:row>
    <x:row r="52">
      <x:c r="A52" s="34" t="n">
        <x:v>50</x:v>
      </x:c>
      <x:c r="B52" s="129" t="n">
        <x:f>'01_Run_Config'!$B$4+A52</x:f>
        <x:v>46292</x:v>
      </x:c>
      <x:c r="C52" s="63" t="n">
        <x:f>INT(A52/7)+1</x:f>
        <x:v>8</x:v>
      </x:c>
      <x:c r="D52" s="63" t="str">
        <x:f>"M"&amp;MIN(3,INT(A52/30)+1)</x:f>
        <x:v>M2</x:v>
      </x:c>
      <x:c r="E52" s="63" t="str">
        <x:f>IF(A52&lt;4,"Keimung",IF(A52&lt;8,"Etablierung",IF(A52&lt;15,"Early Veg",IF(A52&lt;'01_Run_Config'!$B$33,IF(A52&lt;22,"Veg / LST","Preflower-Watch"),IF(A52-'01_Run_Config'!$B$33&lt;=6,"Transition / Stretch ("&amp;AM52&amp;")",IF(A52-'01_Run_Config'!$B$33&lt;=13,"Early Flower ("&amp;AM52&amp;")",IF(A52-'01_Run_Config'!$B$33&lt;=20,"Flower I ("&amp;AM52&amp;")",IF(A52-'01_Run_Config'!$B$33&lt;=34,"Peak Flower ("&amp;AM52&amp;")",IF(A52-'01_Run_Config'!$B$33&lt;=41,"Late Flower ("&amp;AM52&amp;")",IF(A52-'01_Run_Config'!$B$33&lt;=48,"Ripening ("&amp;AM52&amp;")","Harvest / Extension ("&amp;AM52&amp;")"))))))))))</x:f>
        <x:v>Peak Flower (B4)</x:v>
      </x:c>
      <x:c r="F52" s="63" t="str">
        <x:f>IF(A52&lt;4,"Keimung + Wurzelstart",IF(A52&lt;8,"Sämling etablieren; Wurzelraum erschließen",IF(A52&lt;15,"kompakter Aufbau; LST erst bei Vitalität",IF(A52&lt;'01_Run_Config'!$B$33,"Canopy aufbauen; Preflower beobachten",IF(A52-'01_Run_Config'!$B$33&lt;=6,"Stretch kontrollieren; Bloom-Trigger dokumentieren",IF(A52-'01_Run_Config'!$B$33&lt;=13,"Blütenansatz stabilisieren",IF(A52-'01_Run_Config'!$B$33&lt;=20,"Blütenaufbau ohne neue Stressoren",IF(A52-'01_Run_Config'!$B$33&lt;=34,"stabile Peak-Photosynthese; Klima priorisieren",IF(A52-'01_Run_Config'!$B$33&lt;=41,"Qualität/Schimmelprävention",IF(A52-'01_Run_Config'!$B$33&lt;=48,"Reife ohne Überfütterung","Erntefenster nach Pflanze; keine Kalenderernte"))))))))))</x:f>
        <x:v>stabile Peak-Photosynthese; Klima priorisieren</x:v>
      </x:c>
      <x:c r="G52" s="63" t="n">
        <x:v>18</x:v>
      </x:c>
      <x:c r="H52" s="63" t="n">
        <x:v>140</x:v>
      </x:c>
      <x:c r="I52" s="63" t="n">
        <x:v>625</x:v>
      </x:c>
      <x:c r="J52" s="63" t="n">
        <x:f>I52*G52*3600/1000000</x:f>
        <x:v>40.5</x:v>
      </x:c>
      <x:c r="K52" s="63" t="n">
        <x:v>34</x:v>
      </x:c>
      <x:c r="L52" s="63" t="n">
        <x:v>24.5</x:v>
      </x:c>
      <x:c r="M52" s="63" t="n">
        <x:v>21</x:v>
      </x:c>
      <x:c r="N52" s="63" t="n">
        <x:v>47</x:v>
      </x:c>
      <x:c r="O52" s="63" t="n">
        <x:f>ROUND(0.6108*EXP(17.27*(L52+'01_Run_Config'!$B$34)/(L52+'01_Run_Config'!$B$34+237.3))-(N52/100)*0.6108*EXP(17.27*L52/(L52+237.3)),2)</x:f>
        <x:v>1.45</x:v>
      </x:c>
      <x:c r="P52" s="63" t="n">
        <x:f>IF(A52&lt;'01_Run_Config'!$B$32,0.55,IF(A52&lt;'01_Run_Config'!$B$33,IF(A52-'01_Run_Config'!$B$32&lt;=3,0.8,IF(A52-'01_Run_Config'!$B$32&lt;=10,1,IF(A52-'01_Run_Config'!$B$32&lt;=17,1.2,1.4))),IF(A52-'01_Run_Config'!$B$33&lt;=6,1.5,IF(A52-'01_Run_Config'!$B$33&lt;=13,1.6,IF(A52-'01_Run_Config'!$B$33&lt;=20,1.7,IF(A52-'01_Run_Config'!$B$33&lt;=34,1.8,IF(A52-'01_Run_Config'!$B$33&lt;=41,1.6,IF(A52-'01_Run_Config'!$B$33&lt;=48,1.4,1.15))))))))</x:f>
        <x:v>1.8</x:v>
      </x:c>
      <x:c r="Q52" s="63" t="n">
        <x:v>5.9</x:v>
      </x:c>
      <x:c r="R52" s="63" t="n">
        <x:v>0.9</x:v>
      </x:c>
      <x:c r="S52" s="63" t="n">
        <x:v>1.5</x:v>
      </x:c>
      <x:c r="T52" s="63" t="str">
        <x:f>IF(A52&lt;=7,"Manuell",'01_Run_Config'!$B$40)</x:f>
        <x:v>Manuell / indoor-freigegebene Automation</x:v>
      </x:c>
      <x:c r="U52" s="63" t="str">
        <x:f>IF(A52&lt;'01_Run_Config'!$B$32,"Kein Basisdünger",IF(A52&lt;'01_Run_Config'!$B$33,"HESI TNT","HESI Coco"))</x:f>
        <x:v>HESI Coco</x:v>
      </x:c>
      <x:c r="V52" s="63" t="n">
        <x:f>IF(A52&lt;'01_Run_Config'!$B$32,0,IF(A52&lt;'01_Run_Config'!$B$33,IF(A52-'01_Run_Config'!$B$32&lt;=3,1.25,IF(A52-'01_Run_Config'!$B$32&lt;=10,2,2.5)),IF(A52-'01_Run_Config'!$B$33&lt;=6,2.5,IF(A52-'01_Run_Config'!$B$33&lt;=13,3.25,IF(A52-'01_Run_Config'!$B$33&lt;=20,3.75,IF(A52-'01_Run_Config'!$B$33&lt;=34,4,IF(A52-'01_Run_Config'!$B$33&lt;=41,3.5,IF(A52-'01_Run_Config'!$B$33&lt;=48,2.5,1.5))))))))</x:f>
        <x:v>4</x:v>
      </x:c>
      <x:c r="W52" s="63" t="n">
        <x:f>IF(A52&lt;=14,2.5,0)</x:f>
        <x:v>0</x:v>
      </x:c>
      <x:c r="X52" s="63" t="n">
        <x:f>IF('01_Run_Config'!$B$50="AN Sensizym",0,IF(AND(A52&gt;='01_Run_Config'!$B$32,OR(AL52="",AL52&lt;=49)),2,0))</x:f>
        <x:v>2</x:v>
      </x:c>
      <x:c r="Y52" s="63" t="n">
        <x:f>0.015</x:f>
        <x:v>0.015</x:v>
      </x:c>
      <x:c r="Z52" s="63" t="n">
        <x:f>IF('01_Run_Config'!$B$51="HESI Hesilicio",2,0)</x:f>
        <x:v>0</x:v>
      </x:c>
      <x:c r="AA52" s="63" t="n">
        <x:f>IF('01_Run_Config'!$B$48="AN Bud Candy (replaces HESI Boost)",0,IF(AND(A52&gt;='01_Run_Config'!$B$33,MOD(A52-'01_Run_Config'!$B$33,7)=0),2,0))</x:f>
        <x:v>0</x:v>
      </x:c>
      <x:c r="AB52" s="63" t="n">
        <x:f>IF('01_Run_Config'!$B$52="AN Bud Ignitor &gt; Big Bud &gt; Overdrive",0,IF(AND(ISNUMBER(AL52),AL52&gt;=29,AL52&lt;=42),0.25+((AL52-29)/13)*0.25,0))</x:f>
        <x:v>0</x:v>
      </x:c>
      <x:c r="AC52" s="63" t="n">
        <x:f>IF('01_Run_Config'!$B$46="OFF",0,IF(OR(A52='01_Run_Config'!$B$32,A52='01_Run_Config'!$B$32+7,A52='01_Run_Config'!$B$33+1,A52='01_Run_Config'!$B$33+8),2,0))</x:f>
        <x:v>0</x:v>
      </x:c>
      <x:c r="AD52" s="63" t="str">
        <x:f>IF(BG52="BLOCK","HYBRID BLOCKED - Konfiguration prüfen",IF(SUM(AC52,AT52:BF52)&gt;0,"AN aktiv: "&amp;BH52,"AN: keine Dosis heute / Module aus"))</x:f>
        <x:v>AN: keine Dosis heute / Module aus</x:v>
      </x:c>
      <x:c r="AE52" s="63" t="str">
        <x:v>Nur Support / Luftkanäle</x:v>
      </x:c>
      <x:c r="AF52" s="63" t="str">
        <x:v>Morgens Klima/Pflanze/Bewässerung/Leck; Mitte Lichtphase Blattwinkel; vor Dunkel LF/Drain/stehendes Wasser.</x:v>
      </x:c>
      <x:c r="AG52" s="63" t="str">
        <x:v>EC nicht erhöhen bei steigender Diagnose-Drain-EC; PPFD nicht erhöhen bei Stress; Wasserband nie erzwingen; nie mehrere neue Booster gleichzeitig.</x:v>
      </x:c>
      <x:c r="AH52" s="35" t="str">
        <x:f>"UKD v9 evidence-guarded: Planwerte sind Ziele/Eligibility, keine automatische Freigabe. Eazy Plug/Block ist vorgepuffert; früher Basisfeed bleibt vom Propagation-/Pflanzengate abhängig. Messdaten und Safety-Gates überschreiben Kalender."</x:f>
        <x:v>UKD v9 evidence-guarded: Planwerte sind Ziele/Eligibility, keine automatische Freigabe. Eazy Plug/Block ist vorgepuffert; früher Basisfeed bleibt vom Propagation-/Pflanzengate abhängig. Messdaten und Safety-Gates überschreiben Kalender.</x:v>
      </x:c>
      <x:c r="AI52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52" s="201" t="str">
        <x:f>IF(A52&lt;'01_Run_Config'!$B$32,"—",IF(A52&lt;'01_Run_Config'!$B$33,"G"&amp;MIN(4,INT((A52-'01_Run_Config'!$B$32)/7)+1),AM52))</x:f>
        <x:v>B4</x:v>
      </x:c>
      <x:c r="AK52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52" s="60" t="n">
        <x:f>IF(A52&lt;'01_Run_Config'!$B$33,"",A52-'01_Run_Config'!$B$33+1)</x:f>
        <x:v>23</x:v>
      </x:c>
      <x:c r="AM52" s="60" t="str">
        <x:f>IF(AL52="","",IF(AL52&gt;49,CHAR(66)&amp;"7+",CHAR(66)&amp;TEXT(INT((AL52-1)/7)+1,"0")))</x:f>
        <x:v>B4</x:v>
      </x:c>
      <x:c r="AN52" s="60" t="n">
        <x:f>ROUND(0.6108*EXP(17.27*L52/(L52+237.3))*(1-N52/100),2)</x:f>
        <x:v>1.63</x:v>
      </x:c>
      <x:c r="AO52" s="60" t="n">
        <x:f>H52*G52/1000</x:f>
        <x:v>2.52</x:v>
      </x:c>
      <x:c r="AP52" s="60" t="n">
        <x:f>SUM($AO$2:AO52)</x:f>
        <x:v>85.67999999999996</x:v>
      </x:c>
      <x:c r="AQ52" t="n">
        <x:f>'01_Run_Config'!$B$17</x:f>
        <x:v>0</x:v>
      </x:c>
      <x:c r="AR52" t="n">
        <x:f>'01_Run_Config'!$B$22</x:f>
        <x:v>0</x:v>
      </x:c>
      <x:c r="AS52" t="n">
        <x:f>'01_Run_Config'!$B$25</x:f>
        <x:v>0</x:v>
      </x:c>
      <x:c r="AT52" t="n">
        <x:f>IF(AND('01_Run_Config'!$B$46="Voodoo + Piranha + Tarantula",AC52&gt;0),2,0)</x:f>
        <x:v>0</x:v>
      </x:c>
      <x:c r="AU52" t="n">
        <x:f>IF(AND(OR('01_Run_Config'!$B$46="Voodoo + Tarantula",'01_Run_Config'!$B$46="Voodoo + Piranha + Tarantula"),AC52&gt;0),2,0)</x:f>
        <x:v>0</x:v>
      </x:c>
      <x:c r="AV52" t="n">
        <x:f>IF('01_Run_Config'!$B$47&lt;&gt;"ON / A-B",0,IF(OR(AND(A52&gt;='01_Run_Config'!$B$32,A52&lt;'01_Run_Config'!$B$33),AND(ISNUMBER(AL52),AL52&gt;=15,AL52&lt;=49)),2,0))</x:f>
        <x:v>0</x:v>
      </x:c>
      <x:c r="AW52" t="n">
        <x:f>IF('01_Run_Config'!$B$48="AN Bud Candy (replaces HESI Boost)",IF(AND(A52&gt;='01_Run_Config'!$B$32,OR(AL52="",AL52&lt;=49)),2,0),0)</x:f>
        <x:v>0</x:v>
      </x:c>
      <x:c r="AX52" t="n">
        <x:f>IF('01_Run_Config'!$B$49&lt;&gt;"ON / EXPERIMENTAL",0,IF(OR(AND(A52&gt;='01_Run_Config'!$B$32+7,A52&lt;'01_Run_Config'!$B$33),AND(ISNUMBER(AL52),AL52&gt;=1,AL52&lt;=49)),2,0))</x:f>
        <x:v>0</x:v>
      </x:c>
      <x:c r="AY52" t="n">
        <x:f>IF('01_Run_Config'!$B$50="AN Sensizym",IF(AND(A52&gt;='01_Run_Config'!$B$32,OR(AL52="",AL52&lt;=49)),2,0),0)</x:f>
        <x:v>0</x:v>
      </x:c>
      <x:c r="AZ52" t="n">
        <x:f>IF('01_Run_Config'!$B$51="AN Rhino Skin",IF(AND(A52&gt;='01_Run_Config'!$B$32,OR(AL52="",AL52&lt;=49)),2,0),0)</x:f>
        <x:v>0</x:v>
      </x:c>
      <x:c r="BA52" t="n">
        <x:f>IF(AND('01_Run_Config'!$B$52="AN Bud Ignitor &gt; Big Bud &gt; Overdrive",ISNUMBER(AL52),AL52&gt;=1,AL52&lt;=14),2,0)</x:f>
        <x:v>0</x:v>
      </x:c>
      <x:c r="BB52" t="n">
        <x:f>IF(AND('01_Run_Config'!$B$52="AN Bud Ignitor &gt; Big Bud &gt; Overdrive",ISNUMBER(AL52),AL52&gt;=8,AL52&lt;=35),2,0)</x:f>
        <x:v>0</x:v>
      </x:c>
      <x:c r="BC52" t="n">
        <x:f>IF(AND('01_Run_Config'!$B$52="AN Bud Ignitor &gt; Big Bud &gt; Overdrive",ISNUMBER(AL52),AL52&gt;=36,AL52&lt;=49),2,0)</x:f>
        <x:v>0</x:v>
      </x:c>
      <x:c r="BD52" t="n">
        <x:f>IF('01_Run_Config'!$B$53="ON / EXPERIMENTAL",IF(OR(AND(A52&gt;='01_Run_Config'!$B$32,A52&lt;'01_Run_Config'!$B$33),AND(ISNUMBER(AL52),AL52&gt;=15,AL52&lt;=49)),2,0),0)</x:f>
        <x:v>0</x:v>
      </x:c>
      <x:c r="BE52" t="n">
        <x:f>IF('01_Run_Config'!$B$54="AN Sensi CalMag Xtra conditional",'01_Run_Config'!$B$17,0)</x:f>
        <x:v>0</x:v>
      </x:c>
      <x:c r="BF52" t="n">
        <x:f>0</x:f>
        <x:v>0</x:v>
      </x:c>
      <x:c r="BG52" t="str">
        <x:f>'01_Run_Config'!$E$57</x:f>
        <x:v>OK</x:v>
      </x:c>
      <x:c r="BH52" t="str">
        <x:f>IF(SUM(AC52,AT52:BF52)=0,"keine AN-Dosis heute",IF(AC52&gt;0,"Voodoo "&amp;AC52&amp;" ml/L; ","")&amp;IF(AT52&gt;0,"Piranha "&amp;AT52&amp;" ml/L; ","")&amp;IF(AU52&gt;0,"Tarantula "&amp;AU52&amp;" ml/L; ","")&amp;IF(AV52&gt;0,"B-52 "&amp;AV52&amp;" ml/L; ","")&amp;IF(AW52&gt;0,"Bud Candy "&amp;AW52&amp;" ml/L; ","")&amp;IF(AX52&gt;0,"Bud Factor X "&amp;AX52&amp;" ml/L; ","")&amp;IF(AY52&gt;0,"Sensizym "&amp;AY52&amp;" ml/L; ","")&amp;IF(AZ52&gt;0,"Rhino Skin "&amp;AZ52&amp;" ml/L; ","")&amp;IF(BA52&gt;0,"Bud Ignitor "&amp;BA52&amp;" ml/L; ","")&amp;IF(BB52&gt;0,"Big Bud "&amp;BB52&amp;" ml/L; ","")&amp;IF(BC52&gt;0,"Overdrive "&amp;BC52&amp;" ml/L; ","")&amp;IF(BD52&gt;0,"Tasty Terpenes "&amp;BD52&amp;" ml/L; ","")&amp;IF(BE52&gt;0,"Sensi CalMag "&amp;BE52&amp;" ml/L",""))</x:f>
        <x:v>keine AN-Dosis heute</x:v>
      </x:c>
    </x:row>
    <x:row r="53">
      <x:c r="A53" s="34" t="n">
        <x:v>51</x:v>
      </x:c>
      <x:c r="B53" s="129" t="n">
        <x:f>'01_Run_Config'!$B$4+A53</x:f>
        <x:v>46293</x:v>
      </x:c>
      <x:c r="C53" s="63" t="n">
        <x:f>INT(A53/7)+1</x:f>
        <x:v>8</x:v>
      </x:c>
      <x:c r="D53" s="63" t="str">
        <x:f>"M"&amp;MIN(3,INT(A53/30)+1)</x:f>
        <x:v>M2</x:v>
      </x:c>
      <x:c r="E53" s="63" t="str">
        <x:f>IF(A53&lt;4,"Keimung",IF(A53&lt;8,"Etablierung",IF(A53&lt;15,"Early Veg",IF(A53&lt;'01_Run_Config'!$B$33,IF(A53&lt;22,"Veg / LST","Preflower-Watch"),IF(A53-'01_Run_Config'!$B$33&lt;=6,"Transition / Stretch ("&amp;AM53&amp;")",IF(A53-'01_Run_Config'!$B$33&lt;=13,"Early Flower ("&amp;AM53&amp;")",IF(A53-'01_Run_Config'!$B$33&lt;=20,"Flower I ("&amp;AM53&amp;")",IF(A53-'01_Run_Config'!$B$33&lt;=34,"Peak Flower ("&amp;AM53&amp;")",IF(A53-'01_Run_Config'!$B$33&lt;=41,"Late Flower ("&amp;AM53&amp;")",IF(A53-'01_Run_Config'!$B$33&lt;=48,"Ripening ("&amp;AM53&amp;")","Harvest / Extension ("&amp;AM53&amp;")"))))))))))</x:f>
        <x:v>Peak Flower (B4)</x:v>
      </x:c>
      <x:c r="F53" s="63" t="str">
        <x:f>IF(A53&lt;4,"Keimung + Wurzelstart",IF(A53&lt;8,"Sämling etablieren; Wurzelraum erschließen",IF(A53&lt;15,"kompakter Aufbau; LST erst bei Vitalität",IF(A53&lt;'01_Run_Config'!$B$33,"Canopy aufbauen; Preflower beobachten",IF(A53-'01_Run_Config'!$B$33&lt;=6,"Stretch kontrollieren; Bloom-Trigger dokumentieren",IF(A53-'01_Run_Config'!$B$33&lt;=13,"Blütenansatz stabilisieren",IF(A53-'01_Run_Config'!$B$33&lt;=20,"Blütenaufbau ohne neue Stressoren",IF(A53-'01_Run_Config'!$B$33&lt;=34,"stabile Peak-Photosynthese; Klima priorisieren",IF(A53-'01_Run_Config'!$B$33&lt;=41,"Qualität/Schimmelprävention",IF(A53-'01_Run_Config'!$B$33&lt;=48,"Reife ohne Überfütterung","Erntefenster nach Pflanze; keine Kalenderernte"))))))))))</x:f>
        <x:v>stabile Peak-Photosynthese; Klima priorisieren</x:v>
      </x:c>
      <x:c r="G53" s="63" t="n">
        <x:v>18</x:v>
      </x:c>
      <x:c r="H53" s="63" t="n">
        <x:v>140</x:v>
      </x:c>
      <x:c r="I53" s="63" t="n">
        <x:v>625</x:v>
      </x:c>
      <x:c r="J53" s="63" t="n">
        <x:f>I53*G53*3600/1000000</x:f>
        <x:v>40.5</x:v>
      </x:c>
      <x:c r="K53" s="63" t="n">
        <x:v>34</x:v>
      </x:c>
      <x:c r="L53" s="63" t="n">
        <x:v>24.5</x:v>
      </x:c>
      <x:c r="M53" s="63" t="n">
        <x:v>21</x:v>
      </x:c>
      <x:c r="N53" s="63" t="n">
        <x:v>47</x:v>
      </x:c>
      <x:c r="O53" s="63" t="n">
        <x:f>ROUND(0.6108*EXP(17.27*(L53+'01_Run_Config'!$B$34)/(L53+'01_Run_Config'!$B$34+237.3))-(N53/100)*0.6108*EXP(17.27*L53/(L53+237.3)),2)</x:f>
        <x:v>1.45</x:v>
      </x:c>
      <x:c r="P53" s="63" t="n">
        <x:f>IF(A53&lt;'01_Run_Config'!$B$32,0.55,IF(A53&lt;'01_Run_Config'!$B$33,IF(A53-'01_Run_Config'!$B$32&lt;=3,0.8,IF(A53-'01_Run_Config'!$B$32&lt;=10,1,IF(A53-'01_Run_Config'!$B$32&lt;=17,1.2,1.4))),IF(A53-'01_Run_Config'!$B$33&lt;=6,1.5,IF(A53-'01_Run_Config'!$B$33&lt;=13,1.6,IF(A53-'01_Run_Config'!$B$33&lt;=20,1.7,IF(A53-'01_Run_Config'!$B$33&lt;=34,1.8,IF(A53-'01_Run_Config'!$B$33&lt;=41,1.6,IF(A53-'01_Run_Config'!$B$33&lt;=48,1.4,1.15))))))))</x:f>
        <x:v>1.8</x:v>
      </x:c>
      <x:c r="Q53" s="63" t="n">
        <x:v>5.9</x:v>
      </x:c>
      <x:c r="R53" s="63" t="n">
        <x:v>0.9</x:v>
      </x:c>
      <x:c r="S53" s="63" t="n">
        <x:v>1.5</x:v>
      </x:c>
      <x:c r="T53" s="63" t="str">
        <x:f>IF(A53&lt;=7,"Manuell",'01_Run_Config'!$B$40)</x:f>
        <x:v>Manuell / indoor-freigegebene Automation</x:v>
      </x:c>
      <x:c r="U53" s="63" t="str">
        <x:f>IF(A53&lt;'01_Run_Config'!$B$32,"Kein Basisdünger",IF(A53&lt;'01_Run_Config'!$B$33,"HESI TNT","HESI Coco"))</x:f>
        <x:v>HESI Coco</x:v>
      </x:c>
      <x:c r="V53" s="63" t="n">
        <x:f>IF(A53&lt;'01_Run_Config'!$B$32,0,IF(A53&lt;'01_Run_Config'!$B$33,IF(A53-'01_Run_Config'!$B$32&lt;=3,1.25,IF(A53-'01_Run_Config'!$B$32&lt;=10,2,2.5)),IF(A53-'01_Run_Config'!$B$33&lt;=6,2.5,IF(A53-'01_Run_Config'!$B$33&lt;=13,3.25,IF(A53-'01_Run_Config'!$B$33&lt;=20,3.75,IF(A53-'01_Run_Config'!$B$33&lt;=34,4,IF(A53-'01_Run_Config'!$B$33&lt;=41,3.5,IF(A53-'01_Run_Config'!$B$33&lt;=48,2.5,1.5))))))))</x:f>
        <x:v>4</x:v>
      </x:c>
      <x:c r="W53" s="63" t="n">
        <x:f>IF(A53&lt;=14,2.5,0)</x:f>
        <x:v>0</x:v>
      </x:c>
      <x:c r="X53" s="63" t="n">
        <x:f>IF('01_Run_Config'!$B$50="AN Sensizym",0,IF(AND(A53&gt;='01_Run_Config'!$B$32,OR(AL53="",AL53&lt;=49)),2,0))</x:f>
        <x:v>2</x:v>
      </x:c>
      <x:c r="Y53" s="63" t="n">
        <x:f>0.015</x:f>
        <x:v>0.015</x:v>
      </x:c>
      <x:c r="Z53" s="63" t="n">
        <x:f>IF('01_Run_Config'!$B$51="HESI Hesilicio",2,0)</x:f>
        <x:v>0</x:v>
      </x:c>
      <x:c r="AA53" s="63" t="n">
        <x:f>IF('01_Run_Config'!$B$48="AN Bud Candy (replaces HESI Boost)",0,IF(AND(A53&gt;='01_Run_Config'!$B$33,MOD(A53-'01_Run_Config'!$B$33,7)=0),2,0))</x:f>
        <x:v>0</x:v>
      </x:c>
      <x:c r="AB53" s="63" t="n">
        <x:f>IF('01_Run_Config'!$B$52="AN Bud Ignitor &gt; Big Bud &gt; Overdrive",0,IF(AND(ISNUMBER(AL53),AL53&gt;=29,AL53&lt;=42),0.25+((AL53-29)/13)*0.25,0))</x:f>
        <x:v>0</x:v>
      </x:c>
      <x:c r="AC53" s="63" t="n">
        <x:f>IF('01_Run_Config'!$B$46="OFF",0,IF(OR(A53='01_Run_Config'!$B$32,A53='01_Run_Config'!$B$32+7,A53='01_Run_Config'!$B$33+1,A53='01_Run_Config'!$B$33+8),2,0))</x:f>
        <x:v>0</x:v>
      </x:c>
      <x:c r="AD53" s="63" t="str">
        <x:f>IF(BG53="BLOCK","HYBRID BLOCKED - Konfiguration prüfen",IF(SUM(AC53,AT53:BF53)&gt;0,"AN aktiv: "&amp;BH53,"AN: keine Dosis heute / Module aus"))</x:f>
        <x:v>AN: keine Dosis heute / Module aus</x:v>
      </x:c>
      <x:c r="AE53" s="63" t="str">
        <x:v>Nur Support / Luftkanäle</x:v>
      </x:c>
      <x:c r="AF53" s="63" t="str">
        <x:v>Morgens Klima/Pflanze/Bewässerung/Leck; Mitte Lichtphase Blattwinkel; vor Dunkel LF/Drain/stehendes Wasser.</x:v>
      </x:c>
      <x:c r="AG53" s="63" t="str">
        <x:v>EC nicht erhöhen bei steigender Diagnose-Drain-EC; PPFD nicht erhöhen bei Stress; Wasserband nie erzwingen; nie mehrere neue Booster gleichzeitig.</x:v>
      </x:c>
      <x:c r="AH53" s="35" t="str">
        <x:f>"UKD v9 evidence-guarded: Planwerte sind Ziele/Eligibility, keine automatische Freigabe. Eazy Plug/Block ist vorgepuffert; früher Basisfeed bleibt vom Propagation-/Pflanzengate abhängig. Messdaten und Safety-Gates überschreiben Kalender."</x:f>
        <x:v>UKD v9 evidence-guarded: Planwerte sind Ziele/Eligibility, keine automatische Freigabe. Eazy Plug/Block ist vorgepuffert; früher Basisfeed bleibt vom Propagation-/Pflanzengate abhängig. Messdaten und Safety-Gates überschreiben Kalender.</x:v>
      </x:c>
      <x:c r="AI53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53" s="201" t="str">
        <x:f>IF(A53&lt;'01_Run_Config'!$B$32,"—",IF(A53&lt;'01_Run_Config'!$B$33,"G"&amp;MIN(4,INT((A53-'01_Run_Config'!$B$32)/7)+1),AM53))</x:f>
        <x:v>B4</x:v>
      </x:c>
      <x:c r="AK53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53" s="60" t="n">
        <x:f>IF(A53&lt;'01_Run_Config'!$B$33,"",A53-'01_Run_Config'!$B$33+1)</x:f>
        <x:v>24</x:v>
      </x:c>
      <x:c r="AM53" s="60" t="str">
        <x:f>IF(AL53="","",IF(AL53&gt;49,CHAR(66)&amp;"7+",CHAR(66)&amp;TEXT(INT((AL53-1)/7)+1,"0")))</x:f>
        <x:v>B4</x:v>
      </x:c>
      <x:c r="AN53" s="60" t="n">
        <x:f>ROUND(0.6108*EXP(17.27*L53/(L53+237.3))*(1-N53/100),2)</x:f>
        <x:v>1.63</x:v>
      </x:c>
      <x:c r="AO53" s="60" t="n">
        <x:f>H53*G53/1000</x:f>
        <x:v>2.52</x:v>
      </x:c>
      <x:c r="AP53" s="60" t="n">
        <x:f>SUM($AO$2:AO53)</x:f>
        <x:v>88.19999999999996</x:v>
      </x:c>
      <x:c r="AQ53" t="n">
        <x:f>'01_Run_Config'!$B$17</x:f>
        <x:v>0</x:v>
      </x:c>
      <x:c r="AR53" t="n">
        <x:f>'01_Run_Config'!$B$22</x:f>
        <x:v>0</x:v>
      </x:c>
      <x:c r="AS53" t="n">
        <x:f>'01_Run_Config'!$B$25</x:f>
        <x:v>0</x:v>
      </x:c>
      <x:c r="AT53" t="n">
        <x:f>IF(AND('01_Run_Config'!$B$46="Voodoo + Piranha + Tarantula",AC53&gt;0),2,0)</x:f>
        <x:v>0</x:v>
      </x:c>
      <x:c r="AU53" t="n">
        <x:f>IF(AND(OR('01_Run_Config'!$B$46="Voodoo + Tarantula",'01_Run_Config'!$B$46="Voodoo + Piranha + Tarantula"),AC53&gt;0),2,0)</x:f>
        <x:v>0</x:v>
      </x:c>
      <x:c r="AV53" t="n">
        <x:f>IF('01_Run_Config'!$B$47&lt;&gt;"ON / A-B",0,IF(OR(AND(A53&gt;='01_Run_Config'!$B$32,A53&lt;'01_Run_Config'!$B$33),AND(ISNUMBER(AL53),AL53&gt;=15,AL53&lt;=49)),2,0))</x:f>
        <x:v>0</x:v>
      </x:c>
      <x:c r="AW53" t="n">
        <x:f>IF('01_Run_Config'!$B$48="AN Bud Candy (replaces HESI Boost)",IF(AND(A53&gt;='01_Run_Config'!$B$32,OR(AL53="",AL53&lt;=49)),2,0),0)</x:f>
        <x:v>0</x:v>
      </x:c>
      <x:c r="AX53" t="n">
        <x:f>IF('01_Run_Config'!$B$49&lt;&gt;"ON / EXPERIMENTAL",0,IF(OR(AND(A53&gt;='01_Run_Config'!$B$32+7,A53&lt;'01_Run_Config'!$B$33),AND(ISNUMBER(AL53),AL53&gt;=1,AL53&lt;=49)),2,0))</x:f>
        <x:v>0</x:v>
      </x:c>
      <x:c r="AY53" t="n">
        <x:f>IF('01_Run_Config'!$B$50="AN Sensizym",IF(AND(A53&gt;='01_Run_Config'!$B$32,OR(AL53="",AL53&lt;=49)),2,0),0)</x:f>
        <x:v>0</x:v>
      </x:c>
      <x:c r="AZ53" t="n">
        <x:f>IF('01_Run_Config'!$B$51="AN Rhino Skin",IF(AND(A53&gt;='01_Run_Config'!$B$32,OR(AL53="",AL53&lt;=49)),2,0),0)</x:f>
        <x:v>0</x:v>
      </x:c>
      <x:c r="BA53" t="n">
        <x:f>IF(AND('01_Run_Config'!$B$52="AN Bud Ignitor &gt; Big Bud &gt; Overdrive",ISNUMBER(AL53),AL53&gt;=1,AL53&lt;=14),2,0)</x:f>
        <x:v>0</x:v>
      </x:c>
      <x:c r="BB53" t="n">
        <x:f>IF(AND('01_Run_Config'!$B$52="AN Bud Ignitor &gt; Big Bud &gt; Overdrive",ISNUMBER(AL53),AL53&gt;=8,AL53&lt;=35),2,0)</x:f>
        <x:v>0</x:v>
      </x:c>
      <x:c r="BC53" t="n">
        <x:f>IF(AND('01_Run_Config'!$B$52="AN Bud Ignitor &gt; Big Bud &gt; Overdrive",ISNUMBER(AL53),AL53&gt;=36,AL53&lt;=49),2,0)</x:f>
        <x:v>0</x:v>
      </x:c>
      <x:c r="BD53" t="n">
        <x:f>IF('01_Run_Config'!$B$53="ON / EXPERIMENTAL",IF(OR(AND(A53&gt;='01_Run_Config'!$B$32,A53&lt;'01_Run_Config'!$B$33),AND(ISNUMBER(AL53),AL53&gt;=15,AL53&lt;=49)),2,0),0)</x:f>
        <x:v>0</x:v>
      </x:c>
      <x:c r="BE53" t="n">
        <x:f>IF('01_Run_Config'!$B$54="AN Sensi CalMag Xtra conditional",'01_Run_Config'!$B$17,0)</x:f>
        <x:v>0</x:v>
      </x:c>
      <x:c r="BF53" t="n">
        <x:f>0</x:f>
        <x:v>0</x:v>
      </x:c>
      <x:c r="BG53" t="str">
        <x:f>'01_Run_Config'!$E$57</x:f>
        <x:v>OK</x:v>
      </x:c>
      <x:c r="BH53" t="str">
        <x:f>IF(SUM(AC53,AT53:BF53)=0,"keine AN-Dosis heute",IF(AC53&gt;0,"Voodoo "&amp;AC53&amp;" ml/L; ","")&amp;IF(AT53&gt;0,"Piranha "&amp;AT53&amp;" ml/L; ","")&amp;IF(AU53&gt;0,"Tarantula "&amp;AU53&amp;" ml/L; ","")&amp;IF(AV53&gt;0,"B-52 "&amp;AV53&amp;" ml/L; ","")&amp;IF(AW53&gt;0,"Bud Candy "&amp;AW53&amp;" ml/L; ","")&amp;IF(AX53&gt;0,"Bud Factor X "&amp;AX53&amp;" ml/L; ","")&amp;IF(AY53&gt;0,"Sensizym "&amp;AY53&amp;" ml/L; ","")&amp;IF(AZ53&gt;0,"Rhino Skin "&amp;AZ53&amp;" ml/L; ","")&amp;IF(BA53&gt;0,"Bud Ignitor "&amp;BA53&amp;" ml/L; ","")&amp;IF(BB53&gt;0,"Big Bud "&amp;BB53&amp;" ml/L; ","")&amp;IF(BC53&gt;0,"Overdrive "&amp;BC53&amp;" ml/L; ","")&amp;IF(BD53&gt;0,"Tasty Terpenes "&amp;BD53&amp;" ml/L; ","")&amp;IF(BE53&gt;0,"Sensi CalMag "&amp;BE53&amp;" ml/L",""))</x:f>
        <x:v>keine AN-Dosis heute</x:v>
      </x:c>
    </x:row>
    <x:row r="54">
      <x:c r="A54" s="34" t="n">
        <x:v>52</x:v>
      </x:c>
      <x:c r="B54" s="129" t="n">
        <x:f>'01_Run_Config'!$B$4+A54</x:f>
        <x:v>46294</x:v>
      </x:c>
      <x:c r="C54" s="63" t="n">
        <x:f>INT(A54/7)+1</x:f>
        <x:v>8</x:v>
      </x:c>
      <x:c r="D54" s="63" t="str">
        <x:f>"M"&amp;MIN(3,INT(A54/30)+1)</x:f>
        <x:v>M2</x:v>
      </x:c>
      <x:c r="E54" s="63" t="str">
        <x:f>IF(A54&lt;4,"Keimung",IF(A54&lt;8,"Etablierung",IF(A54&lt;15,"Early Veg",IF(A54&lt;'01_Run_Config'!$B$33,IF(A54&lt;22,"Veg / LST","Preflower-Watch"),IF(A54-'01_Run_Config'!$B$33&lt;=6,"Transition / Stretch ("&amp;AM54&amp;")",IF(A54-'01_Run_Config'!$B$33&lt;=13,"Early Flower ("&amp;AM54&amp;")",IF(A54-'01_Run_Config'!$B$33&lt;=20,"Flower I ("&amp;AM54&amp;")",IF(A54-'01_Run_Config'!$B$33&lt;=34,"Peak Flower ("&amp;AM54&amp;")",IF(A54-'01_Run_Config'!$B$33&lt;=41,"Late Flower ("&amp;AM54&amp;")",IF(A54-'01_Run_Config'!$B$33&lt;=48,"Ripening ("&amp;AM54&amp;")","Harvest / Extension ("&amp;AM54&amp;")"))))))))))</x:f>
        <x:v>Peak Flower (B4)</x:v>
      </x:c>
      <x:c r="F54" s="63" t="str">
        <x:f>IF(A54&lt;4,"Keimung + Wurzelstart",IF(A54&lt;8,"Sämling etablieren; Wurzelraum erschließen",IF(A54&lt;15,"kompakter Aufbau; LST erst bei Vitalität",IF(A54&lt;'01_Run_Config'!$B$33,"Canopy aufbauen; Preflower beobachten",IF(A54-'01_Run_Config'!$B$33&lt;=6,"Stretch kontrollieren; Bloom-Trigger dokumentieren",IF(A54-'01_Run_Config'!$B$33&lt;=13,"Blütenansatz stabilisieren",IF(A54-'01_Run_Config'!$B$33&lt;=20,"Blütenaufbau ohne neue Stressoren",IF(A54-'01_Run_Config'!$B$33&lt;=34,"stabile Peak-Photosynthese; Klima priorisieren",IF(A54-'01_Run_Config'!$B$33&lt;=41,"Qualität/Schimmelprävention",IF(A54-'01_Run_Config'!$B$33&lt;=48,"Reife ohne Überfütterung","Erntefenster nach Pflanze; keine Kalenderernte"))))))))))</x:f>
        <x:v>stabile Peak-Photosynthese; Klima priorisieren</x:v>
      </x:c>
      <x:c r="G54" s="63" t="n">
        <x:v>18</x:v>
      </x:c>
      <x:c r="H54" s="63" t="n">
        <x:v>140</x:v>
      </x:c>
      <x:c r="I54" s="63" t="n">
        <x:v>625</x:v>
      </x:c>
      <x:c r="J54" s="63" t="n">
        <x:f>I54*G54*3600/1000000</x:f>
        <x:v>40.5</x:v>
      </x:c>
      <x:c r="K54" s="63" t="n">
        <x:v>34</x:v>
      </x:c>
      <x:c r="L54" s="63" t="n">
        <x:v>24.5</x:v>
      </x:c>
      <x:c r="M54" s="63" t="n">
        <x:v>21</x:v>
      </x:c>
      <x:c r="N54" s="63" t="n">
        <x:v>47</x:v>
      </x:c>
      <x:c r="O54" s="63" t="n">
        <x:f>ROUND(0.6108*EXP(17.27*(L54+'01_Run_Config'!$B$34)/(L54+'01_Run_Config'!$B$34+237.3))-(N54/100)*0.6108*EXP(17.27*L54/(L54+237.3)),2)</x:f>
        <x:v>1.45</x:v>
      </x:c>
      <x:c r="P54" s="63" t="n">
        <x:f>IF(A54&lt;'01_Run_Config'!$B$32,0.55,IF(A54&lt;'01_Run_Config'!$B$33,IF(A54-'01_Run_Config'!$B$32&lt;=3,0.8,IF(A54-'01_Run_Config'!$B$32&lt;=10,1,IF(A54-'01_Run_Config'!$B$32&lt;=17,1.2,1.4))),IF(A54-'01_Run_Config'!$B$33&lt;=6,1.5,IF(A54-'01_Run_Config'!$B$33&lt;=13,1.6,IF(A54-'01_Run_Config'!$B$33&lt;=20,1.7,IF(A54-'01_Run_Config'!$B$33&lt;=34,1.8,IF(A54-'01_Run_Config'!$B$33&lt;=41,1.6,IF(A54-'01_Run_Config'!$B$33&lt;=48,1.4,1.15))))))))</x:f>
        <x:v>1.8</x:v>
      </x:c>
      <x:c r="Q54" s="63" t="n">
        <x:v>5.9</x:v>
      </x:c>
      <x:c r="R54" s="63" t="n">
        <x:v>0.9</x:v>
      </x:c>
      <x:c r="S54" s="63" t="n">
        <x:v>1.5</x:v>
      </x:c>
      <x:c r="T54" s="63" t="str">
        <x:f>IF(A54&lt;=7,"Manuell",'01_Run_Config'!$B$40)</x:f>
        <x:v>Manuell / indoor-freigegebene Automation</x:v>
      </x:c>
      <x:c r="U54" s="63" t="str">
        <x:f>IF(A54&lt;'01_Run_Config'!$B$32,"Kein Basisdünger",IF(A54&lt;'01_Run_Config'!$B$33,"HESI TNT","HESI Coco"))</x:f>
        <x:v>HESI Coco</x:v>
      </x:c>
      <x:c r="V54" s="63" t="n">
        <x:f>IF(A54&lt;'01_Run_Config'!$B$32,0,IF(A54&lt;'01_Run_Config'!$B$33,IF(A54-'01_Run_Config'!$B$32&lt;=3,1.25,IF(A54-'01_Run_Config'!$B$32&lt;=10,2,2.5)),IF(A54-'01_Run_Config'!$B$33&lt;=6,2.5,IF(A54-'01_Run_Config'!$B$33&lt;=13,3.25,IF(A54-'01_Run_Config'!$B$33&lt;=20,3.75,IF(A54-'01_Run_Config'!$B$33&lt;=34,4,IF(A54-'01_Run_Config'!$B$33&lt;=41,3.5,IF(A54-'01_Run_Config'!$B$33&lt;=48,2.5,1.5))))))))</x:f>
        <x:v>4</x:v>
      </x:c>
      <x:c r="W54" s="63" t="n">
        <x:f>IF(A54&lt;=14,2.5,0)</x:f>
        <x:v>0</x:v>
      </x:c>
      <x:c r="X54" s="63" t="n">
        <x:f>IF('01_Run_Config'!$B$50="AN Sensizym",0,IF(AND(A54&gt;='01_Run_Config'!$B$32,OR(AL54="",AL54&lt;=49)),2,0))</x:f>
        <x:v>2</x:v>
      </x:c>
      <x:c r="Y54" s="63" t="n">
        <x:f>0.015</x:f>
        <x:v>0.015</x:v>
      </x:c>
      <x:c r="Z54" s="63" t="n">
        <x:f>IF('01_Run_Config'!$B$51="HESI Hesilicio",2,0)</x:f>
        <x:v>0</x:v>
      </x:c>
      <x:c r="AA54" s="63" t="n">
        <x:f>IF('01_Run_Config'!$B$48="AN Bud Candy (replaces HESI Boost)",0,IF(AND(A54&gt;='01_Run_Config'!$B$33,MOD(A54-'01_Run_Config'!$B$33,7)=0),2,0))</x:f>
        <x:v>0</x:v>
      </x:c>
      <x:c r="AB54" s="63" t="n">
        <x:f>IF('01_Run_Config'!$B$52="AN Bud Ignitor &gt; Big Bud &gt; Overdrive",0,IF(AND(ISNUMBER(AL54),AL54&gt;=29,AL54&lt;=42),0.25+((AL54-29)/13)*0.25,0))</x:f>
        <x:v>0</x:v>
      </x:c>
      <x:c r="AC54" s="63" t="n">
        <x:f>IF('01_Run_Config'!$B$46="OFF",0,IF(OR(A54='01_Run_Config'!$B$32,A54='01_Run_Config'!$B$32+7,A54='01_Run_Config'!$B$33+1,A54='01_Run_Config'!$B$33+8),2,0))</x:f>
        <x:v>0</x:v>
      </x:c>
      <x:c r="AD54" s="63" t="str">
        <x:f>IF(BG54="BLOCK","HYBRID BLOCKED - Konfiguration prüfen",IF(SUM(AC54,AT54:BF54)&gt;0,"AN aktiv: "&amp;BH54,"AN: keine Dosis heute / Module aus"))</x:f>
        <x:v>AN: keine Dosis heute / Module aus</x:v>
      </x:c>
      <x:c r="AE54" s="63" t="str">
        <x:v>Nur Support / Luftkanäle</x:v>
      </x:c>
      <x:c r="AF54" s="63" t="str">
        <x:v>Morgens Klima/Pflanze/Bewässerung/Leck; Mitte Lichtphase Blattwinkel; vor Dunkel LF/Drain/stehendes Wasser.</x:v>
      </x:c>
      <x:c r="AG54" s="63" t="str">
        <x:v>EC nicht erhöhen bei steigender Diagnose-Drain-EC; PPFD nicht erhöhen bei Stress; Wasserband nie erzwingen; nie mehrere neue Booster gleichzeitig.</x:v>
      </x:c>
      <x:c r="AH54" s="35" t="str">
        <x:f>"UKD v9 evidence-guarded: Planwerte sind Ziele/Eligibility, keine automatische Freigabe. Eazy Plug/Block ist vorgepuffert; früher Basisfeed bleibt vom Propagation-/Pflanzengate abhängig. Messdaten und Safety-Gates überschreiben Kalender."</x:f>
        <x:v>UKD v9 evidence-guarded: Planwerte sind Ziele/Eligibility, keine automatische Freigabe. Eazy Plug/Block ist vorgepuffert; früher Basisfeed bleibt vom Propagation-/Pflanzengate abhängig. Messdaten und Safety-Gates überschreiben Kalender.</x:v>
      </x:c>
      <x:c r="AI54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54" s="201" t="str">
        <x:f>IF(A54&lt;'01_Run_Config'!$B$32,"—",IF(A54&lt;'01_Run_Config'!$B$33,"G"&amp;MIN(4,INT((A54-'01_Run_Config'!$B$32)/7)+1),AM54))</x:f>
        <x:v>B4</x:v>
      </x:c>
      <x:c r="AK54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54" s="60" t="n">
        <x:f>IF(A54&lt;'01_Run_Config'!$B$33,"",A54-'01_Run_Config'!$B$33+1)</x:f>
        <x:v>25</x:v>
      </x:c>
      <x:c r="AM54" s="60" t="str">
        <x:f>IF(AL54="","",IF(AL54&gt;49,CHAR(66)&amp;"7+",CHAR(66)&amp;TEXT(INT((AL54-1)/7)+1,"0")))</x:f>
        <x:v>B4</x:v>
      </x:c>
      <x:c r="AN54" s="60" t="n">
        <x:f>ROUND(0.6108*EXP(17.27*L54/(L54+237.3))*(1-N54/100),2)</x:f>
        <x:v>1.63</x:v>
      </x:c>
      <x:c r="AO54" s="60" t="n">
        <x:f>H54*G54/1000</x:f>
        <x:v>2.52</x:v>
      </x:c>
      <x:c r="AP54" s="60" t="n">
        <x:f>SUM($AO$2:AO54)</x:f>
        <x:v>90.71999999999996</x:v>
      </x:c>
      <x:c r="AQ54" t="n">
        <x:f>'01_Run_Config'!$B$17</x:f>
        <x:v>0</x:v>
      </x:c>
      <x:c r="AR54" t="n">
        <x:f>'01_Run_Config'!$B$22</x:f>
        <x:v>0</x:v>
      </x:c>
      <x:c r="AS54" t="n">
        <x:f>'01_Run_Config'!$B$25</x:f>
        <x:v>0</x:v>
      </x:c>
      <x:c r="AT54" t="n">
        <x:f>IF(AND('01_Run_Config'!$B$46="Voodoo + Piranha + Tarantula",AC54&gt;0),2,0)</x:f>
        <x:v>0</x:v>
      </x:c>
      <x:c r="AU54" t="n">
        <x:f>IF(AND(OR('01_Run_Config'!$B$46="Voodoo + Tarantula",'01_Run_Config'!$B$46="Voodoo + Piranha + Tarantula"),AC54&gt;0),2,0)</x:f>
        <x:v>0</x:v>
      </x:c>
      <x:c r="AV54" t="n">
        <x:f>IF('01_Run_Config'!$B$47&lt;&gt;"ON / A-B",0,IF(OR(AND(A54&gt;='01_Run_Config'!$B$32,A54&lt;'01_Run_Config'!$B$33),AND(ISNUMBER(AL54),AL54&gt;=15,AL54&lt;=49)),2,0))</x:f>
        <x:v>0</x:v>
      </x:c>
      <x:c r="AW54" t="n">
        <x:f>IF('01_Run_Config'!$B$48="AN Bud Candy (replaces HESI Boost)",IF(AND(A54&gt;='01_Run_Config'!$B$32,OR(AL54="",AL54&lt;=49)),2,0),0)</x:f>
        <x:v>0</x:v>
      </x:c>
      <x:c r="AX54" t="n">
        <x:f>IF('01_Run_Config'!$B$49&lt;&gt;"ON / EXPERIMENTAL",0,IF(OR(AND(A54&gt;='01_Run_Config'!$B$32+7,A54&lt;'01_Run_Config'!$B$33),AND(ISNUMBER(AL54),AL54&gt;=1,AL54&lt;=49)),2,0))</x:f>
        <x:v>0</x:v>
      </x:c>
      <x:c r="AY54" t="n">
        <x:f>IF('01_Run_Config'!$B$50="AN Sensizym",IF(AND(A54&gt;='01_Run_Config'!$B$32,OR(AL54="",AL54&lt;=49)),2,0),0)</x:f>
        <x:v>0</x:v>
      </x:c>
      <x:c r="AZ54" t="n">
        <x:f>IF('01_Run_Config'!$B$51="AN Rhino Skin",IF(AND(A54&gt;='01_Run_Config'!$B$32,OR(AL54="",AL54&lt;=49)),2,0),0)</x:f>
        <x:v>0</x:v>
      </x:c>
      <x:c r="BA54" t="n">
        <x:f>IF(AND('01_Run_Config'!$B$52="AN Bud Ignitor &gt; Big Bud &gt; Overdrive",ISNUMBER(AL54),AL54&gt;=1,AL54&lt;=14),2,0)</x:f>
        <x:v>0</x:v>
      </x:c>
      <x:c r="BB54" t="n">
        <x:f>IF(AND('01_Run_Config'!$B$52="AN Bud Ignitor &gt; Big Bud &gt; Overdrive",ISNUMBER(AL54),AL54&gt;=8,AL54&lt;=35),2,0)</x:f>
        <x:v>0</x:v>
      </x:c>
      <x:c r="BC54" t="n">
        <x:f>IF(AND('01_Run_Config'!$B$52="AN Bud Ignitor &gt; Big Bud &gt; Overdrive",ISNUMBER(AL54),AL54&gt;=36,AL54&lt;=49),2,0)</x:f>
        <x:v>0</x:v>
      </x:c>
      <x:c r="BD54" t="n">
        <x:f>IF('01_Run_Config'!$B$53="ON / EXPERIMENTAL",IF(OR(AND(A54&gt;='01_Run_Config'!$B$32,A54&lt;'01_Run_Config'!$B$33),AND(ISNUMBER(AL54),AL54&gt;=15,AL54&lt;=49)),2,0),0)</x:f>
        <x:v>0</x:v>
      </x:c>
      <x:c r="BE54" t="n">
        <x:f>IF('01_Run_Config'!$B$54="AN Sensi CalMag Xtra conditional",'01_Run_Config'!$B$17,0)</x:f>
        <x:v>0</x:v>
      </x:c>
      <x:c r="BF54" t="n">
        <x:f>0</x:f>
        <x:v>0</x:v>
      </x:c>
      <x:c r="BG54" t="str">
        <x:f>'01_Run_Config'!$E$57</x:f>
        <x:v>OK</x:v>
      </x:c>
      <x:c r="BH54" t="str">
        <x:f>IF(SUM(AC54,AT54:BF54)=0,"keine AN-Dosis heute",IF(AC54&gt;0,"Voodoo "&amp;AC54&amp;" ml/L; ","")&amp;IF(AT54&gt;0,"Piranha "&amp;AT54&amp;" ml/L; ","")&amp;IF(AU54&gt;0,"Tarantula "&amp;AU54&amp;" ml/L; ","")&amp;IF(AV54&gt;0,"B-52 "&amp;AV54&amp;" ml/L; ","")&amp;IF(AW54&gt;0,"Bud Candy "&amp;AW54&amp;" ml/L; ","")&amp;IF(AX54&gt;0,"Bud Factor X "&amp;AX54&amp;" ml/L; ","")&amp;IF(AY54&gt;0,"Sensizym "&amp;AY54&amp;" ml/L; ","")&amp;IF(AZ54&gt;0,"Rhino Skin "&amp;AZ54&amp;" ml/L; ","")&amp;IF(BA54&gt;0,"Bud Ignitor "&amp;BA54&amp;" ml/L; ","")&amp;IF(BB54&gt;0,"Big Bud "&amp;BB54&amp;" ml/L; ","")&amp;IF(BC54&gt;0,"Overdrive "&amp;BC54&amp;" ml/L; ","")&amp;IF(BD54&gt;0,"Tasty Terpenes "&amp;BD54&amp;" ml/L; ","")&amp;IF(BE54&gt;0,"Sensi CalMag "&amp;BE54&amp;" ml/L",""))</x:f>
        <x:v>keine AN-Dosis heute</x:v>
      </x:c>
    </x:row>
    <x:row r="55">
      <x:c r="A55" s="34" t="n">
        <x:v>53</x:v>
      </x:c>
      <x:c r="B55" s="129" t="n">
        <x:f>'01_Run_Config'!$B$4+A55</x:f>
        <x:v>46295</x:v>
      </x:c>
      <x:c r="C55" s="63" t="n">
        <x:f>INT(A55/7)+1</x:f>
        <x:v>8</x:v>
      </x:c>
      <x:c r="D55" s="63" t="str">
        <x:f>"M"&amp;MIN(3,INT(A55/30)+1)</x:f>
        <x:v>M2</x:v>
      </x:c>
      <x:c r="E55" s="63" t="str">
        <x:f>IF(A55&lt;4,"Keimung",IF(A55&lt;8,"Etablierung",IF(A55&lt;15,"Early Veg",IF(A55&lt;'01_Run_Config'!$B$33,IF(A55&lt;22,"Veg / LST","Preflower-Watch"),IF(A55-'01_Run_Config'!$B$33&lt;=6,"Transition / Stretch ("&amp;AM55&amp;")",IF(A55-'01_Run_Config'!$B$33&lt;=13,"Early Flower ("&amp;AM55&amp;")",IF(A55-'01_Run_Config'!$B$33&lt;=20,"Flower I ("&amp;AM55&amp;")",IF(A55-'01_Run_Config'!$B$33&lt;=34,"Peak Flower ("&amp;AM55&amp;")",IF(A55-'01_Run_Config'!$B$33&lt;=41,"Late Flower ("&amp;AM55&amp;")",IF(A55-'01_Run_Config'!$B$33&lt;=48,"Ripening ("&amp;AM55&amp;")","Harvest / Extension ("&amp;AM55&amp;")"))))))))))</x:f>
        <x:v>Peak Flower (B4)</x:v>
      </x:c>
      <x:c r="F55" s="63" t="str">
        <x:f>IF(A55&lt;4,"Keimung + Wurzelstart",IF(A55&lt;8,"Sämling etablieren; Wurzelraum erschließen",IF(A55&lt;15,"kompakter Aufbau; LST erst bei Vitalität",IF(A55&lt;'01_Run_Config'!$B$33,"Canopy aufbauen; Preflower beobachten",IF(A55-'01_Run_Config'!$B$33&lt;=6,"Stretch kontrollieren; Bloom-Trigger dokumentieren",IF(A55-'01_Run_Config'!$B$33&lt;=13,"Blütenansatz stabilisieren",IF(A55-'01_Run_Config'!$B$33&lt;=20,"Blütenaufbau ohne neue Stressoren",IF(A55-'01_Run_Config'!$B$33&lt;=34,"stabile Peak-Photosynthese; Klima priorisieren",IF(A55-'01_Run_Config'!$B$33&lt;=41,"Qualität/Schimmelprävention",IF(A55-'01_Run_Config'!$B$33&lt;=48,"Reife ohne Überfütterung","Erntefenster nach Pflanze; keine Kalenderernte"))))))))))</x:f>
        <x:v>stabile Peak-Photosynthese; Klima priorisieren</x:v>
      </x:c>
      <x:c r="G55" s="63" t="n">
        <x:v>18</x:v>
      </x:c>
      <x:c r="H55" s="63" t="n">
        <x:v>140</x:v>
      </x:c>
      <x:c r="I55" s="63" t="n">
        <x:v>625</x:v>
      </x:c>
      <x:c r="J55" s="63" t="n">
        <x:f>I55*G55*3600/1000000</x:f>
        <x:v>40.5</x:v>
      </x:c>
      <x:c r="K55" s="63" t="n">
        <x:v>34</x:v>
      </x:c>
      <x:c r="L55" s="63" t="n">
        <x:v>24.5</x:v>
      </x:c>
      <x:c r="M55" s="63" t="n">
        <x:v>21</x:v>
      </x:c>
      <x:c r="N55" s="63" t="n">
        <x:v>47</x:v>
      </x:c>
      <x:c r="O55" s="63" t="n">
        <x:f>ROUND(0.6108*EXP(17.27*(L55+'01_Run_Config'!$B$34)/(L55+'01_Run_Config'!$B$34+237.3))-(N55/100)*0.6108*EXP(17.27*L55/(L55+237.3)),2)</x:f>
        <x:v>1.45</x:v>
      </x:c>
      <x:c r="P55" s="63" t="n">
        <x:f>IF(A55&lt;'01_Run_Config'!$B$32,0.55,IF(A55&lt;'01_Run_Config'!$B$33,IF(A55-'01_Run_Config'!$B$32&lt;=3,0.8,IF(A55-'01_Run_Config'!$B$32&lt;=10,1,IF(A55-'01_Run_Config'!$B$32&lt;=17,1.2,1.4))),IF(A55-'01_Run_Config'!$B$33&lt;=6,1.5,IF(A55-'01_Run_Config'!$B$33&lt;=13,1.6,IF(A55-'01_Run_Config'!$B$33&lt;=20,1.7,IF(A55-'01_Run_Config'!$B$33&lt;=34,1.8,IF(A55-'01_Run_Config'!$B$33&lt;=41,1.6,IF(A55-'01_Run_Config'!$B$33&lt;=48,1.4,1.15))))))))</x:f>
        <x:v>1.8</x:v>
      </x:c>
      <x:c r="Q55" s="63" t="n">
        <x:v>5.9</x:v>
      </x:c>
      <x:c r="R55" s="63" t="n">
        <x:v>0.9</x:v>
      </x:c>
      <x:c r="S55" s="63" t="n">
        <x:v>1.5</x:v>
      </x:c>
      <x:c r="T55" s="63" t="str">
        <x:f>IF(A55&lt;=7,"Manuell",'01_Run_Config'!$B$40)</x:f>
        <x:v>Manuell / indoor-freigegebene Automation</x:v>
      </x:c>
      <x:c r="U55" s="63" t="str">
        <x:f>IF(A55&lt;'01_Run_Config'!$B$32,"Kein Basisdünger",IF(A55&lt;'01_Run_Config'!$B$33,"HESI TNT","HESI Coco"))</x:f>
        <x:v>HESI Coco</x:v>
      </x:c>
      <x:c r="V55" s="63" t="n">
        <x:f>IF(A55&lt;'01_Run_Config'!$B$32,0,IF(A55&lt;'01_Run_Config'!$B$33,IF(A55-'01_Run_Config'!$B$32&lt;=3,1.25,IF(A55-'01_Run_Config'!$B$32&lt;=10,2,2.5)),IF(A55-'01_Run_Config'!$B$33&lt;=6,2.5,IF(A55-'01_Run_Config'!$B$33&lt;=13,3.25,IF(A55-'01_Run_Config'!$B$33&lt;=20,3.75,IF(A55-'01_Run_Config'!$B$33&lt;=34,4,IF(A55-'01_Run_Config'!$B$33&lt;=41,3.5,IF(A55-'01_Run_Config'!$B$33&lt;=48,2.5,1.5))))))))</x:f>
        <x:v>4</x:v>
      </x:c>
      <x:c r="W55" s="63" t="n">
        <x:f>IF(A55&lt;=14,2.5,0)</x:f>
        <x:v>0</x:v>
      </x:c>
      <x:c r="X55" s="63" t="n">
        <x:f>IF('01_Run_Config'!$B$50="AN Sensizym",0,IF(AND(A55&gt;='01_Run_Config'!$B$32,OR(AL55="",AL55&lt;=49)),2,0))</x:f>
        <x:v>2</x:v>
      </x:c>
      <x:c r="Y55" s="63" t="n">
        <x:f>0.015</x:f>
        <x:v>0.015</x:v>
      </x:c>
      <x:c r="Z55" s="63" t="n">
        <x:f>IF('01_Run_Config'!$B$51="HESI Hesilicio",2,0)</x:f>
        <x:v>0</x:v>
      </x:c>
      <x:c r="AA55" s="63" t="n">
        <x:f>IF('01_Run_Config'!$B$48="AN Bud Candy (replaces HESI Boost)",0,IF(AND(A55&gt;='01_Run_Config'!$B$33,MOD(A55-'01_Run_Config'!$B$33,7)=0),2,0))</x:f>
        <x:v>0</x:v>
      </x:c>
      <x:c r="AB55" s="63" t="n">
        <x:f>IF('01_Run_Config'!$B$52="AN Bud Ignitor &gt; Big Bud &gt; Overdrive",0,IF(AND(ISNUMBER(AL55),AL55&gt;=29,AL55&lt;=42),0.25+((AL55-29)/13)*0.25,0))</x:f>
        <x:v>0</x:v>
      </x:c>
      <x:c r="AC55" s="63" t="n">
        <x:f>IF('01_Run_Config'!$B$46="OFF",0,IF(OR(A55='01_Run_Config'!$B$32,A55='01_Run_Config'!$B$32+7,A55='01_Run_Config'!$B$33+1,A55='01_Run_Config'!$B$33+8),2,0))</x:f>
        <x:v>0</x:v>
      </x:c>
      <x:c r="AD55" s="63" t="str">
        <x:f>IF(BG55="BLOCK","HYBRID BLOCKED - Konfiguration prüfen",IF(SUM(AC55,AT55:BF55)&gt;0,"AN aktiv: "&amp;BH55,"AN: keine Dosis heute / Module aus"))</x:f>
        <x:v>AN: keine Dosis heute / Module aus</x:v>
      </x:c>
      <x:c r="AE55" s="63" t="str">
        <x:v>Nur Support / Luftkanäle</x:v>
      </x:c>
      <x:c r="AF55" s="63" t="str">
        <x:v>Morgens Klima/Pflanze/Bewässerung/Leck; Mitte Lichtphase Blattwinkel; vor Dunkel LF/Drain/stehendes Wasser.</x:v>
      </x:c>
      <x:c r="AG55" s="63" t="str">
        <x:v>EC nicht erhöhen bei steigender Diagnose-Drain-EC; PPFD nicht erhöhen bei Stress; Wasserband nie erzwingen; nie mehrere neue Booster gleichzeitig.</x:v>
      </x:c>
      <x:c r="AH55" s="35" t="str">
        <x:f>"UKD v9 evidence-guarded: Planwerte sind Ziele/Eligibility, keine automatische Freigabe. Eazy Plug/Block ist vorgepuffert; früher Basisfeed bleibt vom Propagation-/Pflanzengate abhängig. Messdaten und Safety-Gates überschreiben Kalender."</x:f>
        <x:v>UKD v9 evidence-guarded: Planwerte sind Ziele/Eligibility, keine automatische Freigabe. Eazy Plug/Block ist vorgepuffert; früher Basisfeed bleibt vom Propagation-/Pflanzengate abhängig. Messdaten und Safety-Gates überschreiben Kalender.</x:v>
      </x:c>
      <x:c r="AI55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55" s="201" t="str">
        <x:f>IF(A55&lt;'01_Run_Config'!$B$32,"—",IF(A55&lt;'01_Run_Config'!$B$33,"G"&amp;MIN(4,INT((A55-'01_Run_Config'!$B$32)/7)+1),AM55))</x:f>
        <x:v>B4</x:v>
      </x:c>
      <x:c r="AK55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55" s="60" t="n">
        <x:f>IF(A55&lt;'01_Run_Config'!$B$33,"",A55-'01_Run_Config'!$B$33+1)</x:f>
        <x:v>26</x:v>
      </x:c>
      <x:c r="AM55" s="60" t="str">
        <x:f>IF(AL55="","",IF(AL55&gt;49,CHAR(66)&amp;"7+",CHAR(66)&amp;TEXT(INT((AL55-1)/7)+1,"0")))</x:f>
        <x:v>B4</x:v>
      </x:c>
      <x:c r="AN55" s="60" t="n">
        <x:f>ROUND(0.6108*EXP(17.27*L55/(L55+237.3))*(1-N55/100),2)</x:f>
        <x:v>1.63</x:v>
      </x:c>
      <x:c r="AO55" s="60" t="n">
        <x:f>H55*G55/1000</x:f>
        <x:v>2.52</x:v>
      </x:c>
      <x:c r="AP55" s="60" t="n">
        <x:f>SUM($AO$2:AO55)</x:f>
        <x:v>93.23999999999995</x:v>
      </x:c>
      <x:c r="AQ55" t="n">
        <x:f>'01_Run_Config'!$B$17</x:f>
        <x:v>0</x:v>
      </x:c>
      <x:c r="AR55" t="n">
        <x:f>'01_Run_Config'!$B$22</x:f>
        <x:v>0</x:v>
      </x:c>
      <x:c r="AS55" t="n">
        <x:f>'01_Run_Config'!$B$25</x:f>
        <x:v>0</x:v>
      </x:c>
      <x:c r="AT55" t="n">
        <x:f>IF(AND('01_Run_Config'!$B$46="Voodoo + Piranha + Tarantula",AC55&gt;0),2,0)</x:f>
        <x:v>0</x:v>
      </x:c>
      <x:c r="AU55" t="n">
        <x:f>IF(AND(OR('01_Run_Config'!$B$46="Voodoo + Tarantula",'01_Run_Config'!$B$46="Voodoo + Piranha + Tarantula"),AC55&gt;0),2,0)</x:f>
        <x:v>0</x:v>
      </x:c>
      <x:c r="AV55" t="n">
        <x:f>IF('01_Run_Config'!$B$47&lt;&gt;"ON / A-B",0,IF(OR(AND(A55&gt;='01_Run_Config'!$B$32,A55&lt;'01_Run_Config'!$B$33),AND(ISNUMBER(AL55),AL55&gt;=15,AL55&lt;=49)),2,0))</x:f>
        <x:v>0</x:v>
      </x:c>
      <x:c r="AW55" t="n">
        <x:f>IF('01_Run_Config'!$B$48="AN Bud Candy (replaces HESI Boost)",IF(AND(A55&gt;='01_Run_Config'!$B$32,OR(AL55="",AL55&lt;=49)),2,0),0)</x:f>
        <x:v>0</x:v>
      </x:c>
      <x:c r="AX55" t="n">
        <x:f>IF('01_Run_Config'!$B$49&lt;&gt;"ON / EXPERIMENTAL",0,IF(OR(AND(A55&gt;='01_Run_Config'!$B$32+7,A55&lt;'01_Run_Config'!$B$33),AND(ISNUMBER(AL55),AL55&gt;=1,AL55&lt;=49)),2,0))</x:f>
        <x:v>0</x:v>
      </x:c>
      <x:c r="AY55" t="n">
        <x:f>IF('01_Run_Config'!$B$50="AN Sensizym",IF(AND(A55&gt;='01_Run_Config'!$B$32,OR(AL55="",AL55&lt;=49)),2,0),0)</x:f>
        <x:v>0</x:v>
      </x:c>
      <x:c r="AZ55" t="n">
        <x:f>IF('01_Run_Config'!$B$51="AN Rhino Skin",IF(AND(A55&gt;='01_Run_Config'!$B$32,OR(AL55="",AL55&lt;=49)),2,0),0)</x:f>
        <x:v>0</x:v>
      </x:c>
      <x:c r="BA55" t="n">
        <x:f>IF(AND('01_Run_Config'!$B$52="AN Bud Ignitor &gt; Big Bud &gt; Overdrive",ISNUMBER(AL55),AL55&gt;=1,AL55&lt;=14),2,0)</x:f>
        <x:v>0</x:v>
      </x:c>
      <x:c r="BB55" t="n">
        <x:f>IF(AND('01_Run_Config'!$B$52="AN Bud Ignitor &gt; Big Bud &gt; Overdrive",ISNUMBER(AL55),AL55&gt;=8,AL55&lt;=35),2,0)</x:f>
        <x:v>0</x:v>
      </x:c>
      <x:c r="BC55" t="n">
        <x:f>IF(AND('01_Run_Config'!$B$52="AN Bud Ignitor &gt; Big Bud &gt; Overdrive",ISNUMBER(AL55),AL55&gt;=36,AL55&lt;=49),2,0)</x:f>
        <x:v>0</x:v>
      </x:c>
      <x:c r="BD55" t="n">
        <x:f>IF('01_Run_Config'!$B$53="ON / EXPERIMENTAL",IF(OR(AND(A55&gt;='01_Run_Config'!$B$32,A55&lt;'01_Run_Config'!$B$33),AND(ISNUMBER(AL55),AL55&gt;=15,AL55&lt;=49)),2,0),0)</x:f>
        <x:v>0</x:v>
      </x:c>
      <x:c r="BE55" t="n">
        <x:f>IF('01_Run_Config'!$B$54="AN Sensi CalMag Xtra conditional",'01_Run_Config'!$B$17,0)</x:f>
        <x:v>0</x:v>
      </x:c>
      <x:c r="BF55" t="n">
        <x:f>0</x:f>
        <x:v>0</x:v>
      </x:c>
      <x:c r="BG55" t="str">
        <x:f>'01_Run_Config'!$E$57</x:f>
        <x:v>OK</x:v>
      </x:c>
      <x:c r="BH55" t="str">
        <x:f>IF(SUM(AC55,AT55:BF55)=0,"keine AN-Dosis heute",IF(AC55&gt;0,"Voodoo "&amp;AC55&amp;" ml/L; ","")&amp;IF(AT55&gt;0,"Piranha "&amp;AT55&amp;" ml/L; ","")&amp;IF(AU55&gt;0,"Tarantula "&amp;AU55&amp;" ml/L; ","")&amp;IF(AV55&gt;0,"B-52 "&amp;AV55&amp;" ml/L; ","")&amp;IF(AW55&gt;0,"Bud Candy "&amp;AW55&amp;" ml/L; ","")&amp;IF(AX55&gt;0,"Bud Factor X "&amp;AX55&amp;" ml/L; ","")&amp;IF(AY55&gt;0,"Sensizym "&amp;AY55&amp;" ml/L; ","")&amp;IF(AZ55&gt;0,"Rhino Skin "&amp;AZ55&amp;" ml/L; ","")&amp;IF(BA55&gt;0,"Bud Ignitor "&amp;BA55&amp;" ml/L; ","")&amp;IF(BB55&gt;0,"Big Bud "&amp;BB55&amp;" ml/L; ","")&amp;IF(BC55&gt;0,"Overdrive "&amp;BC55&amp;" ml/L; ","")&amp;IF(BD55&gt;0,"Tasty Terpenes "&amp;BD55&amp;" ml/L; ","")&amp;IF(BE55&gt;0,"Sensi CalMag "&amp;BE55&amp;" ml/L",""))</x:f>
        <x:v>keine AN-Dosis heute</x:v>
      </x:c>
    </x:row>
    <x:row r="56">
      <x:c r="A56" s="34" t="n">
        <x:v>54</x:v>
      </x:c>
      <x:c r="B56" s="129" t="n">
        <x:f>'01_Run_Config'!$B$4+A56</x:f>
        <x:v>46296</x:v>
      </x:c>
      <x:c r="C56" s="63" t="n">
        <x:f>INT(A56/7)+1</x:f>
        <x:v>8</x:v>
      </x:c>
      <x:c r="D56" s="63" t="str">
        <x:f>"M"&amp;MIN(3,INT(A56/30)+1)</x:f>
        <x:v>M2</x:v>
      </x:c>
      <x:c r="E56" s="63" t="str">
        <x:f>IF(A56&lt;4,"Keimung",IF(A56&lt;8,"Etablierung",IF(A56&lt;15,"Early Veg",IF(A56&lt;'01_Run_Config'!$B$33,IF(A56&lt;22,"Veg / LST","Preflower-Watch"),IF(A56-'01_Run_Config'!$B$33&lt;=6,"Transition / Stretch ("&amp;AM56&amp;")",IF(A56-'01_Run_Config'!$B$33&lt;=13,"Early Flower ("&amp;AM56&amp;")",IF(A56-'01_Run_Config'!$B$33&lt;=20,"Flower I ("&amp;AM56&amp;")",IF(A56-'01_Run_Config'!$B$33&lt;=34,"Peak Flower ("&amp;AM56&amp;")",IF(A56-'01_Run_Config'!$B$33&lt;=41,"Late Flower ("&amp;AM56&amp;")",IF(A56-'01_Run_Config'!$B$33&lt;=48,"Ripening ("&amp;AM56&amp;")","Harvest / Extension ("&amp;AM56&amp;")"))))))))))</x:f>
        <x:v>Peak Flower (B4)</x:v>
      </x:c>
      <x:c r="F56" s="63" t="str">
        <x:f>IF(A56&lt;4,"Keimung + Wurzelstart",IF(A56&lt;8,"Sämling etablieren; Wurzelraum erschließen",IF(A56&lt;15,"kompakter Aufbau; LST erst bei Vitalität",IF(A56&lt;'01_Run_Config'!$B$33,"Canopy aufbauen; Preflower beobachten",IF(A56-'01_Run_Config'!$B$33&lt;=6,"Stretch kontrollieren; Bloom-Trigger dokumentieren",IF(A56-'01_Run_Config'!$B$33&lt;=13,"Blütenansatz stabilisieren",IF(A56-'01_Run_Config'!$B$33&lt;=20,"Blütenaufbau ohne neue Stressoren",IF(A56-'01_Run_Config'!$B$33&lt;=34,"stabile Peak-Photosynthese; Klima priorisieren",IF(A56-'01_Run_Config'!$B$33&lt;=41,"Qualität/Schimmelprävention",IF(A56-'01_Run_Config'!$B$33&lt;=48,"Reife ohne Überfütterung","Erntefenster nach Pflanze; keine Kalenderernte"))))))))))</x:f>
        <x:v>stabile Peak-Photosynthese; Klima priorisieren</x:v>
      </x:c>
      <x:c r="G56" s="63" t="n">
        <x:v>18</x:v>
      </x:c>
      <x:c r="H56" s="63" t="n">
        <x:v>140</x:v>
      </x:c>
      <x:c r="I56" s="63" t="n">
        <x:v>625</x:v>
      </x:c>
      <x:c r="J56" s="63" t="n">
        <x:f>I56*G56*3600/1000000</x:f>
        <x:v>40.5</x:v>
      </x:c>
      <x:c r="K56" s="63" t="n">
        <x:v>34</x:v>
      </x:c>
      <x:c r="L56" s="63" t="n">
        <x:v>24.5</x:v>
      </x:c>
      <x:c r="M56" s="63" t="n">
        <x:v>21</x:v>
      </x:c>
      <x:c r="N56" s="63" t="n">
        <x:v>47</x:v>
      </x:c>
      <x:c r="O56" s="63" t="n">
        <x:f>ROUND(0.6108*EXP(17.27*(L56+'01_Run_Config'!$B$34)/(L56+'01_Run_Config'!$B$34+237.3))-(N56/100)*0.6108*EXP(17.27*L56/(L56+237.3)),2)</x:f>
        <x:v>1.45</x:v>
      </x:c>
      <x:c r="P56" s="63" t="n">
        <x:f>IF(A56&lt;'01_Run_Config'!$B$32,0.55,IF(A56&lt;'01_Run_Config'!$B$33,IF(A56-'01_Run_Config'!$B$32&lt;=3,0.8,IF(A56-'01_Run_Config'!$B$32&lt;=10,1,IF(A56-'01_Run_Config'!$B$32&lt;=17,1.2,1.4))),IF(A56-'01_Run_Config'!$B$33&lt;=6,1.5,IF(A56-'01_Run_Config'!$B$33&lt;=13,1.6,IF(A56-'01_Run_Config'!$B$33&lt;=20,1.7,IF(A56-'01_Run_Config'!$B$33&lt;=34,1.8,IF(A56-'01_Run_Config'!$B$33&lt;=41,1.6,IF(A56-'01_Run_Config'!$B$33&lt;=48,1.4,1.15))))))))</x:f>
        <x:v>1.8</x:v>
      </x:c>
      <x:c r="Q56" s="63" t="n">
        <x:v>5.9</x:v>
      </x:c>
      <x:c r="R56" s="63" t="n">
        <x:v>0.9</x:v>
      </x:c>
      <x:c r="S56" s="63" t="n">
        <x:v>1.5</x:v>
      </x:c>
      <x:c r="T56" s="63" t="str">
        <x:f>IF(A56&lt;=7,"Manuell",'01_Run_Config'!$B$40)</x:f>
        <x:v>Manuell / indoor-freigegebene Automation</x:v>
      </x:c>
      <x:c r="U56" s="63" t="str">
        <x:f>IF(A56&lt;'01_Run_Config'!$B$32,"Kein Basisdünger",IF(A56&lt;'01_Run_Config'!$B$33,"HESI TNT","HESI Coco"))</x:f>
        <x:v>HESI Coco</x:v>
      </x:c>
      <x:c r="V56" s="63" t="n">
        <x:f>IF(A56&lt;'01_Run_Config'!$B$32,0,IF(A56&lt;'01_Run_Config'!$B$33,IF(A56-'01_Run_Config'!$B$32&lt;=3,1.25,IF(A56-'01_Run_Config'!$B$32&lt;=10,2,2.5)),IF(A56-'01_Run_Config'!$B$33&lt;=6,2.5,IF(A56-'01_Run_Config'!$B$33&lt;=13,3.25,IF(A56-'01_Run_Config'!$B$33&lt;=20,3.75,IF(A56-'01_Run_Config'!$B$33&lt;=34,4,IF(A56-'01_Run_Config'!$B$33&lt;=41,3.5,IF(A56-'01_Run_Config'!$B$33&lt;=48,2.5,1.5))))))))</x:f>
        <x:v>4</x:v>
      </x:c>
      <x:c r="W56" s="63" t="n">
        <x:f>IF(A56&lt;=14,2.5,0)</x:f>
        <x:v>0</x:v>
      </x:c>
      <x:c r="X56" s="63" t="n">
        <x:f>IF('01_Run_Config'!$B$50="AN Sensizym",0,IF(AND(A56&gt;='01_Run_Config'!$B$32,OR(AL56="",AL56&lt;=49)),2,0))</x:f>
        <x:v>2</x:v>
      </x:c>
      <x:c r="Y56" s="63" t="n">
        <x:f>0.015</x:f>
        <x:v>0.015</x:v>
      </x:c>
      <x:c r="Z56" s="63" t="n">
        <x:f>IF('01_Run_Config'!$B$51="HESI Hesilicio",2,0)</x:f>
        <x:v>0</x:v>
      </x:c>
      <x:c r="AA56" s="63" t="n">
        <x:f>IF('01_Run_Config'!$B$48="AN Bud Candy (replaces HESI Boost)",0,IF(AND(A56&gt;='01_Run_Config'!$B$33,MOD(A56-'01_Run_Config'!$B$33,7)=0),2,0))</x:f>
        <x:v>0</x:v>
      </x:c>
      <x:c r="AB56" s="63" t="n">
        <x:f>IF('01_Run_Config'!$B$52="AN Bud Ignitor &gt; Big Bud &gt; Overdrive",0,IF(AND(ISNUMBER(AL56),AL56&gt;=29,AL56&lt;=42),0.25+((AL56-29)/13)*0.25,0))</x:f>
        <x:v>0</x:v>
      </x:c>
      <x:c r="AC56" s="63" t="n">
        <x:f>IF('01_Run_Config'!$B$46="OFF",0,IF(OR(A56='01_Run_Config'!$B$32,A56='01_Run_Config'!$B$32+7,A56='01_Run_Config'!$B$33+1,A56='01_Run_Config'!$B$33+8),2,0))</x:f>
        <x:v>0</x:v>
      </x:c>
      <x:c r="AD56" s="63" t="str">
        <x:f>IF(BG56="BLOCK","HYBRID BLOCKED - Konfiguration prüfen",IF(SUM(AC56,AT56:BF56)&gt;0,"AN aktiv: "&amp;BH56,"AN: keine Dosis heute / Module aus"))</x:f>
        <x:v>AN: keine Dosis heute / Module aus</x:v>
      </x:c>
      <x:c r="AE56" s="63" t="str">
        <x:v>Nur Support / Luftkanäle</x:v>
      </x:c>
      <x:c r="AF56" s="63" t="str">
        <x:v>Morgens Klima/Pflanze/Bewässerung/Leck; Mitte Lichtphase Blattwinkel; vor Dunkel LF/Drain/stehendes Wasser.</x:v>
      </x:c>
      <x:c r="AG56" s="63" t="str">
        <x:v>EC nicht erhöhen bei steigender Diagnose-Drain-EC; PPFD nicht erhöhen bei Stress; Wasserband nie erzwingen; nie mehrere neue Booster gleichzeitig.</x:v>
      </x:c>
      <x:c r="AH56" s="35" t="str">
        <x:f>"UKD v9 evidence-guarded: Planwerte sind Ziele/Eligibility, keine automatische Freigabe. Eazy Plug/Block ist vorgepuffert; früher Basisfeed bleibt vom Propagation-/Pflanzengate abhängig. Messdaten und Safety-Gates überschreiben Kalender."</x:f>
        <x:v>UKD v9 evidence-guarded: Planwerte sind Ziele/Eligibility, keine automatische Freigabe. Eazy Plug/Block ist vorgepuffert; früher Basisfeed bleibt vom Propagation-/Pflanzengate abhängig. Messdaten und Safety-Gates überschreiben Kalender.</x:v>
      </x:c>
      <x:c r="AI56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56" s="201" t="str">
        <x:f>IF(A56&lt;'01_Run_Config'!$B$32,"—",IF(A56&lt;'01_Run_Config'!$B$33,"G"&amp;MIN(4,INT((A56-'01_Run_Config'!$B$32)/7)+1),AM56))</x:f>
        <x:v>B4</x:v>
      </x:c>
      <x:c r="AK56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56" s="60" t="n">
        <x:f>IF(A56&lt;'01_Run_Config'!$B$33,"",A56-'01_Run_Config'!$B$33+1)</x:f>
        <x:v>27</x:v>
      </x:c>
      <x:c r="AM56" s="60" t="str">
        <x:f>IF(AL56="","",IF(AL56&gt;49,CHAR(66)&amp;"7+",CHAR(66)&amp;TEXT(INT((AL56-1)/7)+1,"0")))</x:f>
        <x:v>B4</x:v>
      </x:c>
      <x:c r="AN56" s="60" t="n">
        <x:f>ROUND(0.6108*EXP(17.27*L56/(L56+237.3))*(1-N56/100),2)</x:f>
        <x:v>1.63</x:v>
      </x:c>
      <x:c r="AO56" s="60" t="n">
        <x:f>H56*G56/1000</x:f>
        <x:v>2.52</x:v>
      </x:c>
      <x:c r="AP56" s="60" t="n">
        <x:f>SUM($AO$2:AO56)</x:f>
        <x:v>95.75999999999995</x:v>
      </x:c>
      <x:c r="AQ56" t="n">
        <x:f>'01_Run_Config'!$B$17</x:f>
        <x:v>0</x:v>
      </x:c>
      <x:c r="AR56" t="n">
        <x:f>'01_Run_Config'!$B$22</x:f>
        <x:v>0</x:v>
      </x:c>
      <x:c r="AS56" t="n">
        <x:f>'01_Run_Config'!$B$25</x:f>
        <x:v>0</x:v>
      </x:c>
      <x:c r="AT56" t="n">
        <x:f>IF(AND('01_Run_Config'!$B$46="Voodoo + Piranha + Tarantula",AC56&gt;0),2,0)</x:f>
        <x:v>0</x:v>
      </x:c>
      <x:c r="AU56" t="n">
        <x:f>IF(AND(OR('01_Run_Config'!$B$46="Voodoo + Tarantula",'01_Run_Config'!$B$46="Voodoo + Piranha + Tarantula"),AC56&gt;0),2,0)</x:f>
        <x:v>0</x:v>
      </x:c>
      <x:c r="AV56" t="n">
        <x:f>IF('01_Run_Config'!$B$47&lt;&gt;"ON / A-B",0,IF(OR(AND(A56&gt;='01_Run_Config'!$B$32,A56&lt;'01_Run_Config'!$B$33),AND(ISNUMBER(AL56),AL56&gt;=15,AL56&lt;=49)),2,0))</x:f>
        <x:v>0</x:v>
      </x:c>
      <x:c r="AW56" t="n">
        <x:f>IF('01_Run_Config'!$B$48="AN Bud Candy (replaces HESI Boost)",IF(AND(A56&gt;='01_Run_Config'!$B$32,OR(AL56="",AL56&lt;=49)),2,0),0)</x:f>
        <x:v>0</x:v>
      </x:c>
      <x:c r="AX56" t="n">
        <x:f>IF('01_Run_Config'!$B$49&lt;&gt;"ON / EXPERIMENTAL",0,IF(OR(AND(A56&gt;='01_Run_Config'!$B$32+7,A56&lt;'01_Run_Config'!$B$33),AND(ISNUMBER(AL56),AL56&gt;=1,AL56&lt;=49)),2,0))</x:f>
        <x:v>0</x:v>
      </x:c>
      <x:c r="AY56" t="n">
        <x:f>IF('01_Run_Config'!$B$50="AN Sensizym",IF(AND(A56&gt;='01_Run_Config'!$B$32,OR(AL56="",AL56&lt;=49)),2,0),0)</x:f>
        <x:v>0</x:v>
      </x:c>
      <x:c r="AZ56" t="n">
        <x:f>IF('01_Run_Config'!$B$51="AN Rhino Skin",IF(AND(A56&gt;='01_Run_Config'!$B$32,OR(AL56="",AL56&lt;=49)),2,0),0)</x:f>
        <x:v>0</x:v>
      </x:c>
      <x:c r="BA56" t="n">
        <x:f>IF(AND('01_Run_Config'!$B$52="AN Bud Ignitor &gt; Big Bud &gt; Overdrive",ISNUMBER(AL56),AL56&gt;=1,AL56&lt;=14),2,0)</x:f>
        <x:v>0</x:v>
      </x:c>
      <x:c r="BB56" t="n">
        <x:f>IF(AND('01_Run_Config'!$B$52="AN Bud Ignitor &gt; Big Bud &gt; Overdrive",ISNUMBER(AL56),AL56&gt;=8,AL56&lt;=35),2,0)</x:f>
        <x:v>0</x:v>
      </x:c>
      <x:c r="BC56" t="n">
        <x:f>IF(AND('01_Run_Config'!$B$52="AN Bud Ignitor &gt; Big Bud &gt; Overdrive",ISNUMBER(AL56),AL56&gt;=36,AL56&lt;=49),2,0)</x:f>
        <x:v>0</x:v>
      </x:c>
      <x:c r="BD56" t="n">
        <x:f>IF('01_Run_Config'!$B$53="ON / EXPERIMENTAL",IF(OR(AND(A56&gt;='01_Run_Config'!$B$32,A56&lt;'01_Run_Config'!$B$33),AND(ISNUMBER(AL56),AL56&gt;=15,AL56&lt;=49)),2,0),0)</x:f>
        <x:v>0</x:v>
      </x:c>
      <x:c r="BE56" t="n">
        <x:f>IF('01_Run_Config'!$B$54="AN Sensi CalMag Xtra conditional",'01_Run_Config'!$B$17,0)</x:f>
        <x:v>0</x:v>
      </x:c>
      <x:c r="BF56" t="n">
        <x:f>0</x:f>
        <x:v>0</x:v>
      </x:c>
      <x:c r="BG56" t="str">
        <x:f>'01_Run_Config'!$E$57</x:f>
        <x:v>OK</x:v>
      </x:c>
      <x:c r="BH56" t="str">
        <x:f>IF(SUM(AC56,AT56:BF56)=0,"keine AN-Dosis heute",IF(AC56&gt;0,"Voodoo "&amp;AC56&amp;" ml/L; ","")&amp;IF(AT56&gt;0,"Piranha "&amp;AT56&amp;" ml/L; ","")&amp;IF(AU56&gt;0,"Tarantula "&amp;AU56&amp;" ml/L; ","")&amp;IF(AV56&gt;0,"B-52 "&amp;AV56&amp;" ml/L; ","")&amp;IF(AW56&gt;0,"Bud Candy "&amp;AW56&amp;" ml/L; ","")&amp;IF(AX56&gt;0,"Bud Factor X "&amp;AX56&amp;" ml/L; ","")&amp;IF(AY56&gt;0,"Sensizym "&amp;AY56&amp;" ml/L; ","")&amp;IF(AZ56&gt;0,"Rhino Skin "&amp;AZ56&amp;" ml/L; ","")&amp;IF(BA56&gt;0,"Bud Ignitor "&amp;BA56&amp;" ml/L; ","")&amp;IF(BB56&gt;0,"Big Bud "&amp;BB56&amp;" ml/L; ","")&amp;IF(BC56&gt;0,"Overdrive "&amp;BC56&amp;" ml/L; ","")&amp;IF(BD56&gt;0,"Tasty Terpenes "&amp;BD56&amp;" ml/L; ","")&amp;IF(BE56&gt;0,"Sensi CalMag "&amp;BE56&amp;" ml/L",""))</x:f>
        <x:v>keine AN-Dosis heute</x:v>
      </x:c>
    </x:row>
    <x:row r="57">
      <x:c r="A57" s="34" t="n">
        <x:v>55</x:v>
      </x:c>
      <x:c r="B57" s="129" t="n">
        <x:f>'01_Run_Config'!$B$4+A57</x:f>
        <x:v>46297</x:v>
      </x:c>
      <x:c r="C57" s="63" t="n">
        <x:f>INT(A57/7)+1</x:f>
        <x:v>8</x:v>
      </x:c>
      <x:c r="D57" s="63" t="str">
        <x:f>"M"&amp;MIN(3,INT(A57/30)+1)</x:f>
        <x:v>M2</x:v>
      </x:c>
      <x:c r="E57" s="63" t="str">
        <x:f>IF(A57&lt;4,"Keimung",IF(A57&lt;8,"Etablierung",IF(A57&lt;15,"Early Veg",IF(A57&lt;'01_Run_Config'!$B$33,IF(A57&lt;22,"Veg / LST","Preflower-Watch"),IF(A57-'01_Run_Config'!$B$33&lt;=6,"Transition / Stretch ("&amp;AM57&amp;")",IF(A57-'01_Run_Config'!$B$33&lt;=13,"Early Flower ("&amp;AM57&amp;")",IF(A57-'01_Run_Config'!$B$33&lt;=20,"Flower I ("&amp;AM57&amp;")",IF(A57-'01_Run_Config'!$B$33&lt;=34,"Peak Flower ("&amp;AM57&amp;")",IF(A57-'01_Run_Config'!$B$33&lt;=41,"Late Flower ("&amp;AM57&amp;")",IF(A57-'01_Run_Config'!$B$33&lt;=48,"Ripening ("&amp;AM57&amp;")","Harvest / Extension ("&amp;AM57&amp;")"))))))))))</x:f>
        <x:v>Peak Flower (B4)</x:v>
      </x:c>
      <x:c r="F57" s="63" t="str">
        <x:f>IF(A57&lt;4,"Keimung + Wurzelstart",IF(A57&lt;8,"Sämling etablieren; Wurzelraum erschließen",IF(A57&lt;15,"kompakter Aufbau; LST erst bei Vitalität",IF(A57&lt;'01_Run_Config'!$B$33,"Canopy aufbauen; Preflower beobachten",IF(A57-'01_Run_Config'!$B$33&lt;=6,"Stretch kontrollieren; Bloom-Trigger dokumentieren",IF(A57-'01_Run_Config'!$B$33&lt;=13,"Blütenansatz stabilisieren",IF(A57-'01_Run_Config'!$B$33&lt;=20,"Blütenaufbau ohne neue Stressoren",IF(A57-'01_Run_Config'!$B$33&lt;=34,"stabile Peak-Photosynthese; Klima priorisieren",IF(A57-'01_Run_Config'!$B$33&lt;=41,"Qualität/Schimmelprävention",IF(A57-'01_Run_Config'!$B$33&lt;=48,"Reife ohne Überfütterung","Erntefenster nach Pflanze; keine Kalenderernte"))))))))))</x:f>
        <x:v>stabile Peak-Photosynthese; Klima priorisieren</x:v>
      </x:c>
      <x:c r="G57" s="63" t="n">
        <x:v>18</x:v>
      </x:c>
      <x:c r="H57" s="63" t="n">
        <x:v>140</x:v>
      </x:c>
      <x:c r="I57" s="63" t="n">
        <x:v>625</x:v>
      </x:c>
      <x:c r="J57" s="63" t="n">
        <x:f>I57*G57*3600/1000000</x:f>
        <x:v>40.5</x:v>
      </x:c>
      <x:c r="K57" s="63" t="n">
        <x:v>34</x:v>
      </x:c>
      <x:c r="L57" s="63" t="n">
        <x:v>24.5</x:v>
      </x:c>
      <x:c r="M57" s="63" t="n">
        <x:v>21</x:v>
      </x:c>
      <x:c r="N57" s="63" t="n">
        <x:v>47</x:v>
      </x:c>
      <x:c r="O57" s="63" t="n">
        <x:f>ROUND(0.6108*EXP(17.27*(L57+'01_Run_Config'!$B$34)/(L57+'01_Run_Config'!$B$34+237.3))-(N57/100)*0.6108*EXP(17.27*L57/(L57+237.3)),2)</x:f>
        <x:v>1.45</x:v>
      </x:c>
      <x:c r="P57" s="63" t="n">
        <x:f>IF(A57&lt;'01_Run_Config'!$B$32,0.55,IF(A57&lt;'01_Run_Config'!$B$33,IF(A57-'01_Run_Config'!$B$32&lt;=3,0.8,IF(A57-'01_Run_Config'!$B$32&lt;=10,1,IF(A57-'01_Run_Config'!$B$32&lt;=17,1.2,1.4))),IF(A57-'01_Run_Config'!$B$33&lt;=6,1.5,IF(A57-'01_Run_Config'!$B$33&lt;=13,1.6,IF(A57-'01_Run_Config'!$B$33&lt;=20,1.7,IF(A57-'01_Run_Config'!$B$33&lt;=34,1.8,IF(A57-'01_Run_Config'!$B$33&lt;=41,1.6,IF(A57-'01_Run_Config'!$B$33&lt;=48,1.4,1.15))))))))</x:f>
        <x:v>1.8</x:v>
      </x:c>
      <x:c r="Q57" s="63" t="n">
        <x:v>5.9</x:v>
      </x:c>
      <x:c r="R57" s="63" t="n">
        <x:v>0.9</x:v>
      </x:c>
      <x:c r="S57" s="63" t="n">
        <x:v>1.5</x:v>
      </x:c>
      <x:c r="T57" s="63" t="str">
        <x:f>IF(A57&lt;=7,"Manuell",'01_Run_Config'!$B$40)</x:f>
        <x:v>Manuell / indoor-freigegebene Automation</x:v>
      </x:c>
      <x:c r="U57" s="63" t="str">
        <x:f>IF(A57&lt;'01_Run_Config'!$B$32,"Kein Basisdünger",IF(A57&lt;'01_Run_Config'!$B$33,"HESI TNT","HESI Coco"))</x:f>
        <x:v>HESI Coco</x:v>
      </x:c>
      <x:c r="V57" s="63" t="n">
        <x:f>IF(A57&lt;'01_Run_Config'!$B$32,0,IF(A57&lt;'01_Run_Config'!$B$33,IF(A57-'01_Run_Config'!$B$32&lt;=3,1.25,IF(A57-'01_Run_Config'!$B$32&lt;=10,2,2.5)),IF(A57-'01_Run_Config'!$B$33&lt;=6,2.5,IF(A57-'01_Run_Config'!$B$33&lt;=13,3.25,IF(A57-'01_Run_Config'!$B$33&lt;=20,3.75,IF(A57-'01_Run_Config'!$B$33&lt;=34,4,IF(A57-'01_Run_Config'!$B$33&lt;=41,3.5,IF(A57-'01_Run_Config'!$B$33&lt;=48,2.5,1.5))))))))</x:f>
        <x:v>4</x:v>
      </x:c>
      <x:c r="W57" s="63" t="n">
        <x:f>IF(A57&lt;=14,2.5,0)</x:f>
        <x:v>0</x:v>
      </x:c>
      <x:c r="X57" s="63" t="n">
        <x:f>IF('01_Run_Config'!$B$50="AN Sensizym",0,IF(AND(A57&gt;='01_Run_Config'!$B$32,OR(AL57="",AL57&lt;=49)),2,0))</x:f>
        <x:v>2</x:v>
      </x:c>
      <x:c r="Y57" s="63" t="n">
        <x:f>0.015</x:f>
        <x:v>0.015</x:v>
      </x:c>
      <x:c r="Z57" s="63" t="n">
        <x:f>IF('01_Run_Config'!$B$51="HESI Hesilicio",2,0)</x:f>
        <x:v>0</x:v>
      </x:c>
      <x:c r="AA57" s="63" t="n">
        <x:f>IF('01_Run_Config'!$B$48="AN Bud Candy (replaces HESI Boost)",0,IF(AND(A57&gt;='01_Run_Config'!$B$33,MOD(A57-'01_Run_Config'!$B$33,7)=0),2,0))</x:f>
        <x:v>0</x:v>
      </x:c>
      <x:c r="AB57" s="63" t="n">
        <x:f>IF('01_Run_Config'!$B$52="AN Bud Ignitor &gt; Big Bud &gt; Overdrive",0,IF(AND(ISNUMBER(AL57),AL57&gt;=29,AL57&lt;=42),0.25+((AL57-29)/13)*0.25,0))</x:f>
        <x:v>0</x:v>
      </x:c>
      <x:c r="AC57" s="63" t="n">
        <x:f>IF('01_Run_Config'!$B$46="OFF",0,IF(OR(A57='01_Run_Config'!$B$32,A57='01_Run_Config'!$B$32+7,A57='01_Run_Config'!$B$33+1,A57='01_Run_Config'!$B$33+8),2,0))</x:f>
        <x:v>0</x:v>
      </x:c>
      <x:c r="AD57" s="63" t="str">
        <x:f>IF(BG57="BLOCK","HYBRID BLOCKED - Konfiguration prüfen",IF(SUM(AC57,AT57:BF57)&gt;0,"AN aktiv: "&amp;BH57,"AN: keine Dosis heute / Module aus"))</x:f>
        <x:v>AN: keine Dosis heute / Module aus</x:v>
      </x:c>
      <x:c r="AE57" s="63" t="str">
        <x:v>Nur Support / Luftkanäle</x:v>
      </x:c>
      <x:c r="AF57" s="63" t="str">
        <x:v>Morgens Klima/Pflanze/Bewässerung/Leck; Mitte Lichtphase Blattwinkel; vor Dunkel LF/Drain/stehendes Wasser.</x:v>
      </x:c>
      <x:c r="AG57" s="63" t="str">
        <x:v>EC nicht erhöhen bei steigender Diagnose-Drain-EC; PPFD nicht erhöhen bei Stress; Wasserband nie erzwingen; nie mehrere neue Booster gleichzeitig.</x:v>
      </x:c>
      <x:c r="AH57" s="35" t="str">
        <x:f>"UKD v9 evidence-guarded: Planwerte sind Ziele/Eligibility, keine automatische Freigabe. Eazy Plug/Block ist vorgepuffert; früher Basisfeed bleibt vom Propagation-/Pflanzengate abhängig. Messdaten und Safety-Gates überschreiben Kalender."</x:f>
        <x:v>UKD v9 evidence-guarded: Planwerte sind Ziele/Eligibility, keine automatische Freigabe. Eazy Plug/Block ist vorgepuffert; früher Basisfeed bleibt vom Propagation-/Pflanzengate abhängig. Messdaten und Safety-Gates überschreiben Kalender.</x:v>
      </x:c>
      <x:c r="AI57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57" s="201" t="str">
        <x:f>IF(A57&lt;'01_Run_Config'!$B$32,"—",IF(A57&lt;'01_Run_Config'!$B$33,"G"&amp;MIN(4,INT((A57-'01_Run_Config'!$B$32)/7)+1),AM57))</x:f>
        <x:v>B4</x:v>
      </x:c>
      <x:c r="AK57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57" s="60" t="n">
        <x:f>IF(A57&lt;'01_Run_Config'!$B$33,"",A57-'01_Run_Config'!$B$33+1)</x:f>
        <x:v>28</x:v>
      </x:c>
      <x:c r="AM57" s="60" t="str">
        <x:f>IF(AL57="","",IF(AL57&gt;49,CHAR(66)&amp;"7+",CHAR(66)&amp;TEXT(INT((AL57-1)/7)+1,"0")))</x:f>
        <x:v>B4</x:v>
      </x:c>
      <x:c r="AN57" s="60" t="n">
        <x:f>ROUND(0.6108*EXP(17.27*L57/(L57+237.3))*(1-N57/100),2)</x:f>
        <x:v>1.63</x:v>
      </x:c>
      <x:c r="AO57" s="60" t="n">
        <x:f>H57*G57/1000</x:f>
        <x:v>2.52</x:v>
      </x:c>
      <x:c r="AP57" s="60" t="n">
        <x:f>SUM($AO$2:AO57)</x:f>
        <x:v>98.27999999999994</x:v>
      </x:c>
      <x:c r="AQ57" t="n">
        <x:f>'01_Run_Config'!$B$17</x:f>
        <x:v>0</x:v>
      </x:c>
      <x:c r="AR57" t="n">
        <x:f>'01_Run_Config'!$B$22</x:f>
        <x:v>0</x:v>
      </x:c>
      <x:c r="AS57" t="n">
        <x:f>'01_Run_Config'!$B$25</x:f>
        <x:v>0</x:v>
      </x:c>
      <x:c r="AT57" t="n">
        <x:f>IF(AND('01_Run_Config'!$B$46="Voodoo + Piranha + Tarantula",AC57&gt;0),2,0)</x:f>
        <x:v>0</x:v>
      </x:c>
      <x:c r="AU57" t="n">
        <x:f>IF(AND(OR('01_Run_Config'!$B$46="Voodoo + Tarantula",'01_Run_Config'!$B$46="Voodoo + Piranha + Tarantula"),AC57&gt;0),2,0)</x:f>
        <x:v>0</x:v>
      </x:c>
      <x:c r="AV57" t="n">
        <x:f>IF('01_Run_Config'!$B$47&lt;&gt;"ON / A-B",0,IF(OR(AND(A57&gt;='01_Run_Config'!$B$32,A57&lt;'01_Run_Config'!$B$33),AND(ISNUMBER(AL57),AL57&gt;=15,AL57&lt;=49)),2,0))</x:f>
        <x:v>0</x:v>
      </x:c>
      <x:c r="AW57" t="n">
        <x:f>IF('01_Run_Config'!$B$48="AN Bud Candy (replaces HESI Boost)",IF(AND(A57&gt;='01_Run_Config'!$B$32,OR(AL57="",AL57&lt;=49)),2,0),0)</x:f>
        <x:v>0</x:v>
      </x:c>
      <x:c r="AX57" t="n">
        <x:f>IF('01_Run_Config'!$B$49&lt;&gt;"ON / EXPERIMENTAL",0,IF(OR(AND(A57&gt;='01_Run_Config'!$B$32+7,A57&lt;'01_Run_Config'!$B$33),AND(ISNUMBER(AL57),AL57&gt;=1,AL57&lt;=49)),2,0))</x:f>
        <x:v>0</x:v>
      </x:c>
      <x:c r="AY57" t="n">
        <x:f>IF('01_Run_Config'!$B$50="AN Sensizym",IF(AND(A57&gt;='01_Run_Config'!$B$32,OR(AL57="",AL57&lt;=49)),2,0),0)</x:f>
        <x:v>0</x:v>
      </x:c>
      <x:c r="AZ57" t="n">
        <x:f>IF('01_Run_Config'!$B$51="AN Rhino Skin",IF(AND(A57&gt;='01_Run_Config'!$B$32,OR(AL57="",AL57&lt;=49)),2,0),0)</x:f>
        <x:v>0</x:v>
      </x:c>
      <x:c r="BA57" t="n">
        <x:f>IF(AND('01_Run_Config'!$B$52="AN Bud Ignitor &gt; Big Bud &gt; Overdrive",ISNUMBER(AL57),AL57&gt;=1,AL57&lt;=14),2,0)</x:f>
        <x:v>0</x:v>
      </x:c>
      <x:c r="BB57" t="n">
        <x:f>IF(AND('01_Run_Config'!$B$52="AN Bud Ignitor &gt; Big Bud &gt; Overdrive",ISNUMBER(AL57),AL57&gt;=8,AL57&lt;=35),2,0)</x:f>
        <x:v>0</x:v>
      </x:c>
      <x:c r="BC57" t="n">
        <x:f>IF(AND('01_Run_Config'!$B$52="AN Bud Ignitor &gt; Big Bud &gt; Overdrive",ISNUMBER(AL57),AL57&gt;=36,AL57&lt;=49),2,0)</x:f>
        <x:v>0</x:v>
      </x:c>
      <x:c r="BD57" t="n">
        <x:f>IF('01_Run_Config'!$B$53="ON / EXPERIMENTAL",IF(OR(AND(A57&gt;='01_Run_Config'!$B$32,A57&lt;'01_Run_Config'!$B$33),AND(ISNUMBER(AL57),AL57&gt;=15,AL57&lt;=49)),2,0),0)</x:f>
        <x:v>0</x:v>
      </x:c>
      <x:c r="BE57" t="n">
        <x:f>IF('01_Run_Config'!$B$54="AN Sensi CalMag Xtra conditional",'01_Run_Config'!$B$17,0)</x:f>
        <x:v>0</x:v>
      </x:c>
      <x:c r="BF57" t="n">
        <x:f>0</x:f>
        <x:v>0</x:v>
      </x:c>
      <x:c r="BG57" t="str">
        <x:f>'01_Run_Config'!$E$57</x:f>
        <x:v>OK</x:v>
      </x:c>
      <x:c r="BH57" t="str">
        <x:f>IF(SUM(AC57,AT57:BF57)=0,"keine AN-Dosis heute",IF(AC57&gt;0,"Voodoo "&amp;AC57&amp;" ml/L; ","")&amp;IF(AT57&gt;0,"Piranha "&amp;AT57&amp;" ml/L; ","")&amp;IF(AU57&gt;0,"Tarantula "&amp;AU57&amp;" ml/L; ","")&amp;IF(AV57&gt;0,"B-52 "&amp;AV57&amp;" ml/L; ","")&amp;IF(AW57&gt;0,"Bud Candy "&amp;AW57&amp;" ml/L; ","")&amp;IF(AX57&gt;0,"Bud Factor X "&amp;AX57&amp;" ml/L; ","")&amp;IF(AY57&gt;0,"Sensizym "&amp;AY57&amp;" ml/L; ","")&amp;IF(AZ57&gt;0,"Rhino Skin "&amp;AZ57&amp;" ml/L; ","")&amp;IF(BA57&gt;0,"Bud Ignitor "&amp;BA57&amp;" ml/L; ","")&amp;IF(BB57&gt;0,"Big Bud "&amp;BB57&amp;" ml/L; ","")&amp;IF(BC57&gt;0,"Overdrive "&amp;BC57&amp;" ml/L; ","")&amp;IF(BD57&gt;0,"Tasty Terpenes "&amp;BD57&amp;" ml/L; ","")&amp;IF(BE57&gt;0,"Sensi CalMag "&amp;BE57&amp;" ml/L",""))</x:f>
        <x:v>keine AN-Dosis heute</x:v>
      </x:c>
    </x:row>
    <x:row r="58">
      <x:c r="A58" s="34" t="n">
        <x:v>56</x:v>
      </x:c>
      <x:c r="B58" s="129" t="n">
        <x:f>'01_Run_Config'!$B$4+A58</x:f>
        <x:v>46298</x:v>
      </x:c>
      <x:c r="C58" s="63" t="n">
        <x:f>INT(A58/7)+1</x:f>
        <x:v>9</x:v>
      </x:c>
      <x:c r="D58" s="63" t="str">
        <x:f>"M"&amp;MIN(3,INT(A58/30)+1)</x:f>
        <x:v>M2</x:v>
      </x:c>
      <x:c r="E58" s="63" t="str">
        <x:f>IF(A58&lt;4,"Keimung",IF(A58&lt;8,"Etablierung",IF(A58&lt;15,"Early Veg",IF(A58&lt;'01_Run_Config'!$B$33,IF(A58&lt;22,"Veg / LST","Preflower-Watch"),IF(A58-'01_Run_Config'!$B$33&lt;=6,"Transition / Stretch ("&amp;AM58&amp;")",IF(A58-'01_Run_Config'!$B$33&lt;=13,"Early Flower ("&amp;AM58&amp;")",IF(A58-'01_Run_Config'!$B$33&lt;=20,"Flower I ("&amp;AM58&amp;")",IF(A58-'01_Run_Config'!$B$33&lt;=34,"Peak Flower ("&amp;AM58&amp;")",IF(A58-'01_Run_Config'!$B$33&lt;=41,"Late Flower ("&amp;AM58&amp;")",IF(A58-'01_Run_Config'!$B$33&lt;=48,"Ripening ("&amp;AM58&amp;")","Harvest / Extension ("&amp;AM58&amp;")"))))))))))</x:f>
        <x:v>Peak Flower (B5)</x:v>
      </x:c>
      <x:c r="F58" s="63" t="str">
        <x:f>IF(A58&lt;4,"Keimung + Wurzelstart",IF(A58&lt;8,"Sämling etablieren; Wurzelraum erschließen",IF(A58&lt;15,"kompakter Aufbau; LST erst bei Vitalität",IF(A58&lt;'01_Run_Config'!$B$33,"Canopy aufbauen; Preflower beobachten",IF(A58-'01_Run_Config'!$B$33&lt;=6,"Stretch kontrollieren; Bloom-Trigger dokumentieren",IF(A58-'01_Run_Config'!$B$33&lt;=13,"Blütenansatz stabilisieren",IF(A58-'01_Run_Config'!$B$33&lt;=20,"Blütenaufbau ohne neue Stressoren",IF(A58-'01_Run_Config'!$B$33&lt;=34,"stabile Peak-Photosynthese; Klima priorisieren",IF(A58-'01_Run_Config'!$B$33&lt;=41,"Qualität/Schimmelprävention",IF(A58-'01_Run_Config'!$B$33&lt;=48,"Reife ohne Überfütterung","Erntefenster nach Pflanze; keine Kalenderernte"))))))))))</x:f>
        <x:v>stabile Peak-Photosynthese; Klima priorisieren</x:v>
      </x:c>
      <x:c r="G58" s="63" t="n">
        <x:v>18</x:v>
      </x:c>
      <x:c r="H58" s="63" t="n">
        <x:v>140</x:v>
      </x:c>
      <x:c r="I58" s="63" t="n">
        <x:v>625</x:v>
      </x:c>
      <x:c r="J58" s="63" t="n">
        <x:f>I58*G58*3600/1000000</x:f>
        <x:v>40.5</x:v>
      </x:c>
      <x:c r="K58" s="63" t="n">
        <x:v>34</x:v>
      </x:c>
      <x:c r="L58" s="63" t="n">
        <x:v>24.5</x:v>
      </x:c>
      <x:c r="M58" s="63" t="n">
        <x:v>21</x:v>
      </x:c>
      <x:c r="N58" s="63" t="n">
        <x:v>47</x:v>
      </x:c>
      <x:c r="O58" s="63" t="n">
        <x:f>ROUND(0.6108*EXP(17.27*(L58+'01_Run_Config'!$B$34)/(L58+'01_Run_Config'!$B$34+237.3))-(N58/100)*0.6108*EXP(17.27*L58/(L58+237.3)),2)</x:f>
        <x:v>1.45</x:v>
      </x:c>
      <x:c r="P58" s="63" t="n">
        <x:f>IF(A58&lt;'01_Run_Config'!$B$32,0.55,IF(A58&lt;'01_Run_Config'!$B$33,IF(A58-'01_Run_Config'!$B$32&lt;=3,0.8,IF(A58-'01_Run_Config'!$B$32&lt;=10,1,IF(A58-'01_Run_Config'!$B$32&lt;=17,1.2,1.4))),IF(A58-'01_Run_Config'!$B$33&lt;=6,1.5,IF(A58-'01_Run_Config'!$B$33&lt;=13,1.6,IF(A58-'01_Run_Config'!$B$33&lt;=20,1.7,IF(A58-'01_Run_Config'!$B$33&lt;=34,1.8,IF(A58-'01_Run_Config'!$B$33&lt;=41,1.6,IF(A58-'01_Run_Config'!$B$33&lt;=48,1.4,1.15))))))))</x:f>
        <x:v>1.8</x:v>
      </x:c>
      <x:c r="Q58" s="63" t="n">
        <x:v>5.9</x:v>
      </x:c>
      <x:c r="R58" s="63" t="n">
        <x:v>0.9</x:v>
      </x:c>
      <x:c r="S58" s="63" t="n">
        <x:v>1.5</x:v>
      </x:c>
      <x:c r="T58" s="63" t="str">
        <x:f>IF(A58&lt;=7,"Manuell",'01_Run_Config'!$B$40)</x:f>
        <x:v>Manuell / indoor-freigegebene Automation</x:v>
      </x:c>
      <x:c r="U58" s="63" t="str">
        <x:f>IF(A58&lt;'01_Run_Config'!$B$32,"Kein Basisdünger",IF(A58&lt;'01_Run_Config'!$B$33,"HESI TNT","HESI Coco"))</x:f>
        <x:v>HESI Coco</x:v>
      </x:c>
      <x:c r="V58" s="63" t="n">
        <x:f>IF(A58&lt;'01_Run_Config'!$B$32,0,IF(A58&lt;'01_Run_Config'!$B$33,IF(A58-'01_Run_Config'!$B$32&lt;=3,1.25,IF(A58-'01_Run_Config'!$B$32&lt;=10,2,2.5)),IF(A58-'01_Run_Config'!$B$33&lt;=6,2.5,IF(A58-'01_Run_Config'!$B$33&lt;=13,3.25,IF(A58-'01_Run_Config'!$B$33&lt;=20,3.75,IF(A58-'01_Run_Config'!$B$33&lt;=34,4,IF(A58-'01_Run_Config'!$B$33&lt;=41,3.5,IF(A58-'01_Run_Config'!$B$33&lt;=48,2.5,1.5))))))))</x:f>
        <x:v>4</x:v>
      </x:c>
      <x:c r="W58" s="63" t="n">
        <x:f>IF(A58&lt;=14,2.5,0)</x:f>
        <x:v>0</x:v>
      </x:c>
      <x:c r="X58" s="63" t="n">
        <x:f>IF('01_Run_Config'!$B$50="AN Sensizym",0,IF(AND(A58&gt;='01_Run_Config'!$B$32,OR(AL58="",AL58&lt;=49)),2,0))</x:f>
        <x:v>2</x:v>
      </x:c>
      <x:c r="Y58" s="63" t="n">
        <x:f>0.015</x:f>
        <x:v>0.015</x:v>
      </x:c>
      <x:c r="Z58" s="63" t="n">
        <x:f>IF('01_Run_Config'!$B$51="HESI Hesilicio",2,0)</x:f>
        <x:v>0</x:v>
      </x:c>
      <x:c r="AA58" s="63" t="n">
        <x:f>IF('01_Run_Config'!$B$48="AN Bud Candy (replaces HESI Boost)",0,IF(AND(A58&gt;='01_Run_Config'!$B$33,MOD(A58-'01_Run_Config'!$B$33,7)=0),2,0))</x:f>
        <x:v>2</x:v>
      </x:c>
      <x:c r="AB58" s="63" t="n">
        <x:f>IF('01_Run_Config'!$B$52="AN Bud Ignitor &gt; Big Bud &gt; Overdrive",0,IF(AND(ISNUMBER(AL58),AL58&gt;=29,AL58&lt;=42),0.25+((AL58-29)/13)*0.25,0))</x:f>
        <x:v>0.25</x:v>
      </x:c>
      <x:c r="AC58" s="63" t="n">
        <x:f>IF('01_Run_Config'!$B$46="OFF",0,IF(OR(A58='01_Run_Config'!$B$32,A58='01_Run_Config'!$B$32+7,A58='01_Run_Config'!$B$33+1,A58='01_Run_Config'!$B$33+8),2,0))</x:f>
        <x:v>0</x:v>
      </x:c>
      <x:c r="AD58" s="63" t="str">
        <x:f>IF(BG58="BLOCK","HYBRID BLOCKED - Konfiguration prüfen",IF(SUM(AC58,AT58:BF58)&gt;0,"AN aktiv: "&amp;BH58,"AN: keine Dosis heute / Module aus"))</x:f>
        <x:v>AN: keine Dosis heute / Module aus</x:v>
      </x:c>
      <x:c r="AE58" s="63" t="str">
        <x:v>Nur Support / Luftkanäle</x:v>
      </x:c>
      <x:c r="AF58" s="63" t="str">
        <x:v>Morgens Klima/Pflanze/Bewässerung/Leck; Mitte Lichtphase Blattwinkel; vor Dunkel LF/Drain/stehendes Wasser. WÖCHENTLICH: pH/EC kalibrieren, Foto, Canopy messen, PPFD-Spotcheck, Reservoir falls genutzt / Tray reinigen.</x:v>
      </x:c>
      <x:c r="AG58" s="63" t="str">
        <x:v>EC nicht erhöhen bei steigender Diagnose-Drain-EC; PPFD nicht erhöhen bei Stress; Wasserband nie erzwingen; nie mehrere neue Booster gleichzeitig.</x:v>
      </x:c>
      <x:c r="AH58" s="35" t="str">
        <x:f>"UKD v9 evidence-guarded: Planwerte sind Ziele/Eligibility, keine automatische Freigabe. Eazy Plug/Block ist vorgepuffert; früher Basisfeed bleibt vom Propagation-/Pflanzengate abhängig. Messdaten und Safety-Gates überschreiben Kalender."</x:f>
        <x:v>UKD v9 evidence-guarded: Planwerte sind Ziele/Eligibility, keine automatische Freigabe. Eazy Plug/Block ist vorgepuffert; früher Basisfeed bleibt vom Propagation-/Pflanzengate abhängig. Messdaten und Safety-Gates überschreiben Kalender.</x:v>
      </x:c>
      <x:c r="AI58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58" s="201" t="str">
        <x:f>IF(A58&lt;'01_Run_Config'!$B$32,"—",IF(A58&lt;'01_Run_Config'!$B$33,"G"&amp;MIN(4,INT((A58-'01_Run_Config'!$B$32)/7)+1),AM58))</x:f>
        <x:v>B5</x:v>
      </x:c>
      <x:c r="AK58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58" s="60" t="n">
        <x:f>IF(A58&lt;'01_Run_Config'!$B$33,"",A58-'01_Run_Config'!$B$33+1)</x:f>
        <x:v>29</x:v>
      </x:c>
      <x:c r="AM58" s="60" t="str">
        <x:f>IF(AL58="","",IF(AL58&gt;49,CHAR(66)&amp;"7+",CHAR(66)&amp;TEXT(INT((AL58-1)/7)+1,"0")))</x:f>
        <x:v>B5</x:v>
      </x:c>
      <x:c r="AN58" s="60" t="n">
        <x:f>ROUND(0.6108*EXP(17.27*L58/(L58+237.3))*(1-N58/100),2)</x:f>
        <x:v>1.63</x:v>
      </x:c>
      <x:c r="AO58" s="60" t="n">
        <x:f>H58*G58/1000</x:f>
        <x:v>2.52</x:v>
      </x:c>
      <x:c r="AP58" s="60" t="n">
        <x:f>SUM($AO$2:AO58)</x:f>
        <x:v>100.79999999999994</x:v>
      </x:c>
      <x:c r="AQ58" t="n">
        <x:f>'01_Run_Config'!$B$17</x:f>
        <x:v>0</x:v>
      </x:c>
      <x:c r="AR58" t="n">
        <x:f>'01_Run_Config'!$B$22</x:f>
        <x:v>0</x:v>
      </x:c>
      <x:c r="AS58" t="n">
        <x:f>'01_Run_Config'!$B$25</x:f>
        <x:v>0</x:v>
      </x:c>
      <x:c r="AT58" t="n">
        <x:f>IF(AND('01_Run_Config'!$B$46="Voodoo + Piranha + Tarantula",AC58&gt;0),2,0)</x:f>
        <x:v>0</x:v>
      </x:c>
      <x:c r="AU58" t="n">
        <x:f>IF(AND(OR('01_Run_Config'!$B$46="Voodoo + Tarantula",'01_Run_Config'!$B$46="Voodoo + Piranha + Tarantula"),AC58&gt;0),2,0)</x:f>
        <x:v>0</x:v>
      </x:c>
      <x:c r="AV58" t="n">
        <x:f>IF('01_Run_Config'!$B$47&lt;&gt;"ON / A-B",0,IF(OR(AND(A58&gt;='01_Run_Config'!$B$32,A58&lt;'01_Run_Config'!$B$33),AND(ISNUMBER(AL58),AL58&gt;=15,AL58&lt;=49)),2,0))</x:f>
        <x:v>0</x:v>
      </x:c>
      <x:c r="AW58" t="n">
        <x:f>IF('01_Run_Config'!$B$48="AN Bud Candy (replaces HESI Boost)",IF(AND(A58&gt;='01_Run_Config'!$B$32,OR(AL58="",AL58&lt;=49)),2,0),0)</x:f>
        <x:v>0</x:v>
      </x:c>
      <x:c r="AX58" t="n">
        <x:f>IF('01_Run_Config'!$B$49&lt;&gt;"ON / EXPERIMENTAL",0,IF(OR(AND(A58&gt;='01_Run_Config'!$B$32+7,A58&lt;'01_Run_Config'!$B$33),AND(ISNUMBER(AL58),AL58&gt;=1,AL58&lt;=49)),2,0))</x:f>
        <x:v>0</x:v>
      </x:c>
      <x:c r="AY58" t="n">
        <x:f>IF('01_Run_Config'!$B$50="AN Sensizym",IF(AND(A58&gt;='01_Run_Config'!$B$32,OR(AL58="",AL58&lt;=49)),2,0),0)</x:f>
        <x:v>0</x:v>
      </x:c>
      <x:c r="AZ58" t="n">
        <x:f>IF('01_Run_Config'!$B$51="AN Rhino Skin",IF(AND(A58&gt;='01_Run_Config'!$B$32,OR(AL58="",AL58&lt;=49)),2,0),0)</x:f>
        <x:v>0</x:v>
      </x:c>
      <x:c r="BA58" t="n">
        <x:f>IF(AND('01_Run_Config'!$B$52="AN Bud Ignitor &gt; Big Bud &gt; Overdrive",ISNUMBER(AL58),AL58&gt;=1,AL58&lt;=14),2,0)</x:f>
        <x:v>0</x:v>
      </x:c>
      <x:c r="BB58" t="n">
        <x:f>IF(AND('01_Run_Config'!$B$52="AN Bud Ignitor &gt; Big Bud &gt; Overdrive",ISNUMBER(AL58),AL58&gt;=8,AL58&lt;=35),2,0)</x:f>
        <x:v>0</x:v>
      </x:c>
      <x:c r="BC58" t="n">
        <x:f>IF(AND('01_Run_Config'!$B$52="AN Bud Ignitor &gt; Big Bud &gt; Overdrive",ISNUMBER(AL58),AL58&gt;=36,AL58&lt;=49),2,0)</x:f>
        <x:v>0</x:v>
      </x:c>
      <x:c r="BD58" t="n">
        <x:f>IF('01_Run_Config'!$B$53="ON / EXPERIMENTAL",IF(OR(AND(A58&gt;='01_Run_Config'!$B$32,A58&lt;'01_Run_Config'!$B$33),AND(ISNUMBER(AL58),AL58&gt;=15,AL58&lt;=49)),2,0),0)</x:f>
        <x:v>0</x:v>
      </x:c>
      <x:c r="BE58" t="n">
        <x:f>IF('01_Run_Config'!$B$54="AN Sensi CalMag Xtra conditional",'01_Run_Config'!$B$17,0)</x:f>
        <x:v>0</x:v>
      </x:c>
      <x:c r="BF58" t="n">
        <x:f>0</x:f>
        <x:v>0</x:v>
      </x:c>
      <x:c r="BG58" t="str">
        <x:f>'01_Run_Config'!$E$57</x:f>
        <x:v>OK</x:v>
      </x:c>
      <x:c r="BH58" t="str">
        <x:f>IF(SUM(AC58,AT58:BF58)=0,"keine AN-Dosis heute",IF(AC58&gt;0,"Voodoo "&amp;AC58&amp;" ml/L; ","")&amp;IF(AT58&gt;0,"Piranha "&amp;AT58&amp;" ml/L; ","")&amp;IF(AU58&gt;0,"Tarantula "&amp;AU58&amp;" ml/L; ","")&amp;IF(AV58&gt;0,"B-52 "&amp;AV58&amp;" ml/L; ","")&amp;IF(AW58&gt;0,"Bud Candy "&amp;AW58&amp;" ml/L; ","")&amp;IF(AX58&gt;0,"Bud Factor X "&amp;AX58&amp;" ml/L; ","")&amp;IF(AY58&gt;0,"Sensizym "&amp;AY58&amp;" ml/L; ","")&amp;IF(AZ58&gt;0,"Rhino Skin "&amp;AZ58&amp;" ml/L; ","")&amp;IF(BA58&gt;0,"Bud Ignitor "&amp;BA58&amp;" ml/L; ","")&amp;IF(BB58&gt;0,"Big Bud "&amp;BB58&amp;" ml/L; ","")&amp;IF(BC58&gt;0,"Overdrive "&amp;BC58&amp;" ml/L; ","")&amp;IF(BD58&gt;0,"Tasty Terpenes "&amp;BD58&amp;" ml/L; ","")&amp;IF(BE58&gt;0,"Sensi CalMag "&amp;BE58&amp;" ml/L",""))</x:f>
        <x:v>keine AN-Dosis heute</x:v>
      </x:c>
    </x:row>
    <x:row r="59">
      <x:c r="A59" s="34" t="n">
        <x:v>57</x:v>
      </x:c>
      <x:c r="B59" s="129" t="n">
        <x:f>'01_Run_Config'!$B$4+A59</x:f>
        <x:v>46299</x:v>
      </x:c>
      <x:c r="C59" s="63" t="n">
        <x:f>INT(A59/7)+1</x:f>
        <x:v>9</x:v>
      </x:c>
      <x:c r="D59" s="63" t="str">
        <x:f>"M"&amp;MIN(3,INT(A59/30)+1)</x:f>
        <x:v>M2</x:v>
      </x:c>
      <x:c r="E59" s="63" t="str">
        <x:f>IF(A59&lt;4,"Keimung",IF(A59&lt;8,"Etablierung",IF(A59&lt;15,"Early Veg",IF(A59&lt;'01_Run_Config'!$B$33,IF(A59&lt;22,"Veg / LST","Preflower-Watch"),IF(A59-'01_Run_Config'!$B$33&lt;=6,"Transition / Stretch ("&amp;AM59&amp;")",IF(A59-'01_Run_Config'!$B$33&lt;=13,"Early Flower ("&amp;AM59&amp;")",IF(A59-'01_Run_Config'!$B$33&lt;=20,"Flower I ("&amp;AM59&amp;")",IF(A59-'01_Run_Config'!$B$33&lt;=34,"Peak Flower ("&amp;AM59&amp;")",IF(A59-'01_Run_Config'!$B$33&lt;=41,"Late Flower ("&amp;AM59&amp;")",IF(A59-'01_Run_Config'!$B$33&lt;=48,"Ripening ("&amp;AM59&amp;")","Harvest / Extension ("&amp;AM59&amp;")"))))))))))</x:f>
        <x:v>Peak Flower (B5)</x:v>
      </x:c>
      <x:c r="F59" s="63" t="str">
        <x:f>IF(A59&lt;4,"Keimung + Wurzelstart",IF(A59&lt;8,"Sämling etablieren; Wurzelraum erschließen",IF(A59&lt;15,"kompakter Aufbau; LST erst bei Vitalität",IF(A59&lt;'01_Run_Config'!$B$33,"Canopy aufbauen; Preflower beobachten",IF(A59-'01_Run_Config'!$B$33&lt;=6,"Stretch kontrollieren; Bloom-Trigger dokumentieren",IF(A59-'01_Run_Config'!$B$33&lt;=13,"Blütenansatz stabilisieren",IF(A59-'01_Run_Config'!$B$33&lt;=20,"Blütenaufbau ohne neue Stressoren",IF(A59-'01_Run_Config'!$B$33&lt;=34,"stabile Peak-Photosynthese; Klima priorisieren",IF(A59-'01_Run_Config'!$B$33&lt;=41,"Qualität/Schimmelprävention",IF(A59-'01_Run_Config'!$B$33&lt;=48,"Reife ohne Überfütterung","Erntefenster nach Pflanze; keine Kalenderernte"))))))))))</x:f>
        <x:v>stabile Peak-Photosynthese; Klima priorisieren</x:v>
      </x:c>
      <x:c r="G59" s="63" t="n">
        <x:v>18</x:v>
      </x:c>
      <x:c r="H59" s="63" t="n">
        <x:v>130</x:v>
      </x:c>
      <x:c r="I59" s="63" t="n">
        <x:v>600</x:v>
      </x:c>
      <x:c r="J59" s="63" t="n">
        <x:f>I59*G59*3600/1000000</x:f>
        <x:v>38.88</x:v>
      </x:c>
      <x:c r="K59" s="63" t="n">
        <x:v>35</x:v>
      </x:c>
      <x:c r="L59" s="63" t="n">
        <x:v>24</x:v>
      </x:c>
      <x:c r="M59" s="63" t="n">
        <x:v>20.5</x:v>
      </x:c>
      <x:c r="N59" s="63" t="n">
        <x:v>45</x:v>
      </x:c>
      <x:c r="O59" s="63" t="n">
        <x:f>ROUND(0.6108*EXP(17.27*(L59+'01_Run_Config'!$B$34)/(L59+'01_Run_Config'!$B$34+237.3))-(N59/100)*0.6108*EXP(17.27*L59/(L59+237.3)),2)</x:f>
        <x:v>1.47</x:v>
      </x:c>
      <x:c r="P59" s="63" t="n">
        <x:f>IF(A59&lt;'01_Run_Config'!$B$32,0.55,IF(A59&lt;'01_Run_Config'!$B$33,IF(A59-'01_Run_Config'!$B$32&lt;=3,0.8,IF(A59-'01_Run_Config'!$B$32&lt;=10,1,IF(A59-'01_Run_Config'!$B$32&lt;=17,1.2,1.4))),IF(A59-'01_Run_Config'!$B$33&lt;=6,1.5,IF(A59-'01_Run_Config'!$B$33&lt;=13,1.6,IF(A59-'01_Run_Config'!$B$33&lt;=20,1.7,IF(A59-'01_Run_Config'!$B$33&lt;=34,1.8,IF(A59-'01_Run_Config'!$B$33&lt;=41,1.6,IF(A59-'01_Run_Config'!$B$33&lt;=48,1.4,1.15))))))))</x:f>
        <x:v>1.8</x:v>
      </x:c>
      <x:c r="Q59" s="63" t="n">
        <x:v>5.9</x:v>
      </x:c>
      <x:c r="R59" s="63" t="n">
        <x:v>0.8</x:v>
      </x:c>
      <x:c r="S59" s="63" t="n">
        <x:v>1.3</x:v>
      </x:c>
      <x:c r="T59" s="63" t="str">
        <x:f>IF(A59&lt;=7,"Manuell",'01_Run_Config'!$B$40)</x:f>
        <x:v>Manuell / indoor-freigegebene Automation</x:v>
      </x:c>
      <x:c r="U59" s="63" t="str">
        <x:f>IF(A59&lt;'01_Run_Config'!$B$32,"Kein Basisdünger",IF(A59&lt;'01_Run_Config'!$B$33,"HESI TNT","HESI Coco"))</x:f>
        <x:v>HESI Coco</x:v>
      </x:c>
      <x:c r="V59" s="63" t="n">
        <x:f>IF(A59&lt;'01_Run_Config'!$B$32,0,IF(A59&lt;'01_Run_Config'!$B$33,IF(A59-'01_Run_Config'!$B$32&lt;=3,1.25,IF(A59-'01_Run_Config'!$B$32&lt;=10,2,2.5)),IF(A59-'01_Run_Config'!$B$33&lt;=6,2.5,IF(A59-'01_Run_Config'!$B$33&lt;=13,3.25,IF(A59-'01_Run_Config'!$B$33&lt;=20,3.75,IF(A59-'01_Run_Config'!$B$33&lt;=34,4,IF(A59-'01_Run_Config'!$B$33&lt;=41,3.5,IF(A59-'01_Run_Config'!$B$33&lt;=48,2.5,1.5))))))))</x:f>
        <x:v>4</x:v>
      </x:c>
      <x:c r="W59" s="63" t="n">
        <x:f>IF(A59&lt;=14,2.5,0)</x:f>
        <x:v>0</x:v>
      </x:c>
      <x:c r="X59" s="63" t="n">
        <x:f>IF('01_Run_Config'!$B$50="AN Sensizym",0,IF(AND(A59&gt;='01_Run_Config'!$B$32,OR(AL59="",AL59&lt;=49)),2,0))</x:f>
        <x:v>2</x:v>
      </x:c>
      <x:c r="Y59" s="63" t="n">
        <x:f>0.015</x:f>
        <x:v>0.015</x:v>
      </x:c>
      <x:c r="Z59" s="63" t="n">
        <x:f>IF('01_Run_Config'!$B$51="HESI Hesilicio",2,0)</x:f>
        <x:v>0</x:v>
      </x:c>
      <x:c r="AA59" s="63" t="n">
        <x:f>IF('01_Run_Config'!$B$48="AN Bud Candy (replaces HESI Boost)",0,IF(AND(A59&gt;='01_Run_Config'!$B$33,MOD(A59-'01_Run_Config'!$B$33,7)=0),2,0))</x:f>
        <x:v>0</x:v>
      </x:c>
      <x:c r="AB59" s="63" t="n">
        <x:f>IF('01_Run_Config'!$B$52="AN Bud Ignitor &gt; Big Bud &gt; Overdrive",0,IF(AND(ISNUMBER(AL59),AL59&gt;=29,AL59&lt;=42),0.25+((AL59-29)/13)*0.25,0))</x:f>
        <x:v>0.2692307692307692</x:v>
      </x:c>
      <x:c r="AC59" s="63" t="n">
        <x:f>IF('01_Run_Config'!$B$46="OFF",0,IF(OR(A59='01_Run_Config'!$B$32,A59='01_Run_Config'!$B$32+7,A59='01_Run_Config'!$B$33+1,A59='01_Run_Config'!$B$33+8),2,0))</x:f>
        <x:v>0</x:v>
      </x:c>
      <x:c r="AD59" s="63" t="str">
        <x:f>IF(BG59="BLOCK","HYBRID BLOCKED - Konfiguration prüfen",IF(SUM(AC59,AT59:BF59)&gt;0,"AN aktiv: "&amp;BH59,"AN: keine Dosis heute / Module aus"))</x:f>
        <x:v>AN: keine Dosis heute / Module aus</x:v>
      </x:c>
      <x:c r="AE59" s="63" t="str">
        <x:v>Keine Strukturarbeit</x:v>
      </x:c>
      <x:c r="AF59" s="63" t="str">
        <x:v>Morgens Klima/Pflanze/Bewässerung/Leck; Mitte Lichtphase Blattwinkel; vor Dunkel LF/Drain/stehendes Wasser.</x:v>
      </x:c>
      <x:c r="AG59" s="63" t="str">
        <x:v>EC nicht erhöhen bei steigender Diagnose-Drain-EC; PPFD nicht erhöhen bei Stress; Wasserband nie erzwingen; nie mehrere neue Booster gleichzeitig.</x:v>
      </x:c>
      <x:c r="AH59" s="35" t="str">
        <x:f>"UKD v9 evidence-guarded: Planwerte sind Ziele/Eligibility, keine automatische Freigabe. Eazy Plug/Block ist vorgepuffert; früher Basisfeed bleibt vom Propagation-/Pflanzengate abhängig. Messdaten und Safety-Gates überschreiben Kalender."</x:f>
        <x:v>UKD v9 evidence-guarded: Planwerte sind Ziele/Eligibility, keine automatische Freigabe. Eazy Plug/Block ist vorgepuffert; früher Basisfeed bleibt vom Propagation-/Pflanzengate abhängig. Messdaten und Safety-Gates überschreiben Kalender.</x:v>
      </x:c>
      <x:c r="AI59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59" s="201" t="str">
        <x:f>IF(A59&lt;'01_Run_Config'!$B$32,"—",IF(A59&lt;'01_Run_Config'!$B$33,"G"&amp;MIN(4,INT((A59-'01_Run_Config'!$B$32)/7)+1),AM59))</x:f>
        <x:v>B5</x:v>
      </x:c>
      <x:c r="AK59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59" s="60" t="n">
        <x:f>IF(A59&lt;'01_Run_Config'!$B$33,"",A59-'01_Run_Config'!$B$33+1)</x:f>
        <x:v>30</x:v>
      </x:c>
      <x:c r="AM59" s="60" t="str">
        <x:f>IF(AL59="","",IF(AL59&gt;49,CHAR(66)&amp;"7+",CHAR(66)&amp;TEXT(INT((AL59-1)/7)+1,"0")))</x:f>
        <x:v>B5</x:v>
      </x:c>
      <x:c r="AN59" s="60" t="n">
        <x:f>ROUND(0.6108*EXP(17.27*L59/(L59+237.3))*(1-N59/100),2)</x:f>
        <x:v>1.64</x:v>
      </x:c>
      <x:c r="AO59" s="60" t="n">
        <x:f>H59*G59/1000</x:f>
        <x:v>2.34</x:v>
      </x:c>
      <x:c r="AP59" s="60" t="n">
        <x:f>SUM($AO$2:AO59)</x:f>
        <x:v>103.13999999999994</x:v>
      </x:c>
      <x:c r="AQ59" t="n">
        <x:f>'01_Run_Config'!$B$17</x:f>
        <x:v>0</x:v>
      </x:c>
      <x:c r="AR59" t="n">
        <x:f>'01_Run_Config'!$B$22</x:f>
        <x:v>0</x:v>
      </x:c>
      <x:c r="AS59" t="n">
        <x:f>'01_Run_Config'!$B$25</x:f>
        <x:v>0</x:v>
      </x:c>
      <x:c r="AT59" t="n">
        <x:f>IF(AND('01_Run_Config'!$B$46="Voodoo + Piranha + Tarantula",AC59&gt;0),2,0)</x:f>
        <x:v>0</x:v>
      </x:c>
      <x:c r="AU59" t="n">
        <x:f>IF(AND(OR('01_Run_Config'!$B$46="Voodoo + Tarantula",'01_Run_Config'!$B$46="Voodoo + Piranha + Tarantula"),AC59&gt;0),2,0)</x:f>
        <x:v>0</x:v>
      </x:c>
      <x:c r="AV59" t="n">
        <x:f>IF('01_Run_Config'!$B$47&lt;&gt;"ON / A-B",0,IF(OR(AND(A59&gt;='01_Run_Config'!$B$32,A59&lt;'01_Run_Config'!$B$33),AND(ISNUMBER(AL59),AL59&gt;=15,AL59&lt;=49)),2,0))</x:f>
        <x:v>0</x:v>
      </x:c>
      <x:c r="AW59" t="n">
        <x:f>IF('01_Run_Config'!$B$48="AN Bud Candy (replaces HESI Boost)",IF(AND(A59&gt;='01_Run_Config'!$B$32,OR(AL59="",AL59&lt;=49)),2,0),0)</x:f>
        <x:v>0</x:v>
      </x:c>
      <x:c r="AX59" t="n">
        <x:f>IF('01_Run_Config'!$B$49&lt;&gt;"ON / EXPERIMENTAL",0,IF(OR(AND(A59&gt;='01_Run_Config'!$B$32+7,A59&lt;'01_Run_Config'!$B$33),AND(ISNUMBER(AL59),AL59&gt;=1,AL59&lt;=49)),2,0))</x:f>
        <x:v>0</x:v>
      </x:c>
      <x:c r="AY59" t="n">
        <x:f>IF('01_Run_Config'!$B$50="AN Sensizym",IF(AND(A59&gt;='01_Run_Config'!$B$32,OR(AL59="",AL59&lt;=49)),2,0),0)</x:f>
        <x:v>0</x:v>
      </x:c>
      <x:c r="AZ59" t="n">
        <x:f>IF('01_Run_Config'!$B$51="AN Rhino Skin",IF(AND(A59&gt;='01_Run_Config'!$B$32,OR(AL59="",AL59&lt;=49)),2,0),0)</x:f>
        <x:v>0</x:v>
      </x:c>
      <x:c r="BA59" t="n">
        <x:f>IF(AND('01_Run_Config'!$B$52="AN Bud Ignitor &gt; Big Bud &gt; Overdrive",ISNUMBER(AL59),AL59&gt;=1,AL59&lt;=14),2,0)</x:f>
        <x:v>0</x:v>
      </x:c>
      <x:c r="BB59" t="n">
        <x:f>IF(AND('01_Run_Config'!$B$52="AN Bud Ignitor &gt; Big Bud &gt; Overdrive",ISNUMBER(AL59),AL59&gt;=8,AL59&lt;=35),2,0)</x:f>
        <x:v>0</x:v>
      </x:c>
      <x:c r="BC59" t="n">
        <x:f>IF(AND('01_Run_Config'!$B$52="AN Bud Ignitor &gt; Big Bud &gt; Overdrive",ISNUMBER(AL59),AL59&gt;=36,AL59&lt;=49),2,0)</x:f>
        <x:v>0</x:v>
      </x:c>
      <x:c r="BD59" t="n">
        <x:f>IF('01_Run_Config'!$B$53="ON / EXPERIMENTAL",IF(OR(AND(A59&gt;='01_Run_Config'!$B$32,A59&lt;'01_Run_Config'!$B$33),AND(ISNUMBER(AL59),AL59&gt;=15,AL59&lt;=49)),2,0),0)</x:f>
        <x:v>0</x:v>
      </x:c>
      <x:c r="BE59" t="n">
        <x:f>IF('01_Run_Config'!$B$54="AN Sensi CalMag Xtra conditional",'01_Run_Config'!$B$17,0)</x:f>
        <x:v>0</x:v>
      </x:c>
      <x:c r="BF59" t="n">
        <x:f>0</x:f>
        <x:v>0</x:v>
      </x:c>
      <x:c r="BG59" t="str">
        <x:f>'01_Run_Config'!$E$57</x:f>
        <x:v>OK</x:v>
      </x:c>
      <x:c r="BH59" t="str">
        <x:f>IF(SUM(AC59,AT59:BF59)=0,"keine AN-Dosis heute",IF(AC59&gt;0,"Voodoo "&amp;AC59&amp;" ml/L; ","")&amp;IF(AT59&gt;0,"Piranha "&amp;AT59&amp;" ml/L; ","")&amp;IF(AU59&gt;0,"Tarantula "&amp;AU59&amp;" ml/L; ","")&amp;IF(AV59&gt;0,"B-52 "&amp;AV59&amp;" ml/L; ","")&amp;IF(AW59&gt;0,"Bud Candy "&amp;AW59&amp;" ml/L; ","")&amp;IF(AX59&gt;0,"Bud Factor X "&amp;AX59&amp;" ml/L; ","")&amp;IF(AY59&gt;0,"Sensizym "&amp;AY59&amp;" ml/L; ","")&amp;IF(AZ59&gt;0,"Rhino Skin "&amp;AZ59&amp;" ml/L; ","")&amp;IF(BA59&gt;0,"Bud Ignitor "&amp;BA59&amp;" ml/L; ","")&amp;IF(BB59&gt;0,"Big Bud "&amp;BB59&amp;" ml/L; ","")&amp;IF(BC59&gt;0,"Overdrive "&amp;BC59&amp;" ml/L; ","")&amp;IF(BD59&gt;0,"Tasty Terpenes "&amp;BD59&amp;" ml/L; ","")&amp;IF(BE59&gt;0,"Sensi CalMag "&amp;BE59&amp;" ml/L",""))</x:f>
        <x:v>keine AN-Dosis heute</x:v>
      </x:c>
    </x:row>
    <x:row r="60">
      <x:c r="A60" s="34" t="n">
        <x:v>58</x:v>
      </x:c>
      <x:c r="B60" s="129" t="n">
        <x:f>'01_Run_Config'!$B$4+A60</x:f>
        <x:v>46300</x:v>
      </x:c>
      <x:c r="C60" s="63" t="n">
        <x:f>INT(A60/7)+1</x:f>
        <x:v>9</x:v>
      </x:c>
      <x:c r="D60" s="63" t="str">
        <x:f>"M"&amp;MIN(3,INT(A60/30)+1)</x:f>
        <x:v>M2</x:v>
      </x:c>
      <x:c r="E60" s="63" t="str">
        <x:f>IF(A60&lt;4,"Keimung",IF(A60&lt;8,"Etablierung",IF(A60&lt;15,"Early Veg",IF(A60&lt;'01_Run_Config'!$B$33,IF(A60&lt;22,"Veg / LST","Preflower-Watch"),IF(A60-'01_Run_Config'!$B$33&lt;=6,"Transition / Stretch ("&amp;AM60&amp;")",IF(A60-'01_Run_Config'!$B$33&lt;=13,"Early Flower ("&amp;AM60&amp;")",IF(A60-'01_Run_Config'!$B$33&lt;=20,"Flower I ("&amp;AM60&amp;")",IF(A60-'01_Run_Config'!$B$33&lt;=34,"Peak Flower ("&amp;AM60&amp;")",IF(A60-'01_Run_Config'!$B$33&lt;=41,"Late Flower ("&amp;AM60&amp;")",IF(A60-'01_Run_Config'!$B$33&lt;=48,"Ripening ("&amp;AM60&amp;")","Harvest / Extension ("&amp;AM60&amp;")"))))))))))</x:f>
        <x:v>Peak Flower (B5)</x:v>
      </x:c>
      <x:c r="F60" s="63" t="str">
        <x:f>IF(A60&lt;4,"Keimung + Wurzelstart",IF(A60&lt;8,"Sämling etablieren; Wurzelraum erschließen",IF(A60&lt;15,"kompakter Aufbau; LST erst bei Vitalität",IF(A60&lt;'01_Run_Config'!$B$33,"Canopy aufbauen; Preflower beobachten",IF(A60-'01_Run_Config'!$B$33&lt;=6,"Stretch kontrollieren; Bloom-Trigger dokumentieren",IF(A60-'01_Run_Config'!$B$33&lt;=13,"Blütenansatz stabilisieren",IF(A60-'01_Run_Config'!$B$33&lt;=20,"Blütenaufbau ohne neue Stressoren",IF(A60-'01_Run_Config'!$B$33&lt;=34,"stabile Peak-Photosynthese; Klima priorisieren",IF(A60-'01_Run_Config'!$B$33&lt;=41,"Qualität/Schimmelprävention",IF(A60-'01_Run_Config'!$B$33&lt;=48,"Reife ohne Überfütterung","Erntefenster nach Pflanze; keine Kalenderernte"))))))))))</x:f>
        <x:v>stabile Peak-Photosynthese; Klima priorisieren</x:v>
      </x:c>
      <x:c r="G60" s="63" t="n">
        <x:v>18</x:v>
      </x:c>
      <x:c r="H60" s="63" t="n">
        <x:v>130</x:v>
      </x:c>
      <x:c r="I60" s="63" t="n">
        <x:v>600</x:v>
      </x:c>
      <x:c r="J60" s="63" t="n">
        <x:f>I60*G60*3600/1000000</x:f>
        <x:v>38.88</x:v>
      </x:c>
      <x:c r="K60" s="63" t="n">
        <x:v>35</x:v>
      </x:c>
      <x:c r="L60" s="63" t="n">
        <x:v>24</x:v>
      </x:c>
      <x:c r="M60" s="63" t="n">
        <x:v>20.5</x:v>
      </x:c>
      <x:c r="N60" s="63" t="n">
        <x:v>45</x:v>
      </x:c>
      <x:c r="O60" s="63" t="n">
        <x:f>ROUND(0.6108*EXP(17.27*(L60+'01_Run_Config'!$B$34)/(L60+'01_Run_Config'!$B$34+237.3))-(N60/100)*0.6108*EXP(17.27*L60/(L60+237.3)),2)</x:f>
        <x:v>1.47</x:v>
      </x:c>
      <x:c r="P60" s="63" t="n">
        <x:f>IF(A60&lt;'01_Run_Config'!$B$32,0.55,IF(A60&lt;'01_Run_Config'!$B$33,IF(A60-'01_Run_Config'!$B$32&lt;=3,0.8,IF(A60-'01_Run_Config'!$B$32&lt;=10,1,IF(A60-'01_Run_Config'!$B$32&lt;=17,1.2,1.4))),IF(A60-'01_Run_Config'!$B$33&lt;=6,1.5,IF(A60-'01_Run_Config'!$B$33&lt;=13,1.6,IF(A60-'01_Run_Config'!$B$33&lt;=20,1.7,IF(A60-'01_Run_Config'!$B$33&lt;=34,1.8,IF(A60-'01_Run_Config'!$B$33&lt;=41,1.6,IF(A60-'01_Run_Config'!$B$33&lt;=48,1.4,1.15))))))))</x:f>
        <x:v>1.8</x:v>
      </x:c>
      <x:c r="Q60" s="63" t="n">
        <x:v>5.9</x:v>
      </x:c>
      <x:c r="R60" s="63" t="n">
        <x:v>0.8</x:v>
      </x:c>
      <x:c r="S60" s="63" t="n">
        <x:v>1.3</x:v>
      </x:c>
      <x:c r="T60" s="63" t="str">
        <x:f>IF(A60&lt;=7,"Manuell",'01_Run_Config'!$B$40)</x:f>
        <x:v>Manuell / indoor-freigegebene Automation</x:v>
      </x:c>
      <x:c r="U60" s="63" t="str">
        <x:f>IF(A60&lt;'01_Run_Config'!$B$32,"Kein Basisdünger",IF(A60&lt;'01_Run_Config'!$B$33,"HESI TNT","HESI Coco"))</x:f>
        <x:v>HESI Coco</x:v>
      </x:c>
      <x:c r="V60" s="63" t="n">
        <x:f>IF(A60&lt;'01_Run_Config'!$B$32,0,IF(A60&lt;'01_Run_Config'!$B$33,IF(A60-'01_Run_Config'!$B$32&lt;=3,1.25,IF(A60-'01_Run_Config'!$B$32&lt;=10,2,2.5)),IF(A60-'01_Run_Config'!$B$33&lt;=6,2.5,IF(A60-'01_Run_Config'!$B$33&lt;=13,3.25,IF(A60-'01_Run_Config'!$B$33&lt;=20,3.75,IF(A60-'01_Run_Config'!$B$33&lt;=34,4,IF(A60-'01_Run_Config'!$B$33&lt;=41,3.5,IF(A60-'01_Run_Config'!$B$33&lt;=48,2.5,1.5))))))))</x:f>
        <x:v>4</x:v>
      </x:c>
      <x:c r="W60" s="63" t="n">
        <x:f>IF(A60&lt;=14,2.5,0)</x:f>
        <x:v>0</x:v>
      </x:c>
      <x:c r="X60" s="63" t="n">
        <x:f>IF('01_Run_Config'!$B$50="AN Sensizym",0,IF(AND(A60&gt;='01_Run_Config'!$B$32,OR(AL60="",AL60&lt;=49)),2,0))</x:f>
        <x:v>2</x:v>
      </x:c>
      <x:c r="Y60" s="63" t="n">
        <x:f>0.015</x:f>
        <x:v>0.015</x:v>
      </x:c>
      <x:c r="Z60" s="63" t="n">
        <x:f>IF('01_Run_Config'!$B$51="HESI Hesilicio",2,0)</x:f>
        <x:v>0</x:v>
      </x:c>
      <x:c r="AA60" s="63" t="n">
        <x:f>IF('01_Run_Config'!$B$48="AN Bud Candy (replaces HESI Boost)",0,IF(AND(A60&gt;='01_Run_Config'!$B$33,MOD(A60-'01_Run_Config'!$B$33,7)=0),2,0))</x:f>
        <x:v>0</x:v>
      </x:c>
      <x:c r="AB60" s="63" t="n">
        <x:f>IF('01_Run_Config'!$B$52="AN Bud Ignitor &gt; Big Bud &gt; Overdrive",0,IF(AND(ISNUMBER(AL60),AL60&gt;=29,AL60&lt;=42),0.25+((AL60-29)/13)*0.25,0))</x:f>
        <x:v>0.28846153846153844</x:v>
      </x:c>
      <x:c r="AC60" s="63" t="n">
        <x:f>IF('01_Run_Config'!$B$46="OFF",0,IF(OR(A60='01_Run_Config'!$B$32,A60='01_Run_Config'!$B$32+7,A60='01_Run_Config'!$B$33+1,A60='01_Run_Config'!$B$33+8),2,0))</x:f>
        <x:v>0</x:v>
      </x:c>
      <x:c r="AD60" s="63" t="str">
        <x:f>IF(BG60="BLOCK","HYBRID BLOCKED - Konfiguration prüfen",IF(SUM(AC60,AT60:BF60)&gt;0,"AN aktiv: "&amp;BH60,"AN: keine Dosis heute / Module aus"))</x:f>
        <x:v>AN: keine Dosis heute / Module aus</x:v>
      </x:c>
      <x:c r="AE60" s="63" t="str">
        <x:v>Keine Strukturarbeit</x:v>
      </x:c>
      <x:c r="AF60" s="63" t="str">
        <x:v>Morgens Klima/Pflanze/Bewässerung/Leck; Mitte Lichtphase Blattwinkel; vor Dunkel LF/Drain/stehendes Wasser.</x:v>
      </x:c>
      <x:c r="AG60" s="63" t="str">
        <x:v>EC nicht erhöhen bei steigender Diagnose-Drain-EC; PPFD nicht erhöhen bei Stress; Wasserband nie erzwingen; nie mehrere neue Booster gleichzeitig.</x:v>
      </x:c>
      <x:c r="AH60" s="35" t="str">
        <x:f>"UKD v9 evidence-guarded: Planwerte sind Ziele/Eligibility, keine automatische Freigabe. Eazy Plug/Block ist vorgepuffert; früher Basisfeed bleibt vom Propagation-/Pflanzengate abhängig. Messdaten und Safety-Gates überschreiben Kalender."</x:f>
        <x:v>UKD v9 evidence-guarded: Planwerte sind Ziele/Eligibility, keine automatische Freigabe. Eazy Plug/Block ist vorgepuffert; früher Basisfeed bleibt vom Propagation-/Pflanzengate abhängig. Messdaten und Safety-Gates überschreiben Kalender.</x:v>
      </x:c>
      <x:c r="AI60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60" s="201" t="str">
        <x:f>IF(A60&lt;'01_Run_Config'!$B$32,"—",IF(A60&lt;'01_Run_Config'!$B$33,"G"&amp;MIN(4,INT((A60-'01_Run_Config'!$B$32)/7)+1),AM60))</x:f>
        <x:v>B5</x:v>
      </x:c>
      <x:c r="AK60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60" s="60" t="n">
        <x:f>IF(A60&lt;'01_Run_Config'!$B$33,"",A60-'01_Run_Config'!$B$33+1)</x:f>
        <x:v>31</x:v>
      </x:c>
      <x:c r="AM60" s="60" t="str">
        <x:f>IF(AL60="","",IF(AL60&gt;49,CHAR(66)&amp;"7+",CHAR(66)&amp;TEXT(INT((AL60-1)/7)+1,"0")))</x:f>
        <x:v>B5</x:v>
      </x:c>
      <x:c r="AN60" s="60" t="n">
        <x:f>ROUND(0.6108*EXP(17.27*L60/(L60+237.3))*(1-N60/100),2)</x:f>
        <x:v>1.64</x:v>
      </x:c>
      <x:c r="AO60" s="60" t="n">
        <x:f>H60*G60/1000</x:f>
        <x:v>2.34</x:v>
      </x:c>
      <x:c r="AP60" s="60" t="n">
        <x:f>SUM($AO$2:AO60)</x:f>
        <x:v>105.47999999999995</x:v>
      </x:c>
      <x:c r="AQ60" t="n">
        <x:f>'01_Run_Config'!$B$17</x:f>
        <x:v>0</x:v>
      </x:c>
      <x:c r="AR60" t="n">
        <x:f>'01_Run_Config'!$B$22</x:f>
        <x:v>0</x:v>
      </x:c>
      <x:c r="AS60" t="n">
        <x:f>'01_Run_Config'!$B$25</x:f>
        <x:v>0</x:v>
      </x:c>
      <x:c r="AT60" t="n">
        <x:f>IF(AND('01_Run_Config'!$B$46="Voodoo + Piranha + Tarantula",AC60&gt;0),2,0)</x:f>
        <x:v>0</x:v>
      </x:c>
      <x:c r="AU60" t="n">
        <x:f>IF(AND(OR('01_Run_Config'!$B$46="Voodoo + Tarantula",'01_Run_Config'!$B$46="Voodoo + Piranha + Tarantula"),AC60&gt;0),2,0)</x:f>
        <x:v>0</x:v>
      </x:c>
      <x:c r="AV60" t="n">
        <x:f>IF('01_Run_Config'!$B$47&lt;&gt;"ON / A-B",0,IF(OR(AND(A60&gt;='01_Run_Config'!$B$32,A60&lt;'01_Run_Config'!$B$33),AND(ISNUMBER(AL60),AL60&gt;=15,AL60&lt;=49)),2,0))</x:f>
        <x:v>0</x:v>
      </x:c>
      <x:c r="AW60" t="n">
        <x:f>IF('01_Run_Config'!$B$48="AN Bud Candy (replaces HESI Boost)",IF(AND(A60&gt;='01_Run_Config'!$B$32,OR(AL60="",AL60&lt;=49)),2,0),0)</x:f>
        <x:v>0</x:v>
      </x:c>
      <x:c r="AX60" t="n">
        <x:f>IF('01_Run_Config'!$B$49&lt;&gt;"ON / EXPERIMENTAL",0,IF(OR(AND(A60&gt;='01_Run_Config'!$B$32+7,A60&lt;'01_Run_Config'!$B$33),AND(ISNUMBER(AL60),AL60&gt;=1,AL60&lt;=49)),2,0))</x:f>
        <x:v>0</x:v>
      </x:c>
      <x:c r="AY60" t="n">
        <x:f>IF('01_Run_Config'!$B$50="AN Sensizym",IF(AND(A60&gt;='01_Run_Config'!$B$32,OR(AL60="",AL60&lt;=49)),2,0),0)</x:f>
        <x:v>0</x:v>
      </x:c>
      <x:c r="AZ60" t="n">
        <x:f>IF('01_Run_Config'!$B$51="AN Rhino Skin",IF(AND(A60&gt;='01_Run_Config'!$B$32,OR(AL60="",AL60&lt;=49)),2,0),0)</x:f>
        <x:v>0</x:v>
      </x:c>
      <x:c r="BA60" t="n">
        <x:f>IF(AND('01_Run_Config'!$B$52="AN Bud Ignitor &gt; Big Bud &gt; Overdrive",ISNUMBER(AL60),AL60&gt;=1,AL60&lt;=14),2,0)</x:f>
        <x:v>0</x:v>
      </x:c>
      <x:c r="BB60" t="n">
        <x:f>IF(AND('01_Run_Config'!$B$52="AN Bud Ignitor &gt; Big Bud &gt; Overdrive",ISNUMBER(AL60),AL60&gt;=8,AL60&lt;=35),2,0)</x:f>
        <x:v>0</x:v>
      </x:c>
      <x:c r="BC60" t="n">
        <x:f>IF(AND('01_Run_Config'!$B$52="AN Bud Ignitor &gt; Big Bud &gt; Overdrive",ISNUMBER(AL60),AL60&gt;=36,AL60&lt;=49),2,0)</x:f>
        <x:v>0</x:v>
      </x:c>
      <x:c r="BD60" t="n">
        <x:f>IF('01_Run_Config'!$B$53="ON / EXPERIMENTAL",IF(OR(AND(A60&gt;='01_Run_Config'!$B$32,A60&lt;'01_Run_Config'!$B$33),AND(ISNUMBER(AL60),AL60&gt;=15,AL60&lt;=49)),2,0),0)</x:f>
        <x:v>0</x:v>
      </x:c>
      <x:c r="BE60" t="n">
        <x:f>IF('01_Run_Config'!$B$54="AN Sensi CalMag Xtra conditional",'01_Run_Config'!$B$17,0)</x:f>
        <x:v>0</x:v>
      </x:c>
      <x:c r="BF60" t="n">
        <x:f>0</x:f>
        <x:v>0</x:v>
      </x:c>
      <x:c r="BG60" t="str">
        <x:f>'01_Run_Config'!$E$57</x:f>
        <x:v>OK</x:v>
      </x:c>
      <x:c r="BH60" t="str">
        <x:f>IF(SUM(AC60,AT60:BF60)=0,"keine AN-Dosis heute",IF(AC60&gt;0,"Voodoo "&amp;AC60&amp;" ml/L; ","")&amp;IF(AT60&gt;0,"Piranha "&amp;AT60&amp;" ml/L; ","")&amp;IF(AU60&gt;0,"Tarantula "&amp;AU60&amp;" ml/L; ","")&amp;IF(AV60&gt;0,"B-52 "&amp;AV60&amp;" ml/L; ","")&amp;IF(AW60&gt;0,"Bud Candy "&amp;AW60&amp;" ml/L; ","")&amp;IF(AX60&gt;0,"Bud Factor X "&amp;AX60&amp;" ml/L; ","")&amp;IF(AY60&gt;0,"Sensizym "&amp;AY60&amp;" ml/L; ","")&amp;IF(AZ60&gt;0,"Rhino Skin "&amp;AZ60&amp;" ml/L; ","")&amp;IF(BA60&gt;0,"Bud Ignitor "&amp;BA60&amp;" ml/L; ","")&amp;IF(BB60&gt;0,"Big Bud "&amp;BB60&amp;" ml/L; ","")&amp;IF(BC60&gt;0,"Overdrive "&amp;BC60&amp;" ml/L; ","")&amp;IF(BD60&gt;0,"Tasty Terpenes "&amp;BD60&amp;" ml/L; ","")&amp;IF(BE60&gt;0,"Sensi CalMag "&amp;BE60&amp;" ml/L",""))</x:f>
        <x:v>keine AN-Dosis heute</x:v>
      </x:c>
    </x:row>
    <x:row r="61">
      <x:c r="A61" s="34" t="n">
        <x:v>59</x:v>
      </x:c>
      <x:c r="B61" s="129" t="n">
        <x:f>'01_Run_Config'!$B$4+A61</x:f>
        <x:v>46301</x:v>
      </x:c>
      <x:c r="C61" s="63" t="n">
        <x:f>INT(A61/7)+1</x:f>
        <x:v>9</x:v>
      </x:c>
      <x:c r="D61" s="63" t="str">
        <x:f>"M"&amp;MIN(3,INT(A61/30)+1)</x:f>
        <x:v>M2</x:v>
      </x:c>
      <x:c r="E61" s="63" t="str">
        <x:f>IF(A61&lt;4,"Keimung",IF(A61&lt;8,"Etablierung",IF(A61&lt;15,"Early Veg",IF(A61&lt;'01_Run_Config'!$B$33,IF(A61&lt;22,"Veg / LST","Preflower-Watch"),IF(A61-'01_Run_Config'!$B$33&lt;=6,"Transition / Stretch ("&amp;AM61&amp;")",IF(A61-'01_Run_Config'!$B$33&lt;=13,"Early Flower ("&amp;AM61&amp;")",IF(A61-'01_Run_Config'!$B$33&lt;=20,"Flower I ("&amp;AM61&amp;")",IF(A61-'01_Run_Config'!$B$33&lt;=34,"Peak Flower ("&amp;AM61&amp;")",IF(A61-'01_Run_Config'!$B$33&lt;=41,"Late Flower ("&amp;AM61&amp;")",IF(A61-'01_Run_Config'!$B$33&lt;=48,"Ripening ("&amp;AM61&amp;")","Harvest / Extension ("&amp;AM61&amp;")"))))))))))</x:f>
        <x:v>Peak Flower (B5)</x:v>
      </x:c>
      <x:c r="F61" s="63" t="str">
        <x:f>IF(A61&lt;4,"Keimung + Wurzelstart",IF(A61&lt;8,"Sämling etablieren; Wurzelraum erschließen",IF(A61&lt;15,"kompakter Aufbau; LST erst bei Vitalität",IF(A61&lt;'01_Run_Config'!$B$33,"Canopy aufbauen; Preflower beobachten",IF(A61-'01_Run_Config'!$B$33&lt;=6,"Stretch kontrollieren; Bloom-Trigger dokumentieren",IF(A61-'01_Run_Config'!$B$33&lt;=13,"Blütenansatz stabilisieren",IF(A61-'01_Run_Config'!$B$33&lt;=20,"Blütenaufbau ohne neue Stressoren",IF(A61-'01_Run_Config'!$B$33&lt;=34,"stabile Peak-Photosynthese; Klima priorisieren",IF(A61-'01_Run_Config'!$B$33&lt;=41,"Qualität/Schimmelprävention",IF(A61-'01_Run_Config'!$B$33&lt;=48,"Reife ohne Überfütterung","Erntefenster nach Pflanze; keine Kalenderernte"))))))))))</x:f>
        <x:v>stabile Peak-Photosynthese; Klima priorisieren</x:v>
      </x:c>
      <x:c r="G61" s="63" t="n">
        <x:v>18</x:v>
      </x:c>
      <x:c r="H61" s="63" t="n">
        <x:v>130</x:v>
      </x:c>
      <x:c r="I61" s="63" t="n">
        <x:v>600</x:v>
      </x:c>
      <x:c r="J61" s="63" t="n">
        <x:f>I61*G61*3600/1000000</x:f>
        <x:v>38.88</x:v>
      </x:c>
      <x:c r="K61" s="63" t="n">
        <x:v>35</x:v>
      </x:c>
      <x:c r="L61" s="63" t="n">
        <x:v>24</x:v>
      </x:c>
      <x:c r="M61" s="63" t="n">
        <x:v>20.5</x:v>
      </x:c>
      <x:c r="N61" s="63" t="n">
        <x:v>45</x:v>
      </x:c>
      <x:c r="O61" s="63" t="n">
        <x:f>ROUND(0.6108*EXP(17.27*(L61+'01_Run_Config'!$B$34)/(L61+'01_Run_Config'!$B$34+237.3))-(N61/100)*0.6108*EXP(17.27*L61/(L61+237.3)),2)</x:f>
        <x:v>1.47</x:v>
      </x:c>
      <x:c r="P61" s="63" t="n">
        <x:f>IF(A61&lt;'01_Run_Config'!$B$32,0.55,IF(A61&lt;'01_Run_Config'!$B$33,IF(A61-'01_Run_Config'!$B$32&lt;=3,0.8,IF(A61-'01_Run_Config'!$B$32&lt;=10,1,IF(A61-'01_Run_Config'!$B$32&lt;=17,1.2,1.4))),IF(A61-'01_Run_Config'!$B$33&lt;=6,1.5,IF(A61-'01_Run_Config'!$B$33&lt;=13,1.6,IF(A61-'01_Run_Config'!$B$33&lt;=20,1.7,IF(A61-'01_Run_Config'!$B$33&lt;=34,1.8,IF(A61-'01_Run_Config'!$B$33&lt;=41,1.6,IF(A61-'01_Run_Config'!$B$33&lt;=48,1.4,1.15))))))))</x:f>
        <x:v>1.8</x:v>
      </x:c>
      <x:c r="Q61" s="63" t="n">
        <x:v>5.9</x:v>
      </x:c>
      <x:c r="R61" s="63" t="n">
        <x:v>0.8</x:v>
      </x:c>
      <x:c r="S61" s="63" t="n">
        <x:v>1.3</x:v>
      </x:c>
      <x:c r="T61" s="63" t="str">
        <x:f>IF(A61&lt;=7,"Manuell",'01_Run_Config'!$B$40)</x:f>
        <x:v>Manuell / indoor-freigegebene Automation</x:v>
      </x:c>
      <x:c r="U61" s="63" t="str">
        <x:f>IF(A61&lt;'01_Run_Config'!$B$32,"Kein Basisdünger",IF(A61&lt;'01_Run_Config'!$B$33,"HESI TNT","HESI Coco"))</x:f>
        <x:v>HESI Coco</x:v>
      </x:c>
      <x:c r="V61" s="63" t="n">
        <x:f>IF(A61&lt;'01_Run_Config'!$B$32,0,IF(A61&lt;'01_Run_Config'!$B$33,IF(A61-'01_Run_Config'!$B$32&lt;=3,1.25,IF(A61-'01_Run_Config'!$B$32&lt;=10,2,2.5)),IF(A61-'01_Run_Config'!$B$33&lt;=6,2.5,IF(A61-'01_Run_Config'!$B$33&lt;=13,3.25,IF(A61-'01_Run_Config'!$B$33&lt;=20,3.75,IF(A61-'01_Run_Config'!$B$33&lt;=34,4,IF(A61-'01_Run_Config'!$B$33&lt;=41,3.5,IF(A61-'01_Run_Config'!$B$33&lt;=48,2.5,1.5))))))))</x:f>
        <x:v>4</x:v>
      </x:c>
      <x:c r="W61" s="63" t="n">
        <x:f>IF(A61&lt;=14,2.5,0)</x:f>
        <x:v>0</x:v>
      </x:c>
      <x:c r="X61" s="63" t="n">
        <x:f>IF('01_Run_Config'!$B$50="AN Sensizym",0,IF(AND(A61&gt;='01_Run_Config'!$B$32,OR(AL61="",AL61&lt;=49)),2,0))</x:f>
        <x:v>2</x:v>
      </x:c>
      <x:c r="Y61" s="63" t="n">
        <x:f>0.015</x:f>
        <x:v>0.015</x:v>
      </x:c>
      <x:c r="Z61" s="63" t="n">
        <x:f>IF('01_Run_Config'!$B$51="HESI Hesilicio",2,0)</x:f>
        <x:v>0</x:v>
      </x:c>
      <x:c r="AA61" s="63" t="n">
        <x:f>IF('01_Run_Config'!$B$48="AN Bud Candy (replaces HESI Boost)",0,IF(AND(A61&gt;='01_Run_Config'!$B$33,MOD(A61-'01_Run_Config'!$B$33,7)=0),2,0))</x:f>
        <x:v>0</x:v>
      </x:c>
      <x:c r="AB61" s="63" t="n">
        <x:f>IF('01_Run_Config'!$B$52="AN Bud Ignitor &gt; Big Bud &gt; Overdrive",0,IF(AND(ISNUMBER(AL61),AL61&gt;=29,AL61&lt;=42),0.25+((AL61-29)/13)*0.25,0))</x:f>
        <x:v>0.3076923076923077</x:v>
      </x:c>
      <x:c r="AC61" s="63" t="n">
        <x:f>IF('01_Run_Config'!$B$46="OFF",0,IF(OR(A61='01_Run_Config'!$B$32,A61='01_Run_Config'!$B$32+7,A61='01_Run_Config'!$B$33+1,A61='01_Run_Config'!$B$33+8),2,0))</x:f>
        <x:v>0</x:v>
      </x:c>
      <x:c r="AD61" s="63" t="str">
        <x:f>IF(BG61="BLOCK","HYBRID BLOCKED - Konfiguration prüfen",IF(SUM(AC61,AT61:BF61)&gt;0,"AN aktiv: "&amp;BH61,"AN: keine Dosis heute / Module aus"))</x:f>
        <x:v>AN: keine Dosis heute / Module aus</x:v>
      </x:c>
      <x:c r="AE61" s="63" t="str">
        <x:v>Keine Strukturarbeit</x:v>
      </x:c>
      <x:c r="AF61" s="63" t="str">
        <x:v>Morgens Klima/Pflanze/Bewässerung/Leck; Mitte Lichtphase Blattwinkel; vor Dunkel LF/Drain/stehendes Wasser.</x:v>
      </x:c>
      <x:c r="AG61" s="63" t="str">
        <x:v>EC nicht erhöhen bei steigender Diagnose-Drain-EC; PPFD nicht erhöhen bei Stress; Wasserband nie erzwingen; nie mehrere neue Booster gleichzeitig.</x:v>
      </x:c>
      <x:c r="AH61" s="35" t="str">
        <x:f>"UKD v9 evidence-guarded: Planwerte sind Ziele/Eligibility, keine automatische Freigabe. Eazy Plug/Block ist vorgepuffert; früher Basisfeed bleibt vom Propagation-/Pflanzengate abhängig. Messdaten und Safety-Gates überschreiben Kalender."</x:f>
        <x:v>UKD v9 evidence-guarded: Planwerte sind Ziele/Eligibility, keine automatische Freigabe. Eazy Plug/Block ist vorgepuffert; früher Basisfeed bleibt vom Propagation-/Pflanzengate abhängig. Messdaten und Safety-Gates überschreiben Kalender.</x:v>
      </x:c>
      <x:c r="AI61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61" s="201" t="str">
        <x:f>IF(A61&lt;'01_Run_Config'!$B$32,"—",IF(A61&lt;'01_Run_Config'!$B$33,"G"&amp;MIN(4,INT((A61-'01_Run_Config'!$B$32)/7)+1),AM61))</x:f>
        <x:v>B5</x:v>
      </x:c>
      <x:c r="AK61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61" s="60" t="n">
        <x:f>IF(A61&lt;'01_Run_Config'!$B$33,"",A61-'01_Run_Config'!$B$33+1)</x:f>
        <x:v>32</x:v>
      </x:c>
      <x:c r="AM61" s="60" t="str">
        <x:f>IF(AL61="","",IF(AL61&gt;49,CHAR(66)&amp;"7+",CHAR(66)&amp;TEXT(INT((AL61-1)/7)+1,"0")))</x:f>
        <x:v>B5</x:v>
      </x:c>
      <x:c r="AN61" s="60" t="n">
        <x:f>ROUND(0.6108*EXP(17.27*L61/(L61+237.3))*(1-N61/100),2)</x:f>
        <x:v>1.64</x:v>
      </x:c>
      <x:c r="AO61" s="60" t="n">
        <x:f>H61*G61/1000</x:f>
        <x:v>2.34</x:v>
      </x:c>
      <x:c r="AP61" s="60" t="n">
        <x:f>SUM($AO$2:AO61)</x:f>
        <x:v>107.81999999999995</x:v>
      </x:c>
      <x:c r="AQ61" t="n">
        <x:f>'01_Run_Config'!$B$17</x:f>
        <x:v>0</x:v>
      </x:c>
      <x:c r="AR61" t="n">
        <x:f>'01_Run_Config'!$B$22</x:f>
        <x:v>0</x:v>
      </x:c>
      <x:c r="AS61" t="n">
        <x:f>'01_Run_Config'!$B$25</x:f>
        <x:v>0</x:v>
      </x:c>
      <x:c r="AT61" t="n">
        <x:f>IF(AND('01_Run_Config'!$B$46="Voodoo + Piranha + Tarantula",AC61&gt;0),2,0)</x:f>
        <x:v>0</x:v>
      </x:c>
      <x:c r="AU61" t="n">
        <x:f>IF(AND(OR('01_Run_Config'!$B$46="Voodoo + Tarantula",'01_Run_Config'!$B$46="Voodoo + Piranha + Tarantula"),AC61&gt;0),2,0)</x:f>
        <x:v>0</x:v>
      </x:c>
      <x:c r="AV61" t="n">
        <x:f>IF('01_Run_Config'!$B$47&lt;&gt;"ON / A-B",0,IF(OR(AND(A61&gt;='01_Run_Config'!$B$32,A61&lt;'01_Run_Config'!$B$33),AND(ISNUMBER(AL61),AL61&gt;=15,AL61&lt;=49)),2,0))</x:f>
        <x:v>0</x:v>
      </x:c>
      <x:c r="AW61" t="n">
        <x:f>IF('01_Run_Config'!$B$48="AN Bud Candy (replaces HESI Boost)",IF(AND(A61&gt;='01_Run_Config'!$B$32,OR(AL61="",AL61&lt;=49)),2,0),0)</x:f>
        <x:v>0</x:v>
      </x:c>
      <x:c r="AX61" t="n">
        <x:f>IF('01_Run_Config'!$B$49&lt;&gt;"ON / EXPERIMENTAL",0,IF(OR(AND(A61&gt;='01_Run_Config'!$B$32+7,A61&lt;'01_Run_Config'!$B$33),AND(ISNUMBER(AL61),AL61&gt;=1,AL61&lt;=49)),2,0))</x:f>
        <x:v>0</x:v>
      </x:c>
      <x:c r="AY61" t="n">
        <x:f>IF('01_Run_Config'!$B$50="AN Sensizym",IF(AND(A61&gt;='01_Run_Config'!$B$32,OR(AL61="",AL61&lt;=49)),2,0),0)</x:f>
        <x:v>0</x:v>
      </x:c>
      <x:c r="AZ61" t="n">
        <x:f>IF('01_Run_Config'!$B$51="AN Rhino Skin",IF(AND(A61&gt;='01_Run_Config'!$B$32,OR(AL61="",AL61&lt;=49)),2,0),0)</x:f>
        <x:v>0</x:v>
      </x:c>
      <x:c r="BA61" t="n">
        <x:f>IF(AND('01_Run_Config'!$B$52="AN Bud Ignitor &gt; Big Bud &gt; Overdrive",ISNUMBER(AL61),AL61&gt;=1,AL61&lt;=14),2,0)</x:f>
        <x:v>0</x:v>
      </x:c>
      <x:c r="BB61" t="n">
        <x:f>IF(AND('01_Run_Config'!$B$52="AN Bud Ignitor &gt; Big Bud &gt; Overdrive",ISNUMBER(AL61),AL61&gt;=8,AL61&lt;=35),2,0)</x:f>
        <x:v>0</x:v>
      </x:c>
      <x:c r="BC61" t="n">
        <x:f>IF(AND('01_Run_Config'!$B$52="AN Bud Ignitor &gt; Big Bud &gt; Overdrive",ISNUMBER(AL61),AL61&gt;=36,AL61&lt;=49),2,0)</x:f>
        <x:v>0</x:v>
      </x:c>
      <x:c r="BD61" t="n">
        <x:f>IF('01_Run_Config'!$B$53="ON / EXPERIMENTAL",IF(OR(AND(A61&gt;='01_Run_Config'!$B$32,A61&lt;'01_Run_Config'!$B$33),AND(ISNUMBER(AL61),AL61&gt;=15,AL61&lt;=49)),2,0),0)</x:f>
        <x:v>0</x:v>
      </x:c>
      <x:c r="BE61" t="n">
        <x:f>IF('01_Run_Config'!$B$54="AN Sensi CalMag Xtra conditional",'01_Run_Config'!$B$17,0)</x:f>
        <x:v>0</x:v>
      </x:c>
      <x:c r="BF61" t="n">
        <x:f>0</x:f>
        <x:v>0</x:v>
      </x:c>
      <x:c r="BG61" t="str">
        <x:f>'01_Run_Config'!$E$57</x:f>
        <x:v>OK</x:v>
      </x:c>
      <x:c r="BH61" t="str">
        <x:f>IF(SUM(AC61,AT61:BF61)=0,"keine AN-Dosis heute",IF(AC61&gt;0,"Voodoo "&amp;AC61&amp;" ml/L; ","")&amp;IF(AT61&gt;0,"Piranha "&amp;AT61&amp;" ml/L; ","")&amp;IF(AU61&gt;0,"Tarantula "&amp;AU61&amp;" ml/L; ","")&amp;IF(AV61&gt;0,"B-52 "&amp;AV61&amp;" ml/L; ","")&amp;IF(AW61&gt;0,"Bud Candy "&amp;AW61&amp;" ml/L; ","")&amp;IF(AX61&gt;0,"Bud Factor X "&amp;AX61&amp;" ml/L; ","")&amp;IF(AY61&gt;0,"Sensizym "&amp;AY61&amp;" ml/L; ","")&amp;IF(AZ61&gt;0,"Rhino Skin "&amp;AZ61&amp;" ml/L; ","")&amp;IF(BA61&gt;0,"Bud Ignitor "&amp;BA61&amp;" ml/L; ","")&amp;IF(BB61&gt;0,"Big Bud "&amp;BB61&amp;" ml/L; ","")&amp;IF(BC61&gt;0,"Overdrive "&amp;BC61&amp;" ml/L; ","")&amp;IF(BD61&gt;0,"Tasty Terpenes "&amp;BD61&amp;" ml/L; ","")&amp;IF(BE61&gt;0,"Sensi CalMag "&amp;BE61&amp;" ml/L",""))</x:f>
        <x:v>keine AN-Dosis heute</x:v>
      </x:c>
    </x:row>
    <x:row r="62">
      <x:c r="A62" s="34" t="n">
        <x:v>60</x:v>
      </x:c>
      <x:c r="B62" s="129" t="n">
        <x:f>'01_Run_Config'!$B$4+A62</x:f>
        <x:v>46302</x:v>
      </x:c>
      <x:c r="C62" s="63" t="n">
        <x:f>INT(A62/7)+1</x:f>
        <x:v>9</x:v>
      </x:c>
      <x:c r="D62" s="63" t="str">
        <x:f>"M"&amp;MIN(3,INT(A62/30)+1)</x:f>
        <x:v>M3</x:v>
      </x:c>
      <x:c r="E62" s="63" t="str">
        <x:f>IF(A62&lt;4,"Keimung",IF(A62&lt;8,"Etablierung",IF(A62&lt;15,"Early Veg",IF(A62&lt;'01_Run_Config'!$B$33,IF(A62&lt;22,"Veg / LST","Preflower-Watch"),IF(A62-'01_Run_Config'!$B$33&lt;=6,"Transition / Stretch ("&amp;AM62&amp;")",IF(A62-'01_Run_Config'!$B$33&lt;=13,"Early Flower ("&amp;AM62&amp;")",IF(A62-'01_Run_Config'!$B$33&lt;=20,"Flower I ("&amp;AM62&amp;")",IF(A62-'01_Run_Config'!$B$33&lt;=34,"Peak Flower ("&amp;AM62&amp;")",IF(A62-'01_Run_Config'!$B$33&lt;=41,"Late Flower ("&amp;AM62&amp;")",IF(A62-'01_Run_Config'!$B$33&lt;=48,"Ripening ("&amp;AM62&amp;")","Harvest / Extension ("&amp;AM62&amp;")"))))))))))</x:f>
        <x:v>Peak Flower (B5)</x:v>
      </x:c>
      <x:c r="F62" s="63" t="str">
        <x:f>IF(A62&lt;4,"Keimung + Wurzelstart",IF(A62&lt;8,"Sämling etablieren; Wurzelraum erschließen",IF(A62&lt;15,"kompakter Aufbau; LST erst bei Vitalität",IF(A62&lt;'01_Run_Config'!$B$33,"Canopy aufbauen; Preflower beobachten",IF(A62-'01_Run_Config'!$B$33&lt;=6,"Stretch kontrollieren; Bloom-Trigger dokumentieren",IF(A62-'01_Run_Config'!$B$33&lt;=13,"Blütenansatz stabilisieren",IF(A62-'01_Run_Config'!$B$33&lt;=20,"Blütenaufbau ohne neue Stressoren",IF(A62-'01_Run_Config'!$B$33&lt;=34,"stabile Peak-Photosynthese; Klima priorisieren",IF(A62-'01_Run_Config'!$B$33&lt;=41,"Qualität/Schimmelprävention",IF(A62-'01_Run_Config'!$B$33&lt;=48,"Reife ohne Überfütterung","Erntefenster nach Pflanze; keine Kalenderernte"))))))))))</x:f>
        <x:v>stabile Peak-Photosynthese; Klima priorisieren</x:v>
      </x:c>
      <x:c r="G62" s="63" t="n">
        <x:v>18</x:v>
      </x:c>
      <x:c r="H62" s="63" t="n">
        <x:v>130</x:v>
      </x:c>
      <x:c r="I62" s="63" t="n">
        <x:v>600</x:v>
      </x:c>
      <x:c r="J62" s="63" t="n">
        <x:f>I62*G62*3600/1000000</x:f>
        <x:v>38.88</x:v>
      </x:c>
      <x:c r="K62" s="63" t="n">
        <x:v>35</x:v>
      </x:c>
      <x:c r="L62" s="63" t="n">
        <x:v>24</x:v>
      </x:c>
      <x:c r="M62" s="63" t="n">
        <x:v>20.5</x:v>
      </x:c>
      <x:c r="N62" s="63" t="n">
        <x:v>45</x:v>
      </x:c>
      <x:c r="O62" s="63" t="n">
        <x:f>ROUND(0.6108*EXP(17.27*(L62+'01_Run_Config'!$B$34)/(L62+'01_Run_Config'!$B$34+237.3))-(N62/100)*0.6108*EXP(17.27*L62/(L62+237.3)),2)</x:f>
        <x:v>1.47</x:v>
      </x:c>
      <x:c r="P62" s="63" t="n">
        <x:f>IF(A62&lt;'01_Run_Config'!$B$32,0.55,IF(A62&lt;'01_Run_Config'!$B$33,IF(A62-'01_Run_Config'!$B$32&lt;=3,0.8,IF(A62-'01_Run_Config'!$B$32&lt;=10,1,IF(A62-'01_Run_Config'!$B$32&lt;=17,1.2,1.4))),IF(A62-'01_Run_Config'!$B$33&lt;=6,1.5,IF(A62-'01_Run_Config'!$B$33&lt;=13,1.6,IF(A62-'01_Run_Config'!$B$33&lt;=20,1.7,IF(A62-'01_Run_Config'!$B$33&lt;=34,1.8,IF(A62-'01_Run_Config'!$B$33&lt;=41,1.6,IF(A62-'01_Run_Config'!$B$33&lt;=48,1.4,1.15))))))))</x:f>
        <x:v>1.8</x:v>
      </x:c>
      <x:c r="Q62" s="63" t="n">
        <x:v>5.9</x:v>
      </x:c>
      <x:c r="R62" s="63" t="n">
        <x:v>0.8</x:v>
      </x:c>
      <x:c r="S62" s="63" t="n">
        <x:v>1.3</x:v>
      </x:c>
      <x:c r="T62" s="63" t="str">
        <x:f>IF(A62&lt;=7,"Manuell",'01_Run_Config'!$B$40)</x:f>
        <x:v>Manuell / indoor-freigegebene Automation</x:v>
      </x:c>
      <x:c r="U62" s="63" t="str">
        <x:f>IF(A62&lt;'01_Run_Config'!$B$32,"Kein Basisdünger",IF(A62&lt;'01_Run_Config'!$B$33,"HESI TNT","HESI Coco"))</x:f>
        <x:v>HESI Coco</x:v>
      </x:c>
      <x:c r="V62" s="63" t="n">
        <x:f>IF(A62&lt;'01_Run_Config'!$B$32,0,IF(A62&lt;'01_Run_Config'!$B$33,IF(A62-'01_Run_Config'!$B$32&lt;=3,1.25,IF(A62-'01_Run_Config'!$B$32&lt;=10,2,2.5)),IF(A62-'01_Run_Config'!$B$33&lt;=6,2.5,IF(A62-'01_Run_Config'!$B$33&lt;=13,3.25,IF(A62-'01_Run_Config'!$B$33&lt;=20,3.75,IF(A62-'01_Run_Config'!$B$33&lt;=34,4,IF(A62-'01_Run_Config'!$B$33&lt;=41,3.5,IF(A62-'01_Run_Config'!$B$33&lt;=48,2.5,1.5))))))))</x:f>
        <x:v>4</x:v>
      </x:c>
      <x:c r="W62" s="63" t="n">
        <x:f>IF(A62&lt;=14,2.5,0)</x:f>
        <x:v>0</x:v>
      </x:c>
      <x:c r="X62" s="63" t="n">
        <x:f>IF('01_Run_Config'!$B$50="AN Sensizym",0,IF(AND(A62&gt;='01_Run_Config'!$B$32,OR(AL62="",AL62&lt;=49)),2,0))</x:f>
        <x:v>2</x:v>
      </x:c>
      <x:c r="Y62" s="63" t="n">
        <x:f>0.015</x:f>
        <x:v>0.015</x:v>
      </x:c>
      <x:c r="Z62" s="63" t="n">
        <x:f>IF('01_Run_Config'!$B$51="HESI Hesilicio",2,0)</x:f>
        <x:v>0</x:v>
      </x:c>
      <x:c r="AA62" s="63" t="n">
        <x:f>IF('01_Run_Config'!$B$48="AN Bud Candy (replaces HESI Boost)",0,IF(AND(A62&gt;='01_Run_Config'!$B$33,MOD(A62-'01_Run_Config'!$B$33,7)=0),2,0))</x:f>
        <x:v>0</x:v>
      </x:c>
      <x:c r="AB62" s="63" t="n">
        <x:f>IF('01_Run_Config'!$B$52="AN Bud Ignitor &gt; Big Bud &gt; Overdrive",0,IF(AND(ISNUMBER(AL62),AL62&gt;=29,AL62&lt;=42),0.25+((AL62-29)/13)*0.25,0))</x:f>
        <x:v>0.3269230769230769</x:v>
      </x:c>
      <x:c r="AC62" s="63" t="n">
        <x:f>IF('01_Run_Config'!$B$46="OFF",0,IF(OR(A62='01_Run_Config'!$B$32,A62='01_Run_Config'!$B$32+7,A62='01_Run_Config'!$B$33+1,A62='01_Run_Config'!$B$33+8),2,0))</x:f>
        <x:v>0</x:v>
      </x:c>
      <x:c r="AD62" s="63" t="str">
        <x:f>IF(BG62="BLOCK","HYBRID BLOCKED - Konfiguration prüfen",IF(SUM(AC62,AT62:BF62)&gt;0,"AN aktiv: "&amp;BH62,"AN: keine Dosis heute / Module aus"))</x:f>
        <x:v>AN: keine Dosis heute / Module aus</x:v>
      </x:c>
      <x:c r="AE62" s="63" t="str">
        <x:v>Keine Strukturarbeit</x:v>
      </x:c>
      <x:c r="AF62" s="63" t="str">
        <x:v>Morgens Klima/Pflanze/Bewässerung/Leck; Mitte Lichtphase Blattwinkel; vor Dunkel LF/Drain/stehendes Wasser.</x:v>
      </x:c>
      <x:c r="AG62" s="63" t="str">
        <x:v>EC nicht erhöhen bei steigender Diagnose-Drain-EC; PPFD nicht erhöhen bei Stress; Wasserband nie erzwingen; nie mehrere neue Booster gleichzeitig.</x:v>
      </x:c>
      <x:c r="AH62" s="35" t="str">
        <x:f>"UKD v9 evidence-guarded: Planwerte sind Ziele/Eligibility, keine automatische Freigabe. Eazy Plug/Block ist vorgepuffert; früher Basisfeed bleibt vom Propagation-/Pflanzengate abhängig. Messdaten und Safety-Gates überschreiben Kalender."</x:f>
        <x:v>UKD v9 evidence-guarded: Planwerte sind Ziele/Eligibility, keine automatische Freigabe. Eazy Plug/Block ist vorgepuffert; früher Basisfeed bleibt vom Propagation-/Pflanzengate abhängig. Messdaten und Safety-Gates überschreiben Kalender.</x:v>
      </x:c>
      <x:c r="AI62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62" s="201" t="str">
        <x:f>IF(A62&lt;'01_Run_Config'!$B$32,"—",IF(A62&lt;'01_Run_Config'!$B$33,"G"&amp;MIN(4,INT((A62-'01_Run_Config'!$B$32)/7)+1),AM62))</x:f>
        <x:v>B5</x:v>
      </x:c>
      <x:c r="AK62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62" s="60" t="n">
        <x:f>IF(A62&lt;'01_Run_Config'!$B$33,"",A62-'01_Run_Config'!$B$33+1)</x:f>
        <x:v>33</x:v>
      </x:c>
      <x:c r="AM62" s="60" t="str">
        <x:f>IF(AL62="","",IF(AL62&gt;49,CHAR(66)&amp;"7+",CHAR(66)&amp;TEXT(INT((AL62-1)/7)+1,"0")))</x:f>
        <x:v>B5</x:v>
      </x:c>
      <x:c r="AN62" s="60" t="n">
        <x:f>ROUND(0.6108*EXP(17.27*L62/(L62+237.3))*(1-N62/100),2)</x:f>
        <x:v>1.64</x:v>
      </x:c>
      <x:c r="AO62" s="60" t="n">
        <x:f>H62*G62/1000</x:f>
        <x:v>2.34</x:v>
      </x:c>
      <x:c r="AP62" s="60" t="n">
        <x:f>SUM($AO$2:AO62)</x:f>
        <x:v>110.15999999999995</x:v>
      </x:c>
      <x:c r="AQ62" t="n">
        <x:f>'01_Run_Config'!$B$17</x:f>
        <x:v>0</x:v>
      </x:c>
      <x:c r="AR62" t="n">
        <x:f>'01_Run_Config'!$B$22</x:f>
        <x:v>0</x:v>
      </x:c>
      <x:c r="AS62" t="n">
        <x:f>'01_Run_Config'!$B$25</x:f>
        <x:v>0</x:v>
      </x:c>
      <x:c r="AT62" t="n">
        <x:f>IF(AND('01_Run_Config'!$B$46="Voodoo + Piranha + Tarantula",AC62&gt;0),2,0)</x:f>
        <x:v>0</x:v>
      </x:c>
      <x:c r="AU62" t="n">
        <x:f>IF(AND(OR('01_Run_Config'!$B$46="Voodoo + Tarantula",'01_Run_Config'!$B$46="Voodoo + Piranha + Tarantula"),AC62&gt;0),2,0)</x:f>
        <x:v>0</x:v>
      </x:c>
      <x:c r="AV62" t="n">
        <x:f>IF('01_Run_Config'!$B$47&lt;&gt;"ON / A-B",0,IF(OR(AND(A62&gt;='01_Run_Config'!$B$32,A62&lt;'01_Run_Config'!$B$33),AND(ISNUMBER(AL62),AL62&gt;=15,AL62&lt;=49)),2,0))</x:f>
        <x:v>0</x:v>
      </x:c>
      <x:c r="AW62" t="n">
        <x:f>IF('01_Run_Config'!$B$48="AN Bud Candy (replaces HESI Boost)",IF(AND(A62&gt;='01_Run_Config'!$B$32,OR(AL62="",AL62&lt;=49)),2,0),0)</x:f>
        <x:v>0</x:v>
      </x:c>
      <x:c r="AX62" t="n">
        <x:f>IF('01_Run_Config'!$B$49&lt;&gt;"ON / EXPERIMENTAL",0,IF(OR(AND(A62&gt;='01_Run_Config'!$B$32+7,A62&lt;'01_Run_Config'!$B$33),AND(ISNUMBER(AL62),AL62&gt;=1,AL62&lt;=49)),2,0))</x:f>
        <x:v>0</x:v>
      </x:c>
      <x:c r="AY62" t="n">
        <x:f>IF('01_Run_Config'!$B$50="AN Sensizym",IF(AND(A62&gt;='01_Run_Config'!$B$32,OR(AL62="",AL62&lt;=49)),2,0),0)</x:f>
        <x:v>0</x:v>
      </x:c>
      <x:c r="AZ62" t="n">
        <x:f>IF('01_Run_Config'!$B$51="AN Rhino Skin",IF(AND(A62&gt;='01_Run_Config'!$B$32,OR(AL62="",AL62&lt;=49)),2,0),0)</x:f>
        <x:v>0</x:v>
      </x:c>
      <x:c r="BA62" t="n">
        <x:f>IF(AND('01_Run_Config'!$B$52="AN Bud Ignitor &gt; Big Bud &gt; Overdrive",ISNUMBER(AL62),AL62&gt;=1,AL62&lt;=14),2,0)</x:f>
        <x:v>0</x:v>
      </x:c>
      <x:c r="BB62" t="n">
        <x:f>IF(AND('01_Run_Config'!$B$52="AN Bud Ignitor &gt; Big Bud &gt; Overdrive",ISNUMBER(AL62),AL62&gt;=8,AL62&lt;=35),2,0)</x:f>
        <x:v>0</x:v>
      </x:c>
      <x:c r="BC62" t="n">
        <x:f>IF(AND('01_Run_Config'!$B$52="AN Bud Ignitor &gt; Big Bud &gt; Overdrive",ISNUMBER(AL62),AL62&gt;=36,AL62&lt;=49),2,0)</x:f>
        <x:v>0</x:v>
      </x:c>
      <x:c r="BD62" t="n">
        <x:f>IF('01_Run_Config'!$B$53="ON / EXPERIMENTAL",IF(OR(AND(A62&gt;='01_Run_Config'!$B$32,A62&lt;'01_Run_Config'!$B$33),AND(ISNUMBER(AL62),AL62&gt;=15,AL62&lt;=49)),2,0),0)</x:f>
        <x:v>0</x:v>
      </x:c>
      <x:c r="BE62" t="n">
        <x:f>IF('01_Run_Config'!$B$54="AN Sensi CalMag Xtra conditional",'01_Run_Config'!$B$17,0)</x:f>
        <x:v>0</x:v>
      </x:c>
      <x:c r="BF62" t="n">
        <x:f>0</x:f>
        <x:v>0</x:v>
      </x:c>
      <x:c r="BG62" t="str">
        <x:f>'01_Run_Config'!$E$57</x:f>
        <x:v>OK</x:v>
      </x:c>
      <x:c r="BH62" t="str">
        <x:f>IF(SUM(AC62,AT62:BF62)=0,"keine AN-Dosis heute",IF(AC62&gt;0,"Voodoo "&amp;AC62&amp;" ml/L; ","")&amp;IF(AT62&gt;0,"Piranha "&amp;AT62&amp;" ml/L; ","")&amp;IF(AU62&gt;0,"Tarantula "&amp;AU62&amp;" ml/L; ","")&amp;IF(AV62&gt;0,"B-52 "&amp;AV62&amp;" ml/L; ","")&amp;IF(AW62&gt;0,"Bud Candy "&amp;AW62&amp;" ml/L; ","")&amp;IF(AX62&gt;0,"Bud Factor X "&amp;AX62&amp;" ml/L; ","")&amp;IF(AY62&gt;0,"Sensizym "&amp;AY62&amp;" ml/L; ","")&amp;IF(AZ62&gt;0,"Rhino Skin "&amp;AZ62&amp;" ml/L; ","")&amp;IF(BA62&gt;0,"Bud Ignitor "&amp;BA62&amp;" ml/L; ","")&amp;IF(BB62&gt;0,"Big Bud "&amp;BB62&amp;" ml/L; ","")&amp;IF(BC62&gt;0,"Overdrive "&amp;BC62&amp;" ml/L; ","")&amp;IF(BD62&gt;0,"Tasty Terpenes "&amp;BD62&amp;" ml/L; ","")&amp;IF(BE62&gt;0,"Sensi CalMag "&amp;BE62&amp;" ml/L",""))</x:f>
        <x:v>keine AN-Dosis heute</x:v>
      </x:c>
    </x:row>
    <x:row r="63">
      <x:c r="A63" s="34" t="n">
        <x:v>61</x:v>
      </x:c>
      <x:c r="B63" s="129" t="n">
        <x:f>'01_Run_Config'!$B$4+A63</x:f>
        <x:v>46303</x:v>
      </x:c>
      <x:c r="C63" s="63" t="n">
        <x:f>INT(A63/7)+1</x:f>
        <x:v>9</x:v>
      </x:c>
      <x:c r="D63" s="63" t="str">
        <x:f>"M"&amp;MIN(3,INT(A63/30)+1)</x:f>
        <x:v>M3</x:v>
      </x:c>
      <x:c r="E63" s="63" t="str">
        <x:f>IF(A63&lt;4,"Keimung",IF(A63&lt;8,"Etablierung",IF(A63&lt;15,"Early Veg",IF(A63&lt;'01_Run_Config'!$B$33,IF(A63&lt;22,"Veg / LST","Preflower-Watch"),IF(A63-'01_Run_Config'!$B$33&lt;=6,"Transition / Stretch ("&amp;AM63&amp;")",IF(A63-'01_Run_Config'!$B$33&lt;=13,"Early Flower ("&amp;AM63&amp;")",IF(A63-'01_Run_Config'!$B$33&lt;=20,"Flower I ("&amp;AM63&amp;")",IF(A63-'01_Run_Config'!$B$33&lt;=34,"Peak Flower ("&amp;AM63&amp;")",IF(A63-'01_Run_Config'!$B$33&lt;=41,"Late Flower ("&amp;AM63&amp;")",IF(A63-'01_Run_Config'!$B$33&lt;=48,"Ripening ("&amp;AM63&amp;")","Harvest / Extension ("&amp;AM63&amp;")"))))))))))</x:f>
        <x:v>Peak Flower (B5)</x:v>
      </x:c>
      <x:c r="F63" s="63" t="str">
        <x:f>IF(A63&lt;4,"Keimung + Wurzelstart",IF(A63&lt;8,"Sämling etablieren; Wurzelraum erschließen",IF(A63&lt;15,"kompakter Aufbau; LST erst bei Vitalität",IF(A63&lt;'01_Run_Config'!$B$33,"Canopy aufbauen; Preflower beobachten",IF(A63-'01_Run_Config'!$B$33&lt;=6,"Stretch kontrollieren; Bloom-Trigger dokumentieren",IF(A63-'01_Run_Config'!$B$33&lt;=13,"Blütenansatz stabilisieren",IF(A63-'01_Run_Config'!$B$33&lt;=20,"Blütenaufbau ohne neue Stressoren",IF(A63-'01_Run_Config'!$B$33&lt;=34,"stabile Peak-Photosynthese; Klima priorisieren",IF(A63-'01_Run_Config'!$B$33&lt;=41,"Qualität/Schimmelprävention",IF(A63-'01_Run_Config'!$B$33&lt;=48,"Reife ohne Überfütterung","Erntefenster nach Pflanze; keine Kalenderernte"))))))))))</x:f>
        <x:v>stabile Peak-Photosynthese; Klima priorisieren</x:v>
      </x:c>
      <x:c r="G63" s="63" t="n">
        <x:v>18</x:v>
      </x:c>
      <x:c r="H63" s="63" t="n">
        <x:v>130</x:v>
      </x:c>
      <x:c r="I63" s="63" t="n">
        <x:v>600</x:v>
      </x:c>
      <x:c r="J63" s="63" t="n">
        <x:f>I63*G63*3600/1000000</x:f>
        <x:v>38.88</x:v>
      </x:c>
      <x:c r="K63" s="63" t="n">
        <x:v>35</x:v>
      </x:c>
      <x:c r="L63" s="63" t="n">
        <x:v>24</x:v>
      </x:c>
      <x:c r="M63" s="63" t="n">
        <x:v>20.5</x:v>
      </x:c>
      <x:c r="N63" s="63" t="n">
        <x:v>45</x:v>
      </x:c>
      <x:c r="O63" s="63" t="n">
        <x:f>ROUND(0.6108*EXP(17.27*(L63+'01_Run_Config'!$B$34)/(L63+'01_Run_Config'!$B$34+237.3))-(N63/100)*0.6108*EXP(17.27*L63/(L63+237.3)),2)</x:f>
        <x:v>1.47</x:v>
      </x:c>
      <x:c r="P63" s="63" t="n">
        <x:f>IF(A63&lt;'01_Run_Config'!$B$32,0.55,IF(A63&lt;'01_Run_Config'!$B$33,IF(A63-'01_Run_Config'!$B$32&lt;=3,0.8,IF(A63-'01_Run_Config'!$B$32&lt;=10,1,IF(A63-'01_Run_Config'!$B$32&lt;=17,1.2,1.4))),IF(A63-'01_Run_Config'!$B$33&lt;=6,1.5,IF(A63-'01_Run_Config'!$B$33&lt;=13,1.6,IF(A63-'01_Run_Config'!$B$33&lt;=20,1.7,IF(A63-'01_Run_Config'!$B$33&lt;=34,1.8,IF(A63-'01_Run_Config'!$B$33&lt;=41,1.6,IF(A63-'01_Run_Config'!$B$33&lt;=48,1.4,1.15))))))))</x:f>
        <x:v>1.8</x:v>
      </x:c>
      <x:c r="Q63" s="63" t="n">
        <x:v>5.9</x:v>
      </x:c>
      <x:c r="R63" s="63" t="n">
        <x:v>0.8</x:v>
      </x:c>
      <x:c r="S63" s="63" t="n">
        <x:v>1.3</x:v>
      </x:c>
      <x:c r="T63" s="63" t="str">
        <x:f>IF(A63&lt;=7,"Manuell",'01_Run_Config'!$B$40)</x:f>
        <x:v>Manuell / indoor-freigegebene Automation</x:v>
      </x:c>
      <x:c r="U63" s="63" t="str">
        <x:f>IF(A63&lt;'01_Run_Config'!$B$32,"Kein Basisdünger",IF(A63&lt;'01_Run_Config'!$B$33,"HESI TNT","HESI Coco"))</x:f>
        <x:v>HESI Coco</x:v>
      </x:c>
      <x:c r="V63" s="63" t="n">
        <x:f>IF(A63&lt;'01_Run_Config'!$B$32,0,IF(A63&lt;'01_Run_Config'!$B$33,IF(A63-'01_Run_Config'!$B$32&lt;=3,1.25,IF(A63-'01_Run_Config'!$B$32&lt;=10,2,2.5)),IF(A63-'01_Run_Config'!$B$33&lt;=6,2.5,IF(A63-'01_Run_Config'!$B$33&lt;=13,3.25,IF(A63-'01_Run_Config'!$B$33&lt;=20,3.75,IF(A63-'01_Run_Config'!$B$33&lt;=34,4,IF(A63-'01_Run_Config'!$B$33&lt;=41,3.5,IF(A63-'01_Run_Config'!$B$33&lt;=48,2.5,1.5))))))))</x:f>
        <x:v>4</x:v>
      </x:c>
      <x:c r="W63" s="63" t="n">
        <x:f>IF(A63&lt;=14,2.5,0)</x:f>
        <x:v>0</x:v>
      </x:c>
      <x:c r="X63" s="63" t="n">
        <x:f>IF('01_Run_Config'!$B$50="AN Sensizym",0,IF(AND(A63&gt;='01_Run_Config'!$B$32,OR(AL63="",AL63&lt;=49)),2,0))</x:f>
        <x:v>2</x:v>
      </x:c>
      <x:c r="Y63" s="63" t="n">
        <x:f>0.015</x:f>
        <x:v>0.015</x:v>
      </x:c>
      <x:c r="Z63" s="63" t="n">
        <x:f>IF('01_Run_Config'!$B$51="HESI Hesilicio",2,0)</x:f>
        <x:v>0</x:v>
      </x:c>
      <x:c r="AA63" s="63" t="n">
        <x:f>IF('01_Run_Config'!$B$48="AN Bud Candy (replaces HESI Boost)",0,IF(AND(A63&gt;='01_Run_Config'!$B$33,MOD(A63-'01_Run_Config'!$B$33,7)=0),2,0))</x:f>
        <x:v>0</x:v>
      </x:c>
      <x:c r="AB63" s="63" t="n">
        <x:f>IF('01_Run_Config'!$B$52="AN Bud Ignitor &gt; Big Bud &gt; Overdrive",0,IF(AND(ISNUMBER(AL63),AL63&gt;=29,AL63&lt;=42),0.25+((AL63-29)/13)*0.25,0))</x:f>
        <x:v>0.34615384615384615</x:v>
      </x:c>
      <x:c r="AC63" s="63" t="n">
        <x:f>IF('01_Run_Config'!$B$46="OFF",0,IF(OR(A63='01_Run_Config'!$B$32,A63='01_Run_Config'!$B$32+7,A63='01_Run_Config'!$B$33+1,A63='01_Run_Config'!$B$33+8),2,0))</x:f>
        <x:v>0</x:v>
      </x:c>
      <x:c r="AD63" s="63" t="str">
        <x:f>IF(BG63="BLOCK","HYBRID BLOCKED - Konfiguration prüfen",IF(SUM(AC63,AT63:BF63)&gt;0,"AN aktiv: "&amp;BH63,"AN: keine Dosis heute / Module aus"))</x:f>
        <x:v>AN: keine Dosis heute / Module aus</x:v>
      </x:c>
      <x:c r="AE63" s="63" t="str">
        <x:v>Keine Strukturarbeit</x:v>
      </x:c>
      <x:c r="AF63" s="63" t="str">
        <x:v>Morgens Klima/Pflanze/Bewässerung/Leck; Mitte Lichtphase Blattwinkel; vor Dunkel LF/Drain/stehendes Wasser.</x:v>
      </x:c>
      <x:c r="AG63" s="63" t="str">
        <x:v>EC nicht erhöhen bei steigender Diagnose-Drain-EC; PPFD nicht erhöhen bei Stress; Wasserband nie erzwingen; nie mehrere neue Booster gleichzeitig.</x:v>
      </x:c>
      <x:c r="AH63" s="35" t="str">
        <x:f>"UKD v9 evidence-guarded: Planwerte sind Ziele/Eligibility, keine automatische Freigabe. Eazy Plug/Block ist vorgepuffert; früher Basisfeed bleibt vom Propagation-/Pflanzengate abhängig. Messdaten und Safety-Gates überschreiben Kalender."</x:f>
        <x:v>UKD v9 evidence-guarded: Planwerte sind Ziele/Eligibility, keine automatische Freigabe. Eazy Plug/Block ist vorgepuffert; früher Basisfeed bleibt vom Propagation-/Pflanzengate abhängig. Messdaten und Safety-Gates überschreiben Kalender.</x:v>
      </x:c>
      <x:c r="AI63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63" s="201" t="str">
        <x:f>IF(A63&lt;'01_Run_Config'!$B$32,"—",IF(A63&lt;'01_Run_Config'!$B$33,"G"&amp;MIN(4,INT((A63-'01_Run_Config'!$B$32)/7)+1),AM63))</x:f>
        <x:v>B5</x:v>
      </x:c>
      <x:c r="AK63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63" s="60" t="n">
        <x:f>IF(A63&lt;'01_Run_Config'!$B$33,"",A63-'01_Run_Config'!$B$33+1)</x:f>
        <x:v>34</x:v>
      </x:c>
      <x:c r="AM63" s="60" t="str">
        <x:f>IF(AL63="","",IF(AL63&gt;49,CHAR(66)&amp;"7+",CHAR(66)&amp;TEXT(INT((AL63-1)/7)+1,"0")))</x:f>
        <x:v>B5</x:v>
      </x:c>
      <x:c r="AN63" s="60" t="n">
        <x:f>ROUND(0.6108*EXP(17.27*L63/(L63+237.3))*(1-N63/100),2)</x:f>
        <x:v>1.64</x:v>
      </x:c>
      <x:c r="AO63" s="60" t="n">
        <x:f>H63*G63/1000</x:f>
        <x:v>2.34</x:v>
      </x:c>
      <x:c r="AP63" s="60" t="n">
        <x:f>SUM($AO$2:AO63)</x:f>
        <x:v>112.49999999999996</x:v>
      </x:c>
      <x:c r="AQ63" t="n">
        <x:f>'01_Run_Config'!$B$17</x:f>
        <x:v>0</x:v>
      </x:c>
      <x:c r="AR63" t="n">
        <x:f>'01_Run_Config'!$B$22</x:f>
        <x:v>0</x:v>
      </x:c>
      <x:c r="AS63" t="n">
        <x:f>'01_Run_Config'!$B$25</x:f>
        <x:v>0</x:v>
      </x:c>
      <x:c r="AT63" t="n">
        <x:f>IF(AND('01_Run_Config'!$B$46="Voodoo + Piranha + Tarantula",AC63&gt;0),2,0)</x:f>
        <x:v>0</x:v>
      </x:c>
      <x:c r="AU63" t="n">
        <x:f>IF(AND(OR('01_Run_Config'!$B$46="Voodoo + Tarantula",'01_Run_Config'!$B$46="Voodoo + Piranha + Tarantula"),AC63&gt;0),2,0)</x:f>
        <x:v>0</x:v>
      </x:c>
      <x:c r="AV63" t="n">
        <x:f>IF('01_Run_Config'!$B$47&lt;&gt;"ON / A-B",0,IF(OR(AND(A63&gt;='01_Run_Config'!$B$32,A63&lt;'01_Run_Config'!$B$33),AND(ISNUMBER(AL63),AL63&gt;=15,AL63&lt;=49)),2,0))</x:f>
        <x:v>0</x:v>
      </x:c>
      <x:c r="AW63" t="n">
        <x:f>IF('01_Run_Config'!$B$48="AN Bud Candy (replaces HESI Boost)",IF(AND(A63&gt;='01_Run_Config'!$B$32,OR(AL63="",AL63&lt;=49)),2,0),0)</x:f>
        <x:v>0</x:v>
      </x:c>
      <x:c r="AX63" t="n">
        <x:f>IF('01_Run_Config'!$B$49&lt;&gt;"ON / EXPERIMENTAL",0,IF(OR(AND(A63&gt;='01_Run_Config'!$B$32+7,A63&lt;'01_Run_Config'!$B$33),AND(ISNUMBER(AL63),AL63&gt;=1,AL63&lt;=49)),2,0))</x:f>
        <x:v>0</x:v>
      </x:c>
      <x:c r="AY63" t="n">
        <x:f>IF('01_Run_Config'!$B$50="AN Sensizym",IF(AND(A63&gt;='01_Run_Config'!$B$32,OR(AL63="",AL63&lt;=49)),2,0),0)</x:f>
        <x:v>0</x:v>
      </x:c>
      <x:c r="AZ63" t="n">
        <x:f>IF('01_Run_Config'!$B$51="AN Rhino Skin",IF(AND(A63&gt;='01_Run_Config'!$B$32,OR(AL63="",AL63&lt;=49)),2,0),0)</x:f>
        <x:v>0</x:v>
      </x:c>
      <x:c r="BA63" t="n">
        <x:f>IF(AND('01_Run_Config'!$B$52="AN Bud Ignitor &gt; Big Bud &gt; Overdrive",ISNUMBER(AL63),AL63&gt;=1,AL63&lt;=14),2,0)</x:f>
        <x:v>0</x:v>
      </x:c>
      <x:c r="BB63" t="n">
        <x:f>IF(AND('01_Run_Config'!$B$52="AN Bud Ignitor &gt; Big Bud &gt; Overdrive",ISNUMBER(AL63),AL63&gt;=8,AL63&lt;=35),2,0)</x:f>
        <x:v>0</x:v>
      </x:c>
      <x:c r="BC63" t="n">
        <x:f>IF(AND('01_Run_Config'!$B$52="AN Bud Ignitor &gt; Big Bud &gt; Overdrive",ISNUMBER(AL63),AL63&gt;=36,AL63&lt;=49),2,0)</x:f>
        <x:v>0</x:v>
      </x:c>
      <x:c r="BD63" t="n">
        <x:f>IF('01_Run_Config'!$B$53="ON / EXPERIMENTAL",IF(OR(AND(A63&gt;='01_Run_Config'!$B$32,A63&lt;'01_Run_Config'!$B$33),AND(ISNUMBER(AL63),AL63&gt;=15,AL63&lt;=49)),2,0),0)</x:f>
        <x:v>0</x:v>
      </x:c>
      <x:c r="BE63" t="n">
        <x:f>IF('01_Run_Config'!$B$54="AN Sensi CalMag Xtra conditional",'01_Run_Config'!$B$17,0)</x:f>
        <x:v>0</x:v>
      </x:c>
      <x:c r="BF63" t="n">
        <x:f>0</x:f>
        <x:v>0</x:v>
      </x:c>
      <x:c r="BG63" t="str">
        <x:f>'01_Run_Config'!$E$57</x:f>
        <x:v>OK</x:v>
      </x:c>
      <x:c r="BH63" t="str">
        <x:f>IF(SUM(AC63,AT63:BF63)=0,"keine AN-Dosis heute",IF(AC63&gt;0,"Voodoo "&amp;AC63&amp;" ml/L; ","")&amp;IF(AT63&gt;0,"Piranha "&amp;AT63&amp;" ml/L; ","")&amp;IF(AU63&gt;0,"Tarantula "&amp;AU63&amp;" ml/L; ","")&amp;IF(AV63&gt;0,"B-52 "&amp;AV63&amp;" ml/L; ","")&amp;IF(AW63&gt;0,"Bud Candy "&amp;AW63&amp;" ml/L; ","")&amp;IF(AX63&gt;0,"Bud Factor X "&amp;AX63&amp;" ml/L; ","")&amp;IF(AY63&gt;0,"Sensizym "&amp;AY63&amp;" ml/L; ","")&amp;IF(AZ63&gt;0,"Rhino Skin "&amp;AZ63&amp;" ml/L; ","")&amp;IF(BA63&gt;0,"Bud Ignitor "&amp;BA63&amp;" ml/L; ","")&amp;IF(BB63&gt;0,"Big Bud "&amp;BB63&amp;" ml/L; ","")&amp;IF(BC63&gt;0,"Overdrive "&amp;BC63&amp;" ml/L; ","")&amp;IF(BD63&gt;0,"Tasty Terpenes "&amp;BD63&amp;" ml/L; ","")&amp;IF(BE63&gt;0,"Sensi CalMag "&amp;BE63&amp;" ml/L",""))</x:f>
        <x:v>keine AN-Dosis heute</x:v>
      </x:c>
    </x:row>
    <x:row r="64">
      <x:c r="A64" s="34" t="n">
        <x:v>62</x:v>
      </x:c>
      <x:c r="B64" s="129" t="n">
        <x:f>'01_Run_Config'!$B$4+A64</x:f>
        <x:v>46304</x:v>
      </x:c>
      <x:c r="C64" s="63" t="n">
        <x:f>INT(A64/7)+1</x:f>
        <x:v>9</x:v>
      </x:c>
      <x:c r="D64" s="63" t="str">
        <x:f>"M"&amp;MIN(3,INT(A64/30)+1)</x:f>
        <x:v>M3</x:v>
      </x:c>
      <x:c r="E64" s="63" t="str">
        <x:f>IF(A64&lt;4,"Keimung",IF(A64&lt;8,"Etablierung",IF(A64&lt;15,"Early Veg",IF(A64&lt;'01_Run_Config'!$B$33,IF(A64&lt;22,"Veg / LST","Preflower-Watch"),IF(A64-'01_Run_Config'!$B$33&lt;=6,"Transition / Stretch ("&amp;AM64&amp;")",IF(A64-'01_Run_Config'!$B$33&lt;=13,"Early Flower ("&amp;AM64&amp;")",IF(A64-'01_Run_Config'!$B$33&lt;=20,"Flower I ("&amp;AM64&amp;")",IF(A64-'01_Run_Config'!$B$33&lt;=34,"Peak Flower ("&amp;AM64&amp;")",IF(A64-'01_Run_Config'!$B$33&lt;=41,"Late Flower ("&amp;AM64&amp;")",IF(A64-'01_Run_Config'!$B$33&lt;=48,"Ripening ("&amp;AM64&amp;")","Harvest / Extension ("&amp;AM64&amp;")"))))))))))</x:f>
        <x:v>Peak Flower (B5)</x:v>
      </x:c>
      <x:c r="F64" s="63" t="str">
        <x:f>IF(A64&lt;4,"Keimung + Wurzelstart",IF(A64&lt;8,"Sämling etablieren; Wurzelraum erschließen",IF(A64&lt;15,"kompakter Aufbau; LST erst bei Vitalität",IF(A64&lt;'01_Run_Config'!$B$33,"Canopy aufbauen; Preflower beobachten",IF(A64-'01_Run_Config'!$B$33&lt;=6,"Stretch kontrollieren; Bloom-Trigger dokumentieren",IF(A64-'01_Run_Config'!$B$33&lt;=13,"Blütenansatz stabilisieren",IF(A64-'01_Run_Config'!$B$33&lt;=20,"Blütenaufbau ohne neue Stressoren",IF(A64-'01_Run_Config'!$B$33&lt;=34,"stabile Peak-Photosynthese; Klima priorisieren",IF(A64-'01_Run_Config'!$B$33&lt;=41,"Qualität/Schimmelprävention",IF(A64-'01_Run_Config'!$B$33&lt;=48,"Reife ohne Überfütterung","Erntefenster nach Pflanze; keine Kalenderernte"))))))))))</x:f>
        <x:v>stabile Peak-Photosynthese; Klima priorisieren</x:v>
      </x:c>
      <x:c r="G64" s="63" t="n">
        <x:v>18</x:v>
      </x:c>
      <x:c r="H64" s="63" t="n">
        <x:v>130</x:v>
      </x:c>
      <x:c r="I64" s="63" t="n">
        <x:v>600</x:v>
      </x:c>
      <x:c r="J64" s="63" t="n">
        <x:f>I64*G64*3600/1000000</x:f>
        <x:v>38.88</x:v>
      </x:c>
      <x:c r="K64" s="63" t="n">
        <x:v>35</x:v>
      </x:c>
      <x:c r="L64" s="63" t="n">
        <x:v>24</x:v>
      </x:c>
      <x:c r="M64" s="63" t="n">
        <x:v>20.5</x:v>
      </x:c>
      <x:c r="N64" s="63" t="n">
        <x:v>45</x:v>
      </x:c>
      <x:c r="O64" s="63" t="n">
        <x:f>ROUND(0.6108*EXP(17.27*(L64+'01_Run_Config'!$B$34)/(L64+'01_Run_Config'!$B$34+237.3))-(N64/100)*0.6108*EXP(17.27*L64/(L64+237.3)),2)</x:f>
        <x:v>1.47</x:v>
      </x:c>
      <x:c r="P64" s="63" t="n">
        <x:f>IF(A64&lt;'01_Run_Config'!$B$32,0.55,IF(A64&lt;'01_Run_Config'!$B$33,IF(A64-'01_Run_Config'!$B$32&lt;=3,0.8,IF(A64-'01_Run_Config'!$B$32&lt;=10,1,IF(A64-'01_Run_Config'!$B$32&lt;=17,1.2,1.4))),IF(A64-'01_Run_Config'!$B$33&lt;=6,1.5,IF(A64-'01_Run_Config'!$B$33&lt;=13,1.6,IF(A64-'01_Run_Config'!$B$33&lt;=20,1.7,IF(A64-'01_Run_Config'!$B$33&lt;=34,1.8,IF(A64-'01_Run_Config'!$B$33&lt;=41,1.6,IF(A64-'01_Run_Config'!$B$33&lt;=48,1.4,1.15))))))))</x:f>
        <x:v>1.8</x:v>
      </x:c>
      <x:c r="Q64" s="63" t="n">
        <x:v>5.9</x:v>
      </x:c>
      <x:c r="R64" s="63" t="n">
        <x:v>0.8</x:v>
      </x:c>
      <x:c r="S64" s="63" t="n">
        <x:v>1.3</x:v>
      </x:c>
      <x:c r="T64" s="63" t="str">
        <x:f>IF(A64&lt;=7,"Manuell",'01_Run_Config'!$B$40)</x:f>
        <x:v>Manuell / indoor-freigegebene Automation</x:v>
      </x:c>
      <x:c r="U64" s="63" t="str">
        <x:f>IF(A64&lt;'01_Run_Config'!$B$32,"Kein Basisdünger",IF(A64&lt;'01_Run_Config'!$B$33,"HESI TNT","HESI Coco"))</x:f>
        <x:v>HESI Coco</x:v>
      </x:c>
      <x:c r="V64" s="63" t="n">
        <x:f>IF(A64&lt;'01_Run_Config'!$B$32,0,IF(A64&lt;'01_Run_Config'!$B$33,IF(A64-'01_Run_Config'!$B$32&lt;=3,1.25,IF(A64-'01_Run_Config'!$B$32&lt;=10,2,2.5)),IF(A64-'01_Run_Config'!$B$33&lt;=6,2.5,IF(A64-'01_Run_Config'!$B$33&lt;=13,3.25,IF(A64-'01_Run_Config'!$B$33&lt;=20,3.75,IF(A64-'01_Run_Config'!$B$33&lt;=34,4,IF(A64-'01_Run_Config'!$B$33&lt;=41,3.5,IF(A64-'01_Run_Config'!$B$33&lt;=48,2.5,1.5))))))))</x:f>
        <x:v>4</x:v>
      </x:c>
      <x:c r="W64" s="63" t="n">
        <x:f>IF(A64&lt;=14,2.5,0)</x:f>
        <x:v>0</x:v>
      </x:c>
      <x:c r="X64" s="63" t="n">
        <x:f>IF('01_Run_Config'!$B$50="AN Sensizym",0,IF(AND(A64&gt;='01_Run_Config'!$B$32,OR(AL64="",AL64&lt;=49)),2,0))</x:f>
        <x:v>2</x:v>
      </x:c>
      <x:c r="Y64" s="63" t="n">
        <x:f>0.015</x:f>
        <x:v>0.015</x:v>
      </x:c>
      <x:c r="Z64" s="63" t="n">
        <x:f>IF('01_Run_Config'!$B$51="HESI Hesilicio",2,0)</x:f>
        <x:v>0</x:v>
      </x:c>
      <x:c r="AA64" s="63" t="n">
        <x:f>IF('01_Run_Config'!$B$48="AN Bud Candy (replaces HESI Boost)",0,IF(AND(A64&gt;='01_Run_Config'!$B$33,MOD(A64-'01_Run_Config'!$B$33,7)=0),2,0))</x:f>
        <x:v>0</x:v>
      </x:c>
      <x:c r="AB64" s="63" t="n">
        <x:f>IF('01_Run_Config'!$B$52="AN Bud Ignitor &gt; Big Bud &gt; Overdrive",0,IF(AND(ISNUMBER(AL64),AL64&gt;=29,AL64&lt;=42),0.25+((AL64-29)/13)*0.25,0))</x:f>
        <x:v>0.3653846153846154</x:v>
      </x:c>
      <x:c r="AC64" s="63" t="n">
        <x:f>IF('01_Run_Config'!$B$46="OFF",0,IF(OR(A64='01_Run_Config'!$B$32,A64='01_Run_Config'!$B$32+7,A64='01_Run_Config'!$B$33+1,A64='01_Run_Config'!$B$33+8),2,0))</x:f>
        <x:v>0</x:v>
      </x:c>
      <x:c r="AD64" s="63" t="str">
        <x:f>IF(BG64="BLOCK","HYBRID BLOCKED - Konfiguration prüfen",IF(SUM(AC64,AT64:BF64)&gt;0,"AN aktiv: "&amp;BH64,"AN: keine Dosis heute / Module aus"))</x:f>
        <x:v>AN: keine Dosis heute / Module aus</x:v>
      </x:c>
      <x:c r="AE64" s="63" t="str">
        <x:v>Keine Strukturarbeit</x:v>
      </x:c>
      <x:c r="AF64" s="63" t="str">
        <x:v>Morgens Klima/Pflanze/Bewässerung/Leck; Mitte Lichtphase Blattwinkel; vor Dunkel LF/Drain/stehendes Wasser.</x:v>
      </x:c>
      <x:c r="AG64" s="63" t="str">
        <x:v>EC nicht erhöhen bei steigender Diagnose-Drain-EC; PPFD nicht erhöhen bei Stress; Wasserband nie erzwingen; nie mehrere neue Booster gleichzeitig.</x:v>
      </x:c>
      <x:c r="AH64" s="35" t="str">
        <x:f>"UKD v9 evidence-guarded: Planwerte sind Ziele/Eligibility, keine automatische Freigabe. Eazy Plug/Block ist vorgepuffert; früher Basisfeed bleibt vom Propagation-/Pflanzengate abhängig. Messdaten und Safety-Gates überschreiben Kalender."</x:f>
        <x:v>UKD v9 evidence-guarded: Planwerte sind Ziele/Eligibility, keine automatische Freigabe. Eazy Plug/Block ist vorgepuffert; früher Basisfeed bleibt vom Propagation-/Pflanzengate abhängig. Messdaten und Safety-Gates überschreiben Kalender.</x:v>
      </x:c>
      <x:c r="AI64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64" s="201" t="str">
        <x:f>IF(A64&lt;'01_Run_Config'!$B$32,"—",IF(A64&lt;'01_Run_Config'!$B$33,"G"&amp;MIN(4,INT((A64-'01_Run_Config'!$B$32)/7)+1),AM64))</x:f>
        <x:v>B5</x:v>
      </x:c>
      <x:c r="AK64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64" s="60" t="n">
        <x:f>IF(A64&lt;'01_Run_Config'!$B$33,"",A64-'01_Run_Config'!$B$33+1)</x:f>
        <x:v>35</x:v>
      </x:c>
      <x:c r="AM64" s="60" t="str">
        <x:f>IF(AL64="","",IF(AL64&gt;49,CHAR(66)&amp;"7+",CHAR(66)&amp;TEXT(INT((AL64-1)/7)+1,"0")))</x:f>
        <x:v>B5</x:v>
      </x:c>
      <x:c r="AN64" s="60" t="n">
        <x:f>ROUND(0.6108*EXP(17.27*L64/(L64+237.3))*(1-N64/100),2)</x:f>
        <x:v>1.64</x:v>
      </x:c>
      <x:c r="AO64" s="60" t="n">
        <x:f>H64*G64/1000</x:f>
        <x:v>2.34</x:v>
      </x:c>
      <x:c r="AP64" s="60" t="n">
        <x:f>SUM($AO$2:AO64)</x:f>
        <x:v>114.83999999999996</x:v>
      </x:c>
      <x:c r="AQ64" t="n">
        <x:f>'01_Run_Config'!$B$17</x:f>
        <x:v>0</x:v>
      </x:c>
      <x:c r="AR64" t="n">
        <x:f>'01_Run_Config'!$B$22</x:f>
        <x:v>0</x:v>
      </x:c>
      <x:c r="AS64" t="n">
        <x:f>'01_Run_Config'!$B$25</x:f>
        <x:v>0</x:v>
      </x:c>
      <x:c r="AT64" t="n">
        <x:f>IF(AND('01_Run_Config'!$B$46="Voodoo + Piranha + Tarantula",AC64&gt;0),2,0)</x:f>
        <x:v>0</x:v>
      </x:c>
      <x:c r="AU64" t="n">
        <x:f>IF(AND(OR('01_Run_Config'!$B$46="Voodoo + Tarantula",'01_Run_Config'!$B$46="Voodoo + Piranha + Tarantula"),AC64&gt;0),2,0)</x:f>
        <x:v>0</x:v>
      </x:c>
      <x:c r="AV64" t="n">
        <x:f>IF('01_Run_Config'!$B$47&lt;&gt;"ON / A-B",0,IF(OR(AND(A64&gt;='01_Run_Config'!$B$32,A64&lt;'01_Run_Config'!$B$33),AND(ISNUMBER(AL64),AL64&gt;=15,AL64&lt;=49)),2,0))</x:f>
        <x:v>0</x:v>
      </x:c>
      <x:c r="AW64" t="n">
        <x:f>IF('01_Run_Config'!$B$48="AN Bud Candy (replaces HESI Boost)",IF(AND(A64&gt;='01_Run_Config'!$B$32,OR(AL64="",AL64&lt;=49)),2,0),0)</x:f>
        <x:v>0</x:v>
      </x:c>
      <x:c r="AX64" t="n">
        <x:f>IF('01_Run_Config'!$B$49&lt;&gt;"ON / EXPERIMENTAL",0,IF(OR(AND(A64&gt;='01_Run_Config'!$B$32+7,A64&lt;'01_Run_Config'!$B$33),AND(ISNUMBER(AL64),AL64&gt;=1,AL64&lt;=49)),2,0))</x:f>
        <x:v>0</x:v>
      </x:c>
      <x:c r="AY64" t="n">
        <x:f>IF('01_Run_Config'!$B$50="AN Sensizym",IF(AND(A64&gt;='01_Run_Config'!$B$32,OR(AL64="",AL64&lt;=49)),2,0),0)</x:f>
        <x:v>0</x:v>
      </x:c>
      <x:c r="AZ64" t="n">
        <x:f>IF('01_Run_Config'!$B$51="AN Rhino Skin",IF(AND(A64&gt;='01_Run_Config'!$B$32,OR(AL64="",AL64&lt;=49)),2,0),0)</x:f>
        <x:v>0</x:v>
      </x:c>
      <x:c r="BA64" t="n">
        <x:f>IF(AND('01_Run_Config'!$B$52="AN Bud Ignitor &gt; Big Bud &gt; Overdrive",ISNUMBER(AL64),AL64&gt;=1,AL64&lt;=14),2,0)</x:f>
        <x:v>0</x:v>
      </x:c>
      <x:c r="BB64" t="n">
        <x:f>IF(AND('01_Run_Config'!$B$52="AN Bud Ignitor &gt; Big Bud &gt; Overdrive",ISNUMBER(AL64),AL64&gt;=8,AL64&lt;=35),2,0)</x:f>
        <x:v>0</x:v>
      </x:c>
      <x:c r="BC64" t="n">
        <x:f>IF(AND('01_Run_Config'!$B$52="AN Bud Ignitor &gt; Big Bud &gt; Overdrive",ISNUMBER(AL64),AL64&gt;=36,AL64&lt;=49),2,0)</x:f>
        <x:v>0</x:v>
      </x:c>
      <x:c r="BD64" t="n">
        <x:f>IF('01_Run_Config'!$B$53="ON / EXPERIMENTAL",IF(OR(AND(A64&gt;='01_Run_Config'!$B$32,A64&lt;'01_Run_Config'!$B$33),AND(ISNUMBER(AL64),AL64&gt;=15,AL64&lt;=49)),2,0),0)</x:f>
        <x:v>0</x:v>
      </x:c>
      <x:c r="BE64" t="n">
        <x:f>IF('01_Run_Config'!$B$54="AN Sensi CalMag Xtra conditional",'01_Run_Config'!$B$17,0)</x:f>
        <x:v>0</x:v>
      </x:c>
      <x:c r="BF64" t="n">
        <x:f>0</x:f>
        <x:v>0</x:v>
      </x:c>
      <x:c r="BG64" t="str">
        <x:f>'01_Run_Config'!$E$57</x:f>
        <x:v>OK</x:v>
      </x:c>
      <x:c r="BH64" t="str">
        <x:f>IF(SUM(AC64,AT64:BF64)=0,"keine AN-Dosis heute",IF(AC64&gt;0,"Voodoo "&amp;AC64&amp;" ml/L; ","")&amp;IF(AT64&gt;0,"Piranha "&amp;AT64&amp;" ml/L; ","")&amp;IF(AU64&gt;0,"Tarantula "&amp;AU64&amp;" ml/L; ","")&amp;IF(AV64&gt;0,"B-52 "&amp;AV64&amp;" ml/L; ","")&amp;IF(AW64&gt;0,"Bud Candy "&amp;AW64&amp;" ml/L; ","")&amp;IF(AX64&gt;0,"Bud Factor X "&amp;AX64&amp;" ml/L; ","")&amp;IF(AY64&gt;0,"Sensizym "&amp;AY64&amp;" ml/L; ","")&amp;IF(AZ64&gt;0,"Rhino Skin "&amp;AZ64&amp;" ml/L; ","")&amp;IF(BA64&gt;0,"Bud Ignitor "&amp;BA64&amp;" ml/L; ","")&amp;IF(BB64&gt;0,"Big Bud "&amp;BB64&amp;" ml/L; ","")&amp;IF(BC64&gt;0,"Overdrive "&amp;BC64&amp;" ml/L; ","")&amp;IF(BD64&gt;0,"Tasty Terpenes "&amp;BD64&amp;" ml/L; ","")&amp;IF(BE64&gt;0,"Sensi CalMag "&amp;BE64&amp;" ml/L",""))</x:f>
        <x:v>keine AN-Dosis heute</x:v>
      </x:c>
    </x:row>
    <x:row r="65">
      <x:c r="A65" s="34" t="n">
        <x:v>63</x:v>
      </x:c>
      <x:c r="B65" s="129" t="n">
        <x:f>'01_Run_Config'!$B$4+A65</x:f>
        <x:v>46305</x:v>
      </x:c>
      <x:c r="C65" s="63" t="n">
        <x:f>INT(A65/7)+1</x:f>
        <x:v>10</x:v>
      </x:c>
      <x:c r="D65" s="63" t="str">
        <x:f>"M"&amp;MIN(3,INT(A65/30)+1)</x:f>
        <x:v>M3</x:v>
      </x:c>
      <x:c r="E65" s="63" t="str">
        <x:f>IF(A65&lt;4,"Keimung",IF(A65&lt;8,"Etablierung",IF(A65&lt;15,"Early Veg",IF(A65&lt;'01_Run_Config'!$B$33,IF(A65&lt;22,"Veg / LST","Preflower-Watch"),IF(A65-'01_Run_Config'!$B$33&lt;=6,"Transition / Stretch ("&amp;AM65&amp;")",IF(A65-'01_Run_Config'!$B$33&lt;=13,"Early Flower ("&amp;AM65&amp;")",IF(A65-'01_Run_Config'!$B$33&lt;=20,"Flower I ("&amp;AM65&amp;")",IF(A65-'01_Run_Config'!$B$33&lt;=34,"Peak Flower ("&amp;AM65&amp;")",IF(A65-'01_Run_Config'!$B$33&lt;=41,"Late Flower ("&amp;AM65&amp;")",IF(A65-'01_Run_Config'!$B$33&lt;=48,"Ripening ("&amp;AM65&amp;")","Harvest / Extension ("&amp;AM65&amp;")"))))))))))</x:f>
        <x:v>Late Flower (B6)</x:v>
      </x:c>
      <x:c r="F65" s="63" t="str">
        <x:f>IF(A65&lt;4,"Keimung + Wurzelstart",IF(A65&lt;8,"Sämling etablieren; Wurzelraum erschließen",IF(A65&lt;15,"kompakter Aufbau; LST erst bei Vitalität",IF(A65&lt;'01_Run_Config'!$B$33,"Canopy aufbauen; Preflower beobachten",IF(A65-'01_Run_Config'!$B$33&lt;=6,"Stretch kontrollieren; Bloom-Trigger dokumentieren",IF(A65-'01_Run_Config'!$B$33&lt;=13,"Blütenansatz stabilisieren",IF(A65-'01_Run_Config'!$B$33&lt;=20,"Blütenaufbau ohne neue Stressoren",IF(A65-'01_Run_Config'!$B$33&lt;=34,"stabile Peak-Photosynthese; Klima priorisieren",IF(A65-'01_Run_Config'!$B$33&lt;=41,"Qualität/Schimmelprävention",IF(A65-'01_Run_Config'!$B$33&lt;=48,"Reife ohne Überfütterung","Erntefenster nach Pflanze; keine Kalenderernte"))))))))))</x:f>
        <x:v>Qualität/Schimmelprävention</x:v>
      </x:c>
      <x:c r="G65" s="63" t="n">
        <x:v>18</x:v>
      </x:c>
      <x:c r="H65" s="63" t="n">
        <x:v>130</x:v>
      </x:c>
      <x:c r="I65" s="63" t="n">
        <x:v>600</x:v>
      </x:c>
      <x:c r="J65" s="63" t="n">
        <x:f>I65*G65*3600/1000000</x:f>
        <x:v>38.88</x:v>
      </x:c>
      <x:c r="K65" s="63" t="n">
        <x:v>35</x:v>
      </x:c>
      <x:c r="L65" s="63" t="n">
        <x:v>24</x:v>
      </x:c>
      <x:c r="M65" s="63" t="n">
        <x:v>20.5</x:v>
      </x:c>
      <x:c r="N65" s="63" t="n">
        <x:v>45</x:v>
      </x:c>
      <x:c r="O65" s="63" t="n">
        <x:f>ROUND(0.6108*EXP(17.27*(L65+'01_Run_Config'!$B$34)/(L65+'01_Run_Config'!$B$34+237.3))-(N65/100)*0.6108*EXP(17.27*L65/(L65+237.3)),2)</x:f>
        <x:v>1.47</x:v>
      </x:c>
      <x:c r="P65" s="63" t="n">
        <x:f>IF(A65&lt;'01_Run_Config'!$B$32,0.55,IF(A65&lt;'01_Run_Config'!$B$33,IF(A65-'01_Run_Config'!$B$32&lt;=3,0.8,IF(A65-'01_Run_Config'!$B$32&lt;=10,1,IF(A65-'01_Run_Config'!$B$32&lt;=17,1.2,1.4))),IF(A65-'01_Run_Config'!$B$33&lt;=6,1.5,IF(A65-'01_Run_Config'!$B$33&lt;=13,1.6,IF(A65-'01_Run_Config'!$B$33&lt;=20,1.7,IF(A65-'01_Run_Config'!$B$33&lt;=34,1.8,IF(A65-'01_Run_Config'!$B$33&lt;=41,1.6,IF(A65-'01_Run_Config'!$B$33&lt;=48,1.4,1.15))))))))</x:f>
        <x:v>1.6</x:v>
      </x:c>
      <x:c r="Q65" s="63" t="n">
        <x:v>5.9</x:v>
      </x:c>
      <x:c r="R65" s="63" t="n">
        <x:v>0.8</x:v>
      </x:c>
      <x:c r="S65" s="63" t="n">
        <x:v>1.3</x:v>
      </x:c>
      <x:c r="T65" s="63" t="str">
        <x:f>IF(A65&lt;=7,"Manuell",'01_Run_Config'!$B$40)</x:f>
        <x:v>Manuell / indoor-freigegebene Automation</x:v>
      </x:c>
      <x:c r="U65" s="63" t="str">
        <x:f>IF(A65&lt;'01_Run_Config'!$B$32,"Kein Basisdünger",IF(A65&lt;'01_Run_Config'!$B$33,"HESI TNT","HESI Coco"))</x:f>
        <x:v>HESI Coco</x:v>
      </x:c>
      <x:c r="V65" s="63" t="n">
        <x:f>IF(A65&lt;'01_Run_Config'!$B$32,0,IF(A65&lt;'01_Run_Config'!$B$33,IF(A65-'01_Run_Config'!$B$32&lt;=3,1.25,IF(A65-'01_Run_Config'!$B$32&lt;=10,2,2.5)),IF(A65-'01_Run_Config'!$B$33&lt;=6,2.5,IF(A65-'01_Run_Config'!$B$33&lt;=13,3.25,IF(A65-'01_Run_Config'!$B$33&lt;=20,3.75,IF(A65-'01_Run_Config'!$B$33&lt;=34,4,IF(A65-'01_Run_Config'!$B$33&lt;=41,3.5,IF(A65-'01_Run_Config'!$B$33&lt;=48,2.5,1.5))))))))</x:f>
        <x:v>3.5</x:v>
      </x:c>
      <x:c r="W65" s="63" t="n">
        <x:f>IF(A65&lt;=14,2.5,0)</x:f>
        <x:v>0</x:v>
      </x:c>
      <x:c r="X65" s="63" t="n">
        <x:f>IF('01_Run_Config'!$B$50="AN Sensizym",0,IF(AND(A65&gt;='01_Run_Config'!$B$32,OR(AL65="",AL65&lt;=49)),2,0))</x:f>
        <x:v>2</x:v>
      </x:c>
      <x:c r="Y65" s="63" t="n">
        <x:f>0.015</x:f>
        <x:v>0.015</x:v>
      </x:c>
      <x:c r="Z65" s="63" t="n">
        <x:f>IF('01_Run_Config'!$B$51="HESI Hesilicio",2,0)</x:f>
        <x:v>0</x:v>
      </x:c>
      <x:c r="AA65" s="63" t="n">
        <x:f>IF('01_Run_Config'!$B$48="AN Bud Candy (replaces HESI Boost)",0,IF(AND(A65&gt;='01_Run_Config'!$B$33,MOD(A65-'01_Run_Config'!$B$33,7)=0),2,0))</x:f>
        <x:v>2</x:v>
      </x:c>
      <x:c r="AB65" s="63" t="n">
        <x:f>IF('01_Run_Config'!$B$52="AN Bud Ignitor &gt; Big Bud &gt; Overdrive",0,IF(AND(ISNUMBER(AL65),AL65&gt;=29,AL65&lt;=42),0.25+((AL65-29)/13)*0.25,0))</x:f>
        <x:v>0.3846153846153846</x:v>
      </x:c>
      <x:c r="AC65" s="63" t="n">
        <x:f>IF('01_Run_Config'!$B$46="OFF",0,IF(OR(A65='01_Run_Config'!$B$32,A65='01_Run_Config'!$B$32+7,A65='01_Run_Config'!$B$33+1,A65='01_Run_Config'!$B$33+8),2,0))</x:f>
        <x:v>0</x:v>
      </x:c>
      <x:c r="AD65" s="63" t="str">
        <x:f>IF(BG65="BLOCK","HYBRID BLOCKED - Konfiguration prüfen",IF(SUM(AC65,AT65:BF65)&gt;0,"AN aktiv: "&amp;BH65,"AN: keine Dosis heute / Module aus"))</x:f>
        <x:v>AN: keine Dosis heute / Module aus</x:v>
      </x:c>
      <x:c r="AE65" s="63" t="str">
        <x:v>Keine Strukturarbeit</x:v>
      </x:c>
      <x:c r="AF65" s="63" t="str">
        <x:v>Morgens Klima/Pflanze/Bewässerung/Leck; Mitte Lichtphase Blattwinkel; vor Dunkel LF/Drain/stehendes Wasser. WÖCHENTLICH: pH/EC kalibrieren, Foto, Canopy messen, PPFD-Spotcheck, Reservoir falls genutzt / Tray reinigen.</x:v>
      </x:c>
      <x:c r="AG65" s="63" t="str">
        <x:v>EC nicht erhöhen bei steigender Diagnose-Drain-EC; PPFD nicht erhöhen bei Stress; Wasserband nie erzwingen; nie mehrere neue Booster gleichzeitig.</x:v>
      </x:c>
      <x:c r="AH65" s="35" t="str">
        <x:f>"UKD v9 evidence-guarded: Planwerte sind Ziele/Eligibility, keine automatische Freigabe. Eazy Plug/Block ist vorgepuffert; früher Basisfeed bleibt vom Propagation-/Pflanzengate abhängig. Messdaten und Safety-Gates überschreiben Kalender."</x:f>
        <x:v>UKD v9 evidence-guarded: Planwerte sind Ziele/Eligibility, keine automatische Freigabe. Eazy Plug/Block ist vorgepuffert; früher Basisfeed bleibt vom Propagation-/Pflanzengate abhängig. Messdaten und Safety-Gates überschreiben Kalender.</x:v>
      </x:c>
      <x:c r="AI65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65" s="201" t="str">
        <x:f>IF(A65&lt;'01_Run_Config'!$B$32,"—",IF(A65&lt;'01_Run_Config'!$B$33,"G"&amp;MIN(4,INT((A65-'01_Run_Config'!$B$32)/7)+1),AM65))</x:f>
        <x:v>B6</x:v>
      </x:c>
      <x:c r="AK65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65" s="60" t="n">
        <x:f>IF(A65&lt;'01_Run_Config'!$B$33,"",A65-'01_Run_Config'!$B$33+1)</x:f>
        <x:v>36</x:v>
      </x:c>
      <x:c r="AM65" s="60" t="str">
        <x:f>IF(AL65="","",IF(AL65&gt;49,CHAR(66)&amp;"7+",CHAR(66)&amp;TEXT(INT((AL65-1)/7)+1,"0")))</x:f>
        <x:v>B6</x:v>
      </x:c>
      <x:c r="AN65" s="60" t="n">
        <x:f>ROUND(0.6108*EXP(17.27*L65/(L65+237.3))*(1-N65/100),2)</x:f>
        <x:v>1.64</x:v>
      </x:c>
      <x:c r="AO65" s="60" t="n">
        <x:f>H65*G65/1000</x:f>
        <x:v>2.34</x:v>
      </x:c>
      <x:c r="AP65" s="60" t="n">
        <x:f>SUM($AO$2:AO65)</x:f>
        <x:v>117.17999999999996</x:v>
      </x:c>
      <x:c r="AQ65" t="n">
        <x:f>'01_Run_Config'!$B$17</x:f>
        <x:v>0</x:v>
      </x:c>
      <x:c r="AR65" t="n">
        <x:f>'01_Run_Config'!$B$22</x:f>
        <x:v>0</x:v>
      </x:c>
      <x:c r="AS65" t="n">
        <x:f>'01_Run_Config'!$B$25</x:f>
        <x:v>0</x:v>
      </x:c>
      <x:c r="AT65" t="n">
        <x:f>IF(AND('01_Run_Config'!$B$46="Voodoo + Piranha + Tarantula",AC65&gt;0),2,0)</x:f>
        <x:v>0</x:v>
      </x:c>
      <x:c r="AU65" t="n">
        <x:f>IF(AND(OR('01_Run_Config'!$B$46="Voodoo + Tarantula",'01_Run_Config'!$B$46="Voodoo + Piranha + Tarantula"),AC65&gt;0),2,0)</x:f>
        <x:v>0</x:v>
      </x:c>
      <x:c r="AV65" t="n">
        <x:f>IF('01_Run_Config'!$B$47&lt;&gt;"ON / A-B",0,IF(OR(AND(A65&gt;='01_Run_Config'!$B$32,A65&lt;'01_Run_Config'!$B$33),AND(ISNUMBER(AL65),AL65&gt;=15,AL65&lt;=49)),2,0))</x:f>
        <x:v>0</x:v>
      </x:c>
      <x:c r="AW65" t="n">
        <x:f>IF('01_Run_Config'!$B$48="AN Bud Candy (replaces HESI Boost)",IF(AND(A65&gt;='01_Run_Config'!$B$32,OR(AL65="",AL65&lt;=49)),2,0),0)</x:f>
        <x:v>0</x:v>
      </x:c>
      <x:c r="AX65" t="n">
        <x:f>IF('01_Run_Config'!$B$49&lt;&gt;"ON / EXPERIMENTAL",0,IF(OR(AND(A65&gt;='01_Run_Config'!$B$32+7,A65&lt;'01_Run_Config'!$B$33),AND(ISNUMBER(AL65),AL65&gt;=1,AL65&lt;=49)),2,0))</x:f>
        <x:v>0</x:v>
      </x:c>
      <x:c r="AY65" t="n">
        <x:f>IF('01_Run_Config'!$B$50="AN Sensizym",IF(AND(A65&gt;='01_Run_Config'!$B$32,OR(AL65="",AL65&lt;=49)),2,0),0)</x:f>
        <x:v>0</x:v>
      </x:c>
      <x:c r="AZ65" t="n">
        <x:f>IF('01_Run_Config'!$B$51="AN Rhino Skin",IF(AND(A65&gt;='01_Run_Config'!$B$32,OR(AL65="",AL65&lt;=49)),2,0),0)</x:f>
        <x:v>0</x:v>
      </x:c>
      <x:c r="BA65" t="n">
        <x:f>IF(AND('01_Run_Config'!$B$52="AN Bud Ignitor &gt; Big Bud &gt; Overdrive",ISNUMBER(AL65),AL65&gt;=1,AL65&lt;=14),2,0)</x:f>
        <x:v>0</x:v>
      </x:c>
      <x:c r="BB65" t="n">
        <x:f>IF(AND('01_Run_Config'!$B$52="AN Bud Ignitor &gt; Big Bud &gt; Overdrive",ISNUMBER(AL65),AL65&gt;=8,AL65&lt;=35),2,0)</x:f>
        <x:v>0</x:v>
      </x:c>
      <x:c r="BC65" t="n">
        <x:f>IF(AND('01_Run_Config'!$B$52="AN Bud Ignitor &gt; Big Bud &gt; Overdrive",ISNUMBER(AL65),AL65&gt;=36,AL65&lt;=49),2,0)</x:f>
        <x:v>0</x:v>
      </x:c>
      <x:c r="BD65" t="n">
        <x:f>IF('01_Run_Config'!$B$53="ON / EXPERIMENTAL",IF(OR(AND(A65&gt;='01_Run_Config'!$B$32,A65&lt;'01_Run_Config'!$B$33),AND(ISNUMBER(AL65),AL65&gt;=15,AL65&lt;=49)),2,0),0)</x:f>
        <x:v>0</x:v>
      </x:c>
      <x:c r="BE65" t="n">
        <x:f>IF('01_Run_Config'!$B$54="AN Sensi CalMag Xtra conditional",'01_Run_Config'!$B$17,0)</x:f>
        <x:v>0</x:v>
      </x:c>
      <x:c r="BF65" t="n">
        <x:f>0</x:f>
        <x:v>0</x:v>
      </x:c>
      <x:c r="BG65" t="str">
        <x:f>'01_Run_Config'!$E$57</x:f>
        <x:v>OK</x:v>
      </x:c>
      <x:c r="BH65" t="str">
        <x:f>IF(SUM(AC65,AT65:BF65)=0,"keine AN-Dosis heute",IF(AC65&gt;0,"Voodoo "&amp;AC65&amp;" ml/L; ","")&amp;IF(AT65&gt;0,"Piranha "&amp;AT65&amp;" ml/L; ","")&amp;IF(AU65&gt;0,"Tarantula "&amp;AU65&amp;" ml/L; ","")&amp;IF(AV65&gt;0,"B-52 "&amp;AV65&amp;" ml/L; ","")&amp;IF(AW65&gt;0,"Bud Candy "&amp;AW65&amp;" ml/L; ","")&amp;IF(AX65&gt;0,"Bud Factor X "&amp;AX65&amp;" ml/L; ","")&amp;IF(AY65&gt;0,"Sensizym "&amp;AY65&amp;" ml/L; ","")&amp;IF(AZ65&gt;0,"Rhino Skin "&amp;AZ65&amp;" ml/L; ","")&amp;IF(BA65&gt;0,"Bud Ignitor "&amp;BA65&amp;" ml/L; ","")&amp;IF(BB65&gt;0,"Big Bud "&amp;BB65&amp;" ml/L; ","")&amp;IF(BC65&gt;0,"Overdrive "&amp;BC65&amp;" ml/L; ","")&amp;IF(BD65&gt;0,"Tasty Terpenes "&amp;BD65&amp;" ml/L; ","")&amp;IF(BE65&gt;0,"Sensi CalMag "&amp;BE65&amp;" ml/L",""))</x:f>
        <x:v>keine AN-Dosis heute</x:v>
      </x:c>
    </x:row>
    <x:row r="66">
      <x:c r="A66" s="34" t="n">
        <x:v>64</x:v>
      </x:c>
      <x:c r="B66" s="129" t="n">
        <x:f>'01_Run_Config'!$B$4+A66</x:f>
        <x:v>46306</x:v>
      </x:c>
      <x:c r="C66" s="63" t="n">
        <x:f>INT(A66/7)+1</x:f>
        <x:v>10</x:v>
      </x:c>
      <x:c r="D66" s="63" t="str">
        <x:f>"M"&amp;MIN(3,INT(A66/30)+1)</x:f>
        <x:v>M3</x:v>
      </x:c>
      <x:c r="E66" s="63" t="str">
        <x:f>IF(A66&lt;4,"Keimung",IF(A66&lt;8,"Etablierung",IF(A66&lt;15,"Early Veg",IF(A66&lt;'01_Run_Config'!$B$33,IF(A66&lt;22,"Veg / LST","Preflower-Watch"),IF(A66-'01_Run_Config'!$B$33&lt;=6,"Transition / Stretch ("&amp;AM66&amp;")",IF(A66-'01_Run_Config'!$B$33&lt;=13,"Early Flower ("&amp;AM66&amp;")",IF(A66-'01_Run_Config'!$B$33&lt;=20,"Flower I ("&amp;AM66&amp;")",IF(A66-'01_Run_Config'!$B$33&lt;=34,"Peak Flower ("&amp;AM66&amp;")",IF(A66-'01_Run_Config'!$B$33&lt;=41,"Late Flower ("&amp;AM66&amp;")",IF(A66-'01_Run_Config'!$B$33&lt;=48,"Ripening ("&amp;AM66&amp;")","Harvest / Extension ("&amp;AM66&amp;")"))))))))))</x:f>
        <x:v>Late Flower (B6)</x:v>
      </x:c>
      <x:c r="F66" s="63" t="str">
        <x:f>IF(A66&lt;4,"Keimung + Wurzelstart",IF(A66&lt;8,"Sämling etablieren; Wurzelraum erschließen",IF(A66&lt;15,"kompakter Aufbau; LST erst bei Vitalität",IF(A66&lt;'01_Run_Config'!$B$33,"Canopy aufbauen; Preflower beobachten",IF(A66-'01_Run_Config'!$B$33&lt;=6,"Stretch kontrollieren; Bloom-Trigger dokumentieren",IF(A66-'01_Run_Config'!$B$33&lt;=13,"Blütenansatz stabilisieren",IF(A66-'01_Run_Config'!$B$33&lt;=20,"Blütenaufbau ohne neue Stressoren",IF(A66-'01_Run_Config'!$B$33&lt;=34,"stabile Peak-Photosynthese; Klima priorisieren",IF(A66-'01_Run_Config'!$B$33&lt;=41,"Qualität/Schimmelprävention",IF(A66-'01_Run_Config'!$B$33&lt;=48,"Reife ohne Überfütterung","Erntefenster nach Pflanze; keine Kalenderernte"))))))))))</x:f>
        <x:v>Qualität/Schimmelprävention</x:v>
      </x:c>
      <x:c r="G66" s="63" t="n">
        <x:v>18</x:v>
      </x:c>
      <x:c r="H66" s="63" t="n">
        <x:v>120</x:v>
      </x:c>
      <x:c r="I66" s="63" t="n">
        <x:v>550</x:v>
      </x:c>
      <x:c r="J66" s="63" t="n">
        <x:f>I66*G66*3600/1000000</x:f>
        <x:v>35.64</x:v>
      </x:c>
      <x:c r="K66" s="63" t="n">
        <x:v>37</x:v>
      </x:c>
      <x:c r="L66" s="63" t="n">
        <x:v>23.5</x:v>
      </x:c>
      <x:c r="M66" s="63" t="n">
        <x:v>20.5</x:v>
      </x:c>
      <x:c r="N66" s="63" t="n">
        <x:v>43</x:v>
      </x:c>
      <x:c r="O66" s="63" t="n">
        <x:f>ROUND(0.6108*EXP(17.27*(L66+'01_Run_Config'!$B$34)/(L66+'01_Run_Config'!$B$34+237.3))-(N66/100)*0.6108*EXP(17.27*L66/(L66+237.3)),2)</x:f>
        <x:v>1.48</x:v>
      </x:c>
      <x:c r="P66" s="63" t="n">
        <x:f>IF(A66&lt;'01_Run_Config'!$B$32,0.55,IF(A66&lt;'01_Run_Config'!$B$33,IF(A66-'01_Run_Config'!$B$32&lt;=3,0.8,IF(A66-'01_Run_Config'!$B$32&lt;=10,1,IF(A66-'01_Run_Config'!$B$32&lt;=17,1.2,1.4))),IF(A66-'01_Run_Config'!$B$33&lt;=6,1.5,IF(A66-'01_Run_Config'!$B$33&lt;=13,1.6,IF(A66-'01_Run_Config'!$B$33&lt;=20,1.7,IF(A66-'01_Run_Config'!$B$33&lt;=34,1.8,IF(A66-'01_Run_Config'!$B$33&lt;=41,1.6,IF(A66-'01_Run_Config'!$B$33&lt;=48,1.4,1.15))))))))</x:f>
        <x:v>1.6</x:v>
      </x:c>
      <x:c r="Q66" s="63" t="n">
        <x:v>5.9</x:v>
      </x:c>
      <x:c r="R66" s="63" t="n">
        <x:v>0.6</x:v>
      </x:c>
      <x:c r="S66" s="63" t="n">
        <x:v>1</x:v>
      </x:c>
      <x:c r="T66" s="63" t="str">
        <x:f>IF(A66&lt;=7,"Manuell",'01_Run_Config'!$B$40)</x:f>
        <x:v>Manuell / indoor-freigegebene Automation</x:v>
      </x:c>
      <x:c r="U66" s="63" t="str">
        <x:f>IF(A66&lt;'01_Run_Config'!$B$32,"Kein Basisdünger",IF(A66&lt;'01_Run_Config'!$B$33,"HESI TNT","HESI Coco"))</x:f>
        <x:v>HESI Coco</x:v>
      </x:c>
      <x:c r="V66" s="63" t="n">
        <x:f>IF(A66&lt;'01_Run_Config'!$B$32,0,IF(A66&lt;'01_Run_Config'!$B$33,IF(A66-'01_Run_Config'!$B$32&lt;=3,1.25,IF(A66-'01_Run_Config'!$B$32&lt;=10,2,2.5)),IF(A66-'01_Run_Config'!$B$33&lt;=6,2.5,IF(A66-'01_Run_Config'!$B$33&lt;=13,3.25,IF(A66-'01_Run_Config'!$B$33&lt;=20,3.75,IF(A66-'01_Run_Config'!$B$33&lt;=34,4,IF(A66-'01_Run_Config'!$B$33&lt;=41,3.5,IF(A66-'01_Run_Config'!$B$33&lt;=48,2.5,1.5))))))))</x:f>
        <x:v>3.5</x:v>
      </x:c>
      <x:c r="W66" s="63" t="n">
        <x:f>IF(A66&lt;=14,2.5,0)</x:f>
        <x:v>0</x:v>
      </x:c>
      <x:c r="X66" s="63" t="n">
        <x:f>IF('01_Run_Config'!$B$50="AN Sensizym",0,IF(AND(A66&gt;='01_Run_Config'!$B$32,OR(AL66="",AL66&lt;=49)),2,0))</x:f>
        <x:v>2</x:v>
      </x:c>
      <x:c r="Y66" s="63" t="n">
        <x:f>0.015</x:f>
        <x:v>0.015</x:v>
      </x:c>
      <x:c r="Z66" s="63" t="n">
        <x:f>IF('01_Run_Config'!$B$51="HESI Hesilicio",2,0)</x:f>
        <x:v>0</x:v>
      </x:c>
      <x:c r="AA66" s="63" t="n">
        <x:f>IF('01_Run_Config'!$B$48="AN Bud Candy (replaces HESI Boost)",0,IF(AND(A66&gt;='01_Run_Config'!$B$33,MOD(A66-'01_Run_Config'!$B$33,7)=0),2,0))</x:f>
        <x:v>0</x:v>
      </x:c>
      <x:c r="AB66" s="63" t="n">
        <x:f>IF('01_Run_Config'!$B$52="AN Bud Ignitor &gt; Big Bud &gt; Overdrive",0,IF(AND(ISNUMBER(AL66),AL66&gt;=29,AL66&lt;=42),0.25+((AL66-29)/13)*0.25,0))</x:f>
        <x:v>0.40384615384615385</x:v>
      </x:c>
      <x:c r="AC66" s="63" t="n">
        <x:f>IF('01_Run_Config'!$B$46="OFF",0,IF(OR(A66='01_Run_Config'!$B$32,A66='01_Run_Config'!$B$32+7,A66='01_Run_Config'!$B$33+1,A66='01_Run_Config'!$B$33+8),2,0))</x:f>
        <x:v>0</x:v>
      </x:c>
      <x:c r="AD66" s="63" t="str">
        <x:f>IF(BG66="BLOCK","HYBRID BLOCKED - Konfiguration prüfen",IF(SUM(AC66,AT66:BF66)&gt;0,"AN aktiv: "&amp;BH66,"AN: keine Dosis heute / Module aus"))</x:f>
        <x:v>AN: keine Dosis heute / Module aus</x:v>
      </x:c>
      <x:c r="AE66" s="63" t="str">
        <x:v>Nur Stützen</x:v>
      </x:c>
      <x:c r="AF66" s="63" t="str">
        <x:v>Morgens Klima/Pflanze/Bewässerung/Leck; Mitte Lichtphase Blattwinkel; vor Dunkel LF/Drain/stehendes Wasser.</x:v>
      </x:c>
      <x:c r="AG66" s="63" t="str">
        <x:v>EC nicht erhöhen bei steigender Diagnose-Drain-EC; PPFD nicht erhöhen bei Stress; Wasserband nie erzwingen; nie mehrere neue Booster gleichzeitig.</x:v>
      </x:c>
      <x:c r="AH66" s="35" t="str">
        <x:f>"UKD v9 evidence-guarded: Planwerte sind Ziele/Eligibility, keine automatische Freigabe. Eazy Plug/Block ist vorgepuffert; früher Basisfeed bleibt vom Propagation-/Pflanzengate abhängig. Messdaten und Safety-Gates überschreiben Kalender."</x:f>
        <x:v>UKD v9 evidence-guarded: Planwerte sind Ziele/Eligibility, keine automatische Freigabe. Eazy Plug/Block ist vorgepuffert; früher Basisfeed bleibt vom Propagation-/Pflanzengate abhängig. Messdaten und Safety-Gates überschreiben Kalender.</x:v>
      </x:c>
      <x:c r="AI66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66" s="201" t="str">
        <x:f>IF(A66&lt;'01_Run_Config'!$B$32,"—",IF(A66&lt;'01_Run_Config'!$B$33,"G"&amp;MIN(4,INT((A66-'01_Run_Config'!$B$32)/7)+1),AM66))</x:f>
        <x:v>B6</x:v>
      </x:c>
      <x:c r="AK66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66" s="60" t="n">
        <x:f>IF(A66&lt;'01_Run_Config'!$B$33,"",A66-'01_Run_Config'!$B$33+1)</x:f>
        <x:v>37</x:v>
      </x:c>
      <x:c r="AM66" s="60" t="str">
        <x:f>IF(AL66="","",IF(AL66&gt;49,CHAR(66)&amp;"7+",CHAR(66)&amp;TEXT(INT((AL66-1)/7)+1,"0")))</x:f>
        <x:v>B6</x:v>
      </x:c>
      <x:c r="AN66" s="60" t="n">
        <x:f>ROUND(0.6108*EXP(17.27*L66/(L66+237.3))*(1-N66/100),2)</x:f>
        <x:v>1.65</x:v>
      </x:c>
      <x:c r="AO66" s="60" t="n">
        <x:f>H66*G66/1000</x:f>
        <x:v>2.16</x:v>
      </x:c>
      <x:c r="AP66" s="60" t="n">
        <x:f>SUM($AO$2:AO66)</x:f>
        <x:v>119.33999999999996</x:v>
      </x:c>
      <x:c r="AQ66" t="n">
        <x:f>'01_Run_Config'!$B$17</x:f>
        <x:v>0</x:v>
      </x:c>
      <x:c r="AR66" t="n">
        <x:f>'01_Run_Config'!$B$22</x:f>
        <x:v>0</x:v>
      </x:c>
      <x:c r="AS66" t="n">
        <x:f>'01_Run_Config'!$B$25</x:f>
        <x:v>0</x:v>
      </x:c>
      <x:c r="AT66" t="n">
        <x:f>IF(AND('01_Run_Config'!$B$46="Voodoo + Piranha + Tarantula",AC66&gt;0),2,0)</x:f>
        <x:v>0</x:v>
      </x:c>
      <x:c r="AU66" t="n">
        <x:f>IF(AND(OR('01_Run_Config'!$B$46="Voodoo + Tarantula",'01_Run_Config'!$B$46="Voodoo + Piranha + Tarantula"),AC66&gt;0),2,0)</x:f>
        <x:v>0</x:v>
      </x:c>
      <x:c r="AV66" t="n">
        <x:f>IF('01_Run_Config'!$B$47&lt;&gt;"ON / A-B",0,IF(OR(AND(A66&gt;='01_Run_Config'!$B$32,A66&lt;'01_Run_Config'!$B$33),AND(ISNUMBER(AL66),AL66&gt;=15,AL66&lt;=49)),2,0))</x:f>
        <x:v>0</x:v>
      </x:c>
      <x:c r="AW66" t="n">
        <x:f>IF('01_Run_Config'!$B$48="AN Bud Candy (replaces HESI Boost)",IF(AND(A66&gt;='01_Run_Config'!$B$32,OR(AL66="",AL66&lt;=49)),2,0),0)</x:f>
        <x:v>0</x:v>
      </x:c>
      <x:c r="AX66" t="n">
        <x:f>IF('01_Run_Config'!$B$49&lt;&gt;"ON / EXPERIMENTAL",0,IF(OR(AND(A66&gt;='01_Run_Config'!$B$32+7,A66&lt;'01_Run_Config'!$B$33),AND(ISNUMBER(AL66),AL66&gt;=1,AL66&lt;=49)),2,0))</x:f>
        <x:v>0</x:v>
      </x:c>
      <x:c r="AY66" t="n">
        <x:f>IF('01_Run_Config'!$B$50="AN Sensizym",IF(AND(A66&gt;='01_Run_Config'!$B$32,OR(AL66="",AL66&lt;=49)),2,0),0)</x:f>
        <x:v>0</x:v>
      </x:c>
      <x:c r="AZ66" t="n">
        <x:f>IF('01_Run_Config'!$B$51="AN Rhino Skin",IF(AND(A66&gt;='01_Run_Config'!$B$32,OR(AL66="",AL66&lt;=49)),2,0),0)</x:f>
        <x:v>0</x:v>
      </x:c>
      <x:c r="BA66" t="n">
        <x:f>IF(AND('01_Run_Config'!$B$52="AN Bud Ignitor &gt; Big Bud &gt; Overdrive",ISNUMBER(AL66),AL66&gt;=1,AL66&lt;=14),2,0)</x:f>
        <x:v>0</x:v>
      </x:c>
      <x:c r="BB66" t="n">
        <x:f>IF(AND('01_Run_Config'!$B$52="AN Bud Ignitor &gt; Big Bud &gt; Overdrive",ISNUMBER(AL66),AL66&gt;=8,AL66&lt;=35),2,0)</x:f>
        <x:v>0</x:v>
      </x:c>
      <x:c r="BC66" t="n">
        <x:f>IF(AND('01_Run_Config'!$B$52="AN Bud Ignitor &gt; Big Bud &gt; Overdrive",ISNUMBER(AL66),AL66&gt;=36,AL66&lt;=49),2,0)</x:f>
        <x:v>0</x:v>
      </x:c>
      <x:c r="BD66" t="n">
        <x:f>IF('01_Run_Config'!$B$53="ON / EXPERIMENTAL",IF(OR(AND(A66&gt;='01_Run_Config'!$B$32,A66&lt;'01_Run_Config'!$B$33),AND(ISNUMBER(AL66),AL66&gt;=15,AL66&lt;=49)),2,0),0)</x:f>
        <x:v>0</x:v>
      </x:c>
      <x:c r="BE66" t="n">
        <x:f>IF('01_Run_Config'!$B$54="AN Sensi CalMag Xtra conditional",'01_Run_Config'!$B$17,0)</x:f>
        <x:v>0</x:v>
      </x:c>
      <x:c r="BF66" t="n">
        <x:f>0</x:f>
        <x:v>0</x:v>
      </x:c>
      <x:c r="BG66" t="str">
        <x:f>'01_Run_Config'!$E$57</x:f>
        <x:v>OK</x:v>
      </x:c>
      <x:c r="BH66" t="str">
        <x:f>IF(SUM(AC66,AT66:BF66)=0,"keine AN-Dosis heute",IF(AC66&gt;0,"Voodoo "&amp;AC66&amp;" ml/L; ","")&amp;IF(AT66&gt;0,"Piranha "&amp;AT66&amp;" ml/L; ","")&amp;IF(AU66&gt;0,"Tarantula "&amp;AU66&amp;" ml/L; ","")&amp;IF(AV66&gt;0,"B-52 "&amp;AV66&amp;" ml/L; ","")&amp;IF(AW66&gt;0,"Bud Candy "&amp;AW66&amp;" ml/L; ","")&amp;IF(AX66&gt;0,"Bud Factor X "&amp;AX66&amp;" ml/L; ","")&amp;IF(AY66&gt;0,"Sensizym "&amp;AY66&amp;" ml/L; ","")&amp;IF(AZ66&gt;0,"Rhino Skin "&amp;AZ66&amp;" ml/L; ","")&amp;IF(BA66&gt;0,"Bud Ignitor "&amp;BA66&amp;" ml/L; ","")&amp;IF(BB66&gt;0,"Big Bud "&amp;BB66&amp;" ml/L; ","")&amp;IF(BC66&gt;0,"Overdrive "&amp;BC66&amp;" ml/L; ","")&amp;IF(BD66&gt;0,"Tasty Terpenes "&amp;BD66&amp;" ml/L; ","")&amp;IF(BE66&gt;0,"Sensi CalMag "&amp;BE66&amp;" ml/L",""))</x:f>
        <x:v>keine AN-Dosis heute</x:v>
      </x:c>
    </x:row>
    <x:row r="67">
      <x:c r="A67" s="34" t="n">
        <x:v>65</x:v>
      </x:c>
      <x:c r="B67" s="129" t="n">
        <x:f>'01_Run_Config'!$B$4+A67</x:f>
        <x:v>46307</x:v>
      </x:c>
      <x:c r="C67" s="63" t="n">
        <x:f>INT(A67/7)+1</x:f>
        <x:v>10</x:v>
      </x:c>
      <x:c r="D67" s="63" t="str">
        <x:f>"M"&amp;MIN(3,INT(A67/30)+1)</x:f>
        <x:v>M3</x:v>
      </x:c>
      <x:c r="E67" s="63" t="str">
        <x:f>IF(A67&lt;4,"Keimung",IF(A67&lt;8,"Etablierung",IF(A67&lt;15,"Early Veg",IF(A67&lt;'01_Run_Config'!$B$33,IF(A67&lt;22,"Veg / LST","Preflower-Watch"),IF(A67-'01_Run_Config'!$B$33&lt;=6,"Transition / Stretch ("&amp;AM67&amp;")",IF(A67-'01_Run_Config'!$B$33&lt;=13,"Early Flower ("&amp;AM67&amp;")",IF(A67-'01_Run_Config'!$B$33&lt;=20,"Flower I ("&amp;AM67&amp;")",IF(A67-'01_Run_Config'!$B$33&lt;=34,"Peak Flower ("&amp;AM67&amp;")",IF(A67-'01_Run_Config'!$B$33&lt;=41,"Late Flower ("&amp;AM67&amp;")",IF(A67-'01_Run_Config'!$B$33&lt;=48,"Ripening ("&amp;AM67&amp;")","Harvest / Extension ("&amp;AM67&amp;")"))))))))))</x:f>
        <x:v>Late Flower (B6)</x:v>
      </x:c>
      <x:c r="F67" s="63" t="str">
        <x:f>IF(A67&lt;4,"Keimung + Wurzelstart",IF(A67&lt;8,"Sämling etablieren; Wurzelraum erschließen",IF(A67&lt;15,"kompakter Aufbau; LST erst bei Vitalität",IF(A67&lt;'01_Run_Config'!$B$33,"Canopy aufbauen; Preflower beobachten",IF(A67-'01_Run_Config'!$B$33&lt;=6,"Stretch kontrollieren; Bloom-Trigger dokumentieren",IF(A67-'01_Run_Config'!$B$33&lt;=13,"Blütenansatz stabilisieren",IF(A67-'01_Run_Config'!$B$33&lt;=20,"Blütenaufbau ohne neue Stressoren",IF(A67-'01_Run_Config'!$B$33&lt;=34,"stabile Peak-Photosynthese; Klima priorisieren",IF(A67-'01_Run_Config'!$B$33&lt;=41,"Qualität/Schimmelprävention",IF(A67-'01_Run_Config'!$B$33&lt;=48,"Reife ohne Überfütterung","Erntefenster nach Pflanze; keine Kalenderernte"))))))))))</x:f>
        <x:v>Qualität/Schimmelprävention</x:v>
      </x:c>
      <x:c r="G67" s="63" t="n">
        <x:v>18</x:v>
      </x:c>
      <x:c r="H67" s="63" t="n">
        <x:v>120</x:v>
      </x:c>
      <x:c r="I67" s="63" t="n">
        <x:v>550</x:v>
      </x:c>
      <x:c r="J67" s="63" t="n">
        <x:f>I67*G67*3600/1000000</x:f>
        <x:v>35.64</x:v>
      </x:c>
      <x:c r="K67" s="63" t="n">
        <x:v>37</x:v>
      </x:c>
      <x:c r="L67" s="63" t="n">
        <x:v>23.5</x:v>
      </x:c>
      <x:c r="M67" s="63" t="n">
        <x:v>20.5</x:v>
      </x:c>
      <x:c r="N67" s="63" t="n">
        <x:v>43</x:v>
      </x:c>
      <x:c r="O67" s="63" t="n">
        <x:f>ROUND(0.6108*EXP(17.27*(L67+'01_Run_Config'!$B$34)/(L67+'01_Run_Config'!$B$34+237.3))-(N67/100)*0.6108*EXP(17.27*L67/(L67+237.3)),2)</x:f>
        <x:v>1.48</x:v>
      </x:c>
      <x:c r="P67" s="63" t="n">
        <x:f>IF(A67&lt;'01_Run_Config'!$B$32,0.55,IF(A67&lt;'01_Run_Config'!$B$33,IF(A67-'01_Run_Config'!$B$32&lt;=3,0.8,IF(A67-'01_Run_Config'!$B$32&lt;=10,1,IF(A67-'01_Run_Config'!$B$32&lt;=17,1.2,1.4))),IF(A67-'01_Run_Config'!$B$33&lt;=6,1.5,IF(A67-'01_Run_Config'!$B$33&lt;=13,1.6,IF(A67-'01_Run_Config'!$B$33&lt;=20,1.7,IF(A67-'01_Run_Config'!$B$33&lt;=34,1.8,IF(A67-'01_Run_Config'!$B$33&lt;=41,1.6,IF(A67-'01_Run_Config'!$B$33&lt;=48,1.4,1.15))))))))</x:f>
        <x:v>1.6</x:v>
      </x:c>
      <x:c r="Q67" s="63" t="n">
        <x:v>5.9</x:v>
      </x:c>
      <x:c r="R67" s="63" t="n">
        <x:v>0.6</x:v>
      </x:c>
      <x:c r="S67" s="63" t="n">
        <x:v>1</x:v>
      </x:c>
      <x:c r="T67" s="63" t="str">
        <x:f>IF(A67&lt;=7,"Manuell",'01_Run_Config'!$B$40)</x:f>
        <x:v>Manuell / indoor-freigegebene Automation</x:v>
      </x:c>
      <x:c r="U67" s="63" t="str">
        <x:f>IF(A67&lt;'01_Run_Config'!$B$32,"Kein Basisdünger",IF(A67&lt;'01_Run_Config'!$B$33,"HESI TNT","HESI Coco"))</x:f>
        <x:v>HESI Coco</x:v>
      </x:c>
      <x:c r="V67" s="63" t="n">
        <x:f>IF(A67&lt;'01_Run_Config'!$B$32,0,IF(A67&lt;'01_Run_Config'!$B$33,IF(A67-'01_Run_Config'!$B$32&lt;=3,1.25,IF(A67-'01_Run_Config'!$B$32&lt;=10,2,2.5)),IF(A67-'01_Run_Config'!$B$33&lt;=6,2.5,IF(A67-'01_Run_Config'!$B$33&lt;=13,3.25,IF(A67-'01_Run_Config'!$B$33&lt;=20,3.75,IF(A67-'01_Run_Config'!$B$33&lt;=34,4,IF(A67-'01_Run_Config'!$B$33&lt;=41,3.5,IF(A67-'01_Run_Config'!$B$33&lt;=48,2.5,1.5))))))))</x:f>
        <x:v>3.5</x:v>
      </x:c>
      <x:c r="W67" s="63" t="n">
        <x:f>IF(A67&lt;=14,2.5,0)</x:f>
        <x:v>0</x:v>
      </x:c>
      <x:c r="X67" s="63" t="n">
        <x:f>IF('01_Run_Config'!$B$50="AN Sensizym",0,IF(AND(A67&gt;='01_Run_Config'!$B$32,OR(AL67="",AL67&lt;=49)),2,0))</x:f>
        <x:v>2</x:v>
      </x:c>
      <x:c r="Y67" s="63" t="n">
        <x:f>0.015</x:f>
        <x:v>0.015</x:v>
      </x:c>
      <x:c r="Z67" s="63" t="n">
        <x:f>IF('01_Run_Config'!$B$51="HESI Hesilicio",2,0)</x:f>
        <x:v>0</x:v>
      </x:c>
      <x:c r="AA67" s="63" t="n">
        <x:f>IF('01_Run_Config'!$B$48="AN Bud Candy (replaces HESI Boost)",0,IF(AND(A67&gt;='01_Run_Config'!$B$33,MOD(A67-'01_Run_Config'!$B$33,7)=0),2,0))</x:f>
        <x:v>0</x:v>
      </x:c>
      <x:c r="AB67" s="63" t="n">
        <x:f>IF('01_Run_Config'!$B$52="AN Bud Ignitor &gt; Big Bud &gt; Overdrive",0,IF(AND(ISNUMBER(AL67),AL67&gt;=29,AL67&lt;=42),0.25+((AL67-29)/13)*0.25,0))</x:f>
        <x:v>0.4230769230769231</x:v>
      </x:c>
      <x:c r="AC67" s="63" t="n">
        <x:f>IF('01_Run_Config'!$B$46="OFF",0,IF(OR(A67='01_Run_Config'!$B$32,A67='01_Run_Config'!$B$32+7,A67='01_Run_Config'!$B$33+1,A67='01_Run_Config'!$B$33+8),2,0))</x:f>
        <x:v>0</x:v>
      </x:c>
      <x:c r="AD67" s="63" t="str">
        <x:f>IF(BG67="BLOCK","HYBRID BLOCKED - Konfiguration prüfen",IF(SUM(AC67,AT67:BF67)&gt;0,"AN aktiv: "&amp;BH67,"AN: keine Dosis heute / Module aus"))</x:f>
        <x:v>AN: keine Dosis heute / Module aus</x:v>
      </x:c>
      <x:c r="AE67" s="63" t="str">
        <x:v>Nur Stützen</x:v>
      </x:c>
      <x:c r="AF67" s="63" t="str">
        <x:v>Morgens Klima/Pflanze/Bewässerung/Leck; Mitte Lichtphase Blattwinkel; vor Dunkel LF/Drain/stehendes Wasser.</x:v>
      </x:c>
      <x:c r="AG67" s="63" t="str">
        <x:v>EC nicht erhöhen bei steigender Diagnose-Drain-EC; PPFD nicht erhöhen bei Stress; Wasserband nie erzwingen; nie mehrere neue Booster gleichzeitig.</x:v>
      </x:c>
      <x:c r="AH67" s="35" t="str">
        <x:f>"UKD v9 evidence-guarded: Planwerte sind Ziele/Eligibility, keine automatische Freigabe. Eazy Plug/Block ist vorgepuffert; früher Basisfeed bleibt vom Propagation-/Pflanzengate abhängig. Messdaten und Safety-Gates überschreiben Kalender."</x:f>
        <x:v>UKD v9 evidence-guarded: Planwerte sind Ziele/Eligibility, keine automatische Freigabe. Eazy Plug/Block ist vorgepuffert; früher Basisfeed bleibt vom Propagation-/Pflanzengate abhängig. Messdaten und Safety-Gates überschreiben Kalender.</x:v>
      </x:c>
      <x:c r="AI67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67" s="201" t="str">
        <x:f>IF(A67&lt;'01_Run_Config'!$B$32,"—",IF(A67&lt;'01_Run_Config'!$B$33,"G"&amp;MIN(4,INT((A67-'01_Run_Config'!$B$32)/7)+1),AM67))</x:f>
        <x:v>B6</x:v>
      </x:c>
      <x:c r="AK67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67" s="60" t="n">
        <x:f>IF(A67&lt;'01_Run_Config'!$B$33,"",A67-'01_Run_Config'!$B$33+1)</x:f>
        <x:v>38</x:v>
      </x:c>
      <x:c r="AM67" s="60" t="str">
        <x:f>IF(AL67="","",IF(AL67&gt;49,CHAR(66)&amp;"7+",CHAR(66)&amp;TEXT(INT((AL67-1)/7)+1,"0")))</x:f>
        <x:v>B6</x:v>
      </x:c>
      <x:c r="AN67" s="60" t="n">
        <x:f>ROUND(0.6108*EXP(17.27*L67/(L67+237.3))*(1-N67/100),2)</x:f>
        <x:v>1.65</x:v>
      </x:c>
      <x:c r="AO67" s="60" t="n">
        <x:f>H67*G67/1000</x:f>
        <x:v>2.16</x:v>
      </x:c>
      <x:c r="AP67" s="60" t="n">
        <x:f>SUM($AO$2:AO67)</x:f>
        <x:v>121.49999999999996</x:v>
      </x:c>
      <x:c r="AQ67" t="n">
        <x:f>'01_Run_Config'!$B$17</x:f>
        <x:v>0</x:v>
      </x:c>
      <x:c r="AR67" t="n">
        <x:f>'01_Run_Config'!$B$22</x:f>
        <x:v>0</x:v>
      </x:c>
      <x:c r="AS67" t="n">
        <x:f>'01_Run_Config'!$B$25</x:f>
        <x:v>0</x:v>
      </x:c>
      <x:c r="AT67" t="n">
        <x:f>IF(AND('01_Run_Config'!$B$46="Voodoo + Piranha + Tarantula",AC67&gt;0),2,0)</x:f>
        <x:v>0</x:v>
      </x:c>
      <x:c r="AU67" t="n">
        <x:f>IF(AND(OR('01_Run_Config'!$B$46="Voodoo + Tarantula",'01_Run_Config'!$B$46="Voodoo + Piranha + Tarantula"),AC67&gt;0),2,0)</x:f>
        <x:v>0</x:v>
      </x:c>
      <x:c r="AV67" t="n">
        <x:f>IF('01_Run_Config'!$B$47&lt;&gt;"ON / A-B",0,IF(OR(AND(A67&gt;='01_Run_Config'!$B$32,A67&lt;'01_Run_Config'!$B$33),AND(ISNUMBER(AL67),AL67&gt;=15,AL67&lt;=49)),2,0))</x:f>
        <x:v>0</x:v>
      </x:c>
      <x:c r="AW67" t="n">
        <x:f>IF('01_Run_Config'!$B$48="AN Bud Candy (replaces HESI Boost)",IF(AND(A67&gt;='01_Run_Config'!$B$32,OR(AL67="",AL67&lt;=49)),2,0),0)</x:f>
        <x:v>0</x:v>
      </x:c>
      <x:c r="AX67" t="n">
        <x:f>IF('01_Run_Config'!$B$49&lt;&gt;"ON / EXPERIMENTAL",0,IF(OR(AND(A67&gt;='01_Run_Config'!$B$32+7,A67&lt;'01_Run_Config'!$B$33),AND(ISNUMBER(AL67),AL67&gt;=1,AL67&lt;=49)),2,0))</x:f>
        <x:v>0</x:v>
      </x:c>
      <x:c r="AY67" t="n">
        <x:f>IF('01_Run_Config'!$B$50="AN Sensizym",IF(AND(A67&gt;='01_Run_Config'!$B$32,OR(AL67="",AL67&lt;=49)),2,0),0)</x:f>
        <x:v>0</x:v>
      </x:c>
      <x:c r="AZ67" t="n">
        <x:f>IF('01_Run_Config'!$B$51="AN Rhino Skin",IF(AND(A67&gt;='01_Run_Config'!$B$32,OR(AL67="",AL67&lt;=49)),2,0),0)</x:f>
        <x:v>0</x:v>
      </x:c>
      <x:c r="BA67" t="n">
        <x:f>IF(AND('01_Run_Config'!$B$52="AN Bud Ignitor &gt; Big Bud &gt; Overdrive",ISNUMBER(AL67),AL67&gt;=1,AL67&lt;=14),2,0)</x:f>
        <x:v>0</x:v>
      </x:c>
      <x:c r="BB67" t="n">
        <x:f>IF(AND('01_Run_Config'!$B$52="AN Bud Ignitor &gt; Big Bud &gt; Overdrive",ISNUMBER(AL67),AL67&gt;=8,AL67&lt;=35),2,0)</x:f>
        <x:v>0</x:v>
      </x:c>
      <x:c r="BC67" t="n">
        <x:f>IF(AND('01_Run_Config'!$B$52="AN Bud Ignitor &gt; Big Bud &gt; Overdrive",ISNUMBER(AL67),AL67&gt;=36,AL67&lt;=49),2,0)</x:f>
        <x:v>0</x:v>
      </x:c>
      <x:c r="BD67" t="n">
        <x:f>IF('01_Run_Config'!$B$53="ON / EXPERIMENTAL",IF(OR(AND(A67&gt;='01_Run_Config'!$B$32,A67&lt;'01_Run_Config'!$B$33),AND(ISNUMBER(AL67),AL67&gt;=15,AL67&lt;=49)),2,0),0)</x:f>
        <x:v>0</x:v>
      </x:c>
      <x:c r="BE67" t="n">
        <x:f>IF('01_Run_Config'!$B$54="AN Sensi CalMag Xtra conditional",'01_Run_Config'!$B$17,0)</x:f>
        <x:v>0</x:v>
      </x:c>
      <x:c r="BF67" t="n">
        <x:f>0</x:f>
        <x:v>0</x:v>
      </x:c>
      <x:c r="BG67" t="str">
        <x:f>'01_Run_Config'!$E$57</x:f>
        <x:v>OK</x:v>
      </x:c>
      <x:c r="BH67" t="str">
        <x:f>IF(SUM(AC67,AT67:BF67)=0,"keine AN-Dosis heute",IF(AC67&gt;0,"Voodoo "&amp;AC67&amp;" ml/L; ","")&amp;IF(AT67&gt;0,"Piranha "&amp;AT67&amp;" ml/L; ","")&amp;IF(AU67&gt;0,"Tarantula "&amp;AU67&amp;" ml/L; ","")&amp;IF(AV67&gt;0,"B-52 "&amp;AV67&amp;" ml/L; ","")&amp;IF(AW67&gt;0,"Bud Candy "&amp;AW67&amp;" ml/L; ","")&amp;IF(AX67&gt;0,"Bud Factor X "&amp;AX67&amp;" ml/L; ","")&amp;IF(AY67&gt;0,"Sensizym "&amp;AY67&amp;" ml/L; ","")&amp;IF(AZ67&gt;0,"Rhino Skin "&amp;AZ67&amp;" ml/L; ","")&amp;IF(BA67&gt;0,"Bud Ignitor "&amp;BA67&amp;" ml/L; ","")&amp;IF(BB67&gt;0,"Big Bud "&amp;BB67&amp;" ml/L; ","")&amp;IF(BC67&gt;0,"Overdrive "&amp;BC67&amp;" ml/L; ","")&amp;IF(BD67&gt;0,"Tasty Terpenes "&amp;BD67&amp;" ml/L; ","")&amp;IF(BE67&gt;0,"Sensi CalMag "&amp;BE67&amp;" ml/L",""))</x:f>
        <x:v>keine AN-Dosis heute</x:v>
      </x:c>
    </x:row>
    <x:row r="68">
      <x:c r="A68" s="34" t="n">
        <x:v>66</x:v>
      </x:c>
      <x:c r="B68" s="129" t="n">
        <x:f>'01_Run_Config'!$B$4+A68</x:f>
        <x:v>46308</x:v>
      </x:c>
      <x:c r="C68" s="63" t="n">
        <x:f>INT(A68/7)+1</x:f>
        <x:v>10</x:v>
      </x:c>
      <x:c r="D68" s="63" t="str">
        <x:f>"M"&amp;MIN(3,INT(A68/30)+1)</x:f>
        <x:v>M3</x:v>
      </x:c>
      <x:c r="E68" s="63" t="str">
        <x:f>IF(A68&lt;4,"Keimung",IF(A68&lt;8,"Etablierung",IF(A68&lt;15,"Early Veg",IF(A68&lt;'01_Run_Config'!$B$33,IF(A68&lt;22,"Veg / LST","Preflower-Watch"),IF(A68-'01_Run_Config'!$B$33&lt;=6,"Transition / Stretch ("&amp;AM68&amp;")",IF(A68-'01_Run_Config'!$B$33&lt;=13,"Early Flower ("&amp;AM68&amp;")",IF(A68-'01_Run_Config'!$B$33&lt;=20,"Flower I ("&amp;AM68&amp;")",IF(A68-'01_Run_Config'!$B$33&lt;=34,"Peak Flower ("&amp;AM68&amp;")",IF(A68-'01_Run_Config'!$B$33&lt;=41,"Late Flower ("&amp;AM68&amp;")",IF(A68-'01_Run_Config'!$B$33&lt;=48,"Ripening ("&amp;AM68&amp;")","Harvest / Extension ("&amp;AM68&amp;")"))))))))))</x:f>
        <x:v>Late Flower (B6)</x:v>
      </x:c>
      <x:c r="F68" s="63" t="str">
        <x:f>IF(A68&lt;4,"Keimung + Wurzelstart",IF(A68&lt;8,"Sämling etablieren; Wurzelraum erschließen",IF(A68&lt;15,"kompakter Aufbau; LST erst bei Vitalität",IF(A68&lt;'01_Run_Config'!$B$33,"Canopy aufbauen; Preflower beobachten",IF(A68-'01_Run_Config'!$B$33&lt;=6,"Stretch kontrollieren; Bloom-Trigger dokumentieren",IF(A68-'01_Run_Config'!$B$33&lt;=13,"Blütenansatz stabilisieren",IF(A68-'01_Run_Config'!$B$33&lt;=20,"Blütenaufbau ohne neue Stressoren",IF(A68-'01_Run_Config'!$B$33&lt;=34,"stabile Peak-Photosynthese; Klima priorisieren",IF(A68-'01_Run_Config'!$B$33&lt;=41,"Qualität/Schimmelprävention",IF(A68-'01_Run_Config'!$B$33&lt;=48,"Reife ohne Überfütterung","Erntefenster nach Pflanze; keine Kalenderernte"))))))))))</x:f>
        <x:v>Qualität/Schimmelprävention</x:v>
      </x:c>
      <x:c r="G68" s="63" t="n">
        <x:v>18</x:v>
      </x:c>
      <x:c r="H68" s="63" t="n">
        <x:v>120</x:v>
      </x:c>
      <x:c r="I68" s="63" t="n">
        <x:v>550</x:v>
      </x:c>
      <x:c r="J68" s="63" t="n">
        <x:f>I68*G68*3600/1000000</x:f>
        <x:v>35.64</x:v>
      </x:c>
      <x:c r="K68" s="63" t="n">
        <x:v>37</x:v>
      </x:c>
      <x:c r="L68" s="63" t="n">
        <x:v>23.5</x:v>
      </x:c>
      <x:c r="M68" s="63" t="n">
        <x:v>20.5</x:v>
      </x:c>
      <x:c r="N68" s="63" t="n">
        <x:v>43</x:v>
      </x:c>
      <x:c r="O68" s="63" t="n">
        <x:f>ROUND(0.6108*EXP(17.27*(L68+'01_Run_Config'!$B$34)/(L68+'01_Run_Config'!$B$34+237.3))-(N68/100)*0.6108*EXP(17.27*L68/(L68+237.3)),2)</x:f>
        <x:v>1.48</x:v>
      </x:c>
      <x:c r="P68" s="63" t="n">
        <x:f>IF(A68&lt;'01_Run_Config'!$B$32,0.55,IF(A68&lt;'01_Run_Config'!$B$33,IF(A68-'01_Run_Config'!$B$32&lt;=3,0.8,IF(A68-'01_Run_Config'!$B$32&lt;=10,1,IF(A68-'01_Run_Config'!$B$32&lt;=17,1.2,1.4))),IF(A68-'01_Run_Config'!$B$33&lt;=6,1.5,IF(A68-'01_Run_Config'!$B$33&lt;=13,1.6,IF(A68-'01_Run_Config'!$B$33&lt;=20,1.7,IF(A68-'01_Run_Config'!$B$33&lt;=34,1.8,IF(A68-'01_Run_Config'!$B$33&lt;=41,1.6,IF(A68-'01_Run_Config'!$B$33&lt;=48,1.4,1.15))))))))</x:f>
        <x:v>1.6</x:v>
      </x:c>
      <x:c r="Q68" s="63" t="n">
        <x:v>5.9</x:v>
      </x:c>
      <x:c r="R68" s="63" t="n">
        <x:v>0.6</x:v>
      </x:c>
      <x:c r="S68" s="63" t="n">
        <x:v>1</x:v>
      </x:c>
      <x:c r="T68" s="63" t="str">
        <x:f>IF(A68&lt;=7,"Manuell",'01_Run_Config'!$B$40)</x:f>
        <x:v>Manuell / indoor-freigegebene Automation</x:v>
      </x:c>
      <x:c r="U68" s="63" t="str">
        <x:f>IF(A68&lt;'01_Run_Config'!$B$32,"Kein Basisdünger",IF(A68&lt;'01_Run_Config'!$B$33,"HESI TNT","HESI Coco"))</x:f>
        <x:v>HESI Coco</x:v>
      </x:c>
      <x:c r="V68" s="63" t="n">
        <x:f>IF(A68&lt;'01_Run_Config'!$B$32,0,IF(A68&lt;'01_Run_Config'!$B$33,IF(A68-'01_Run_Config'!$B$32&lt;=3,1.25,IF(A68-'01_Run_Config'!$B$32&lt;=10,2,2.5)),IF(A68-'01_Run_Config'!$B$33&lt;=6,2.5,IF(A68-'01_Run_Config'!$B$33&lt;=13,3.25,IF(A68-'01_Run_Config'!$B$33&lt;=20,3.75,IF(A68-'01_Run_Config'!$B$33&lt;=34,4,IF(A68-'01_Run_Config'!$B$33&lt;=41,3.5,IF(A68-'01_Run_Config'!$B$33&lt;=48,2.5,1.5))))))))</x:f>
        <x:v>3.5</x:v>
      </x:c>
      <x:c r="W68" s="63" t="n">
        <x:f>IF(A68&lt;=14,2.5,0)</x:f>
        <x:v>0</x:v>
      </x:c>
      <x:c r="X68" s="63" t="n">
        <x:f>IF('01_Run_Config'!$B$50="AN Sensizym",0,IF(AND(A68&gt;='01_Run_Config'!$B$32,OR(AL68="",AL68&lt;=49)),2,0))</x:f>
        <x:v>2</x:v>
      </x:c>
      <x:c r="Y68" s="63" t="n">
        <x:f>0.015</x:f>
        <x:v>0.015</x:v>
      </x:c>
      <x:c r="Z68" s="63" t="n">
        <x:f>IF('01_Run_Config'!$B$51="HESI Hesilicio",2,0)</x:f>
        <x:v>0</x:v>
      </x:c>
      <x:c r="AA68" s="63" t="n">
        <x:f>IF('01_Run_Config'!$B$48="AN Bud Candy (replaces HESI Boost)",0,IF(AND(A68&gt;='01_Run_Config'!$B$33,MOD(A68-'01_Run_Config'!$B$33,7)=0),2,0))</x:f>
        <x:v>0</x:v>
      </x:c>
      <x:c r="AB68" s="63" t="n">
        <x:f>IF('01_Run_Config'!$B$52="AN Bud Ignitor &gt; Big Bud &gt; Overdrive",0,IF(AND(ISNUMBER(AL68),AL68&gt;=29,AL68&lt;=42),0.25+((AL68-29)/13)*0.25,0))</x:f>
        <x:v>0.4423076923076923</x:v>
      </x:c>
      <x:c r="AC68" s="63" t="n">
        <x:f>IF('01_Run_Config'!$B$46="OFF",0,IF(OR(A68='01_Run_Config'!$B$32,A68='01_Run_Config'!$B$32+7,A68='01_Run_Config'!$B$33+1,A68='01_Run_Config'!$B$33+8),2,0))</x:f>
        <x:v>0</x:v>
      </x:c>
      <x:c r="AD68" s="63" t="str">
        <x:f>IF(BG68="BLOCK","HYBRID BLOCKED - Konfiguration prüfen",IF(SUM(AC68,AT68:BF68)&gt;0,"AN aktiv: "&amp;BH68,"AN: keine Dosis heute / Module aus"))</x:f>
        <x:v>AN: keine Dosis heute / Module aus</x:v>
      </x:c>
      <x:c r="AE68" s="63" t="str">
        <x:v>Nur Stützen</x:v>
      </x:c>
      <x:c r="AF68" s="63" t="str">
        <x:v>Morgens Klima/Pflanze/Bewässerung/Leck; Mitte Lichtphase Blattwinkel; vor Dunkel LF/Drain/stehendes Wasser.</x:v>
      </x:c>
      <x:c r="AG68" s="63" t="str">
        <x:v>EC nicht erhöhen bei steigender Diagnose-Drain-EC; PPFD nicht erhöhen bei Stress; Wasserband nie erzwingen; nie mehrere neue Booster gleichzeitig.</x:v>
      </x:c>
      <x:c r="AH68" s="35" t="str">
        <x:f>"UKD v9 evidence-guarded: Planwerte sind Ziele/Eligibility, keine automatische Freigabe. Eazy Plug/Block ist vorgepuffert; früher Basisfeed bleibt vom Propagation-/Pflanzengate abhängig. Messdaten und Safety-Gates überschreiben Kalender."</x:f>
        <x:v>UKD v9 evidence-guarded: Planwerte sind Ziele/Eligibility, keine automatische Freigabe. Eazy Plug/Block ist vorgepuffert; früher Basisfeed bleibt vom Propagation-/Pflanzengate abhängig. Messdaten und Safety-Gates überschreiben Kalender.</x:v>
      </x:c>
      <x:c r="AI68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68" s="201" t="str">
        <x:f>IF(A68&lt;'01_Run_Config'!$B$32,"—",IF(A68&lt;'01_Run_Config'!$B$33,"G"&amp;MIN(4,INT((A68-'01_Run_Config'!$B$32)/7)+1),AM68))</x:f>
        <x:v>B6</x:v>
      </x:c>
      <x:c r="AK68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68" s="60" t="n">
        <x:f>IF(A68&lt;'01_Run_Config'!$B$33,"",A68-'01_Run_Config'!$B$33+1)</x:f>
        <x:v>39</x:v>
      </x:c>
      <x:c r="AM68" s="60" t="str">
        <x:f>IF(AL68="","",IF(AL68&gt;49,CHAR(66)&amp;"7+",CHAR(66)&amp;TEXT(INT((AL68-1)/7)+1,"0")))</x:f>
        <x:v>B6</x:v>
      </x:c>
      <x:c r="AN68" s="60" t="n">
        <x:f>ROUND(0.6108*EXP(17.27*L68/(L68+237.3))*(1-N68/100),2)</x:f>
        <x:v>1.65</x:v>
      </x:c>
      <x:c r="AO68" s="60" t="n">
        <x:f>H68*G68/1000</x:f>
        <x:v>2.16</x:v>
      </x:c>
      <x:c r="AP68" s="60" t="n">
        <x:f>SUM($AO$2:AO68)</x:f>
        <x:v>123.65999999999995</x:v>
      </x:c>
      <x:c r="AQ68" t="n">
        <x:f>'01_Run_Config'!$B$17</x:f>
        <x:v>0</x:v>
      </x:c>
      <x:c r="AR68" t="n">
        <x:f>'01_Run_Config'!$B$22</x:f>
        <x:v>0</x:v>
      </x:c>
      <x:c r="AS68" t="n">
        <x:f>'01_Run_Config'!$B$25</x:f>
        <x:v>0</x:v>
      </x:c>
      <x:c r="AT68" t="n">
        <x:f>IF(AND('01_Run_Config'!$B$46="Voodoo + Piranha + Tarantula",AC68&gt;0),2,0)</x:f>
        <x:v>0</x:v>
      </x:c>
      <x:c r="AU68" t="n">
        <x:f>IF(AND(OR('01_Run_Config'!$B$46="Voodoo + Tarantula",'01_Run_Config'!$B$46="Voodoo + Piranha + Tarantula"),AC68&gt;0),2,0)</x:f>
        <x:v>0</x:v>
      </x:c>
      <x:c r="AV68" t="n">
        <x:f>IF('01_Run_Config'!$B$47&lt;&gt;"ON / A-B",0,IF(OR(AND(A68&gt;='01_Run_Config'!$B$32,A68&lt;'01_Run_Config'!$B$33),AND(ISNUMBER(AL68),AL68&gt;=15,AL68&lt;=49)),2,0))</x:f>
        <x:v>0</x:v>
      </x:c>
      <x:c r="AW68" t="n">
        <x:f>IF('01_Run_Config'!$B$48="AN Bud Candy (replaces HESI Boost)",IF(AND(A68&gt;='01_Run_Config'!$B$32,OR(AL68="",AL68&lt;=49)),2,0),0)</x:f>
        <x:v>0</x:v>
      </x:c>
      <x:c r="AX68" t="n">
        <x:f>IF('01_Run_Config'!$B$49&lt;&gt;"ON / EXPERIMENTAL",0,IF(OR(AND(A68&gt;='01_Run_Config'!$B$32+7,A68&lt;'01_Run_Config'!$B$33),AND(ISNUMBER(AL68),AL68&gt;=1,AL68&lt;=49)),2,0))</x:f>
        <x:v>0</x:v>
      </x:c>
      <x:c r="AY68" t="n">
        <x:f>IF('01_Run_Config'!$B$50="AN Sensizym",IF(AND(A68&gt;='01_Run_Config'!$B$32,OR(AL68="",AL68&lt;=49)),2,0),0)</x:f>
        <x:v>0</x:v>
      </x:c>
      <x:c r="AZ68" t="n">
        <x:f>IF('01_Run_Config'!$B$51="AN Rhino Skin",IF(AND(A68&gt;='01_Run_Config'!$B$32,OR(AL68="",AL68&lt;=49)),2,0),0)</x:f>
        <x:v>0</x:v>
      </x:c>
      <x:c r="BA68" t="n">
        <x:f>IF(AND('01_Run_Config'!$B$52="AN Bud Ignitor &gt; Big Bud &gt; Overdrive",ISNUMBER(AL68),AL68&gt;=1,AL68&lt;=14),2,0)</x:f>
        <x:v>0</x:v>
      </x:c>
      <x:c r="BB68" t="n">
        <x:f>IF(AND('01_Run_Config'!$B$52="AN Bud Ignitor &gt; Big Bud &gt; Overdrive",ISNUMBER(AL68),AL68&gt;=8,AL68&lt;=35),2,0)</x:f>
        <x:v>0</x:v>
      </x:c>
      <x:c r="BC68" t="n">
        <x:f>IF(AND('01_Run_Config'!$B$52="AN Bud Ignitor &gt; Big Bud &gt; Overdrive",ISNUMBER(AL68),AL68&gt;=36,AL68&lt;=49),2,0)</x:f>
        <x:v>0</x:v>
      </x:c>
      <x:c r="BD68" t="n">
        <x:f>IF('01_Run_Config'!$B$53="ON / EXPERIMENTAL",IF(OR(AND(A68&gt;='01_Run_Config'!$B$32,A68&lt;'01_Run_Config'!$B$33),AND(ISNUMBER(AL68),AL68&gt;=15,AL68&lt;=49)),2,0),0)</x:f>
        <x:v>0</x:v>
      </x:c>
      <x:c r="BE68" t="n">
        <x:f>IF('01_Run_Config'!$B$54="AN Sensi CalMag Xtra conditional",'01_Run_Config'!$B$17,0)</x:f>
        <x:v>0</x:v>
      </x:c>
      <x:c r="BF68" t="n">
        <x:f>0</x:f>
        <x:v>0</x:v>
      </x:c>
      <x:c r="BG68" t="str">
        <x:f>'01_Run_Config'!$E$57</x:f>
        <x:v>OK</x:v>
      </x:c>
      <x:c r="BH68" t="str">
        <x:f>IF(SUM(AC68,AT68:BF68)=0,"keine AN-Dosis heute",IF(AC68&gt;0,"Voodoo "&amp;AC68&amp;" ml/L; ","")&amp;IF(AT68&gt;0,"Piranha "&amp;AT68&amp;" ml/L; ","")&amp;IF(AU68&gt;0,"Tarantula "&amp;AU68&amp;" ml/L; ","")&amp;IF(AV68&gt;0,"B-52 "&amp;AV68&amp;" ml/L; ","")&amp;IF(AW68&gt;0,"Bud Candy "&amp;AW68&amp;" ml/L; ","")&amp;IF(AX68&gt;0,"Bud Factor X "&amp;AX68&amp;" ml/L; ","")&amp;IF(AY68&gt;0,"Sensizym "&amp;AY68&amp;" ml/L; ","")&amp;IF(AZ68&gt;0,"Rhino Skin "&amp;AZ68&amp;" ml/L; ","")&amp;IF(BA68&gt;0,"Bud Ignitor "&amp;BA68&amp;" ml/L; ","")&amp;IF(BB68&gt;0,"Big Bud "&amp;BB68&amp;" ml/L; ","")&amp;IF(BC68&gt;0,"Overdrive "&amp;BC68&amp;" ml/L; ","")&amp;IF(BD68&gt;0,"Tasty Terpenes "&amp;BD68&amp;" ml/L; ","")&amp;IF(BE68&gt;0,"Sensi CalMag "&amp;BE68&amp;" ml/L",""))</x:f>
        <x:v>keine AN-Dosis heute</x:v>
      </x:c>
    </x:row>
    <x:row r="69">
      <x:c r="A69" s="34" t="n">
        <x:v>67</x:v>
      </x:c>
      <x:c r="B69" s="129" t="n">
        <x:f>'01_Run_Config'!$B$4+A69</x:f>
        <x:v>46309</x:v>
      </x:c>
      <x:c r="C69" s="63" t="n">
        <x:f>INT(A69/7)+1</x:f>
        <x:v>10</x:v>
      </x:c>
      <x:c r="D69" s="63" t="str">
        <x:f>"M"&amp;MIN(3,INT(A69/30)+1)</x:f>
        <x:v>M3</x:v>
      </x:c>
      <x:c r="E69" s="63" t="str">
        <x:f>IF(A69&lt;4,"Keimung",IF(A69&lt;8,"Etablierung",IF(A69&lt;15,"Early Veg",IF(A69&lt;'01_Run_Config'!$B$33,IF(A69&lt;22,"Veg / LST","Preflower-Watch"),IF(A69-'01_Run_Config'!$B$33&lt;=6,"Transition / Stretch ("&amp;AM69&amp;")",IF(A69-'01_Run_Config'!$B$33&lt;=13,"Early Flower ("&amp;AM69&amp;")",IF(A69-'01_Run_Config'!$B$33&lt;=20,"Flower I ("&amp;AM69&amp;")",IF(A69-'01_Run_Config'!$B$33&lt;=34,"Peak Flower ("&amp;AM69&amp;")",IF(A69-'01_Run_Config'!$B$33&lt;=41,"Late Flower ("&amp;AM69&amp;")",IF(A69-'01_Run_Config'!$B$33&lt;=48,"Ripening ("&amp;AM69&amp;")","Harvest / Extension ("&amp;AM69&amp;")"))))))))))</x:f>
        <x:v>Late Flower (B6)</x:v>
      </x:c>
      <x:c r="F69" s="63" t="str">
        <x:f>IF(A69&lt;4,"Keimung + Wurzelstart",IF(A69&lt;8,"Sämling etablieren; Wurzelraum erschließen",IF(A69&lt;15,"kompakter Aufbau; LST erst bei Vitalität",IF(A69&lt;'01_Run_Config'!$B$33,"Canopy aufbauen; Preflower beobachten",IF(A69-'01_Run_Config'!$B$33&lt;=6,"Stretch kontrollieren; Bloom-Trigger dokumentieren",IF(A69-'01_Run_Config'!$B$33&lt;=13,"Blütenansatz stabilisieren",IF(A69-'01_Run_Config'!$B$33&lt;=20,"Blütenaufbau ohne neue Stressoren",IF(A69-'01_Run_Config'!$B$33&lt;=34,"stabile Peak-Photosynthese; Klima priorisieren",IF(A69-'01_Run_Config'!$B$33&lt;=41,"Qualität/Schimmelprävention",IF(A69-'01_Run_Config'!$B$33&lt;=48,"Reife ohne Überfütterung","Erntefenster nach Pflanze; keine Kalenderernte"))))))))))</x:f>
        <x:v>Qualität/Schimmelprävention</x:v>
      </x:c>
      <x:c r="G69" s="63" t="n">
        <x:v>18</x:v>
      </x:c>
      <x:c r="H69" s="63" t="n">
        <x:v>120</x:v>
      </x:c>
      <x:c r="I69" s="63" t="n">
        <x:v>550</x:v>
      </x:c>
      <x:c r="J69" s="63" t="n">
        <x:f>I69*G69*3600/1000000</x:f>
        <x:v>35.64</x:v>
      </x:c>
      <x:c r="K69" s="63" t="n">
        <x:v>37</x:v>
      </x:c>
      <x:c r="L69" s="63" t="n">
        <x:v>23.5</x:v>
      </x:c>
      <x:c r="M69" s="63" t="n">
        <x:v>20.5</x:v>
      </x:c>
      <x:c r="N69" s="63" t="n">
        <x:v>43</x:v>
      </x:c>
      <x:c r="O69" s="63" t="n">
        <x:f>ROUND(0.6108*EXP(17.27*(L69+'01_Run_Config'!$B$34)/(L69+'01_Run_Config'!$B$34+237.3))-(N69/100)*0.6108*EXP(17.27*L69/(L69+237.3)),2)</x:f>
        <x:v>1.48</x:v>
      </x:c>
      <x:c r="P69" s="63" t="n">
        <x:f>IF(A69&lt;'01_Run_Config'!$B$32,0.55,IF(A69&lt;'01_Run_Config'!$B$33,IF(A69-'01_Run_Config'!$B$32&lt;=3,0.8,IF(A69-'01_Run_Config'!$B$32&lt;=10,1,IF(A69-'01_Run_Config'!$B$32&lt;=17,1.2,1.4))),IF(A69-'01_Run_Config'!$B$33&lt;=6,1.5,IF(A69-'01_Run_Config'!$B$33&lt;=13,1.6,IF(A69-'01_Run_Config'!$B$33&lt;=20,1.7,IF(A69-'01_Run_Config'!$B$33&lt;=34,1.8,IF(A69-'01_Run_Config'!$B$33&lt;=41,1.6,IF(A69-'01_Run_Config'!$B$33&lt;=48,1.4,1.15))))))))</x:f>
        <x:v>1.6</x:v>
      </x:c>
      <x:c r="Q69" s="63" t="n">
        <x:v>5.9</x:v>
      </x:c>
      <x:c r="R69" s="63" t="n">
        <x:v>0.6</x:v>
      </x:c>
      <x:c r="S69" s="63" t="n">
        <x:v>1</x:v>
      </x:c>
      <x:c r="T69" s="63" t="str">
        <x:f>IF(A69&lt;=7,"Manuell",'01_Run_Config'!$B$40)</x:f>
        <x:v>Manuell / indoor-freigegebene Automation</x:v>
      </x:c>
      <x:c r="U69" s="63" t="str">
        <x:f>IF(A69&lt;'01_Run_Config'!$B$32,"Kein Basisdünger",IF(A69&lt;'01_Run_Config'!$B$33,"HESI TNT","HESI Coco"))</x:f>
        <x:v>HESI Coco</x:v>
      </x:c>
      <x:c r="V69" s="63" t="n">
        <x:f>IF(A69&lt;'01_Run_Config'!$B$32,0,IF(A69&lt;'01_Run_Config'!$B$33,IF(A69-'01_Run_Config'!$B$32&lt;=3,1.25,IF(A69-'01_Run_Config'!$B$32&lt;=10,2,2.5)),IF(A69-'01_Run_Config'!$B$33&lt;=6,2.5,IF(A69-'01_Run_Config'!$B$33&lt;=13,3.25,IF(A69-'01_Run_Config'!$B$33&lt;=20,3.75,IF(A69-'01_Run_Config'!$B$33&lt;=34,4,IF(A69-'01_Run_Config'!$B$33&lt;=41,3.5,IF(A69-'01_Run_Config'!$B$33&lt;=48,2.5,1.5))))))))</x:f>
        <x:v>3.5</x:v>
      </x:c>
      <x:c r="W69" s="63" t="n">
        <x:f>IF(A69&lt;=14,2.5,0)</x:f>
        <x:v>0</x:v>
      </x:c>
      <x:c r="X69" s="63" t="n">
        <x:f>IF('01_Run_Config'!$B$50="AN Sensizym",0,IF(AND(A69&gt;='01_Run_Config'!$B$32,OR(AL69="",AL69&lt;=49)),2,0))</x:f>
        <x:v>2</x:v>
      </x:c>
      <x:c r="Y69" s="63" t="n">
        <x:f>0.015</x:f>
        <x:v>0.015</x:v>
      </x:c>
      <x:c r="Z69" s="63" t="n">
        <x:f>IF('01_Run_Config'!$B$51="HESI Hesilicio",2,0)</x:f>
        <x:v>0</x:v>
      </x:c>
      <x:c r="AA69" s="63" t="n">
        <x:f>IF('01_Run_Config'!$B$48="AN Bud Candy (replaces HESI Boost)",0,IF(AND(A69&gt;='01_Run_Config'!$B$33,MOD(A69-'01_Run_Config'!$B$33,7)=0),2,0))</x:f>
        <x:v>0</x:v>
      </x:c>
      <x:c r="AB69" s="63" t="n">
        <x:f>IF('01_Run_Config'!$B$52="AN Bud Ignitor &gt; Big Bud &gt; Overdrive",0,IF(AND(ISNUMBER(AL69),AL69&gt;=29,AL69&lt;=42),0.25+((AL69-29)/13)*0.25,0))</x:f>
        <x:v>0.46153846153846156</x:v>
      </x:c>
      <x:c r="AC69" s="63" t="n">
        <x:f>IF('01_Run_Config'!$B$46="OFF",0,IF(OR(A69='01_Run_Config'!$B$32,A69='01_Run_Config'!$B$32+7,A69='01_Run_Config'!$B$33+1,A69='01_Run_Config'!$B$33+8),2,0))</x:f>
        <x:v>0</x:v>
      </x:c>
      <x:c r="AD69" s="63" t="str">
        <x:f>IF(BG69="BLOCK","HYBRID BLOCKED - Konfiguration prüfen",IF(SUM(AC69,AT69:BF69)&gt;0,"AN aktiv: "&amp;BH69,"AN: keine Dosis heute / Module aus"))</x:f>
        <x:v>AN: keine Dosis heute / Module aus</x:v>
      </x:c>
      <x:c r="AE69" s="63" t="str">
        <x:v>Nur Stützen</x:v>
      </x:c>
      <x:c r="AF69" s="63" t="str">
        <x:v>Morgens Klima/Pflanze/Bewässerung/Leck; Mitte Lichtphase Blattwinkel; vor Dunkel LF/Drain/stehendes Wasser.</x:v>
      </x:c>
      <x:c r="AG69" s="63" t="str">
        <x:v>EC nicht erhöhen bei steigender Diagnose-Drain-EC; PPFD nicht erhöhen bei Stress; Wasserband nie erzwingen; nie mehrere neue Booster gleichzeitig.</x:v>
      </x:c>
      <x:c r="AH69" s="35" t="str">
        <x:f>"UKD v9 evidence-guarded: Planwerte sind Ziele/Eligibility, keine automatische Freigabe. Eazy Plug/Block ist vorgepuffert; früher Basisfeed bleibt vom Propagation-/Pflanzengate abhängig. Messdaten und Safety-Gates überschreiben Kalender."</x:f>
        <x:v>UKD v9 evidence-guarded: Planwerte sind Ziele/Eligibility, keine automatische Freigabe. Eazy Plug/Block ist vorgepuffert; früher Basisfeed bleibt vom Propagation-/Pflanzengate abhängig. Messdaten und Safety-Gates überschreiben Kalender.</x:v>
      </x:c>
      <x:c r="AI69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69" s="201" t="str">
        <x:f>IF(A69&lt;'01_Run_Config'!$B$32,"—",IF(A69&lt;'01_Run_Config'!$B$33,"G"&amp;MIN(4,INT((A69-'01_Run_Config'!$B$32)/7)+1),AM69))</x:f>
        <x:v>B6</x:v>
      </x:c>
      <x:c r="AK69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69" s="60" t="n">
        <x:f>IF(A69&lt;'01_Run_Config'!$B$33,"",A69-'01_Run_Config'!$B$33+1)</x:f>
        <x:v>40</x:v>
      </x:c>
      <x:c r="AM69" s="60" t="str">
        <x:f>IF(AL69="","",IF(AL69&gt;49,CHAR(66)&amp;"7+",CHAR(66)&amp;TEXT(INT((AL69-1)/7)+1,"0")))</x:f>
        <x:v>B6</x:v>
      </x:c>
      <x:c r="AN69" s="60" t="n">
        <x:f>ROUND(0.6108*EXP(17.27*L69/(L69+237.3))*(1-N69/100),2)</x:f>
        <x:v>1.65</x:v>
      </x:c>
      <x:c r="AO69" s="60" t="n">
        <x:f>H69*G69/1000</x:f>
        <x:v>2.16</x:v>
      </x:c>
      <x:c r="AP69" s="60" t="n">
        <x:f>SUM($AO$2:AO69)</x:f>
        <x:v>125.81999999999995</x:v>
      </x:c>
      <x:c r="AQ69" t="n">
        <x:f>'01_Run_Config'!$B$17</x:f>
        <x:v>0</x:v>
      </x:c>
      <x:c r="AR69" t="n">
        <x:f>'01_Run_Config'!$B$22</x:f>
        <x:v>0</x:v>
      </x:c>
      <x:c r="AS69" t="n">
        <x:f>'01_Run_Config'!$B$25</x:f>
        <x:v>0</x:v>
      </x:c>
      <x:c r="AT69" t="n">
        <x:f>IF(AND('01_Run_Config'!$B$46="Voodoo + Piranha + Tarantula",AC69&gt;0),2,0)</x:f>
        <x:v>0</x:v>
      </x:c>
      <x:c r="AU69" t="n">
        <x:f>IF(AND(OR('01_Run_Config'!$B$46="Voodoo + Tarantula",'01_Run_Config'!$B$46="Voodoo + Piranha + Tarantula"),AC69&gt;0),2,0)</x:f>
        <x:v>0</x:v>
      </x:c>
      <x:c r="AV69" t="n">
        <x:f>IF('01_Run_Config'!$B$47&lt;&gt;"ON / A-B",0,IF(OR(AND(A69&gt;='01_Run_Config'!$B$32,A69&lt;'01_Run_Config'!$B$33),AND(ISNUMBER(AL69),AL69&gt;=15,AL69&lt;=49)),2,0))</x:f>
        <x:v>0</x:v>
      </x:c>
      <x:c r="AW69" t="n">
        <x:f>IF('01_Run_Config'!$B$48="AN Bud Candy (replaces HESI Boost)",IF(AND(A69&gt;='01_Run_Config'!$B$32,OR(AL69="",AL69&lt;=49)),2,0),0)</x:f>
        <x:v>0</x:v>
      </x:c>
      <x:c r="AX69" t="n">
        <x:f>IF('01_Run_Config'!$B$49&lt;&gt;"ON / EXPERIMENTAL",0,IF(OR(AND(A69&gt;='01_Run_Config'!$B$32+7,A69&lt;'01_Run_Config'!$B$33),AND(ISNUMBER(AL69),AL69&gt;=1,AL69&lt;=49)),2,0))</x:f>
        <x:v>0</x:v>
      </x:c>
      <x:c r="AY69" t="n">
        <x:f>IF('01_Run_Config'!$B$50="AN Sensizym",IF(AND(A69&gt;='01_Run_Config'!$B$32,OR(AL69="",AL69&lt;=49)),2,0),0)</x:f>
        <x:v>0</x:v>
      </x:c>
      <x:c r="AZ69" t="n">
        <x:f>IF('01_Run_Config'!$B$51="AN Rhino Skin",IF(AND(A69&gt;='01_Run_Config'!$B$32,OR(AL69="",AL69&lt;=49)),2,0),0)</x:f>
        <x:v>0</x:v>
      </x:c>
      <x:c r="BA69" t="n">
        <x:f>IF(AND('01_Run_Config'!$B$52="AN Bud Ignitor &gt; Big Bud &gt; Overdrive",ISNUMBER(AL69),AL69&gt;=1,AL69&lt;=14),2,0)</x:f>
        <x:v>0</x:v>
      </x:c>
      <x:c r="BB69" t="n">
        <x:f>IF(AND('01_Run_Config'!$B$52="AN Bud Ignitor &gt; Big Bud &gt; Overdrive",ISNUMBER(AL69),AL69&gt;=8,AL69&lt;=35),2,0)</x:f>
        <x:v>0</x:v>
      </x:c>
      <x:c r="BC69" t="n">
        <x:f>IF(AND('01_Run_Config'!$B$52="AN Bud Ignitor &gt; Big Bud &gt; Overdrive",ISNUMBER(AL69),AL69&gt;=36,AL69&lt;=49),2,0)</x:f>
        <x:v>0</x:v>
      </x:c>
      <x:c r="BD69" t="n">
        <x:f>IF('01_Run_Config'!$B$53="ON / EXPERIMENTAL",IF(OR(AND(A69&gt;='01_Run_Config'!$B$32,A69&lt;'01_Run_Config'!$B$33),AND(ISNUMBER(AL69),AL69&gt;=15,AL69&lt;=49)),2,0),0)</x:f>
        <x:v>0</x:v>
      </x:c>
      <x:c r="BE69" t="n">
        <x:f>IF('01_Run_Config'!$B$54="AN Sensi CalMag Xtra conditional",'01_Run_Config'!$B$17,0)</x:f>
        <x:v>0</x:v>
      </x:c>
      <x:c r="BF69" t="n">
        <x:f>0</x:f>
        <x:v>0</x:v>
      </x:c>
      <x:c r="BG69" t="str">
        <x:f>'01_Run_Config'!$E$57</x:f>
        <x:v>OK</x:v>
      </x:c>
      <x:c r="BH69" t="str">
        <x:f>IF(SUM(AC69,AT69:BF69)=0,"keine AN-Dosis heute",IF(AC69&gt;0,"Voodoo "&amp;AC69&amp;" ml/L; ","")&amp;IF(AT69&gt;0,"Piranha "&amp;AT69&amp;" ml/L; ","")&amp;IF(AU69&gt;0,"Tarantula "&amp;AU69&amp;" ml/L; ","")&amp;IF(AV69&gt;0,"B-52 "&amp;AV69&amp;" ml/L; ","")&amp;IF(AW69&gt;0,"Bud Candy "&amp;AW69&amp;" ml/L; ","")&amp;IF(AX69&gt;0,"Bud Factor X "&amp;AX69&amp;" ml/L; ","")&amp;IF(AY69&gt;0,"Sensizym "&amp;AY69&amp;" ml/L; ","")&amp;IF(AZ69&gt;0,"Rhino Skin "&amp;AZ69&amp;" ml/L; ","")&amp;IF(BA69&gt;0,"Bud Ignitor "&amp;BA69&amp;" ml/L; ","")&amp;IF(BB69&gt;0,"Big Bud "&amp;BB69&amp;" ml/L; ","")&amp;IF(BC69&gt;0,"Overdrive "&amp;BC69&amp;" ml/L; ","")&amp;IF(BD69&gt;0,"Tasty Terpenes "&amp;BD69&amp;" ml/L; ","")&amp;IF(BE69&gt;0,"Sensi CalMag "&amp;BE69&amp;" ml/L",""))</x:f>
        <x:v>keine AN-Dosis heute</x:v>
      </x:c>
    </x:row>
    <x:row r="70">
      <x:c r="A70" s="34" t="n">
        <x:v>68</x:v>
      </x:c>
      <x:c r="B70" s="129" t="n">
        <x:f>'01_Run_Config'!$B$4+A70</x:f>
        <x:v>46310</x:v>
      </x:c>
      <x:c r="C70" s="63" t="n">
        <x:f>INT(A70/7)+1</x:f>
        <x:v>10</x:v>
      </x:c>
      <x:c r="D70" s="63" t="str">
        <x:f>"M"&amp;MIN(3,INT(A70/30)+1)</x:f>
        <x:v>M3</x:v>
      </x:c>
      <x:c r="E70" s="63" t="str">
        <x:f>IF(A70&lt;4,"Keimung",IF(A70&lt;8,"Etablierung",IF(A70&lt;15,"Early Veg",IF(A70&lt;'01_Run_Config'!$B$33,IF(A70&lt;22,"Veg / LST","Preflower-Watch"),IF(A70-'01_Run_Config'!$B$33&lt;=6,"Transition / Stretch ("&amp;AM70&amp;")",IF(A70-'01_Run_Config'!$B$33&lt;=13,"Early Flower ("&amp;AM70&amp;")",IF(A70-'01_Run_Config'!$B$33&lt;=20,"Flower I ("&amp;AM70&amp;")",IF(A70-'01_Run_Config'!$B$33&lt;=34,"Peak Flower ("&amp;AM70&amp;")",IF(A70-'01_Run_Config'!$B$33&lt;=41,"Late Flower ("&amp;AM70&amp;")",IF(A70-'01_Run_Config'!$B$33&lt;=48,"Ripening ("&amp;AM70&amp;")","Harvest / Extension ("&amp;AM70&amp;")"))))))))))</x:f>
        <x:v>Late Flower (B6)</x:v>
      </x:c>
      <x:c r="F70" s="63" t="str">
        <x:f>IF(A70&lt;4,"Keimung + Wurzelstart",IF(A70&lt;8,"Sämling etablieren; Wurzelraum erschließen",IF(A70&lt;15,"kompakter Aufbau; LST erst bei Vitalität",IF(A70&lt;'01_Run_Config'!$B$33,"Canopy aufbauen; Preflower beobachten",IF(A70-'01_Run_Config'!$B$33&lt;=6,"Stretch kontrollieren; Bloom-Trigger dokumentieren",IF(A70-'01_Run_Config'!$B$33&lt;=13,"Blütenansatz stabilisieren",IF(A70-'01_Run_Config'!$B$33&lt;=20,"Blütenaufbau ohne neue Stressoren",IF(A70-'01_Run_Config'!$B$33&lt;=34,"stabile Peak-Photosynthese; Klima priorisieren",IF(A70-'01_Run_Config'!$B$33&lt;=41,"Qualität/Schimmelprävention",IF(A70-'01_Run_Config'!$B$33&lt;=48,"Reife ohne Überfütterung","Erntefenster nach Pflanze; keine Kalenderernte"))))))))))</x:f>
        <x:v>Qualität/Schimmelprävention</x:v>
      </x:c>
      <x:c r="G70" s="63" t="n">
        <x:v>18</x:v>
      </x:c>
      <x:c r="H70" s="63" t="n">
        <x:v>120</x:v>
      </x:c>
      <x:c r="I70" s="63" t="n">
        <x:v>550</x:v>
      </x:c>
      <x:c r="J70" s="63" t="n">
        <x:f>I70*G70*3600/1000000</x:f>
        <x:v>35.64</x:v>
      </x:c>
      <x:c r="K70" s="63" t="n">
        <x:v>37</x:v>
      </x:c>
      <x:c r="L70" s="63" t="n">
        <x:v>23.5</x:v>
      </x:c>
      <x:c r="M70" s="63" t="n">
        <x:v>20.5</x:v>
      </x:c>
      <x:c r="N70" s="63" t="n">
        <x:v>43</x:v>
      </x:c>
      <x:c r="O70" s="63" t="n">
        <x:f>ROUND(0.6108*EXP(17.27*(L70+'01_Run_Config'!$B$34)/(L70+'01_Run_Config'!$B$34+237.3))-(N70/100)*0.6108*EXP(17.27*L70/(L70+237.3)),2)</x:f>
        <x:v>1.48</x:v>
      </x:c>
      <x:c r="P70" s="63" t="n">
        <x:f>IF(A70&lt;'01_Run_Config'!$B$32,0.55,IF(A70&lt;'01_Run_Config'!$B$33,IF(A70-'01_Run_Config'!$B$32&lt;=3,0.8,IF(A70-'01_Run_Config'!$B$32&lt;=10,1,IF(A70-'01_Run_Config'!$B$32&lt;=17,1.2,1.4))),IF(A70-'01_Run_Config'!$B$33&lt;=6,1.5,IF(A70-'01_Run_Config'!$B$33&lt;=13,1.6,IF(A70-'01_Run_Config'!$B$33&lt;=20,1.7,IF(A70-'01_Run_Config'!$B$33&lt;=34,1.8,IF(A70-'01_Run_Config'!$B$33&lt;=41,1.6,IF(A70-'01_Run_Config'!$B$33&lt;=48,1.4,1.15))))))))</x:f>
        <x:v>1.6</x:v>
      </x:c>
      <x:c r="Q70" s="63" t="n">
        <x:v>5.9</x:v>
      </x:c>
      <x:c r="R70" s="63" t="n">
        <x:v>0.6</x:v>
      </x:c>
      <x:c r="S70" s="63" t="n">
        <x:v>1</x:v>
      </x:c>
      <x:c r="T70" s="63" t="str">
        <x:f>IF(A70&lt;=7,"Manuell",'01_Run_Config'!$B$40)</x:f>
        <x:v>Manuell / indoor-freigegebene Automation</x:v>
      </x:c>
      <x:c r="U70" s="63" t="str">
        <x:f>IF(A70&lt;'01_Run_Config'!$B$32,"Kein Basisdünger",IF(A70&lt;'01_Run_Config'!$B$33,"HESI TNT","HESI Coco"))</x:f>
        <x:v>HESI Coco</x:v>
      </x:c>
      <x:c r="V70" s="63" t="n">
        <x:f>IF(A70&lt;'01_Run_Config'!$B$32,0,IF(A70&lt;'01_Run_Config'!$B$33,IF(A70-'01_Run_Config'!$B$32&lt;=3,1.25,IF(A70-'01_Run_Config'!$B$32&lt;=10,2,2.5)),IF(A70-'01_Run_Config'!$B$33&lt;=6,2.5,IF(A70-'01_Run_Config'!$B$33&lt;=13,3.25,IF(A70-'01_Run_Config'!$B$33&lt;=20,3.75,IF(A70-'01_Run_Config'!$B$33&lt;=34,4,IF(A70-'01_Run_Config'!$B$33&lt;=41,3.5,IF(A70-'01_Run_Config'!$B$33&lt;=48,2.5,1.5))))))))</x:f>
        <x:v>3.5</x:v>
      </x:c>
      <x:c r="W70" s="63" t="n">
        <x:f>IF(A70&lt;=14,2.5,0)</x:f>
        <x:v>0</x:v>
      </x:c>
      <x:c r="X70" s="63" t="n">
        <x:f>IF('01_Run_Config'!$B$50="AN Sensizym",0,IF(AND(A70&gt;='01_Run_Config'!$B$32,OR(AL70="",AL70&lt;=49)),2,0))</x:f>
        <x:v>2</x:v>
      </x:c>
      <x:c r="Y70" s="63" t="n">
        <x:f>0.015</x:f>
        <x:v>0.015</x:v>
      </x:c>
      <x:c r="Z70" s="63" t="n">
        <x:f>IF('01_Run_Config'!$B$51="HESI Hesilicio",2,0)</x:f>
        <x:v>0</x:v>
      </x:c>
      <x:c r="AA70" s="63" t="n">
        <x:f>IF('01_Run_Config'!$B$48="AN Bud Candy (replaces HESI Boost)",0,IF(AND(A70&gt;='01_Run_Config'!$B$33,MOD(A70-'01_Run_Config'!$B$33,7)=0),2,0))</x:f>
        <x:v>0</x:v>
      </x:c>
      <x:c r="AB70" s="63" t="n">
        <x:f>IF('01_Run_Config'!$B$52="AN Bud Ignitor &gt; Big Bud &gt; Overdrive",0,IF(AND(ISNUMBER(AL70),AL70&gt;=29,AL70&lt;=42),0.25+((AL70-29)/13)*0.25,0))</x:f>
        <x:v>0.4807692307692308</x:v>
      </x:c>
      <x:c r="AC70" s="63" t="n">
        <x:f>IF('01_Run_Config'!$B$46="OFF",0,IF(OR(A70='01_Run_Config'!$B$32,A70='01_Run_Config'!$B$32+7,A70='01_Run_Config'!$B$33+1,A70='01_Run_Config'!$B$33+8),2,0))</x:f>
        <x:v>0</x:v>
      </x:c>
      <x:c r="AD70" s="63" t="str">
        <x:f>IF(BG70="BLOCK","HYBRID BLOCKED - Konfiguration prüfen",IF(SUM(AC70,AT70:BF70)&gt;0,"AN aktiv: "&amp;BH70,"AN: keine Dosis heute / Module aus"))</x:f>
        <x:v>AN: keine Dosis heute / Module aus</x:v>
      </x:c>
      <x:c r="AE70" s="63" t="str">
        <x:v>Nur Stützen</x:v>
      </x:c>
      <x:c r="AF70" s="63" t="str">
        <x:v>Morgens Klima/Pflanze/Bewässerung/Leck; Mitte Lichtphase Blattwinkel; vor Dunkel LF/Drain/stehendes Wasser.</x:v>
      </x:c>
      <x:c r="AG70" s="63" t="str">
        <x:v>EC nicht erhöhen bei steigender Diagnose-Drain-EC; PPFD nicht erhöhen bei Stress; Wasserband nie erzwingen; nie mehrere neue Booster gleichzeitig.</x:v>
      </x:c>
      <x:c r="AH70" s="35" t="str">
        <x:f>"UKD v9 evidence-guarded: Planwerte sind Ziele/Eligibility, keine automatische Freigabe. Eazy Plug/Block ist vorgepuffert; früher Basisfeed bleibt vom Propagation-/Pflanzengate abhängig. Messdaten und Safety-Gates überschreiben Kalender."</x:f>
        <x:v>UKD v9 evidence-guarded: Planwerte sind Ziele/Eligibility, keine automatische Freigabe. Eazy Plug/Block ist vorgepuffert; früher Basisfeed bleibt vom Propagation-/Pflanzengate abhängig. Messdaten und Safety-Gates überschreiben Kalender.</x:v>
      </x:c>
      <x:c r="AI70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70" s="201" t="str">
        <x:f>IF(A70&lt;'01_Run_Config'!$B$32,"—",IF(A70&lt;'01_Run_Config'!$B$33,"G"&amp;MIN(4,INT((A70-'01_Run_Config'!$B$32)/7)+1),AM70))</x:f>
        <x:v>B6</x:v>
      </x:c>
      <x:c r="AK70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70" s="60" t="n">
        <x:f>IF(A70&lt;'01_Run_Config'!$B$33,"",A70-'01_Run_Config'!$B$33+1)</x:f>
        <x:v>41</x:v>
      </x:c>
      <x:c r="AM70" s="60" t="str">
        <x:f>IF(AL70="","",IF(AL70&gt;49,CHAR(66)&amp;"7+",CHAR(66)&amp;TEXT(INT((AL70-1)/7)+1,"0")))</x:f>
        <x:v>B6</x:v>
      </x:c>
      <x:c r="AN70" s="60" t="n">
        <x:f>ROUND(0.6108*EXP(17.27*L70/(L70+237.3))*(1-N70/100),2)</x:f>
        <x:v>1.65</x:v>
      </x:c>
      <x:c r="AO70" s="60" t="n">
        <x:f>H70*G70/1000</x:f>
        <x:v>2.16</x:v>
      </x:c>
      <x:c r="AP70" s="60" t="n">
        <x:f>SUM($AO$2:AO70)</x:f>
        <x:v>127.97999999999995</x:v>
      </x:c>
      <x:c r="AQ70" t="n">
        <x:f>'01_Run_Config'!$B$17</x:f>
        <x:v>0</x:v>
      </x:c>
      <x:c r="AR70" t="n">
        <x:f>'01_Run_Config'!$B$22</x:f>
        <x:v>0</x:v>
      </x:c>
      <x:c r="AS70" t="n">
        <x:f>'01_Run_Config'!$B$25</x:f>
        <x:v>0</x:v>
      </x:c>
      <x:c r="AT70" t="n">
        <x:f>IF(AND('01_Run_Config'!$B$46="Voodoo + Piranha + Tarantula",AC70&gt;0),2,0)</x:f>
        <x:v>0</x:v>
      </x:c>
      <x:c r="AU70" t="n">
        <x:f>IF(AND(OR('01_Run_Config'!$B$46="Voodoo + Tarantula",'01_Run_Config'!$B$46="Voodoo + Piranha + Tarantula"),AC70&gt;0),2,0)</x:f>
        <x:v>0</x:v>
      </x:c>
      <x:c r="AV70" t="n">
        <x:f>IF('01_Run_Config'!$B$47&lt;&gt;"ON / A-B",0,IF(OR(AND(A70&gt;='01_Run_Config'!$B$32,A70&lt;'01_Run_Config'!$B$33),AND(ISNUMBER(AL70),AL70&gt;=15,AL70&lt;=49)),2,0))</x:f>
        <x:v>0</x:v>
      </x:c>
      <x:c r="AW70" t="n">
        <x:f>IF('01_Run_Config'!$B$48="AN Bud Candy (replaces HESI Boost)",IF(AND(A70&gt;='01_Run_Config'!$B$32,OR(AL70="",AL70&lt;=49)),2,0),0)</x:f>
        <x:v>0</x:v>
      </x:c>
      <x:c r="AX70" t="n">
        <x:f>IF('01_Run_Config'!$B$49&lt;&gt;"ON / EXPERIMENTAL",0,IF(OR(AND(A70&gt;='01_Run_Config'!$B$32+7,A70&lt;'01_Run_Config'!$B$33),AND(ISNUMBER(AL70),AL70&gt;=1,AL70&lt;=49)),2,0))</x:f>
        <x:v>0</x:v>
      </x:c>
      <x:c r="AY70" t="n">
        <x:f>IF('01_Run_Config'!$B$50="AN Sensizym",IF(AND(A70&gt;='01_Run_Config'!$B$32,OR(AL70="",AL70&lt;=49)),2,0),0)</x:f>
        <x:v>0</x:v>
      </x:c>
      <x:c r="AZ70" t="n">
        <x:f>IF('01_Run_Config'!$B$51="AN Rhino Skin",IF(AND(A70&gt;='01_Run_Config'!$B$32,OR(AL70="",AL70&lt;=49)),2,0),0)</x:f>
        <x:v>0</x:v>
      </x:c>
      <x:c r="BA70" t="n">
        <x:f>IF(AND('01_Run_Config'!$B$52="AN Bud Ignitor &gt; Big Bud &gt; Overdrive",ISNUMBER(AL70),AL70&gt;=1,AL70&lt;=14),2,0)</x:f>
        <x:v>0</x:v>
      </x:c>
      <x:c r="BB70" t="n">
        <x:f>IF(AND('01_Run_Config'!$B$52="AN Bud Ignitor &gt; Big Bud &gt; Overdrive",ISNUMBER(AL70),AL70&gt;=8,AL70&lt;=35),2,0)</x:f>
        <x:v>0</x:v>
      </x:c>
      <x:c r="BC70" t="n">
        <x:f>IF(AND('01_Run_Config'!$B$52="AN Bud Ignitor &gt; Big Bud &gt; Overdrive",ISNUMBER(AL70),AL70&gt;=36,AL70&lt;=49),2,0)</x:f>
        <x:v>0</x:v>
      </x:c>
      <x:c r="BD70" t="n">
        <x:f>IF('01_Run_Config'!$B$53="ON / EXPERIMENTAL",IF(OR(AND(A70&gt;='01_Run_Config'!$B$32,A70&lt;'01_Run_Config'!$B$33),AND(ISNUMBER(AL70),AL70&gt;=15,AL70&lt;=49)),2,0),0)</x:f>
        <x:v>0</x:v>
      </x:c>
      <x:c r="BE70" t="n">
        <x:f>IF('01_Run_Config'!$B$54="AN Sensi CalMag Xtra conditional",'01_Run_Config'!$B$17,0)</x:f>
        <x:v>0</x:v>
      </x:c>
      <x:c r="BF70" t="n">
        <x:f>0</x:f>
        <x:v>0</x:v>
      </x:c>
      <x:c r="BG70" t="str">
        <x:f>'01_Run_Config'!$E$57</x:f>
        <x:v>OK</x:v>
      </x:c>
      <x:c r="BH70" t="str">
        <x:f>IF(SUM(AC70,AT70:BF70)=0,"keine AN-Dosis heute",IF(AC70&gt;0,"Voodoo "&amp;AC70&amp;" ml/L; ","")&amp;IF(AT70&gt;0,"Piranha "&amp;AT70&amp;" ml/L; ","")&amp;IF(AU70&gt;0,"Tarantula "&amp;AU70&amp;" ml/L; ","")&amp;IF(AV70&gt;0,"B-52 "&amp;AV70&amp;" ml/L; ","")&amp;IF(AW70&gt;0,"Bud Candy "&amp;AW70&amp;" ml/L; ","")&amp;IF(AX70&gt;0,"Bud Factor X "&amp;AX70&amp;" ml/L; ","")&amp;IF(AY70&gt;0,"Sensizym "&amp;AY70&amp;" ml/L; ","")&amp;IF(AZ70&gt;0,"Rhino Skin "&amp;AZ70&amp;" ml/L; ","")&amp;IF(BA70&gt;0,"Bud Ignitor "&amp;BA70&amp;" ml/L; ","")&amp;IF(BB70&gt;0,"Big Bud "&amp;BB70&amp;" ml/L; ","")&amp;IF(BC70&gt;0,"Overdrive "&amp;BC70&amp;" ml/L; ","")&amp;IF(BD70&gt;0,"Tasty Terpenes "&amp;BD70&amp;" ml/L; ","")&amp;IF(BE70&gt;0,"Sensi CalMag "&amp;BE70&amp;" ml/L",""))</x:f>
        <x:v>keine AN-Dosis heute</x:v>
      </x:c>
    </x:row>
    <x:row r="71">
      <x:c r="A71" s="34" t="n">
        <x:v>69</x:v>
      </x:c>
      <x:c r="B71" s="129" t="n">
        <x:f>'01_Run_Config'!$B$4+A71</x:f>
        <x:v>46311</x:v>
      </x:c>
      <x:c r="C71" s="63" t="n">
        <x:f>INT(A71/7)+1</x:f>
        <x:v>10</x:v>
      </x:c>
      <x:c r="D71" s="63" t="str">
        <x:f>"M"&amp;MIN(3,INT(A71/30)+1)</x:f>
        <x:v>M3</x:v>
      </x:c>
      <x:c r="E71" s="63" t="str">
        <x:f>IF(A71&lt;4,"Keimung",IF(A71&lt;8,"Etablierung",IF(A71&lt;15,"Early Veg",IF(A71&lt;'01_Run_Config'!$B$33,IF(A71&lt;22,"Veg / LST","Preflower-Watch"),IF(A71-'01_Run_Config'!$B$33&lt;=6,"Transition / Stretch ("&amp;AM71&amp;")",IF(A71-'01_Run_Config'!$B$33&lt;=13,"Early Flower ("&amp;AM71&amp;")",IF(A71-'01_Run_Config'!$B$33&lt;=20,"Flower I ("&amp;AM71&amp;")",IF(A71-'01_Run_Config'!$B$33&lt;=34,"Peak Flower ("&amp;AM71&amp;")",IF(A71-'01_Run_Config'!$B$33&lt;=41,"Late Flower ("&amp;AM71&amp;")",IF(A71-'01_Run_Config'!$B$33&lt;=48,"Ripening ("&amp;AM71&amp;")","Harvest / Extension ("&amp;AM71&amp;")"))))))))))</x:f>
        <x:v>Late Flower (B6)</x:v>
      </x:c>
      <x:c r="F71" s="63" t="str">
        <x:f>IF(A71&lt;4,"Keimung + Wurzelstart",IF(A71&lt;8,"Sämling etablieren; Wurzelraum erschließen",IF(A71&lt;15,"kompakter Aufbau; LST erst bei Vitalität",IF(A71&lt;'01_Run_Config'!$B$33,"Canopy aufbauen; Preflower beobachten",IF(A71-'01_Run_Config'!$B$33&lt;=6,"Stretch kontrollieren; Bloom-Trigger dokumentieren",IF(A71-'01_Run_Config'!$B$33&lt;=13,"Blütenansatz stabilisieren",IF(A71-'01_Run_Config'!$B$33&lt;=20,"Blütenaufbau ohne neue Stressoren",IF(A71-'01_Run_Config'!$B$33&lt;=34,"stabile Peak-Photosynthese; Klima priorisieren",IF(A71-'01_Run_Config'!$B$33&lt;=41,"Qualität/Schimmelprävention",IF(A71-'01_Run_Config'!$B$33&lt;=48,"Reife ohne Überfütterung","Erntefenster nach Pflanze; keine Kalenderernte"))))))))))</x:f>
        <x:v>Qualität/Schimmelprävention</x:v>
      </x:c>
      <x:c r="G71" s="63" t="n">
        <x:v>18</x:v>
      </x:c>
      <x:c r="H71" s="63" t="n">
        <x:v>120</x:v>
      </x:c>
      <x:c r="I71" s="63" t="n">
        <x:v>550</x:v>
      </x:c>
      <x:c r="J71" s="63" t="n">
        <x:f>I71*G71*3600/1000000</x:f>
        <x:v>35.64</x:v>
      </x:c>
      <x:c r="K71" s="63" t="n">
        <x:v>37</x:v>
      </x:c>
      <x:c r="L71" s="63" t="n">
        <x:v>23.5</x:v>
      </x:c>
      <x:c r="M71" s="63" t="n">
        <x:v>20.5</x:v>
      </x:c>
      <x:c r="N71" s="63" t="n">
        <x:v>43</x:v>
      </x:c>
      <x:c r="O71" s="63" t="n">
        <x:f>ROUND(0.6108*EXP(17.27*(L71+'01_Run_Config'!$B$34)/(L71+'01_Run_Config'!$B$34+237.3))-(N71/100)*0.6108*EXP(17.27*L71/(L71+237.3)),2)</x:f>
        <x:v>1.48</x:v>
      </x:c>
      <x:c r="P71" s="63" t="n">
        <x:f>IF(A71&lt;'01_Run_Config'!$B$32,0.55,IF(A71&lt;'01_Run_Config'!$B$33,IF(A71-'01_Run_Config'!$B$32&lt;=3,0.8,IF(A71-'01_Run_Config'!$B$32&lt;=10,1,IF(A71-'01_Run_Config'!$B$32&lt;=17,1.2,1.4))),IF(A71-'01_Run_Config'!$B$33&lt;=6,1.5,IF(A71-'01_Run_Config'!$B$33&lt;=13,1.6,IF(A71-'01_Run_Config'!$B$33&lt;=20,1.7,IF(A71-'01_Run_Config'!$B$33&lt;=34,1.8,IF(A71-'01_Run_Config'!$B$33&lt;=41,1.6,IF(A71-'01_Run_Config'!$B$33&lt;=48,1.4,1.15))))))))</x:f>
        <x:v>1.6</x:v>
      </x:c>
      <x:c r="Q71" s="63" t="n">
        <x:v>5.9</x:v>
      </x:c>
      <x:c r="R71" s="63" t="n">
        <x:v>0.6</x:v>
      </x:c>
      <x:c r="S71" s="63" t="n">
        <x:v>1</x:v>
      </x:c>
      <x:c r="T71" s="63" t="str">
        <x:f>IF(A71&lt;=7,"Manuell",'01_Run_Config'!$B$40)</x:f>
        <x:v>Manuell / indoor-freigegebene Automation</x:v>
      </x:c>
      <x:c r="U71" s="63" t="str">
        <x:f>IF(A71&lt;'01_Run_Config'!$B$32,"Kein Basisdünger",IF(A71&lt;'01_Run_Config'!$B$33,"HESI TNT","HESI Coco"))</x:f>
        <x:v>HESI Coco</x:v>
      </x:c>
      <x:c r="V71" s="63" t="n">
        <x:f>IF(A71&lt;'01_Run_Config'!$B$32,0,IF(A71&lt;'01_Run_Config'!$B$33,IF(A71-'01_Run_Config'!$B$32&lt;=3,1.25,IF(A71-'01_Run_Config'!$B$32&lt;=10,2,2.5)),IF(A71-'01_Run_Config'!$B$33&lt;=6,2.5,IF(A71-'01_Run_Config'!$B$33&lt;=13,3.25,IF(A71-'01_Run_Config'!$B$33&lt;=20,3.75,IF(A71-'01_Run_Config'!$B$33&lt;=34,4,IF(A71-'01_Run_Config'!$B$33&lt;=41,3.5,IF(A71-'01_Run_Config'!$B$33&lt;=48,2.5,1.5))))))))</x:f>
        <x:v>3.5</x:v>
      </x:c>
      <x:c r="W71" s="63" t="n">
        <x:f>IF(A71&lt;=14,2.5,0)</x:f>
        <x:v>0</x:v>
      </x:c>
      <x:c r="X71" s="63" t="n">
        <x:f>IF('01_Run_Config'!$B$50="AN Sensizym",0,IF(AND(A71&gt;='01_Run_Config'!$B$32,OR(AL71="",AL71&lt;=49)),2,0))</x:f>
        <x:v>2</x:v>
      </x:c>
      <x:c r="Y71" s="63" t="n">
        <x:f>0.015</x:f>
        <x:v>0.015</x:v>
      </x:c>
      <x:c r="Z71" s="63" t="n">
        <x:f>IF('01_Run_Config'!$B$51="HESI Hesilicio",2,0)</x:f>
        <x:v>0</x:v>
      </x:c>
      <x:c r="AA71" s="63" t="n">
        <x:f>IF('01_Run_Config'!$B$48="AN Bud Candy (replaces HESI Boost)",0,IF(AND(A71&gt;='01_Run_Config'!$B$33,MOD(A71-'01_Run_Config'!$B$33,7)=0),2,0))</x:f>
        <x:v>0</x:v>
      </x:c>
      <x:c r="AB71" s="63" t="n">
        <x:f>IF('01_Run_Config'!$B$52="AN Bud Ignitor &gt; Big Bud &gt; Overdrive",0,IF(AND(ISNUMBER(AL71),AL71&gt;=29,AL71&lt;=42),0.25+((AL71-29)/13)*0.25,0))</x:f>
        <x:v>0.5</x:v>
      </x:c>
      <x:c r="AC71" s="63" t="n">
        <x:f>IF('01_Run_Config'!$B$46="OFF",0,IF(OR(A71='01_Run_Config'!$B$32,A71='01_Run_Config'!$B$32+7,A71='01_Run_Config'!$B$33+1,A71='01_Run_Config'!$B$33+8),2,0))</x:f>
        <x:v>0</x:v>
      </x:c>
      <x:c r="AD71" s="63" t="str">
        <x:f>IF(BG71="BLOCK","HYBRID BLOCKED - Konfiguration prüfen",IF(SUM(AC71,AT71:BF71)&gt;0,"AN aktiv: "&amp;BH71,"AN: keine Dosis heute / Module aus"))</x:f>
        <x:v>AN: keine Dosis heute / Module aus</x:v>
      </x:c>
      <x:c r="AE71" s="63" t="str">
        <x:v>Nur Stützen</x:v>
      </x:c>
      <x:c r="AF71" s="63" t="str">
        <x:v>Morgens Klima/Pflanze/Bewässerung/Leck; Mitte Lichtphase Blattwinkel; vor Dunkel LF/Drain/stehendes Wasser.</x:v>
      </x:c>
      <x:c r="AG71" s="63" t="str">
        <x:v>EC nicht erhöhen bei steigender Diagnose-Drain-EC; PPFD nicht erhöhen bei Stress; Wasserband nie erzwingen; nie mehrere neue Booster gleichzeitig.</x:v>
      </x:c>
      <x:c r="AH71" s="35" t="str">
        <x:f>"UKD v9 evidence-guarded: Planwerte sind Ziele/Eligibility, keine automatische Freigabe. Eazy Plug/Block ist vorgepuffert; früher Basisfeed bleibt vom Propagation-/Pflanzengate abhängig. Messdaten und Safety-Gates überschreiben Kalender."</x:f>
        <x:v>UKD v9 evidence-guarded: Planwerte sind Ziele/Eligibility, keine automatische Freigabe. Eazy Plug/Block ist vorgepuffert; früher Basisfeed bleibt vom Propagation-/Pflanzengate abhängig. Messdaten und Safety-Gates überschreiben Kalender.</x:v>
      </x:c>
      <x:c r="AI71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71" s="201" t="str">
        <x:f>IF(A71&lt;'01_Run_Config'!$B$32,"—",IF(A71&lt;'01_Run_Config'!$B$33,"G"&amp;MIN(4,INT((A71-'01_Run_Config'!$B$32)/7)+1),AM71))</x:f>
        <x:v>B6</x:v>
      </x:c>
      <x:c r="AK71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71" s="60" t="n">
        <x:f>IF(A71&lt;'01_Run_Config'!$B$33,"",A71-'01_Run_Config'!$B$33+1)</x:f>
        <x:v>42</x:v>
      </x:c>
      <x:c r="AM71" s="60" t="str">
        <x:f>IF(AL71="","",IF(AL71&gt;49,CHAR(66)&amp;"7+",CHAR(66)&amp;TEXT(INT((AL71-1)/7)+1,"0")))</x:f>
        <x:v>B6</x:v>
      </x:c>
      <x:c r="AN71" s="60" t="n">
        <x:f>ROUND(0.6108*EXP(17.27*L71/(L71+237.3))*(1-N71/100),2)</x:f>
        <x:v>1.65</x:v>
      </x:c>
      <x:c r="AO71" s="60" t="n">
        <x:f>H71*G71/1000</x:f>
        <x:v>2.16</x:v>
      </x:c>
      <x:c r="AP71" s="60" t="n">
        <x:f>SUM($AO$2:AO71)</x:f>
        <x:v>130.13999999999996</x:v>
      </x:c>
      <x:c r="AQ71" t="n">
        <x:f>'01_Run_Config'!$B$17</x:f>
        <x:v>0</x:v>
      </x:c>
      <x:c r="AR71" t="n">
        <x:f>'01_Run_Config'!$B$22</x:f>
        <x:v>0</x:v>
      </x:c>
      <x:c r="AS71" t="n">
        <x:f>'01_Run_Config'!$B$25</x:f>
        <x:v>0</x:v>
      </x:c>
      <x:c r="AT71" t="n">
        <x:f>IF(AND('01_Run_Config'!$B$46="Voodoo + Piranha + Tarantula",AC71&gt;0),2,0)</x:f>
        <x:v>0</x:v>
      </x:c>
      <x:c r="AU71" t="n">
        <x:f>IF(AND(OR('01_Run_Config'!$B$46="Voodoo + Tarantula",'01_Run_Config'!$B$46="Voodoo + Piranha + Tarantula"),AC71&gt;0),2,0)</x:f>
        <x:v>0</x:v>
      </x:c>
      <x:c r="AV71" t="n">
        <x:f>IF('01_Run_Config'!$B$47&lt;&gt;"ON / A-B",0,IF(OR(AND(A71&gt;='01_Run_Config'!$B$32,A71&lt;'01_Run_Config'!$B$33),AND(ISNUMBER(AL71),AL71&gt;=15,AL71&lt;=49)),2,0))</x:f>
        <x:v>0</x:v>
      </x:c>
      <x:c r="AW71" t="n">
        <x:f>IF('01_Run_Config'!$B$48="AN Bud Candy (replaces HESI Boost)",IF(AND(A71&gt;='01_Run_Config'!$B$32,OR(AL71="",AL71&lt;=49)),2,0),0)</x:f>
        <x:v>0</x:v>
      </x:c>
      <x:c r="AX71" t="n">
        <x:f>IF('01_Run_Config'!$B$49&lt;&gt;"ON / EXPERIMENTAL",0,IF(OR(AND(A71&gt;='01_Run_Config'!$B$32+7,A71&lt;'01_Run_Config'!$B$33),AND(ISNUMBER(AL71),AL71&gt;=1,AL71&lt;=49)),2,0))</x:f>
        <x:v>0</x:v>
      </x:c>
      <x:c r="AY71" t="n">
        <x:f>IF('01_Run_Config'!$B$50="AN Sensizym",IF(AND(A71&gt;='01_Run_Config'!$B$32,OR(AL71="",AL71&lt;=49)),2,0),0)</x:f>
        <x:v>0</x:v>
      </x:c>
      <x:c r="AZ71" t="n">
        <x:f>IF('01_Run_Config'!$B$51="AN Rhino Skin",IF(AND(A71&gt;='01_Run_Config'!$B$32,OR(AL71="",AL71&lt;=49)),2,0),0)</x:f>
        <x:v>0</x:v>
      </x:c>
      <x:c r="BA71" t="n">
        <x:f>IF(AND('01_Run_Config'!$B$52="AN Bud Ignitor &gt; Big Bud &gt; Overdrive",ISNUMBER(AL71),AL71&gt;=1,AL71&lt;=14),2,0)</x:f>
        <x:v>0</x:v>
      </x:c>
      <x:c r="BB71" t="n">
        <x:f>IF(AND('01_Run_Config'!$B$52="AN Bud Ignitor &gt; Big Bud &gt; Overdrive",ISNUMBER(AL71),AL71&gt;=8,AL71&lt;=35),2,0)</x:f>
        <x:v>0</x:v>
      </x:c>
      <x:c r="BC71" t="n">
        <x:f>IF(AND('01_Run_Config'!$B$52="AN Bud Ignitor &gt; Big Bud &gt; Overdrive",ISNUMBER(AL71),AL71&gt;=36,AL71&lt;=49),2,0)</x:f>
        <x:v>0</x:v>
      </x:c>
      <x:c r="BD71" t="n">
        <x:f>IF('01_Run_Config'!$B$53="ON / EXPERIMENTAL",IF(OR(AND(A71&gt;='01_Run_Config'!$B$32,A71&lt;'01_Run_Config'!$B$33),AND(ISNUMBER(AL71),AL71&gt;=15,AL71&lt;=49)),2,0),0)</x:f>
        <x:v>0</x:v>
      </x:c>
      <x:c r="BE71" t="n">
        <x:f>IF('01_Run_Config'!$B$54="AN Sensi CalMag Xtra conditional",'01_Run_Config'!$B$17,0)</x:f>
        <x:v>0</x:v>
      </x:c>
      <x:c r="BF71" t="n">
        <x:f>0</x:f>
        <x:v>0</x:v>
      </x:c>
      <x:c r="BG71" t="str">
        <x:f>'01_Run_Config'!$E$57</x:f>
        <x:v>OK</x:v>
      </x:c>
      <x:c r="BH71" t="str">
        <x:f>IF(SUM(AC71,AT71:BF71)=0,"keine AN-Dosis heute",IF(AC71&gt;0,"Voodoo "&amp;AC71&amp;" ml/L; ","")&amp;IF(AT71&gt;0,"Piranha "&amp;AT71&amp;" ml/L; ","")&amp;IF(AU71&gt;0,"Tarantula "&amp;AU71&amp;" ml/L; ","")&amp;IF(AV71&gt;0,"B-52 "&amp;AV71&amp;" ml/L; ","")&amp;IF(AW71&gt;0,"Bud Candy "&amp;AW71&amp;" ml/L; ","")&amp;IF(AX71&gt;0,"Bud Factor X "&amp;AX71&amp;" ml/L; ","")&amp;IF(AY71&gt;0,"Sensizym "&amp;AY71&amp;" ml/L; ","")&amp;IF(AZ71&gt;0,"Rhino Skin "&amp;AZ71&amp;" ml/L; ","")&amp;IF(BA71&gt;0,"Bud Ignitor "&amp;BA71&amp;" ml/L; ","")&amp;IF(BB71&gt;0,"Big Bud "&amp;BB71&amp;" ml/L; ","")&amp;IF(BC71&gt;0,"Overdrive "&amp;BC71&amp;" ml/L; ","")&amp;IF(BD71&gt;0,"Tasty Terpenes "&amp;BD71&amp;" ml/L; ","")&amp;IF(BE71&gt;0,"Sensi CalMag "&amp;BE71&amp;" ml/L",""))</x:f>
        <x:v>keine AN-Dosis heute</x:v>
      </x:c>
    </x:row>
    <x:row r="72">
      <x:c r="A72" s="34" t="n">
        <x:v>70</x:v>
      </x:c>
      <x:c r="B72" s="129" t="n">
        <x:f>'01_Run_Config'!$B$4+A72</x:f>
        <x:v>46312</x:v>
      </x:c>
      <x:c r="C72" s="63" t="n">
        <x:f>INT(A72/7)+1</x:f>
        <x:v>11</x:v>
      </x:c>
      <x:c r="D72" s="63" t="str">
        <x:f>"M"&amp;MIN(3,INT(A72/30)+1)</x:f>
        <x:v>M3</x:v>
      </x:c>
      <x:c r="E72" s="63" t="str">
        <x:f>IF(A72&lt;4,"Keimung",IF(A72&lt;8,"Etablierung",IF(A72&lt;15,"Early Veg",IF(A72&lt;'01_Run_Config'!$B$33,IF(A72&lt;22,"Veg / LST","Preflower-Watch"),IF(A72-'01_Run_Config'!$B$33&lt;=6,"Transition / Stretch ("&amp;AM72&amp;")",IF(A72-'01_Run_Config'!$B$33&lt;=13,"Early Flower ("&amp;AM72&amp;")",IF(A72-'01_Run_Config'!$B$33&lt;=20,"Flower I ("&amp;AM72&amp;")",IF(A72-'01_Run_Config'!$B$33&lt;=34,"Peak Flower ("&amp;AM72&amp;")",IF(A72-'01_Run_Config'!$B$33&lt;=41,"Late Flower ("&amp;AM72&amp;")",IF(A72-'01_Run_Config'!$B$33&lt;=48,"Ripening ("&amp;AM72&amp;")","Harvest / Extension ("&amp;AM72&amp;")"))))))))))</x:f>
        <x:v>Ripening (B7)</x:v>
      </x:c>
      <x:c r="F72" s="63" t="str">
        <x:f>IF(A72&lt;4,"Keimung + Wurzelstart",IF(A72&lt;8,"Sämling etablieren; Wurzelraum erschließen",IF(A72&lt;15,"kompakter Aufbau; LST erst bei Vitalität",IF(A72&lt;'01_Run_Config'!$B$33,"Canopy aufbauen; Preflower beobachten",IF(A72-'01_Run_Config'!$B$33&lt;=6,"Stretch kontrollieren; Bloom-Trigger dokumentieren",IF(A72-'01_Run_Config'!$B$33&lt;=13,"Blütenansatz stabilisieren",IF(A72-'01_Run_Config'!$B$33&lt;=20,"Blütenaufbau ohne neue Stressoren",IF(A72-'01_Run_Config'!$B$33&lt;=34,"stabile Peak-Photosynthese; Klima priorisieren",IF(A72-'01_Run_Config'!$B$33&lt;=41,"Qualität/Schimmelprävention",IF(A72-'01_Run_Config'!$B$33&lt;=48,"Reife ohne Überfütterung","Erntefenster nach Pflanze; keine Kalenderernte"))))))))))</x:f>
        <x:v>Reife ohne Überfütterung</x:v>
      </x:c>
      <x:c r="G72" s="63" t="n">
        <x:v>18</x:v>
      </x:c>
      <x:c r="H72" s="63" t="n">
        <x:v>120</x:v>
      </x:c>
      <x:c r="I72" s="63" t="n">
        <x:v>550</x:v>
      </x:c>
      <x:c r="J72" s="63" t="n">
        <x:f>I72*G72*3600/1000000</x:f>
        <x:v>35.64</x:v>
      </x:c>
      <x:c r="K72" s="63" t="n">
        <x:v>37</x:v>
      </x:c>
      <x:c r="L72" s="63" t="n">
        <x:v>23.5</x:v>
      </x:c>
      <x:c r="M72" s="63" t="n">
        <x:v>20.5</x:v>
      </x:c>
      <x:c r="N72" s="63" t="n">
        <x:v>43</x:v>
      </x:c>
      <x:c r="O72" s="63" t="n">
        <x:f>ROUND(0.6108*EXP(17.27*(L72+'01_Run_Config'!$B$34)/(L72+'01_Run_Config'!$B$34+237.3))-(N72/100)*0.6108*EXP(17.27*L72/(L72+237.3)),2)</x:f>
        <x:v>1.48</x:v>
      </x:c>
      <x:c r="P72" s="63" t="n">
        <x:f>IF(A72&lt;'01_Run_Config'!$B$32,0.55,IF(A72&lt;'01_Run_Config'!$B$33,IF(A72-'01_Run_Config'!$B$32&lt;=3,0.8,IF(A72-'01_Run_Config'!$B$32&lt;=10,1,IF(A72-'01_Run_Config'!$B$32&lt;=17,1.2,1.4))),IF(A72-'01_Run_Config'!$B$33&lt;=6,1.5,IF(A72-'01_Run_Config'!$B$33&lt;=13,1.6,IF(A72-'01_Run_Config'!$B$33&lt;=20,1.7,IF(A72-'01_Run_Config'!$B$33&lt;=34,1.8,IF(A72-'01_Run_Config'!$B$33&lt;=41,1.6,IF(A72-'01_Run_Config'!$B$33&lt;=48,1.4,1.15))))))))</x:f>
        <x:v>1.4</x:v>
      </x:c>
      <x:c r="Q72" s="63" t="n">
        <x:v>5.9</x:v>
      </x:c>
      <x:c r="R72" s="63" t="n">
        <x:v>0.6</x:v>
      </x:c>
      <x:c r="S72" s="63" t="n">
        <x:v>1</x:v>
      </x:c>
      <x:c r="T72" s="63" t="str">
        <x:f>IF(A72&lt;=7,"Manuell",'01_Run_Config'!$B$40)</x:f>
        <x:v>Manuell / indoor-freigegebene Automation</x:v>
      </x:c>
      <x:c r="U72" s="63" t="str">
        <x:f>IF(A72&lt;'01_Run_Config'!$B$32,"Kein Basisdünger",IF(A72&lt;'01_Run_Config'!$B$33,"HESI TNT","HESI Coco"))</x:f>
        <x:v>HESI Coco</x:v>
      </x:c>
      <x:c r="V72" s="63" t="n">
        <x:f>IF(A72&lt;'01_Run_Config'!$B$32,0,IF(A72&lt;'01_Run_Config'!$B$33,IF(A72-'01_Run_Config'!$B$32&lt;=3,1.25,IF(A72-'01_Run_Config'!$B$32&lt;=10,2,2.5)),IF(A72-'01_Run_Config'!$B$33&lt;=6,2.5,IF(A72-'01_Run_Config'!$B$33&lt;=13,3.25,IF(A72-'01_Run_Config'!$B$33&lt;=20,3.75,IF(A72-'01_Run_Config'!$B$33&lt;=34,4,IF(A72-'01_Run_Config'!$B$33&lt;=41,3.5,IF(A72-'01_Run_Config'!$B$33&lt;=48,2.5,1.5))))))))</x:f>
        <x:v>2.5</x:v>
      </x:c>
      <x:c r="W72" s="63" t="n">
        <x:f>IF(A72&lt;=14,2.5,0)</x:f>
        <x:v>0</x:v>
      </x:c>
      <x:c r="X72" s="63" t="n">
        <x:f>IF('01_Run_Config'!$B$50="AN Sensizym",0,IF(AND(A72&gt;='01_Run_Config'!$B$32,OR(AL72="",AL72&lt;=49)),2,0))</x:f>
        <x:v>2</x:v>
      </x:c>
      <x:c r="Y72" s="63" t="n">
        <x:f>0.015</x:f>
        <x:v>0.015</x:v>
      </x:c>
      <x:c r="Z72" s="63" t="n">
        <x:f>IF('01_Run_Config'!$B$51="HESI Hesilicio",2,0)</x:f>
        <x:v>0</x:v>
      </x:c>
      <x:c r="AA72" s="63" t="n">
        <x:f>IF('01_Run_Config'!$B$48="AN Bud Candy (replaces HESI Boost)",0,IF(AND(A72&gt;='01_Run_Config'!$B$33,MOD(A72-'01_Run_Config'!$B$33,7)=0),2,0))</x:f>
        <x:v>2</x:v>
      </x:c>
      <x:c r="AB72" s="63" t="n">
        <x:f>IF('01_Run_Config'!$B$52="AN Bud Ignitor &gt; Big Bud &gt; Overdrive",0,IF(AND(ISNUMBER(AL72),AL72&gt;=29,AL72&lt;=42),0.25+((AL72-29)/13)*0.25,0))</x:f>
        <x:v>0</x:v>
      </x:c>
      <x:c r="AC72" s="63" t="n">
        <x:f>IF('01_Run_Config'!$B$46="OFF",0,IF(OR(A72='01_Run_Config'!$B$32,A72='01_Run_Config'!$B$32+7,A72='01_Run_Config'!$B$33+1,A72='01_Run_Config'!$B$33+8),2,0))</x:f>
        <x:v>0</x:v>
      </x:c>
      <x:c r="AD72" s="63" t="str">
        <x:f>IF(BG72="BLOCK","HYBRID BLOCKED - Konfiguration prüfen",IF(SUM(AC72,AT72:BF72)&gt;0,"AN aktiv: "&amp;BH72,"AN: keine Dosis heute / Module aus"))</x:f>
        <x:v>AN: keine Dosis heute / Module aus</x:v>
      </x:c>
      <x:c r="AE72" s="63" t="str">
        <x:v>Nur Stützen</x:v>
      </x:c>
      <x:c r="AF72" s="63" t="str">
        <x:v>Morgens Klima/Pflanze/Bewässerung/Leck; Mitte Lichtphase Blattwinkel; vor Dunkel LF/Drain/stehendes Wasser. WÖCHENTLICH: pH/EC kalibrieren, Foto, Canopy messen, PPFD-Spotcheck, Reservoir falls genutzt / Tray reinigen.</x:v>
      </x:c>
      <x:c r="AG72" s="63" t="str">
        <x:v>EC nicht erhöhen bei steigender Diagnose-Drain-EC; PPFD nicht erhöhen bei Stress; Wasserband nie erzwingen; nie mehrere neue Booster gleichzeitig.</x:v>
      </x:c>
      <x:c r="AH72" s="35" t="str">
        <x:f>"UKD v9 evidence-guarded: Planwerte sind Ziele/Eligibility, keine automatische Freigabe. Eazy Plug/Block ist vorgepuffert; früher Basisfeed bleibt vom Propagation-/Pflanzengate abhängig. Messdaten und Safety-Gates überschreiben Kalender."</x:f>
        <x:v>UKD v9 evidence-guarded: Planwerte sind Ziele/Eligibility, keine automatische Freigabe. Eazy Plug/Block ist vorgepuffert; früher Basisfeed bleibt vom Propagation-/Pflanzengate abhängig. Messdaten und Safety-Gates überschreiben Kalender.</x:v>
      </x:c>
      <x:c r="AI72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72" s="201" t="str">
        <x:f>IF(A72&lt;'01_Run_Config'!$B$32,"—",IF(A72&lt;'01_Run_Config'!$B$33,"G"&amp;MIN(4,INT((A72-'01_Run_Config'!$B$32)/7)+1),AM72))</x:f>
        <x:v>B7</x:v>
      </x:c>
      <x:c r="AK72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72" s="60" t="n">
        <x:f>IF(A72&lt;'01_Run_Config'!$B$33,"",A72-'01_Run_Config'!$B$33+1)</x:f>
        <x:v>43</x:v>
      </x:c>
      <x:c r="AM72" s="60" t="str">
        <x:f>IF(AL72="","",IF(AL72&gt;49,CHAR(66)&amp;"7+",CHAR(66)&amp;TEXT(INT((AL72-1)/7)+1,"0")))</x:f>
        <x:v>B7</x:v>
      </x:c>
      <x:c r="AN72" s="60" t="n">
        <x:f>ROUND(0.6108*EXP(17.27*L72/(L72+237.3))*(1-N72/100),2)</x:f>
        <x:v>1.65</x:v>
      </x:c>
      <x:c r="AO72" s="60" t="n">
        <x:f>H72*G72/1000</x:f>
        <x:v>2.16</x:v>
      </x:c>
      <x:c r="AP72" s="60" t="n">
        <x:f>SUM($AO$2:AO72)</x:f>
        <x:v>132.29999999999995</x:v>
      </x:c>
      <x:c r="AQ72" t="n">
        <x:f>'01_Run_Config'!$B$17</x:f>
        <x:v>0</x:v>
      </x:c>
      <x:c r="AR72" t="n">
        <x:f>'01_Run_Config'!$B$22</x:f>
        <x:v>0</x:v>
      </x:c>
      <x:c r="AS72" t="n">
        <x:f>'01_Run_Config'!$B$25</x:f>
        <x:v>0</x:v>
      </x:c>
      <x:c r="AT72" t="n">
        <x:f>IF(AND('01_Run_Config'!$B$46="Voodoo + Piranha + Tarantula",AC72&gt;0),2,0)</x:f>
        <x:v>0</x:v>
      </x:c>
      <x:c r="AU72" t="n">
        <x:f>IF(AND(OR('01_Run_Config'!$B$46="Voodoo + Tarantula",'01_Run_Config'!$B$46="Voodoo + Piranha + Tarantula"),AC72&gt;0),2,0)</x:f>
        <x:v>0</x:v>
      </x:c>
      <x:c r="AV72" t="n">
        <x:f>IF('01_Run_Config'!$B$47&lt;&gt;"ON / A-B",0,IF(OR(AND(A72&gt;='01_Run_Config'!$B$32,A72&lt;'01_Run_Config'!$B$33),AND(ISNUMBER(AL72),AL72&gt;=15,AL72&lt;=49)),2,0))</x:f>
        <x:v>0</x:v>
      </x:c>
      <x:c r="AW72" t="n">
        <x:f>IF('01_Run_Config'!$B$48="AN Bud Candy (replaces HESI Boost)",IF(AND(A72&gt;='01_Run_Config'!$B$32,OR(AL72="",AL72&lt;=49)),2,0),0)</x:f>
        <x:v>0</x:v>
      </x:c>
      <x:c r="AX72" t="n">
        <x:f>IF('01_Run_Config'!$B$49&lt;&gt;"ON / EXPERIMENTAL",0,IF(OR(AND(A72&gt;='01_Run_Config'!$B$32+7,A72&lt;'01_Run_Config'!$B$33),AND(ISNUMBER(AL72),AL72&gt;=1,AL72&lt;=49)),2,0))</x:f>
        <x:v>0</x:v>
      </x:c>
      <x:c r="AY72" t="n">
        <x:f>IF('01_Run_Config'!$B$50="AN Sensizym",IF(AND(A72&gt;='01_Run_Config'!$B$32,OR(AL72="",AL72&lt;=49)),2,0),0)</x:f>
        <x:v>0</x:v>
      </x:c>
      <x:c r="AZ72" t="n">
        <x:f>IF('01_Run_Config'!$B$51="AN Rhino Skin",IF(AND(A72&gt;='01_Run_Config'!$B$32,OR(AL72="",AL72&lt;=49)),2,0),0)</x:f>
        <x:v>0</x:v>
      </x:c>
      <x:c r="BA72" t="n">
        <x:f>IF(AND('01_Run_Config'!$B$52="AN Bud Ignitor &gt; Big Bud &gt; Overdrive",ISNUMBER(AL72),AL72&gt;=1,AL72&lt;=14),2,0)</x:f>
        <x:v>0</x:v>
      </x:c>
      <x:c r="BB72" t="n">
        <x:f>IF(AND('01_Run_Config'!$B$52="AN Bud Ignitor &gt; Big Bud &gt; Overdrive",ISNUMBER(AL72),AL72&gt;=8,AL72&lt;=35),2,0)</x:f>
        <x:v>0</x:v>
      </x:c>
      <x:c r="BC72" t="n">
        <x:f>IF(AND('01_Run_Config'!$B$52="AN Bud Ignitor &gt; Big Bud &gt; Overdrive",ISNUMBER(AL72),AL72&gt;=36,AL72&lt;=49),2,0)</x:f>
        <x:v>0</x:v>
      </x:c>
      <x:c r="BD72" t="n">
        <x:f>IF('01_Run_Config'!$B$53="ON / EXPERIMENTAL",IF(OR(AND(A72&gt;='01_Run_Config'!$B$32,A72&lt;'01_Run_Config'!$B$33),AND(ISNUMBER(AL72),AL72&gt;=15,AL72&lt;=49)),2,0),0)</x:f>
        <x:v>0</x:v>
      </x:c>
      <x:c r="BE72" t="n">
        <x:f>IF('01_Run_Config'!$B$54="AN Sensi CalMag Xtra conditional",'01_Run_Config'!$B$17,0)</x:f>
        <x:v>0</x:v>
      </x:c>
      <x:c r="BF72" t="n">
        <x:f>0</x:f>
        <x:v>0</x:v>
      </x:c>
      <x:c r="BG72" t="str">
        <x:f>'01_Run_Config'!$E$57</x:f>
        <x:v>OK</x:v>
      </x:c>
      <x:c r="BH72" t="str">
        <x:f>IF(SUM(AC72,AT72:BF72)=0,"keine AN-Dosis heute",IF(AC72&gt;0,"Voodoo "&amp;AC72&amp;" ml/L; ","")&amp;IF(AT72&gt;0,"Piranha "&amp;AT72&amp;" ml/L; ","")&amp;IF(AU72&gt;0,"Tarantula "&amp;AU72&amp;" ml/L; ","")&amp;IF(AV72&gt;0,"B-52 "&amp;AV72&amp;" ml/L; ","")&amp;IF(AW72&gt;0,"Bud Candy "&amp;AW72&amp;" ml/L; ","")&amp;IF(AX72&gt;0,"Bud Factor X "&amp;AX72&amp;" ml/L; ","")&amp;IF(AY72&gt;0,"Sensizym "&amp;AY72&amp;" ml/L; ","")&amp;IF(AZ72&gt;0,"Rhino Skin "&amp;AZ72&amp;" ml/L; ","")&amp;IF(BA72&gt;0,"Bud Ignitor "&amp;BA72&amp;" ml/L; ","")&amp;IF(BB72&gt;0,"Big Bud "&amp;BB72&amp;" ml/L; ","")&amp;IF(BC72&gt;0,"Overdrive "&amp;BC72&amp;" ml/L; ","")&amp;IF(BD72&gt;0,"Tasty Terpenes "&amp;BD72&amp;" ml/L; ","")&amp;IF(BE72&gt;0,"Sensi CalMag "&amp;BE72&amp;" ml/L",""))</x:f>
        <x:v>keine AN-Dosis heute</x:v>
      </x:c>
    </x:row>
    <x:row r="73">
      <x:c r="A73" s="34" t="n">
        <x:v>71</x:v>
      </x:c>
      <x:c r="B73" s="129" t="n">
        <x:f>'01_Run_Config'!$B$4+A73</x:f>
        <x:v>46313</x:v>
      </x:c>
      <x:c r="C73" s="63" t="n">
        <x:f>INT(A73/7)+1</x:f>
        <x:v>11</x:v>
      </x:c>
      <x:c r="D73" s="63" t="str">
        <x:f>"M"&amp;MIN(3,INT(A73/30)+1)</x:f>
        <x:v>M3</x:v>
      </x:c>
      <x:c r="E73" s="63" t="str">
        <x:f>IF(A73&lt;4,"Keimung",IF(A73&lt;8,"Etablierung",IF(A73&lt;15,"Early Veg",IF(A73&lt;'01_Run_Config'!$B$33,IF(A73&lt;22,"Veg / LST","Preflower-Watch"),IF(A73-'01_Run_Config'!$B$33&lt;=6,"Transition / Stretch ("&amp;AM73&amp;")",IF(A73-'01_Run_Config'!$B$33&lt;=13,"Early Flower ("&amp;AM73&amp;")",IF(A73-'01_Run_Config'!$B$33&lt;=20,"Flower I ("&amp;AM73&amp;")",IF(A73-'01_Run_Config'!$B$33&lt;=34,"Peak Flower ("&amp;AM73&amp;")",IF(A73-'01_Run_Config'!$B$33&lt;=41,"Late Flower ("&amp;AM73&amp;")",IF(A73-'01_Run_Config'!$B$33&lt;=48,"Ripening ("&amp;AM73&amp;")","Harvest / Extension ("&amp;AM73&amp;")"))))))))))</x:f>
        <x:v>Ripening (B7)</x:v>
      </x:c>
      <x:c r="F73" s="63" t="str">
        <x:f>IF(A73&lt;4,"Keimung + Wurzelstart",IF(A73&lt;8,"Sämling etablieren; Wurzelraum erschließen",IF(A73&lt;15,"kompakter Aufbau; LST erst bei Vitalität",IF(A73&lt;'01_Run_Config'!$B$33,"Canopy aufbauen; Preflower beobachten",IF(A73-'01_Run_Config'!$B$33&lt;=6,"Stretch kontrollieren; Bloom-Trigger dokumentieren",IF(A73-'01_Run_Config'!$B$33&lt;=13,"Blütenansatz stabilisieren",IF(A73-'01_Run_Config'!$B$33&lt;=20,"Blütenaufbau ohne neue Stressoren",IF(A73-'01_Run_Config'!$B$33&lt;=34,"stabile Peak-Photosynthese; Klima priorisieren",IF(A73-'01_Run_Config'!$B$33&lt;=41,"Qualität/Schimmelprävention",IF(A73-'01_Run_Config'!$B$33&lt;=48,"Reife ohne Überfütterung","Erntefenster nach Pflanze; keine Kalenderernte"))))))))))</x:f>
        <x:v>Reife ohne Überfütterung</x:v>
      </x:c>
      <x:c r="G73" s="63" t="n">
        <x:v>18</x:v>
      </x:c>
      <x:c r="H73" s="63" t="n">
        <x:v>105</x:v>
      </x:c>
      <x:c r="I73" s="63" t="n">
        <x:v>500</x:v>
      </x:c>
      <x:c r="J73" s="63" t="n">
        <x:f>I73*G73*3600/1000000</x:f>
        <x:v>32.4</x:v>
      </x:c>
      <x:c r="K73" s="63" t="n">
        <x:v>40</x:v>
      </x:c>
      <x:c r="L73" s="63" t="n">
        <x:v>23</x:v>
      </x:c>
      <x:c r="M73" s="63" t="n">
        <x:v>20</x:v>
      </x:c>
      <x:c r="N73" s="63" t="n">
        <x:v>42</x:v>
      </x:c>
      <x:c r="O73" s="63" t="n">
        <x:f>ROUND(0.6108*EXP(17.27*(L73+'01_Run_Config'!$B$34)/(L73+'01_Run_Config'!$B$34+237.3))-(N73/100)*0.6108*EXP(17.27*L73/(L73+237.3)),2)</x:f>
        <x:v>1.46</x:v>
      </x:c>
      <x:c r="P73" s="63" t="n">
        <x:f>IF(A73&lt;'01_Run_Config'!$B$32,0.55,IF(A73&lt;'01_Run_Config'!$B$33,IF(A73-'01_Run_Config'!$B$32&lt;=3,0.8,IF(A73-'01_Run_Config'!$B$32&lt;=10,1,IF(A73-'01_Run_Config'!$B$32&lt;=17,1.2,1.4))),IF(A73-'01_Run_Config'!$B$33&lt;=6,1.5,IF(A73-'01_Run_Config'!$B$33&lt;=13,1.6,IF(A73-'01_Run_Config'!$B$33&lt;=20,1.7,IF(A73-'01_Run_Config'!$B$33&lt;=34,1.8,IF(A73-'01_Run_Config'!$B$33&lt;=41,1.6,IF(A73-'01_Run_Config'!$B$33&lt;=48,1.4,1.15))))))))</x:f>
        <x:v>1.4</x:v>
      </x:c>
      <x:c r="Q73" s="63" t="n">
        <x:v>5.9</x:v>
      </x:c>
      <x:c r="R73" s="63" t="n">
        <x:v>0.4</x:v>
      </x:c>
      <x:c r="S73" s="63" t="n">
        <x:v>0.8</x:v>
      </x:c>
      <x:c r="T73" s="63" t="str">
        <x:f>IF(A73&lt;=7,"Manuell",'01_Run_Config'!$B$40)</x:f>
        <x:v>Manuell / indoor-freigegebene Automation</x:v>
      </x:c>
      <x:c r="U73" s="63" t="str">
        <x:f>IF(A73&lt;'01_Run_Config'!$B$32,"Kein Basisdünger",IF(A73&lt;'01_Run_Config'!$B$33,"HESI TNT","HESI Coco"))</x:f>
        <x:v>HESI Coco</x:v>
      </x:c>
      <x:c r="V73" s="63" t="n">
        <x:f>IF(A73&lt;'01_Run_Config'!$B$32,0,IF(A73&lt;'01_Run_Config'!$B$33,IF(A73-'01_Run_Config'!$B$32&lt;=3,1.25,IF(A73-'01_Run_Config'!$B$32&lt;=10,2,2.5)),IF(A73-'01_Run_Config'!$B$33&lt;=6,2.5,IF(A73-'01_Run_Config'!$B$33&lt;=13,3.25,IF(A73-'01_Run_Config'!$B$33&lt;=20,3.75,IF(A73-'01_Run_Config'!$B$33&lt;=34,4,IF(A73-'01_Run_Config'!$B$33&lt;=41,3.5,IF(A73-'01_Run_Config'!$B$33&lt;=48,2.5,1.5))))))))</x:f>
        <x:v>2.5</x:v>
      </x:c>
      <x:c r="W73" s="63" t="n">
        <x:f>IF(A73&lt;=14,2.5,0)</x:f>
        <x:v>0</x:v>
      </x:c>
      <x:c r="X73" s="63" t="n">
        <x:f>IF('01_Run_Config'!$B$50="AN Sensizym",0,IF(AND(A73&gt;='01_Run_Config'!$B$32,OR(AL73="",AL73&lt;=49)),2,0))</x:f>
        <x:v>2</x:v>
      </x:c>
      <x:c r="Y73" s="63" t="n">
        <x:f>0.015</x:f>
        <x:v>0.015</x:v>
      </x:c>
      <x:c r="Z73" s="63" t="n">
        <x:f>IF('01_Run_Config'!$B$51="HESI Hesilicio",2,0)</x:f>
        <x:v>0</x:v>
      </x:c>
      <x:c r="AA73" s="63" t="n">
        <x:f>IF('01_Run_Config'!$B$48="AN Bud Candy (replaces HESI Boost)",0,IF(AND(A73&gt;='01_Run_Config'!$B$33,MOD(A73-'01_Run_Config'!$B$33,7)=0),2,0))</x:f>
        <x:v>0</x:v>
      </x:c>
      <x:c r="AB73" s="63" t="n">
        <x:f>IF('01_Run_Config'!$B$52="AN Bud Ignitor &gt; Big Bud &gt; Overdrive",0,IF(AND(ISNUMBER(AL73),AL73&gt;=29,AL73&lt;=42),0.25+((AL73-29)/13)*0.25,0))</x:f>
        <x:v>0</x:v>
      </x:c>
      <x:c r="AC73" s="63" t="n">
        <x:f>IF('01_Run_Config'!$B$46="OFF",0,IF(OR(A73='01_Run_Config'!$B$32,A73='01_Run_Config'!$B$32+7,A73='01_Run_Config'!$B$33+1,A73='01_Run_Config'!$B$33+8),2,0))</x:f>
        <x:v>0</x:v>
      </x:c>
      <x:c r="AD73" s="63" t="str">
        <x:f>IF(BG73="BLOCK","HYBRID BLOCKED - Konfiguration prüfen",IF(SUM(AC73,AT73:BF73)&gt;0,"AN aktiv: "&amp;BH73,"AN: keine Dosis heute / Module aus"))</x:f>
        <x:v>AN: keine Dosis heute / Module aus</x:v>
      </x:c>
      <x:c r="AE73" s="63" t="str">
        <x:v>Keine Eingriffe</x:v>
      </x:c>
      <x:c r="AF73" s="63" t="str">
        <x:v>Morgens Klima/Pflanze/Bewässerung/Leck; Mitte Lichtphase Blattwinkel; vor Dunkel LF/Drain/stehendes Wasser.</x:v>
      </x:c>
      <x:c r="AG73" s="63" t="str">
        <x:v>EC nicht erhöhen bei steigender Diagnose-Drain-EC; PPFD nicht erhöhen bei Stress; Wasserband nie erzwingen; nie mehrere neue Booster gleichzeitig.</x:v>
      </x:c>
      <x:c r="AH73" s="35" t="str">
        <x:f>"UKD v9 evidence-guarded: Planwerte sind Ziele/Eligibility, keine automatische Freigabe. Eazy Plug/Block ist vorgepuffert; früher Basisfeed bleibt vom Propagation-/Pflanzengate abhängig. Messdaten und Safety-Gates überschreiben Kalender."</x:f>
        <x:v>UKD v9 evidence-guarded: Planwerte sind Ziele/Eligibility, keine automatische Freigabe. Eazy Plug/Block ist vorgepuffert; früher Basisfeed bleibt vom Propagation-/Pflanzengate abhängig. Messdaten und Safety-Gates überschreiben Kalender.</x:v>
      </x:c>
      <x:c r="AI73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73" s="201" t="str">
        <x:f>IF(A73&lt;'01_Run_Config'!$B$32,"—",IF(A73&lt;'01_Run_Config'!$B$33,"G"&amp;MIN(4,INT((A73-'01_Run_Config'!$B$32)/7)+1),AM73))</x:f>
        <x:v>B7</x:v>
      </x:c>
      <x:c r="AK73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73" s="60" t="n">
        <x:f>IF(A73&lt;'01_Run_Config'!$B$33,"",A73-'01_Run_Config'!$B$33+1)</x:f>
        <x:v>44</x:v>
      </x:c>
      <x:c r="AM73" s="60" t="str">
        <x:f>IF(AL73="","",IF(AL73&gt;49,CHAR(66)&amp;"7+",CHAR(66)&amp;TEXT(INT((AL73-1)/7)+1,"0")))</x:f>
        <x:v>B7</x:v>
      </x:c>
      <x:c r="AN73" s="60" t="n">
        <x:f>ROUND(0.6108*EXP(17.27*L73/(L73+237.3))*(1-N73/100),2)</x:f>
        <x:v>1.63</x:v>
      </x:c>
      <x:c r="AO73" s="60" t="n">
        <x:f>H73*G73/1000</x:f>
        <x:v>1.89</x:v>
      </x:c>
      <x:c r="AP73" s="60" t="n">
        <x:f>SUM($AO$2:AO73)</x:f>
        <x:v>134.18999999999994</x:v>
      </x:c>
      <x:c r="AQ73" t="n">
        <x:f>'01_Run_Config'!$B$17</x:f>
        <x:v>0</x:v>
      </x:c>
      <x:c r="AR73" t="n">
        <x:f>'01_Run_Config'!$B$22</x:f>
        <x:v>0</x:v>
      </x:c>
      <x:c r="AS73" t="n">
        <x:f>'01_Run_Config'!$B$25</x:f>
        <x:v>0</x:v>
      </x:c>
      <x:c r="AT73" t="n">
        <x:f>IF(AND('01_Run_Config'!$B$46="Voodoo + Piranha + Tarantula",AC73&gt;0),2,0)</x:f>
        <x:v>0</x:v>
      </x:c>
      <x:c r="AU73" t="n">
        <x:f>IF(AND(OR('01_Run_Config'!$B$46="Voodoo + Tarantula",'01_Run_Config'!$B$46="Voodoo + Piranha + Tarantula"),AC73&gt;0),2,0)</x:f>
        <x:v>0</x:v>
      </x:c>
      <x:c r="AV73" t="n">
        <x:f>IF('01_Run_Config'!$B$47&lt;&gt;"ON / A-B",0,IF(OR(AND(A73&gt;='01_Run_Config'!$B$32,A73&lt;'01_Run_Config'!$B$33),AND(ISNUMBER(AL73),AL73&gt;=15,AL73&lt;=49)),2,0))</x:f>
        <x:v>0</x:v>
      </x:c>
      <x:c r="AW73" t="n">
        <x:f>IF('01_Run_Config'!$B$48="AN Bud Candy (replaces HESI Boost)",IF(AND(A73&gt;='01_Run_Config'!$B$32,OR(AL73="",AL73&lt;=49)),2,0),0)</x:f>
        <x:v>0</x:v>
      </x:c>
      <x:c r="AX73" t="n">
        <x:f>IF('01_Run_Config'!$B$49&lt;&gt;"ON / EXPERIMENTAL",0,IF(OR(AND(A73&gt;='01_Run_Config'!$B$32+7,A73&lt;'01_Run_Config'!$B$33),AND(ISNUMBER(AL73),AL73&gt;=1,AL73&lt;=49)),2,0))</x:f>
        <x:v>0</x:v>
      </x:c>
      <x:c r="AY73" t="n">
        <x:f>IF('01_Run_Config'!$B$50="AN Sensizym",IF(AND(A73&gt;='01_Run_Config'!$B$32,OR(AL73="",AL73&lt;=49)),2,0),0)</x:f>
        <x:v>0</x:v>
      </x:c>
      <x:c r="AZ73" t="n">
        <x:f>IF('01_Run_Config'!$B$51="AN Rhino Skin",IF(AND(A73&gt;='01_Run_Config'!$B$32,OR(AL73="",AL73&lt;=49)),2,0),0)</x:f>
        <x:v>0</x:v>
      </x:c>
      <x:c r="BA73" t="n">
        <x:f>IF(AND('01_Run_Config'!$B$52="AN Bud Ignitor &gt; Big Bud &gt; Overdrive",ISNUMBER(AL73),AL73&gt;=1,AL73&lt;=14),2,0)</x:f>
        <x:v>0</x:v>
      </x:c>
      <x:c r="BB73" t="n">
        <x:f>IF(AND('01_Run_Config'!$B$52="AN Bud Ignitor &gt; Big Bud &gt; Overdrive",ISNUMBER(AL73),AL73&gt;=8,AL73&lt;=35),2,0)</x:f>
        <x:v>0</x:v>
      </x:c>
      <x:c r="BC73" t="n">
        <x:f>IF(AND('01_Run_Config'!$B$52="AN Bud Ignitor &gt; Big Bud &gt; Overdrive",ISNUMBER(AL73),AL73&gt;=36,AL73&lt;=49),2,0)</x:f>
        <x:v>0</x:v>
      </x:c>
      <x:c r="BD73" t="n">
        <x:f>IF('01_Run_Config'!$B$53="ON / EXPERIMENTAL",IF(OR(AND(A73&gt;='01_Run_Config'!$B$32,A73&lt;'01_Run_Config'!$B$33),AND(ISNUMBER(AL73),AL73&gt;=15,AL73&lt;=49)),2,0),0)</x:f>
        <x:v>0</x:v>
      </x:c>
      <x:c r="BE73" t="n">
        <x:f>IF('01_Run_Config'!$B$54="AN Sensi CalMag Xtra conditional",'01_Run_Config'!$B$17,0)</x:f>
        <x:v>0</x:v>
      </x:c>
      <x:c r="BF73" t="n">
        <x:f>0</x:f>
        <x:v>0</x:v>
      </x:c>
      <x:c r="BG73" t="str">
        <x:f>'01_Run_Config'!$E$57</x:f>
        <x:v>OK</x:v>
      </x:c>
      <x:c r="BH73" t="str">
        <x:f>IF(SUM(AC73,AT73:BF73)=0,"keine AN-Dosis heute",IF(AC73&gt;0,"Voodoo "&amp;AC73&amp;" ml/L; ","")&amp;IF(AT73&gt;0,"Piranha "&amp;AT73&amp;" ml/L; ","")&amp;IF(AU73&gt;0,"Tarantula "&amp;AU73&amp;" ml/L; ","")&amp;IF(AV73&gt;0,"B-52 "&amp;AV73&amp;" ml/L; ","")&amp;IF(AW73&gt;0,"Bud Candy "&amp;AW73&amp;" ml/L; ","")&amp;IF(AX73&gt;0,"Bud Factor X "&amp;AX73&amp;" ml/L; ","")&amp;IF(AY73&gt;0,"Sensizym "&amp;AY73&amp;" ml/L; ","")&amp;IF(AZ73&gt;0,"Rhino Skin "&amp;AZ73&amp;" ml/L; ","")&amp;IF(BA73&gt;0,"Bud Ignitor "&amp;BA73&amp;" ml/L; ","")&amp;IF(BB73&gt;0,"Big Bud "&amp;BB73&amp;" ml/L; ","")&amp;IF(BC73&gt;0,"Overdrive "&amp;BC73&amp;" ml/L; ","")&amp;IF(BD73&gt;0,"Tasty Terpenes "&amp;BD73&amp;" ml/L; ","")&amp;IF(BE73&gt;0,"Sensi CalMag "&amp;BE73&amp;" ml/L",""))</x:f>
        <x:v>keine AN-Dosis heute</x:v>
      </x:c>
    </x:row>
    <x:row r="74">
      <x:c r="A74" s="34" t="n">
        <x:v>72</x:v>
      </x:c>
      <x:c r="B74" s="129" t="n">
        <x:f>'01_Run_Config'!$B$4+A74</x:f>
        <x:v>46314</x:v>
      </x:c>
      <x:c r="C74" s="63" t="n">
        <x:f>INT(A74/7)+1</x:f>
        <x:v>11</x:v>
      </x:c>
      <x:c r="D74" s="63" t="str">
        <x:f>"M"&amp;MIN(3,INT(A74/30)+1)</x:f>
        <x:v>M3</x:v>
      </x:c>
      <x:c r="E74" s="63" t="str">
        <x:f>IF(A74&lt;4,"Keimung",IF(A74&lt;8,"Etablierung",IF(A74&lt;15,"Early Veg",IF(A74&lt;'01_Run_Config'!$B$33,IF(A74&lt;22,"Veg / LST","Preflower-Watch"),IF(A74-'01_Run_Config'!$B$33&lt;=6,"Transition / Stretch ("&amp;AM74&amp;")",IF(A74-'01_Run_Config'!$B$33&lt;=13,"Early Flower ("&amp;AM74&amp;")",IF(A74-'01_Run_Config'!$B$33&lt;=20,"Flower I ("&amp;AM74&amp;")",IF(A74-'01_Run_Config'!$B$33&lt;=34,"Peak Flower ("&amp;AM74&amp;")",IF(A74-'01_Run_Config'!$B$33&lt;=41,"Late Flower ("&amp;AM74&amp;")",IF(A74-'01_Run_Config'!$B$33&lt;=48,"Ripening ("&amp;AM74&amp;")","Harvest / Extension ("&amp;AM74&amp;")"))))))))))</x:f>
        <x:v>Ripening (B7)</x:v>
      </x:c>
      <x:c r="F74" s="63" t="str">
        <x:f>IF(A74&lt;4,"Keimung + Wurzelstart",IF(A74&lt;8,"Sämling etablieren; Wurzelraum erschließen",IF(A74&lt;15,"kompakter Aufbau; LST erst bei Vitalität",IF(A74&lt;'01_Run_Config'!$B$33,"Canopy aufbauen; Preflower beobachten",IF(A74-'01_Run_Config'!$B$33&lt;=6,"Stretch kontrollieren; Bloom-Trigger dokumentieren",IF(A74-'01_Run_Config'!$B$33&lt;=13,"Blütenansatz stabilisieren",IF(A74-'01_Run_Config'!$B$33&lt;=20,"Blütenaufbau ohne neue Stressoren",IF(A74-'01_Run_Config'!$B$33&lt;=34,"stabile Peak-Photosynthese; Klima priorisieren",IF(A74-'01_Run_Config'!$B$33&lt;=41,"Qualität/Schimmelprävention",IF(A74-'01_Run_Config'!$B$33&lt;=48,"Reife ohne Überfütterung","Erntefenster nach Pflanze; keine Kalenderernte"))))))))))</x:f>
        <x:v>Reife ohne Überfütterung</x:v>
      </x:c>
      <x:c r="G74" s="63" t="n">
        <x:v>18</x:v>
      </x:c>
      <x:c r="H74" s="63" t="n">
        <x:v>105</x:v>
      </x:c>
      <x:c r="I74" s="63" t="n">
        <x:v>500</x:v>
      </x:c>
      <x:c r="J74" s="63" t="n">
        <x:f>I74*G74*3600/1000000</x:f>
        <x:v>32.4</x:v>
      </x:c>
      <x:c r="K74" s="63" t="n">
        <x:v>40</x:v>
      </x:c>
      <x:c r="L74" s="63" t="n">
        <x:v>23</x:v>
      </x:c>
      <x:c r="M74" s="63" t="n">
        <x:v>20</x:v>
      </x:c>
      <x:c r="N74" s="63" t="n">
        <x:v>42</x:v>
      </x:c>
      <x:c r="O74" s="63" t="n">
        <x:f>ROUND(0.6108*EXP(17.27*(L74+'01_Run_Config'!$B$34)/(L74+'01_Run_Config'!$B$34+237.3))-(N74/100)*0.6108*EXP(17.27*L74/(L74+237.3)),2)</x:f>
        <x:v>1.46</x:v>
      </x:c>
      <x:c r="P74" s="63" t="n">
        <x:f>IF(A74&lt;'01_Run_Config'!$B$32,0.55,IF(A74&lt;'01_Run_Config'!$B$33,IF(A74-'01_Run_Config'!$B$32&lt;=3,0.8,IF(A74-'01_Run_Config'!$B$32&lt;=10,1,IF(A74-'01_Run_Config'!$B$32&lt;=17,1.2,1.4))),IF(A74-'01_Run_Config'!$B$33&lt;=6,1.5,IF(A74-'01_Run_Config'!$B$33&lt;=13,1.6,IF(A74-'01_Run_Config'!$B$33&lt;=20,1.7,IF(A74-'01_Run_Config'!$B$33&lt;=34,1.8,IF(A74-'01_Run_Config'!$B$33&lt;=41,1.6,IF(A74-'01_Run_Config'!$B$33&lt;=48,1.4,1.15))))))))</x:f>
        <x:v>1.4</x:v>
      </x:c>
      <x:c r="Q74" s="63" t="n">
        <x:v>5.9</x:v>
      </x:c>
      <x:c r="R74" s="63" t="n">
        <x:v>0.4</x:v>
      </x:c>
      <x:c r="S74" s="63" t="n">
        <x:v>0.8</x:v>
      </x:c>
      <x:c r="T74" s="63" t="str">
        <x:f>IF(A74&lt;=7,"Manuell",'01_Run_Config'!$B$40)</x:f>
        <x:v>Manuell / indoor-freigegebene Automation</x:v>
      </x:c>
      <x:c r="U74" s="63" t="str">
        <x:f>IF(A74&lt;'01_Run_Config'!$B$32,"Kein Basisdünger",IF(A74&lt;'01_Run_Config'!$B$33,"HESI TNT","HESI Coco"))</x:f>
        <x:v>HESI Coco</x:v>
      </x:c>
      <x:c r="V74" s="63" t="n">
        <x:f>IF(A74&lt;'01_Run_Config'!$B$32,0,IF(A74&lt;'01_Run_Config'!$B$33,IF(A74-'01_Run_Config'!$B$32&lt;=3,1.25,IF(A74-'01_Run_Config'!$B$32&lt;=10,2,2.5)),IF(A74-'01_Run_Config'!$B$33&lt;=6,2.5,IF(A74-'01_Run_Config'!$B$33&lt;=13,3.25,IF(A74-'01_Run_Config'!$B$33&lt;=20,3.75,IF(A74-'01_Run_Config'!$B$33&lt;=34,4,IF(A74-'01_Run_Config'!$B$33&lt;=41,3.5,IF(A74-'01_Run_Config'!$B$33&lt;=48,2.5,1.5))))))))</x:f>
        <x:v>2.5</x:v>
      </x:c>
      <x:c r="W74" s="63" t="n">
        <x:f>IF(A74&lt;=14,2.5,0)</x:f>
        <x:v>0</x:v>
      </x:c>
      <x:c r="X74" s="63" t="n">
        <x:f>IF('01_Run_Config'!$B$50="AN Sensizym",0,IF(AND(A74&gt;='01_Run_Config'!$B$32,OR(AL74="",AL74&lt;=49)),2,0))</x:f>
        <x:v>2</x:v>
      </x:c>
      <x:c r="Y74" s="63" t="n">
        <x:f>0.015</x:f>
        <x:v>0.015</x:v>
      </x:c>
      <x:c r="Z74" s="63" t="n">
        <x:f>IF('01_Run_Config'!$B$51="HESI Hesilicio",2,0)</x:f>
        <x:v>0</x:v>
      </x:c>
      <x:c r="AA74" s="63" t="n">
        <x:f>IF('01_Run_Config'!$B$48="AN Bud Candy (replaces HESI Boost)",0,IF(AND(A74&gt;='01_Run_Config'!$B$33,MOD(A74-'01_Run_Config'!$B$33,7)=0),2,0))</x:f>
        <x:v>0</x:v>
      </x:c>
      <x:c r="AB74" s="63" t="n">
        <x:f>IF('01_Run_Config'!$B$52="AN Bud Ignitor &gt; Big Bud &gt; Overdrive",0,IF(AND(ISNUMBER(AL74),AL74&gt;=29,AL74&lt;=42),0.25+((AL74-29)/13)*0.25,0))</x:f>
        <x:v>0</x:v>
      </x:c>
      <x:c r="AC74" s="63" t="n">
        <x:f>IF('01_Run_Config'!$B$46="OFF",0,IF(OR(A74='01_Run_Config'!$B$32,A74='01_Run_Config'!$B$32+7,A74='01_Run_Config'!$B$33+1,A74='01_Run_Config'!$B$33+8),2,0))</x:f>
        <x:v>0</x:v>
      </x:c>
      <x:c r="AD74" s="63" t="str">
        <x:f>IF(BG74="BLOCK","HYBRID BLOCKED - Konfiguration prüfen",IF(SUM(AC74,AT74:BF74)&gt;0,"AN aktiv: "&amp;BH74,"AN: keine Dosis heute / Module aus"))</x:f>
        <x:v>AN: keine Dosis heute / Module aus</x:v>
      </x:c>
      <x:c r="AE74" s="63" t="str">
        <x:v>Keine Eingriffe</x:v>
      </x:c>
      <x:c r="AF74" s="63" t="str">
        <x:v>Morgens Klima/Pflanze/Bewässerung/Leck; Mitte Lichtphase Blattwinkel; vor Dunkel LF/Drain/stehendes Wasser.</x:v>
      </x:c>
      <x:c r="AG74" s="63" t="str">
        <x:v>EC nicht erhöhen bei steigender Diagnose-Drain-EC; PPFD nicht erhöhen bei Stress; Wasserband nie erzwingen; nie mehrere neue Booster gleichzeitig.</x:v>
      </x:c>
      <x:c r="AH74" s="35" t="str">
        <x:f>"UKD v9 evidence-guarded: Planwerte sind Ziele/Eligibility, keine automatische Freigabe. Eazy Plug/Block ist vorgepuffert; früher Basisfeed bleibt vom Propagation-/Pflanzengate abhängig. Messdaten und Safety-Gates überschreiben Kalender."</x:f>
        <x:v>UKD v9 evidence-guarded: Planwerte sind Ziele/Eligibility, keine automatische Freigabe. Eazy Plug/Block ist vorgepuffert; früher Basisfeed bleibt vom Propagation-/Pflanzengate abhängig. Messdaten und Safety-Gates überschreiben Kalender.</x:v>
      </x:c>
      <x:c r="AI74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74" s="201" t="str">
        <x:f>IF(A74&lt;'01_Run_Config'!$B$32,"—",IF(A74&lt;'01_Run_Config'!$B$33,"G"&amp;MIN(4,INT((A74-'01_Run_Config'!$B$32)/7)+1),AM74))</x:f>
        <x:v>B7</x:v>
      </x:c>
      <x:c r="AK74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74" s="60" t="n">
        <x:f>IF(A74&lt;'01_Run_Config'!$B$33,"",A74-'01_Run_Config'!$B$33+1)</x:f>
        <x:v>45</x:v>
      </x:c>
      <x:c r="AM74" s="60" t="str">
        <x:f>IF(AL74="","",IF(AL74&gt;49,CHAR(66)&amp;"7+",CHAR(66)&amp;TEXT(INT((AL74-1)/7)+1,"0")))</x:f>
        <x:v>B7</x:v>
      </x:c>
      <x:c r="AN74" s="60" t="n">
        <x:f>ROUND(0.6108*EXP(17.27*L74/(L74+237.3))*(1-N74/100),2)</x:f>
        <x:v>1.63</x:v>
      </x:c>
      <x:c r="AO74" s="60" t="n">
        <x:f>H74*G74/1000</x:f>
        <x:v>1.89</x:v>
      </x:c>
      <x:c r="AP74" s="60" t="n">
        <x:f>SUM($AO$2:AO74)</x:f>
        <x:v>136.07999999999993</x:v>
      </x:c>
      <x:c r="AQ74" t="n">
        <x:f>'01_Run_Config'!$B$17</x:f>
        <x:v>0</x:v>
      </x:c>
      <x:c r="AR74" t="n">
        <x:f>'01_Run_Config'!$B$22</x:f>
        <x:v>0</x:v>
      </x:c>
      <x:c r="AS74" t="n">
        <x:f>'01_Run_Config'!$B$25</x:f>
        <x:v>0</x:v>
      </x:c>
      <x:c r="AT74" t="n">
        <x:f>IF(AND('01_Run_Config'!$B$46="Voodoo + Piranha + Tarantula",AC74&gt;0),2,0)</x:f>
        <x:v>0</x:v>
      </x:c>
      <x:c r="AU74" t="n">
        <x:f>IF(AND(OR('01_Run_Config'!$B$46="Voodoo + Tarantula",'01_Run_Config'!$B$46="Voodoo + Piranha + Tarantula"),AC74&gt;0),2,0)</x:f>
        <x:v>0</x:v>
      </x:c>
      <x:c r="AV74" t="n">
        <x:f>IF('01_Run_Config'!$B$47&lt;&gt;"ON / A-B",0,IF(OR(AND(A74&gt;='01_Run_Config'!$B$32,A74&lt;'01_Run_Config'!$B$33),AND(ISNUMBER(AL74),AL74&gt;=15,AL74&lt;=49)),2,0))</x:f>
        <x:v>0</x:v>
      </x:c>
      <x:c r="AW74" t="n">
        <x:f>IF('01_Run_Config'!$B$48="AN Bud Candy (replaces HESI Boost)",IF(AND(A74&gt;='01_Run_Config'!$B$32,OR(AL74="",AL74&lt;=49)),2,0),0)</x:f>
        <x:v>0</x:v>
      </x:c>
      <x:c r="AX74" t="n">
        <x:f>IF('01_Run_Config'!$B$49&lt;&gt;"ON / EXPERIMENTAL",0,IF(OR(AND(A74&gt;='01_Run_Config'!$B$32+7,A74&lt;'01_Run_Config'!$B$33),AND(ISNUMBER(AL74),AL74&gt;=1,AL74&lt;=49)),2,0))</x:f>
        <x:v>0</x:v>
      </x:c>
      <x:c r="AY74" t="n">
        <x:f>IF('01_Run_Config'!$B$50="AN Sensizym",IF(AND(A74&gt;='01_Run_Config'!$B$32,OR(AL74="",AL74&lt;=49)),2,0),0)</x:f>
        <x:v>0</x:v>
      </x:c>
      <x:c r="AZ74" t="n">
        <x:f>IF('01_Run_Config'!$B$51="AN Rhino Skin",IF(AND(A74&gt;='01_Run_Config'!$B$32,OR(AL74="",AL74&lt;=49)),2,0),0)</x:f>
        <x:v>0</x:v>
      </x:c>
      <x:c r="BA74" t="n">
        <x:f>IF(AND('01_Run_Config'!$B$52="AN Bud Ignitor &gt; Big Bud &gt; Overdrive",ISNUMBER(AL74),AL74&gt;=1,AL74&lt;=14),2,0)</x:f>
        <x:v>0</x:v>
      </x:c>
      <x:c r="BB74" t="n">
        <x:f>IF(AND('01_Run_Config'!$B$52="AN Bud Ignitor &gt; Big Bud &gt; Overdrive",ISNUMBER(AL74),AL74&gt;=8,AL74&lt;=35),2,0)</x:f>
        <x:v>0</x:v>
      </x:c>
      <x:c r="BC74" t="n">
        <x:f>IF(AND('01_Run_Config'!$B$52="AN Bud Ignitor &gt; Big Bud &gt; Overdrive",ISNUMBER(AL74),AL74&gt;=36,AL74&lt;=49),2,0)</x:f>
        <x:v>0</x:v>
      </x:c>
      <x:c r="BD74" t="n">
        <x:f>IF('01_Run_Config'!$B$53="ON / EXPERIMENTAL",IF(OR(AND(A74&gt;='01_Run_Config'!$B$32,A74&lt;'01_Run_Config'!$B$33),AND(ISNUMBER(AL74),AL74&gt;=15,AL74&lt;=49)),2,0),0)</x:f>
        <x:v>0</x:v>
      </x:c>
      <x:c r="BE74" t="n">
        <x:f>IF('01_Run_Config'!$B$54="AN Sensi CalMag Xtra conditional",'01_Run_Config'!$B$17,0)</x:f>
        <x:v>0</x:v>
      </x:c>
      <x:c r="BF74" t="n">
        <x:f>0</x:f>
        <x:v>0</x:v>
      </x:c>
      <x:c r="BG74" t="str">
        <x:f>'01_Run_Config'!$E$57</x:f>
        <x:v>OK</x:v>
      </x:c>
      <x:c r="BH74" t="str">
        <x:f>IF(SUM(AC74,AT74:BF74)=0,"keine AN-Dosis heute",IF(AC74&gt;0,"Voodoo "&amp;AC74&amp;" ml/L; ","")&amp;IF(AT74&gt;0,"Piranha "&amp;AT74&amp;" ml/L; ","")&amp;IF(AU74&gt;0,"Tarantula "&amp;AU74&amp;" ml/L; ","")&amp;IF(AV74&gt;0,"B-52 "&amp;AV74&amp;" ml/L; ","")&amp;IF(AW74&gt;0,"Bud Candy "&amp;AW74&amp;" ml/L; ","")&amp;IF(AX74&gt;0,"Bud Factor X "&amp;AX74&amp;" ml/L; ","")&amp;IF(AY74&gt;0,"Sensizym "&amp;AY74&amp;" ml/L; ","")&amp;IF(AZ74&gt;0,"Rhino Skin "&amp;AZ74&amp;" ml/L; ","")&amp;IF(BA74&gt;0,"Bud Ignitor "&amp;BA74&amp;" ml/L; ","")&amp;IF(BB74&gt;0,"Big Bud "&amp;BB74&amp;" ml/L; ","")&amp;IF(BC74&gt;0,"Overdrive "&amp;BC74&amp;" ml/L; ","")&amp;IF(BD74&gt;0,"Tasty Terpenes "&amp;BD74&amp;" ml/L; ","")&amp;IF(BE74&gt;0,"Sensi CalMag "&amp;BE74&amp;" ml/L",""))</x:f>
        <x:v>keine AN-Dosis heute</x:v>
      </x:c>
    </x:row>
    <x:row r="75">
      <x:c r="A75" s="34" t="n">
        <x:v>73</x:v>
      </x:c>
      <x:c r="B75" s="129" t="n">
        <x:f>'01_Run_Config'!$B$4+A75</x:f>
        <x:v>46315</x:v>
      </x:c>
      <x:c r="C75" s="63" t="n">
        <x:f>INT(A75/7)+1</x:f>
        <x:v>11</x:v>
      </x:c>
      <x:c r="D75" s="63" t="str">
        <x:f>"M"&amp;MIN(3,INT(A75/30)+1)</x:f>
        <x:v>M3</x:v>
      </x:c>
      <x:c r="E75" s="63" t="str">
        <x:f>IF(A75&lt;4,"Keimung",IF(A75&lt;8,"Etablierung",IF(A75&lt;15,"Early Veg",IF(A75&lt;'01_Run_Config'!$B$33,IF(A75&lt;22,"Veg / LST","Preflower-Watch"),IF(A75-'01_Run_Config'!$B$33&lt;=6,"Transition / Stretch ("&amp;AM75&amp;")",IF(A75-'01_Run_Config'!$B$33&lt;=13,"Early Flower ("&amp;AM75&amp;")",IF(A75-'01_Run_Config'!$B$33&lt;=20,"Flower I ("&amp;AM75&amp;")",IF(A75-'01_Run_Config'!$B$33&lt;=34,"Peak Flower ("&amp;AM75&amp;")",IF(A75-'01_Run_Config'!$B$33&lt;=41,"Late Flower ("&amp;AM75&amp;")",IF(A75-'01_Run_Config'!$B$33&lt;=48,"Ripening ("&amp;AM75&amp;")","Harvest / Extension ("&amp;AM75&amp;")"))))))))))</x:f>
        <x:v>Ripening (B7)</x:v>
      </x:c>
      <x:c r="F75" s="63" t="str">
        <x:f>IF(A75&lt;4,"Keimung + Wurzelstart",IF(A75&lt;8,"Sämling etablieren; Wurzelraum erschließen",IF(A75&lt;15,"kompakter Aufbau; LST erst bei Vitalität",IF(A75&lt;'01_Run_Config'!$B$33,"Canopy aufbauen; Preflower beobachten",IF(A75-'01_Run_Config'!$B$33&lt;=6,"Stretch kontrollieren; Bloom-Trigger dokumentieren",IF(A75-'01_Run_Config'!$B$33&lt;=13,"Blütenansatz stabilisieren",IF(A75-'01_Run_Config'!$B$33&lt;=20,"Blütenaufbau ohne neue Stressoren",IF(A75-'01_Run_Config'!$B$33&lt;=34,"stabile Peak-Photosynthese; Klima priorisieren",IF(A75-'01_Run_Config'!$B$33&lt;=41,"Qualität/Schimmelprävention",IF(A75-'01_Run_Config'!$B$33&lt;=48,"Reife ohne Überfütterung","Erntefenster nach Pflanze; keine Kalenderernte"))))))))))</x:f>
        <x:v>Reife ohne Überfütterung</x:v>
      </x:c>
      <x:c r="G75" s="63" t="n">
        <x:v>18</x:v>
      </x:c>
      <x:c r="H75" s="63" t="n">
        <x:v>105</x:v>
      </x:c>
      <x:c r="I75" s="63" t="n">
        <x:v>500</x:v>
      </x:c>
      <x:c r="J75" s="63" t="n">
        <x:f>I75*G75*3600/1000000</x:f>
        <x:v>32.4</x:v>
      </x:c>
      <x:c r="K75" s="63" t="n">
        <x:v>40</x:v>
      </x:c>
      <x:c r="L75" s="63" t="n">
        <x:v>23</x:v>
      </x:c>
      <x:c r="M75" s="63" t="n">
        <x:v>20</x:v>
      </x:c>
      <x:c r="N75" s="63" t="n">
        <x:v>42</x:v>
      </x:c>
      <x:c r="O75" s="63" t="n">
        <x:f>ROUND(0.6108*EXP(17.27*(L75+'01_Run_Config'!$B$34)/(L75+'01_Run_Config'!$B$34+237.3))-(N75/100)*0.6108*EXP(17.27*L75/(L75+237.3)),2)</x:f>
        <x:v>1.46</x:v>
      </x:c>
      <x:c r="P75" s="63" t="n">
        <x:f>IF(A75&lt;'01_Run_Config'!$B$32,0.55,IF(A75&lt;'01_Run_Config'!$B$33,IF(A75-'01_Run_Config'!$B$32&lt;=3,0.8,IF(A75-'01_Run_Config'!$B$32&lt;=10,1,IF(A75-'01_Run_Config'!$B$32&lt;=17,1.2,1.4))),IF(A75-'01_Run_Config'!$B$33&lt;=6,1.5,IF(A75-'01_Run_Config'!$B$33&lt;=13,1.6,IF(A75-'01_Run_Config'!$B$33&lt;=20,1.7,IF(A75-'01_Run_Config'!$B$33&lt;=34,1.8,IF(A75-'01_Run_Config'!$B$33&lt;=41,1.6,IF(A75-'01_Run_Config'!$B$33&lt;=48,1.4,1.15))))))))</x:f>
        <x:v>1.4</x:v>
      </x:c>
      <x:c r="Q75" s="63" t="n">
        <x:v>5.9</x:v>
      </x:c>
      <x:c r="R75" s="63" t="n">
        <x:v>0.4</x:v>
      </x:c>
      <x:c r="S75" s="63" t="n">
        <x:v>0.8</x:v>
      </x:c>
      <x:c r="T75" s="63" t="str">
        <x:f>IF(A75&lt;=7,"Manuell",'01_Run_Config'!$B$40)</x:f>
        <x:v>Manuell / indoor-freigegebene Automation</x:v>
      </x:c>
      <x:c r="U75" s="63" t="str">
        <x:f>IF(A75&lt;'01_Run_Config'!$B$32,"Kein Basisdünger",IF(A75&lt;'01_Run_Config'!$B$33,"HESI TNT","HESI Coco"))</x:f>
        <x:v>HESI Coco</x:v>
      </x:c>
      <x:c r="V75" s="63" t="n">
        <x:f>IF(A75&lt;'01_Run_Config'!$B$32,0,IF(A75&lt;'01_Run_Config'!$B$33,IF(A75-'01_Run_Config'!$B$32&lt;=3,1.25,IF(A75-'01_Run_Config'!$B$32&lt;=10,2,2.5)),IF(A75-'01_Run_Config'!$B$33&lt;=6,2.5,IF(A75-'01_Run_Config'!$B$33&lt;=13,3.25,IF(A75-'01_Run_Config'!$B$33&lt;=20,3.75,IF(A75-'01_Run_Config'!$B$33&lt;=34,4,IF(A75-'01_Run_Config'!$B$33&lt;=41,3.5,IF(A75-'01_Run_Config'!$B$33&lt;=48,2.5,1.5))))))))</x:f>
        <x:v>2.5</x:v>
      </x:c>
      <x:c r="W75" s="63" t="n">
        <x:f>IF(A75&lt;=14,2.5,0)</x:f>
        <x:v>0</x:v>
      </x:c>
      <x:c r="X75" s="63" t="n">
        <x:f>IF('01_Run_Config'!$B$50="AN Sensizym",0,IF(AND(A75&gt;='01_Run_Config'!$B$32,OR(AL75="",AL75&lt;=49)),2,0))</x:f>
        <x:v>2</x:v>
      </x:c>
      <x:c r="Y75" s="63" t="n">
        <x:f>0.015</x:f>
        <x:v>0.015</x:v>
      </x:c>
      <x:c r="Z75" s="63" t="n">
        <x:f>IF('01_Run_Config'!$B$51="HESI Hesilicio",2,0)</x:f>
        <x:v>0</x:v>
      </x:c>
      <x:c r="AA75" s="63" t="n">
        <x:f>IF('01_Run_Config'!$B$48="AN Bud Candy (replaces HESI Boost)",0,IF(AND(A75&gt;='01_Run_Config'!$B$33,MOD(A75-'01_Run_Config'!$B$33,7)=0),2,0))</x:f>
        <x:v>0</x:v>
      </x:c>
      <x:c r="AB75" s="63" t="n">
        <x:f>IF('01_Run_Config'!$B$52="AN Bud Ignitor &gt; Big Bud &gt; Overdrive",0,IF(AND(ISNUMBER(AL75),AL75&gt;=29,AL75&lt;=42),0.25+((AL75-29)/13)*0.25,0))</x:f>
        <x:v>0</x:v>
      </x:c>
      <x:c r="AC75" s="63" t="n">
        <x:f>IF('01_Run_Config'!$B$46="OFF",0,IF(OR(A75='01_Run_Config'!$B$32,A75='01_Run_Config'!$B$32+7,A75='01_Run_Config'!$B$33+1,A75='01_Run_Config'!$B$33+8),2,0))</x:f>
        <x:v>0</x:v>
      </x:c>
      <x:c r="AD75" s="63" t="str">
        <x:f>IF(BG75="BLOCK","HYBRID BLOCKED - Konfiguration prüfen",IF(SUM(AC75,AT75:BF75)&gt;0,"AN aktiv: "&amp;BH75,"AN: keine Dosis heute / Module aus"))</x:f>
        <x:v>AN: keine Dosis heute / Module aus</x:v>
      </x:c>
      <x:c r="AE75" s="63" t="str">
        <x:v>Keine Eingriffe</x:v>
      </x:c>
      <x:c r="AF75" s="63" t="str">
        <x:v>Morgens Klima/Pflanze/Bewässerung/Leck; Mitte Lichtphase Blattwinkel; vor Dunkel LF/Drain/stehendes Wasser.</x:v>
      </x:c>
      <x:c r="AG75" s="63" t="str">
        <x:v>EC nicht erhöhen bei steigender Diagnose-Drain-EC; PPFD nicht erhöhen bei Stress; Wasserband nie erzwingen; nie mehrere neue Booster gleichzeitig.</x:v>
      </x:c>
      <x:c r="AH75" s="35" t="str">
        <x:f>"UKD v9 evidence-guarded: Planwerte sind Ziele/Eligibility, keine automatische Freigabe. Eazy Plug/Block ist vorgepuffert; früher Basisfeed bleibt vom Propagation-/Pflanzengate abhängig. Messdaten und Safety-Gates überschreiben Kalender."</x:f>
        <x:v>UKD v9 evidence-guarded: Planwerte sind Ziele/Eligibility, keine automatische Freigabe. Eazy Plug/Block ist vorgepuffert; früher Basisfeed bleibt vom Propagation-/Pflanzengate abhängig. Messdaten und Safety-Gates überschreiben Kalender.</x:v>
      </x:c>
      <x:c r="AI75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75" s="201" t="str">
        <x:f>IF(A75&lt;'01_Run_Config'!$B$32,"—",IF(A75&lt;'01_Run_Config'!$B$33,"G"&amp;MIN(4,INT((A75-'01_Run_Config'!$B$32)/7)+1),AM75))</x:f>
        <x:v>B7</x:v>
      </x:c>
      <x:c r="AK75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75" s="60" t="n">
        <x:f>IF(A75&lt;'01_Run_Config'!$B$33,"",A75-'01_Run_Config'!$B$33+1)</x:f>
        <x:v>46</x:v>
      </x:c>
      <x:c r="AM75" s="60" t="str">
        <x:f>IF(AL75="","",IF(AL75&gt;49,CHAR(66)&amp;"7+",CHAR(66)&amp;TEXT(INT((AL75-1)/7)+1,"0")))</x:f>
        <x:v>B7</x:v>
      </x:c>
      <x:c r="AN75" s="60" t="n">
        <x:f>ROUND(0.6108*EXP(17.27*L75/(L75+237.3))*(1-N75/100),2)</x:f>
        <x:v>1.63</x:v>
      </x:c>
      <x:c r="AO75" s="60" t="n">
        <x:f>H75*G75/1000</x:f>
        <x:v>1.89</x:v>
      </x:c>
      <x:c r="AP75" s="60" t="n">
        <x:f>SUM($AO$2:AO75)</x:f>
        <x:v>137.9699999999999</x:v>
      </x:c>
      <x:c r="AQ75" t="n">
        <x:f>'01_Run_Config'!$B$17</x:f>
        <x:v>0</x:v>
      </x:c>
      <x:c r="AR75" t="n">
        <x:f>'01_Run_Config'!$B$22</x:f>
        <x:v>0</x:v>
      </x:c>
      <x:c r="AS75" t="n">
        <x:f>'01_Run_Config'!$B$25</x:f>
        <x:v>0</x:v>
      </x:c>
      <x:c r="AT75" t="n">
        <x:f>IF(AND('01_Run_Config'!$B$46="Voodoo + Piranha + Tarantula",AC75&gt;0),2,0)</x:f>
        <x:v>0</x:v>
      </x:c>
      <x:c r="AU75" t="n">
        <x:f>IF(AND(OR('01_Run_Config'!$B$46="Voodoo + Tarantula",'01_Run_Config'!$B$46="Voodoo + Piranha + Tarantula"),AC75&gt;0),2,0)</x:f>
        <x:v>0</x:v>
      </x:c>
      <x:c r="AV75" t="n">
        <x:f>IF('01_Run_Config'!$B$47&lt;&gt;"ON / A-B",0,IF(OR(AND(A75&gt;='01_Run_Config'!$B$32,A75&lt;'01_Run_Config'!$B$33),AND(ISNUMBER(AL75),AL75&gt;=15,AL75&lt;=49)),2,0))</x:f>
        <x:v>0</x:v>
      </x:c>
      <x:c r="AW75" t="n">
        <x:f>IF('01_Run_Config'!$B$48="AN Bud Candy (replaces HESI Boost)",IF(AND(A75&gt;='01_Run_Config'!$B$32,OR(AL75="",AL75&lt;=49)),2,0),0)</x:f>
        <x:v>0</x:v>
      </x:c>
      <x:c r="AX75" t="n">
        <x:f>IF('01_Run_Config'!$B$49&lt;&gt;"ON / EXPERIMENTAL",0,IF(OR(AND(A75&gt;='01_Run_Config'!$B$32+7,A75&lt;'01_Run_Config'!$B$33),AND(ISNUMBER(AL75),AL75&gt;=1,AL75&lt;=49)),2,0))</x:f>
        <x:v>0</x:v>
      </x:c>
      <x:c r="AY75" t="n">
        <x:f>IF('01_Run_Config'!$B$50="AN Sensizym",IF(AND(A75&gt;='01_Run_Config'!$B$32,OR(AL75="",AL75&lt;=49)),2,0),0)</x:f>
        <x:v>0</x:v>
      </x:c>
      <x:c r="AZ75" t="n">
        <x:f>IF('01_Run_Config'!$B$51="AN Rhino Skin",IF(AND(A75&gt;='01_Run_Config'!$B$32,OR(AL75="",AL75&lt;=49)),2,0),0)</x:f>
        <x:v>0</x:v>
      </x:c>
      <x:c r="BA75" t="n">
        <x:f>IF(AND('01_Run_Config'!$B$52="AN Bud Ignitor &gt; Big Bud &gt; Overdrive",ISNUMBER(AL75),AL75&gt;=1,AL75&lt;=14),2,0)</x:f>
        <x:v>0</x:v>
      </x:c>
      <x:c r="BB75" t="n">
        <x:f>IF(AND('01_Run_Config'!$B$52="AN Bud Ignitor &gt; Big Bud &gt; Overdrive",ISNUMBER(AL75),AL75&gt;=8,AL75&lt;=35),2,0)</x:f>
        <x:v>0</x:v>
      </x:c>
      <x:c r="BC75" t="n">
        <x:f>IF(AND('01_Run_Config'!$B$52="AN Bud Ignitor &gt; Big Bud &gt; Overdrive",ISNUMBER(AL75),AL75&gt;=36,AL75&lt;=49),2,0)</x:f>
        <x:v>0</x:v>
      </x:c>
      <x:c r="BD75" t="n">
        <x:f>IF('01_Run_Config'!$B$53="ON / EXPERIMENTAL",IF(OR(AND(A75&gt;='01_Run_Config'!$B$32,A75&lt;'01_Run_Config'!$B$33),AND(ISNUMBER(AL75),AL75&gt;=15,AL75&lt;=49)),2,0),0)</x:f>
        <x:v>0</x:v>
      </x:c>
      <x:c r="BE75" t="n">
        <x:f>IF('01_Run_Config'!$B$54="AN Sensi CalMag Xtra conditional",'01_Run_Config'!$B$17,0)</x:f>
        <x:v>0</x:v>
      </x:c>
      <x:c r="BF75" t="n">
        <x:f>0</x:f>
        <x:v>0</x:v>
      </x:c>
      <x:c r="BG75" t="str">
        <x:f>'01_Run_Config'!$E$57</x:f>
        <x:v>OK</x:v>
      </x:c>
      <x:c r="BH75" t="str">
        <x:f>IF(SUM(AC75,AT75:BF75)=0,"keine AN-Dosis heute",IF(AC75&gt;0,"Voodoo "&amp;AC75&amp;" ml/L; ","")&amp;IF(AT75&gt;0,"Piranha "&amp;AT75&amp;" ml/L; ","")&amp;IF(AU75&gt;0,"Tarantula "&amp;AU75&amp;" ml/L; ","")&amp;IF(AV75&gt;0,"B-52 "&amp;AV75&amp;" ml/L; ","")&amp;IF(AW75&gt;0,"Bud Candy "&amp;AW75&amp;" ml/L; ","")&amp;IF(AX75&gt;0,"Bud Factor X "&amp;AX75&amp;" ml/L; ","")&amp;IF(AY75&gt;0,"Sensizym "&amp;AY75&amp;" ml/L; ","")&amp;IF(AZ75&gt;0,"Rhino Skin "&amp;AZ75&amp;" ml/L; ","")&amp;IF(BA75&gt;0,"Bud Ignitor "&amp;BA75&amp;" ml/L; ","")&amp;IF(BB75&gt;0,"Big Bud "&amp;BB75&amp;" ml/L; ","")&amp;IF(BC75&gt;0,"Overdrive "&amp;BC75&amp;" ml/L; ","")&amp;IF(BD75&gt;0,"Tasty Terpenes "&amp;BD75&amp;" ml/L; ","")&amp;IF(BE75&gt;0,"Sensi CalMag "&amp;BE75&amp;" ml/L",""))</x:f>
        <x:v>keine AN-Dosis heute</x:v>
      </x:c>
    </x:row>
    <x:row r="76">
      <x:c r="A76" s="34" t="n">
        <x:v>74</x:v>
      </x:c>
      <x:c r="B76" s="129" t="n">
        <x:f>'01_Run_Config'!$B$4+A76</x:f>
        <x:v>46316</x:v>
      </x:c>
      <x:c r="C76" s="63" t="n">
        <x:f>INT(A76/7)+1</x:f>
        <x:v>11</x:v>
      </x:c>
      <x:c r="D76" s="63" t="str">
        <x:f>"M"&amp;MIN(3,INT(A76/30)+1)</x:f>
        <x:v>M3</x:v>
      </x:c>
      <x:c r="E76" s="63" t="str">
        <x:f>IF(A76&lt;4,"Keimung",IF(A76&lt;8,"Etablierung",IF(A76&lt;15,"Early Veg",IF(A76&lt;'01_Run_Config'!$B$33,IF(A76&lt;22,"Veg / LST","Preflower-Watch"),IF(A76-'01_Run_Config'!$B$33&lt;=6,"Transition / Stretch ("&amp;AM76&amp;")",IF(A76-'01_Run_Config'!$B$33&lt;=13,"Early Flower ("&amp;AM76&amp;")",IF(A76-'01_Run_Config'!$B$33&lt;=20,"Flower I ("&amp;AM76&amp;")",IF(A76-'01_Run_Config'!$B$33&lt;=34,"Peak Flower ("&amp;AM76&amp;")",IF(A76-'01_Run_Config'!$B$33&lt;=41,"Late Flower ("&amp;AM76&amp;")",IF(A76-'01_Run_Config'!$B$33&lt;=48,"Ripening ("&amp;AM76&amp;")","Harvest / Extension ("&amp;AM76&amp;")"))))))))))</x:f>
        <x:v>Ripening (B7)</x:v>
      </x:c>
      <x:c r="F76" s="63" t="str">
        <x:f>IF(A76&lt;4,"Keimung + Wurzelstart",IF(A76&lt;8,"Sämling etablieren; Wurzelraum erschließen",IF(A76&lt;15,"kompakter Aufbau; LST erst bei Vitalität",IF(A76&lt;'01_Run_Config'!$B$33,"Canopy aufbauen; Preflower beobachten",IF(A76-'01_Run_Config'!$B$33&lt;=6,"Stretch kontrollieren; Bloom-Trigger dokumentieren",IF(A76-'01_Run_Config'!$B$33&lt;=13,"Blütenansatz stabilisieren",IF(A76-'01_Run_Config'!$B$33&lt;=20,"Blütenaufbau ohne neue Stressoren",IF(A76-'01_Run_Config'!$B$33&lt;=34,"stabile Peak-Photosynthese; Klima priorisieren",IF(A76-'01_Run_Config'!$B$33&lt;=41,"Qualität/Schimmelprävention",IF(A76-'01_Run_Config'!$B$33&lt;=48,"Reife ohne Überfütterung","Erntefenster nach Pflanze; keine Kalenderernte"))))))))))</x:f>
        <x:v>Reife ohne Überfütterung</x:v>
      </x:c>
      <x:c r="G76" s="63" t="n">
        <x:v>18</x:v>
      </x:c>
      <x:c r="H76" s="63" t="n">
        <x:v>105</x:v>
      </x:c>
      <x:c r="I76" s="63" t="n">
        <x:v>500</x:v>
      </x:c>
      <x:c r="J76" s="63" t="n">
        <x:f>I76*G76*3600/1000000</x:f>
        <x:v>32.4</x:v>
      </x:c>
      <x:c r="K76" s="63" t="n">
        <x:v>40</x:v>
      </x:c>
      <x:c r="L76" s="63" t="n">
        <x:v>23</x:v>
      </x:c>
      <x:c r="M76" s="63" t="n">
        <x:v>20</x:v>
      </x:c>
      <x:c r="N76" s="63" t="n">
        <x:v>42</x:v>
      </x:c>
      <x:c r="O76" s="63" t="n">
        <x:f>ROUND(0.6108*EXP(17.27*(L76+'01_Run_Config'!$B$34)/(L76+'01_Run_Config'!$B$34+237.3))-(N76/100)*0.6108*EXP(17.27*L76/(L76+237.3)),2)</x:f>
        <x:v>1.46</x:v>
      </x:c>
      <x:c r="P76" s="63" t="n">
        <x:f>IF(A76&lt;'01_Run_Config'!$B$32,0.55,IF(A76&lt;'01_Run_Config'!$B$33,IF(A76-'01_Run_Config'!$B$32&lt;=3,0.8,IF(A76-'01_Run_Config'!$B$32&lt;=10,1,IF(A76-'01_Run_Config'!$B$32&lt;=17,1.2,1.4))),IF(A76-'01_Run_Config'!$B$33&lt;=6,1.5,IF(A76-'01_Run_Config'!$B$33&lt;=13,1.6,IF(A76-'01_Run_Config'!$B$33&lt;=20,1.7,IF(A76-'01_Run_Config'!$B$33&lt;=34,1.8,IF(A76-'01_Run_Config'!$B$33&lt;=41,1.6,IF(A76-'01_Run_Config'!$B$33&lt;=48,1.4,1.15))))))))</x:f>
        <x:v>1.4</x:v>
      </x:c>
      <x:c r="Q76" s="63" t="n">
        <x:v>5.9</x:v>
      </x:c>
      <x:c r="R76" s="63" t="n">
        <x:v>0.4</x:v>
      </x:c>
      <x:c r="S76" s="63" t="n">
        <x:v>0.8</x:v>
      </x:c>
      <x:c r="T76" s="63" t="str">
        <x:f>IF(A76&lt;=7,"Manuell",'01_Run_Config'!$B$40)</x:f>
        <x:v>Manuell / indoor-freigegebene Automation</x:v>
      </x:c>
      <x:c r="U76" s="63" t="str">
        <x:f>IF(A76&lt;'01_Run_Config'!$B$32,"Kein Basisdünger",IF(A76&lt;'01_Run_Config'!$B$33,"HESI TNT","HESI Coco"))</x:f>
        <x:v>HESI Coco</x:v>
      </x:c>
      <x:c r="V76" s="63" t="n">
        <x:f>IF(A76&lt;'01_Run_Config'!$B$32,0,IF(A76&lt;'01_Run_Config'!$B$33,IF(A76-'01_Run_Config'!$B$32&lt;=3,1.25,IF(A76-'01_Run_Config'!$B$32&lt;=10,2,2.5)),IF(A76-'01_Run_Config'!$B$33&lt;=6,2.5,IF(A76-'01_Run_Config'!$B$33&lt;=13,3.25,IF(A76-'01_Run_Config'!$B$33&lt;=20,3.75,IF(A76-'01_Run_Config'!$B$33&lt;=34,4,IF(A76-'01_Run_Config'!$B$33&lt;=41,3.5,IF(A76-'01_Run_Config'!$B$33&lt;=48,2.5,1.5))))))))</x:f>
        <x:v>2.5</x:v>
      </x:c>
      <x:c r="W76" s="63" t="n">
        <x:f>IF(A76&lt;=14,2.5,0)</x:f>
        <x:v>0</x:v>
      </x:c>
      <x:c r="X76" s="63" t="n">
        <x:f>IF('01_Run_Config'!$B$50="AN Sensizym",0,IF(AND(A76&gt;='01_Run_Config'!$B$32,OR(AL76="",AL76&lt;=49)),2,0))</x:f>
        <x:v>2</x:v>
      </x:c>
      <x:c r="Y76" s="63" t="n">
        <x:f>0.015</x:f>
        <x:v>0.015</x:v>
      </x:c>
      <x:c r="Z76" s="63" t="n">
        <x:f>IF('01_Run_Config'!$B$51="HESI Hesilicio",2,0)</x:f>
        <x:v>0</x:v>
      </x:c>
      <x:c r="AA76" s="63" t="n">
        <x:f>IF('01_Run_Config'!$B$48="AN Bud Candy (replaces HESI Boost)",0,IF(AND(A76&gt;='01_Run_Config'!$B$33,MOD(A76-'01_Run_Config'!$B$33,7)=0),2,0))</x:f>
        <x:v>0</x:v>
      </x:c>
      <x:c r="AB76" s="63" t="n">
        <x:f>IF('01_Run_Config'!$B$52="AN Bud Ignitor &gt; Big Bud &gt; Overdrive",0,IF(AND(ISNUMBER(AL76),AL76&gt;=29,AL76&lt;=42),0.25+((AL76-29)/13)*0.25,0))</x:f>
        <x:v>0</x:v>
      </x:c>
      <x:c r="AC76" s="63" t="n">
        <x:f>IF('01_Run_Config'!$B$46="OFF",0,IF(OR(A76='01_Run_Config'!$B$32,A76='01_Run_Config'!$B$32+7,A76='01_Run_Config'!$B$33+1,A76='01_Run_Config'!$B$33+8),2,0))</x:f>
        <x:v>0</x:v>
      </x:c>
      <x:c r="AD76" s="63" t="str">
        <x:f>IF(BG76="BLOCK","HYBRID BLOCKED - Konfiguration prüfen",IF(SUM(AC76,AT76:BF76)&gt;0,"AN aktiv: "&amp;BH76,"AN: keine Dosis heute / Module aus"))</x:f>
        <x:v>AN: keine Dosis heute / Module aus</x:v>
      </x:c>
      <x:c r="AE76" s="63" t="str">
        <x:v>Keine Eingriffe</x:v>
      </x:c>
      <x:c r="AF76" s="63" t="str">
        <x:v>Morgens Klima/Pflanze/Bewässerung/Leck; Mitte Lichtphase Blattwinkel; vor Dunkel LF/Drain/stehendes Wasser.</x:v>
      </x:c>
      <x:c r="AG76" s="63" t="str">
        <x:v>EC nicht erhöhen bei steigender Diagnose-Drain-EC; PPFD nicht erhöhen bei Stress; Wasserband nie erzwingen; nie mehrere neue Booster gleichzeitig.</x:v>
      </x:c>
      <x:c r="AH76" s="35" t="str">
        <x:f>"UKD v9 evidence-guarded: Planwerte sind Ziele/Eligibility, keine automatische Freigabe. Eazy Plug/Block ist vorgepuffert; früher Basisfeed bleibt vom Propagation-/Pflanzengate abhängig. Messdaten und Safety-Gates überschreiben Kalender."</x:f>
        <x:v>UKD v9 evidence-guarded: Planwerte sind Ziele/Eligibility, keine automatische Freigabe. Eazy Plug/Block ist vorgepuffert; früher Basisfeed bleibt vom Propagation-/Pflanzengate abhängig. Messdaten und Safety-Gates überschreiben Kalender.</x:v>
      </x:c>
      <x:c r="AI76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76" s="201" t="str">
        <x:f>IF(A76&lt;'01_Run_Config'!$B$32,"—",IF(A76&lt;'01_Run_Config'!$B$33,"G"&amp;MIN(4,INT((A76-'01_Run_Config'!$B$32)/7)+1),AM76))</x:f>
        <x:v>B7</x:v>
      </x:c>
      <x:c r="AK76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76" s="60" t="n">
        <x:f>IF(A76&lt;'01_Run_Config'!$B$33,"",A76-'01_Run_Config'!$B$33+1)</x:f>
        <x:v>47</x:v>
      </x:c>
      <x:c r="AM76" s="60" t="str">
        <x:f>IF(AL76="","",IF(AL76&gt;49,CHAR(66)&amp;"7+",CHAR(66)&amp;TEXT(INT((AL76-1)/7)+1,"0")))</x:f>
        <x:v>B7</x:v>
      </x:c>
      <x:c r="AN76" s="60" t="n">
        <x:f>ROUND(0.6108*EXP(17.27*L76/(L76+237.3))*(1-N76/100),2)</x:f>
        <x:v>1.63</x:v>
      </x:c>
      <x:c r="AO76" s="60" t="n">
        <x:f>H76*G76/1000</x:f>
        <x:v>1.89</x:v>
      </x:c>
      <x:c r="AP76" s="60" t="n">
        <x:f>SUM($AO$2:AO76)</x:f>
        <x:v>139.8599999999999</x:v>
      </x:c>
      <x:c r="AQ76" t="n">
        <x:f>'01_Run_Config'!$B$17</x:f>
        <x:v>0</x:v>
      </x:c>
      <x:c r="AR76" t="n">
        <x:f>'01_Run_Config'!$B$22</x:f>
        <x:v>0</x:v>
      </x:c>
      <x:c r="AS76" t="n">
        <x:f>'01_Run_Config'!$B$25</x:f>
        <x:v>0</x:v>
      </x:c>
      <x:c r="AT76" t="n">
        <x:f>IF(AND('01_Run_Config'!$B$46="Voodoo + Piranha + Tarantula",AC76&gt;0),2,0)</x:f>
        <x:v>0</x:v>
      </x:c>
      <x:c r="AU76" t="n">
        <x:f>IF(AND(OR('01_Run_Config'!$B$46="Voodoo + Tarantula",'01_Run_Config'!$B$46="Voodoo + Piranha + Tarantula"),AC76&gt;0),2,0)</x:f>
        <x:v>0</x:v>
      </x:c>
      <x:c r="AV76" t="n">
        <x:f>IF('01_Run_Config'!$B$47&lt;&gt;"ON / A-B",0,IF(OR(AND(A76&gt;='01_Run_Config'!$B$32,A76&lt;'01_Run_Config'!$B$33),AND(ISNUMBER(AL76),AL76&gt;=15,AL76&lt;=49)),2,0))</x:f>
        <x:v>0</x:v>
      </x:c>
      <x:c r="AW76" t="n">
        <x:f>IF('01_Run_Config'!$B$48="AN Bud Candy (replaces HESI Boost)",IF(AND(A76&gt;='01_Run_Config'!$B$32,OR(AL76="",AL76&lt;=49)),2,0),0)</x:f>
        <x:v>0</x:v>
      </x:c>
      <x:c r="AX76" t="n">
        <x:f>IF('01_Run_Config'!$B$49&lt;&gt;"ON / EXPERIMENTAL",0,IF(OR(AND(A76&gt;='01_Run_Config'!$B$32+7,A76&lt;'01_Run_Config'!$B$33),AND(ISNUMBER(AL76),AL76&gt;=1,AL76&lt;=49)),2,0))</x:f>
        <x:v>0</x:v>
      </x:c>
      <x:c r="AY76" t="n">
        <x:f>IF('01_Run_Config'!$B$50="AN Sensizym",IF(AND(A76&gt;='01_Run_Config'!$B$32,OR(AL76="",AL76&lt;=49)),2,0),0)</x:f>
        <x:v>0</x:v>
      </x:c>
      <x:c r="AZ76" t="n">
        <x:f>IF('01_Run_Config'!$B$51="AN Rhino Skin",IF(AND(A76&gt;='01_Run_Config'!$B$32,OR(AL76="",AL76&lt;=49)),2,0),0)</x:f>
        <x:v>0</x:v>
      </x:c>
      <x:c r="BA76" t="n">
        <x:f>IF(AND('01_Run_Config'!$B$52="AN Bud Ignitor &gt; Big Bud &gt; Overdrive",ISNUMBER(AL76),AL76&gt;=1,AL76&lt;=14),2,0)</x:f>
        <x:v>0</x:v>
      </x:c>
      <x:c r="BB76" t="n">
        <x:f>IF(AND('01_Run_Config'!$B$52="AN Bud Ignitor &gt; Big Bud &gt; Overdrive",ISNUMBER(AL76),AL76&gt;=8,AL76&lt;=35),2,0)</x:f>
        <x:v>0</x:v>
      </x:c>
      <x:c r="BC76" t="n">
        <x:f>IF(AND('01_Run_Config'!$B$52="AN Bud Ignitor &gt; Big Bud &gt; Overdrive",ISNUMBER(AL76),AL76&gt;=36,AL76&lt;=49),2,0)</x:f>
        <x:v>0</x:v>
      </x:c>
      <x:c r="BD76" t="n">
        <x:f>IF('01_Run_Config'!$B$53="ON / EXPERIMENTAL",IF(OR(AND(A76&gt;='01_Run_Config'!$B$32,A76&lt;'01_Run_Config'!$B$33),AND(ISNUMBER(AL76),AL76&gt;=15,AL76&lt;=49)),2,0),0)</x:f>
        <x:v>0</x:v>
      </x:c>
      <x:c r="BE76" t="n">
        <x:f>IF('01_Run_Config'!$B$54="AN Sensi CalMag Xtra conditional",'01_Run_Config'!$B$17,0)</x:f>
        <x:v>0</x:v>
      </x:c>
      <x:c r="BF76" t="n">
        <x:f>0</x:f>
        <x:v>0</x:v>
      </x:c>
      <x:c r="BG76" t="str">
        <x:f>'01_Run_Config'!$E$57</x:f>
        <x:v>OK</x:v>
      </x:c>
      <x:c r="BH76" t="str">
        <x:f>IF(SUM(AC76,AT76:BF76)=0,"keine AN-Dosis heute",IF(AC76&gt;0,"Voodoo "&amp;AC76&amp;" ml/L; ","")&amp;IF(AT76&gt;0,"Piranha "&amp;AT76&amp;" ml/L; ","")&amp;IF(AU76&gt;0,"Tarantula "&amp;AU76&amp;" ml/L; ","")&amp;IF(AV76&gt;0,"B-52 "&amp;AV76&amp;" ml/L; ","")&amp;IF(AW76&gt;0,"Bud Candy "&amp;AW76&amp;" ml/L; ","")&amp;IF(AX76&gt;0,"Bud Factor X "&amp;AX76&amp;" ml/L; ","")&amp;IF(AY76&gt;0,"Sensizym "&amp;AY76&amp;" ml/L; ","")&amp;IF(AZ76&gt;0,"Rhino Skin "&amp;AZ76&amp;" ml/L; ","")&amp;IF(BA76&gt;0,"Bud Ignitor "&amp;BA76&amp;" ml/L; ","")&amp;IF(BB76&gt;0,"Big Bud "&amp;BB76&amp;" ml/L; ","")&amp;IF(BC76&gt;0,"Overdrive "&amp;BC76&amp;" ml/L; ","")&amp;IF(BD76&gt;0,"Tasty Terpenes "&amp;BD76&amp;" ml/L; ","")&amp;IF(BE76&gt;0,"Sensi CalMag "&amp;BE76&amp;" ml/L",""))</x:f>
        <x:v>keine AN-Dosis heute</x:v>
      </x:c>
    </x:row>
    <x:row r="77">
      <x:c r="A77" s="34" t="n">
        <x:v>75</x:v>
      </x:c>
      <x:c r="B77" s="129" t="n">
        <x:f>'01_Run_Config'!$B$4+A77</x:f>
        <x:v>46317</x:v>
      </x:c>
      <x:c r="C77" s="63" t="n">
        <x:f>INT(A77/7)+1</x:f>
        <x:v>11</x:v>
      </x:c>
      <x:c r="D77" s="63" t="str">
        <x:f>"M"&amp;MIN(3,INT(A77/30)+1)</x:f>
        <x:v>M3</x:v>
      </x:c>
      <x:c r="E77" s="63" t="str">
        <x:f>IF(A77&lt;4,"Keimung",IF(A77&lt;8,"Etablierung",IF(A77&lt;15,"Early Veg",IF(A77&lt;'01_Run_Config'!$B$33,IF(A77&lt;22,"Veg / LST","Preflower-Watch"),IF(A77-'01_Run_Config'!$B$33&lt;=6,"Transition / Stretch ("&amp;AM77&amp;")",IF(A77-'01_Run_Config'!$B$33&lt;=13,"Early Flower ("&amp;AM77&amp;")",IF(A77-'01_Run_Config'!$B$33&lt;=20,"Flower I ("&amp;AM77&amp;")",IF(A77-'01_Run_Config'!$B$33&lt;=34,"Peak Flower ("&amp;AM77&amp;")",IF(A77-'01_Run_Config'!$B$33&lt;=41,"Late Flower ("&amp;AM77&amp;")",IF(A77-'01_Run_Config'!$B$33&lt;=48,"Ripening ("&amp;AM77&amp;")","Harvest / Extension ("&amp;AM77&amp;")"))))))))))</x:f>
        <x:v>Ripening (B7)</x:v>
      </x:c>
      <x:c r="F77" s="63" t="str">
        <x:f>IF(A77&lt;4,"Keimung + Wurzelstart",IF(A77&lt;8,"Sämling etablieren; Wurzelraum erschließen",IF(A77&lt;15,"kompakter Aufbau; LST erst bei Vitalität",IF(A77&lt;'01_Run_Config'!$B$33,"Canopy aufbauen; Preflower beobachten",IF(A77-'01_Run_Config'!$B$33&lt;=6,"Stretch kontrollieren; Bloom-Trigger dokumentieren",IF(A77-'01_Run_Config'!$B$33&lt;=13,"Blütenansatz stabilisieren",IF(A77-'01_Run_Config'!$B$33&lt;=20,"Blütenaufbau ohne neue Stressoren",IF(A77-'01_Run_Config'!$B$33&lt;=34,"stabile Peak-Photosynthese; Klima priorisieren",IF(A77-'01_Run_Config'!$B$33&lt;=41,"Qualität/Schimmelprävention",IF(A77-'01_Run_Config'!$B$33&lt;=48,"Reife ohne Überfütterung","Erntefenster nach Pflanze; keine Kalenderernte"))))))))))</x:f>
        <x:v>Reife ohne Überfütterung</x:v>
      </x:c>
      <x:c r="G77" s="63" t="n">
        <x:v>18</x:v>
      </x:c>
      <x:c r="H77" s="63" t="n">
        <x:v>105</x:v>
      </x:c>
      <x:c r="I77" s="63" t="n">
        <x:v>500</x:v>
      </x:c>
      <x:c r="J77" s="63" t="n">
        <x:f>I77*G77*3600/1000000</x:f>
        <x:v>32.4</x:v>
      </x:c>
      <x:c r="K77" s="63" t="n">
        <x:v>40</x:v>
      </x:c>
      <x:c r="L77" s="63" t="n">
        <x:v>23</x:v>
      </x:c>
      <x:c r="M77" s="63" t="n">
        <x:v>20</x:v>
      </x:c>
      <x:c r="N77" s="63" t="n">
        <x:v>42</x:v>
      </x:c>
      <x:c r="O77" s="63" t="n">
        <x:f>ROUND(0.6108*EXP(17.27*(L77+'01_Run_Config'!$B$34)/(L77+'01_Run_Config'!$B$34+237.3))-(N77/100)*0.6108*EXP(17.27*L77/(L77+237.3)),2)</x:f>
        <x:v>1.46</x:v>
      </x:c>
      <x:c r="P77" s="63" t="n">
        <x:f>IF(A77&lt;'01_Run_Config'!$B$32,0.55,IF(A77&lt;'01_Run_Config'!$B$33,IF(A77-'01_Run_Config'!$B$32&lt;=3,0.8,IF(A77-'01_Run_Config'!$B$32&lt;=10,1,IF(A77-'01_Run_Config'!$B$32&lt;=17,1.2,1.4))),IF(A77-'01_Run_Config'!$B$33&lt;=6,1.5,IF(A77-'01_Run_Config'!$B$33&lt;=13,1.6,IF(A77-'01_Run_Config'!$B$33&lt;=20,1.7,IF(A77-'01_Run_Config'!$B$33&lt;=34,1.8,IF(A77-'01_Run_Config'!$B$33&lt;=41,1.6,IF(A77-'01_Run_Config'!$B$33&lt;=48,1.4,1.15))))))))</x:f>
        <x:v>1.4</x:v>
      </x:c>
      <x:c r="Q77" s="63" t="n">
        <x:v>5.9</x:v>
      </x:c>
      <x:c r="R77" s="63" t="n">
        <x:v>0.4</x:v>
      </x:c>
      <x:c r="S77" s="63" t="n">
        <x:v>0.8</x:v>
      </x:c>
      <x:c r="T77" s="63" t="str">
        <x:f>IF(A77&lt;=7,"Manuell",'01_Run_Config'!$B$40)</x:f>
        <x:v>Manuell / indoor-freigegebene Automation</x:v>
      </x:c>
      <x:c r="U77" s="63" t="str">
        <x:f>IF(A77&lt;'01_Run_Config'!$B$32,"Kein Basisdünger",IF(A77&lt;'01_Run_Config'!$B$33,"HESI TNT","HESI Coco"))</x:f>
        <x:v>HESI Coco</x:v>
      </x:c>
      <x:c r="V77" s="63" t="n">
        <x:f>IF(A77&lt;'01_Run_Config'!$B$32,0,IF(A77&lt;'01_Run_Config'!$B$33,IF(A77-'01_Run_Config'!$B$32&lt;=3,1.25,IF(A77-'01_Run_Config'!$B$32&lt;=10,2,2.5)),IF(A77-'01_Run_Config'!$B$33&lt;=6,2.5,IF(A77-'01_Run_Config'!$B$33&lt;=13,3.25,IF(A77-'01_Run_Config'!$B$33&lt;=20,3.75,IF(A77-'01_Run_Config'!$B$33&lt;=34,4,IF(A77-'01_Run_Config'!$B$33&lt;=41,3.5,IF(A77-'01_Run_Config'!$B$33&lt;=48,2.5,1.5))))))))</x:f>
        <x:v>2.5</x:v>
      </x:c>
      <x:c r="W77" s="63" t="n">
        <x:f>IF(A77&lt;=14,2.5,0)</x:f>
        <x:v>0</x:v>
      </x:c>
      <x:c r="X77" s="63" t="n">
        <x:f>IF('01_Run_Config'!$B$50="AN Sensizym",0,IF(AND(A77&gt;='01_Run_Config'!$B$32,OR(AL77="",AL77&lt;=49)),2,0))</x:f>
        <x:v>2</x:v>
      </x:c>
      <x:c r="Y77" s="63" t="n">
        <x:f>0.015</x:f>
        <x:v>0.015</x:v>
      </x:c>
      <x:c r="Z77" s="63" t="n">
        <x:f>IF('01_Run_Config'!$B$51="HESI Hesilicio",2,0)</x:f>
        <x:v>0</x:v>
      </x:c>
      <x:c r="AA77" s="63" t="n">
        <x:f>IF('01_Run_Config'!$B$48="AN Bud Candy (replaces HESI Boost)",0,IF(AND(A77&gt;='01_Run_Config'!$B$33,MOD(A77-'01_Run_Config'!$B$33,7)=0),2,0))</x:f>
        <x:v>0</x:v>
      </x:c>
      <x:c r="AB77" s="63" t="n">
        <x:f>IF('01_Run_Config'!$B$52="AN Bud Ignitor &gt; Big Bud &gt; Overdrive",0,IF(AND(ISNUMBER(AL77),AL77&gt;=29,AL77&lt;=42),0.25+((AL77-29)/13)*0.25,0))</x:f>
        <x:v>0</x:v>
      </x:c>
      <x:c r="AC77" s="63" t="n">
        <x:f>IF('01_Run_Config'!$B$46="OFF",0,IF(OR(A77='01_Run_Config'!$B$32,A77='01_Run_Config'!$B$32+7,A77='01_Run_Config'!$B$33+1,A77='01_Run_Config'!$B$33+8),2,0))</x:f>
        <x:v>0</x:v>
      </x:c>
      <x:c r="AD77" s="63" t="str">
        <x:f>IF(BG77="BLOCK","HYBRID BLOCKED - Konfiguration prüfen",IF(SUM(AC77,AT77:BF77)&gt;0,"AN aktiv: "&amp;BH77,"AN: keine Dosis heute / Module aus"))</x:f>
        <x:v>AN: keine Dosis heute / Module aus</x:v>
      </x:c>
      <x:c r="AE77" s="63" t="str">
        <x:v>Keine Eingriffe</x:v>
      </x:c>
      <x:c r="AF77" s="63" t="str">
        <x:v>Morgens Klima/Pflanze/Bewässerung/Leck; Mitte Lichtphase Blattwinkel; vor Dunkel LF/Drain/stehendes Wasser.</x:v>
      </x:c>
      <x:c r="AG77" s="63" t="str">
        <x:v>EC nicht erhöhen bei steigender Diagnose-Drain-EC; PPFD nicht erhöhen bei Stress; Wasserband nie erzwingen; nie mehrere neue Booster gleichzeitig.</x:v>
      </x:c>
      <x:c r="AH77" s="35" t="str">
        <x:f>"UKD v9 evidence-guarded: Planwerte sind Ziele/Eligibility, keine automatische Freigabe. Eazy Plug/Block ist vorgepuffert; früher Basisfeed bleibt vom Propagation-/Pflanzengate abhängig. Messdaten und Safety-Gates überschreiben Kalender."</x:f>
        <x:v>UKD v9 evidence-guarded: Planwerte sind Ziele/Eligibility, keine automatische Freigabe. Eazy Plug/Block ist vorgepuffert; früher Basisfeed bleibt vom Propagation-/Pflanzengate abhängig. Messdaten und Safety-Gates überschreiben Kalender.</x:v>
      </x:c>
      <x:c r="AI77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77" s="201" t="str">
        <x:f>IF(A77&lt;'01_Run_Config'!$B$32,"—",IF(A77&lt;'01_Run_Config'!$B$33,"G"&amp;MIN(4,INT((A77-'01_Run_Config'!$B$32)/7)+1),AM77))</x:f>
        <x:v>B7</x:v>
      </x:c>
      <x:c r="AK77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77" s="60" t="n">
        <x:f>IF(A77&lt;'01_Run_Config'!$B$33,"",A77-'01_Run_Config'!$B$33+1)</x:f>
        <x:v>48</x:v>
      </x:c>
      <x:c r="AM77" s="60" t="str">
        <x:f>IF(AL77="","",IF(AL77&gt;49,CHAR(66)&amp;"7+",CHAR(66)&amp;TEXT(INT((AL77-1)/7)+1,"0")))</x:f>
        <x:v>B7</x:v>
      </x:c>
      <x:c r="AN77" s="60" t="n">
        <x:f>ROUND(0.6108*EXP(17.27*L77/(L77+237.3))*(1-N77/100),2)</x:f>
        <x:v>1.63</x:v>
      </x:c>
      <x:c r="AO77" s="60" t="n">
        <x:f>H77*G77/1000</x:f>
        <x:v>1.89</x:v>
      </x:c>
      <x:c r="AP77" s="60" t="n">
        <x:f>SUM($AO$2:AO77)</x:f>
        <x:v>141.7499999999999</x:v>
      </x:c>
      <x:c r="AQ77" t="n">
        <x:f>'01_Run_Config'!$B$17</x:f>
        <x:v>0</x:v>
      </x:c>
      <x:c r="AR77" t="n">
        <x:f>'01_Run_Config'!$B$22</x:f>
        <x:v>0</x:v>
      </x:c>
      <x:c r="AS77" t="n">
        <x:f>'01_Run_Config'!$B$25</x:f>
        <x:v>0</x:v>
      </x:c>
      <x:c r="AT77" t="n">
        <x:f>IF(AND('01_Run_Config'!$B$46="Voodoo + Piranha + Tarantula",AC77&gt;0),2,0)</x:f>
        <x:v>0</x:v>
      </x:c>
      <x:c r="AU77" t="n">
        <x:f>IF(AND(OR('01_Run_Config'!$B$46="Voodoo + Tarantula",'01_Run_Config'!$B$46="Voodoo + Piranha + Tarantula"),AC77&gt;0),2,0)</x:f>
        <x:v>0</x:v>
      </x:c>
      <x:c r="AV77" t="n">
        <x:f>IF('01_Run_Config'!$B$47&lt;&gt;"ON / A-B",0,IF(OR(AND(A77&gt;='01_Run_Config'!$B$32,A77&lt;'01_Run_Config'!$B$33),AND(ISNUMBER(AL77),AL77&gt;=15,AL77&lt;=49)),2,0))</x:f>
        <x:v>0</x:v>
      </x:c>
      <x:c r="AW77" t="n">
        <x:f>IF('01_Run_Config'!$B$48="AN Bud Candy (replaces HESI Boost)",IF(AND(A77&gt;='01_Run_Config'!$B$32,OR(AL77="",AL77&lt;=49)),2,0),0)</x:f>
        <x:v>0</x:v>
      </x:c>
      <x:c r="AX77" t="n">
        <x:f>IF('01_Run_Config'!$B$49&lt;&gt;"ON / EXPERIMENTAL",0,IF(OR(AND(A77&gt;='01_Run_Config'!$B$32+7,A77&lt;'01_Run_Config'!$B$33),AND(ISNUMBER(AL77),AL77&gt;=1,AL77&lt;=49)),2,0))</x:f>
        <x:v>0</x:v>
      </x:c>
      <x:c r="AY77" t="n">
        <x:f>IF('01_Run_Config'!$B$50="AN Sensizym",IF(AND(A77&gt;='01_Run_Config'!$B$32,OR(AL77="",AL77&lt;=49)),2,0),0)</x:f>
        <x:v>0</x:v>
      </x:c>
      <x:c r="AZ77" t="n">
        <x:f>IF('01_Run_Config'!$B$51="AN Rhino Skin",IF(AND(A77&gt;='01_Run_Config'!$B$32,OR(AL77="",AL77&lt;=49)),2,0),0)</x:f>
        <x:v>0</x:v>
      </x:c>
      <x:c r="BA77" t="n">
        <x:f>IF(AND('01_Run_Config'!$B$52="AN Bud Ignitor &gt; Big Bud &gt; Overdrive",ISNUMBER(AL77),AL77&gt;=1,AL77&lt;=14),2,0)</x:f>
        <x:v>0</x:v>
      </x:c>
      <x:c r="BB77" t="n">
        <x:f>IF(AND('01_Run_Config'!$B$52="AN Bud Ignitor &gt; Big Bud &gt; Overdrive",ISNUMBER(AL77),AL77&gt;=8,AL77&lt;=35),2,0)</x:f>
        <x:v>0</x:v>
      </x:c>
      <x:c r="BC77" t="n">
        <x:f>IF(AND('01_Run_Config'!$B$52="AN Bud Ignitor &gt; Big Bud &gt; Overdrive",ISNUMBER(AL77),AL77&gt;=36,AL77&lt;=49),2,0)</x:f>
        <x:v>0</x:v>
      </x:c>
      <x:c r="BD77" t="n">
        <x:f>IF('01_Run_Config'!$B$53="ON / EXPERIMENTAL",IF(OR(AND(A77&gt;='01_Run_Config'!$B$32,A77&lt;'01_Run_Config'!$B$33),AND(ISNUMBER(AL77),AL77&gt;=15,AL77&lt;=49)),2,0),0)</x:f>
        <x:v>0</x:v>
      </x:c>
      <x:c r="BE77" t="n">
        <x:f>IF('01_Run_Config'!$B$54="AN Sensi CalMag Xtra conditional",'01_Run_Config'!$B$17,0)</x:f>
        <x:v>0</x:v>
      </x:c>
      <x:c r="BF77" t="n">
        <x:f>0</x:f>
        <x:v>0</x:v>
      </x:c>
      <x:c r="BG77" t="str">
        <x:f>'01_Run_Config'!$E$57</x:f>
        <x:v>OK</x:v>
      </x:c>
      <x:c r="BH77" t="str">
        <x:f>IF(SUM(AC77,AT77:BF77)=0,"keine AN-Dosis heute",IF(AC77&gt;0,"Voodoo "&amp;AC77&amp;" ml/L; ","")&amp;IF(AT77&gt;0,"Piranha "&amp;AT77&amp;" ml/L; ","")&amp;IF(AU77&gt;0,"Tarantula "&amp;AU77&amp;" ml/L; ","")&amp;IF(AV77&gt;0,"B-52 "&amp;AV77&amp;" ml/L; ","")&amp;IF(AW77&gt;0,"Bud Candy "&amp;AW77&amp;" ml/L; ","")&amp;IF(AX77&gt;0,"Bud Factor X "&amp;AX77&amp;" ml/L; ","")&amp;IF(AY77&gt;0,"Sensizym "&amp;AY77&amp;" ml/L; ","")&amp;IF(AZ77&gt;0,"Rhino Skin "&amp;AZ77&amp;" ml/L; ","")&amp;IF(BA77&gt;0,"Bud Ignitor "&amp;BA77&amp;" ml/L; ","")&amp;IF(BB77&gt;0,"Big Bud "&amp;BB77&amp;" ml/L; ","")&amp;IF(BC77&gt;0,"Overdrive "&amp;BC77&amp;" ml/L; ","")&amp;IF(BD77&gt;0,"Tasty Terpenes "&amp;BD77&amp;" ml/L; ","")&amp;IF(BE77&gt;0,"Sensi CalMag "&amp;BE77&amp;" ml/L",""))</x:f>
        <x:v>keine AN-Dosis heute</x:v>
      </x:c>
    </x:row>
    <x:row r="78">
      <x:c r="A78" s="34" t="n">
        <x:v>76</x:v>
      </x:c>
      <x:c r="B78" s="129" t="n">
        <x:f>'01_Run_Config'!$B$4+A78</x:f>
        <x:v>46318</x:v>
      </x:c>
      <x:c r="C78" s="63" t="n">
        <x:f>INT(A78/7)+1</x:f>
        <x:v>11</x:v>
      </x:c>
      <x:c r="D78" s="63" t="str">
        <x:f>"M"&amp;MIN(3,INT(A78/30)+1)</x:f>
        <x:v>M3</x:v>
      </x:c>
      <x:c r="E78" s="63" t="str">
        <x:f>IF(A78&lt;4,"Keimung",IF(A78&lt;8,"Etablierung",IF(A78&lt;15,"Early Veg",IF(A78&lt;'01_Run_Config'!$B$33,IF(A78&lt;22,"Veg / LST","Preflower-Watch"),IF(A78-'01_Run_Config'!$B$33&lt;=6,"Transition / Stretch ("&amp;AM78&amp;")",IF(A78-'01_Run_Config'!$B$33&lt;=13,"Early Flower ("&amp;AM78&amp;")",IF(A78-'01_Run_Config'!$B$33&lt;=20,"Flower I ("&amp;AM78&amp;")",IF(A78-'01_Run_Config'!$B$33&lt;=34,"Peak Flower ("&amp;AM78&amp;")",IF(A78-'01_Run_Config'!$B$33&lt;=41,"Late Flower ("&amp;AM78&amp;")",IF(A78-'01_Run_Config'!$B$33&lt;=48,"Ripening ("&amp;AM78&amp;")","Harvest / Extension ("&amp;AM78&amp;")"))))))))))</x:f>
        <x:v>Ripening (B7)</x:v>
      </x:c>
      <x:c r="F78" s="63" t="str">
        <x:f>IF(A78&lt;4,"Keimung + Wurzelstart",IF(A78&lt;8,"Sämling etablieren; Wurzelraum erschließen",IF(A78&lt;15,"kompakter Aufbau; LST erst bei Vitalität",IF(A78&lt;'01_Run_Config'!$B$33,"Canopy aufbauen; Preflower beobachten",IF(A78-'01_Run_Config'!$B$33&lt;=6,"Stretch kontrollieren; Bloom-Trigger dokumentieren",IF(A78-'01_Run_Config'!$B$33&lt;=13,"Blütenansatz stabilisieren",IF(A78-'01_Run_Config'!$B$33&lt;=20,"Blütenaufbau ohne neue Stressoren",IF(A78-'01_Run_Config'!$B$33&lt;=34,"stabile Peak-Photosynthese; Klima priorisieren",IF(A78-'01_Run_Config'!$B$33&lt;=41,"Qualität/Schimmelprävention",IF(A78-'01_Run_Config'!$B$33&lt;=48,"Reife ohne Überfütterung","Erntefenster nach Pflanze; keine Kalenderernte"))))))))))</x:f>
        <x:v>Reife ohne Überfütterung</x:v>
      </x:c>
      <x:c r="G78" s="63" t="n">
        <x:v>18</x:v>
      </x:c>
      <x:c r="H78" s="63" t="n">
        <x:v>105</x:v>
      </x:c>
      <x:c r="I78" s="63" t="n">
        <x:v>500</x:v>
      </x:c>
      <x:c r="J78" s="63" t="n">
        <x:f>I78*G78*3600/1000000</x:f>
        <x:v>32.4</x:v>
      </x:c>
      <x:c r="K78" s="63" t="n">
        <x:v>40</x:v>
      </x:c>
      <x:c r="L78" s="63" t="n">
        <x:v>23</x:v>
      </x:c>
      <x:c r="M78" s="63" t="n">
        <x:v>20</x:v>
      </x:c>
      <x:c r="N78" s="63" t="n">
        <x:v>42</x:v>
      </x:c>
      <x:c r="O78" s="63" t="n">
        <x:f>ROUND(0.6108*EXP(17.27*(L78+'01_Run_Config'!$B$34)/(L78+'01_Run_Config'!$B$34+237.3))-(N78/100)*0.6108*EXP(17.27*L78/(L78+237.3)),2)</x:f>
        <x:v>1.46</x:v>
      </x:c>
      <x:c r="P78" s="63" t="n">
        <x:f>IF(A78&lt;'01_Run_Config'!$B$32,0.55,IF(A78&lt;'01_Run_Config'!$B$33,IF(A78-'01_Run_Config'!$B$32&lt;=3,0.8,IF(A78-'01_Run_Config'!$B$32&lt;=10,1,IF(A78-'01_Run_Config'!$B$32&lt;=17,1.2,1.4))),IF(A78-'01_Run_Config'!$B$33&lt;=6,1.5,IF(A78-'01_Run_Config'!$B$33&lt;=13,1.6,IF(A78-'01_Run_Config'!$B$33&lt;=20,1.7,IF(A78-'01_Run_Config'!$B$33&lt;=34,1.8,IF(A78-'01_Run_Config'!$B$33&lt;=41,1.6,IF(A78-'01_Run_Config'!$B$33&lt;=48,1.4,1.15))))))))</x:f>
        <x:v>1.4</x:v>
      </x:c>
      <x:c r="Q78" s="63" t="n">
        <x:v>5.9</x:v>
      </x:c>
      <x:c r="R78" s="63" t="n">
        <x:v>0.4</x:v>
      </x:c>
      <x:c r="S78" s="63" t="n">
        <x:v>0.8</x:v>
      </x:c>
      <x:c r="T78" s="63" t="str">
        <x:f>IF(A78&lt;=7,"Manuell",'01_Run_Config'!$B$40)</x:f>
        <x:v>Manuell / indoor-freigegebene Automation</x:v>
      </x:c>
      <x:c r="U78" s="63" t="str">
        <x:f>IF(A78&lt;'01_Run_Config'!$B$32,"Kein Basisdünger",IF(A78&lt;'01_Run_Config'!$B$33,"HESI TNT","HESI Coco"))</x:f>
        <x:v>HESI Coco</x:v>
      </x:c>
      <x:c r="V78" s="63" t="n">
        <x:f>IF(A78&lt;'01_Run_Config'!$B$32,0,IF(A78&lt;'01_Run_Config'!$B$33,IF(A78-'01_Run_Config'!$B$32&lt;=3,1.25,IF(A78-'01_Run_Config'!$B$32&lt;=10,2,2.5)),IF(A78-'01_Run_Config'!$B$33&lt;=6,2.5,IF(A78-'01_Run_Config'!$B$33&lt;=13,3.25,IF(A78-'01_Run_Config'!$B$33&lt;=20,3.75,IF(A78-'01_Run_Config'!$B$33&lt;=34,4,IF(A78-'01_Run_Config'!$B$33&lt;=41,3.5,IF(A78-'01_Run_Config'!$B$33&lt;=48,2.5,1.5))))))))</x:f>
        <x:v>2.5</x:v>
      </x:c>
      <x:c r="W78" s="63" t="n">
        <x:f>IF(A78&lt;=14,2.5,0)</x:f>
        <x:v>0</x:v>
      </x:c>
      <x:c r="X78" s="63" t="n">
        <x:f>IF('01_Run_Config'!$B$50="AN Sensizym",0,IF(AND(A78&gt;='01_Run_Config'!$B$32,OR(AL78="",AL78&lt;=49)),2,0))</x:f>
        <x:v>2</x:v>
      </x:c>
      <x:c r="Y78" s="63" t="n">
        <x:f>0.015</x:f>
        <x:v>0.015</x:v>
      </x:c>
      <x:c r="Z78" s="63" t="n">
        <x:f>IF('01_Run_Config'!$B$51="HESI Hesilicio",2,0)</x:f>
        <x:v>0</x:v>
      </x:c>
      <x:c r="AA78" s="63" t="n">
        <x:f>IF('01_Run_Config'!$B$48="AN Bud Candy (replaces HESI Boost)",0,IF(AND(A78&gt;='01_Run_Config'!$B$33,MOD(A78-'01_Run_Config'!$B$33,7)=0),2,0))</x:f>
        <x:v>0</x:v>
      </x:c>
      <x:c r="AB78" s="63" t="n">
        <x:f>IF('01_Run_Config'!$B$52="AN Bud Ignitor &gt; Big Bud &gt; Overdrive",0,IF(AND(ISNUMBER(AL78),AL78&gt;=29,AL78&lt;=42),0.25+((AL78-29)/13)*0.25,0))</x:f>
        <x:v>0</x:v>
      </x:c>
      <x:c r="AC78" s="63" t="n">
        <x:f>IF('01_Run_Config'!$B$46="OFF",0,IF(OR(A78='01_Run_Config'!$B$32,A78='01_Run_Config'!$B$32+7,A78='01_Run_Config'!$B$33+1,A78='01_Run_Config'!$B$33+8),2,0))</x:f>
        <x:v>0</x:v>
      </x:c>
      <x:c r="AD78" s="63" t="str">
        <x:f>IF(BG78="BLOCK","HYBRID BLOCKED - Konfiguration prüfen",IF(SUM(AC78,AT78:BF78)&gt;0,"AN aktiv: "&amp;BH78,"AN: keine Dosis heute / Module aus"))</x:f>
        <x:v>AN: keine Dosis heute / Module aus</x:v>
      </x:c>
      <x:c r="AE78" s="63" t="str">
        <x:v>Keine Eingriffe</x:v>
      </x:c>
      <x:c r="AF78" s="63" t="str">
        <x:v>Morgens Klima/Pflanze/Bewässerung/Leck; Mitte Lichtphase Blattwinkel; vor Dunkel LF/Drain/stehendes Wasser.</x:v>
      </x:c>
      <x:c r="AG78" s="63" t="str">
        <x:v>EC nicht erhöhen bei steigender Diagnose-Drain-EC; PPFD nicht erhöhen bei Stress; Wasserband nie erzwingen; nie mehrere neue Booster gleichzeitig.</x:v>
      </x:c>
      <x:c r="AH78" s="35" t="str">
        <x:f>"UKD v9 evidence-guarded: Planwerte sind Ziele/Eligibility, keine automatische Freigabe. Eazy Plug/Block ist vorgepuffert; früher Basisfeed bleibt vom Propagation-/Pflanzengate abhängig. Messdaten und Safety-Gates überschreiben Kalender."</x:f>
        <x:v>UKD v9 evidence-guarded: Planwerte sind Ziele/Eligibility, keine automatische Freigabe. Eazy Plug/Block ist vorgepuffert; früher Basisfeed bleibt vom Propagation-/Pflanzengate abhängig. Messdaten und Safety-Gates überschreiben Kalender.</x:v>
      </x:c>
      <x:c r="AI78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78" s="201" t="str">
        <x:f>IF(A78&lt;'01_Run_Config'!$B$32,"—",IF(A78&lt;'01_Run_Config'!$B$33,"G"&amp;MIN(4,INT((A78-'01_Run_Config'!$B$32)/7)+1),AM78))</x:f>
        <x:v>B7</x:v>
      </x:c>
      <x:c r="AK78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78" s="60" t="n">
        <x:f>IF(A78&lt;'01_Run_Config'!$B$33,"",A78-'01_Run_Config'!$B$33+1)</x:f>
        <x:v>49</x:v>
      </x:c>
      <x:c r="AM78" s="60" t="str">
        <x:f>IF(AL78="","",IF(AL78&gt;49,CHAR(66)&amp;"7+",CHAR(66)&amp;TEXT(INT((AL78-1)/7)+1,"0")))</x:f>
        <x:v>B7</x:v>
      </x:c>
      <x:c r="AN78" s="60" t="n">
        <x:f>ROUND(0.6108*EXP(17.27*L78/(L78+237.3))*(1-N78/100),2)</x:f>
        <x:v>1.63</x:v>
      </x:c>
      <x:c r="AO78" s="60" t="n">
        <x:f>H78*G78/1000</x:f>
        <x:v>1.89</x:v>
      </x:c>
      <x:c r="AP78" s="60" t="n">
        <x:f>SUM($AO$2:AO78)</x:f>
        <x:v>143.63999999999987</x:v>
      </x:c>
      <x:c r="AQ78" t="n">
        <x:f>'01_Run_Config'!$B$17</x:f>
        <x:v>0</x:v>
      </x:c>
      <x:c r="AR78" t="n">
        <x:f>'01_Run_Config'!$B$22</x:f>
        <x:v>0</x:v>
      </x:c>
      <x:c r="AS78" t="n">
        <x:f>'01_Run_Config'!$B$25</x:f>
        <x:v>0</x:v>
      </x:c>
      <x:c r="AT78" t="n">
        <x:f>IF(AND('01_Run_Config'!$B$46="Voodoo + Piranha + Tarantula",AC78&gt;0),2,0)</x:f>
        <x:v>0</x:v>
      </x:c>
      <x:c r="AU78" t="n">
        <x:f>IF(AND(OR('01_Run_Config'!$B$46="Voodoo + Tarantula",'01_Run_Config'!$B$46="Voodoo + Piranha + Tarantula"),AC78&gt;0),2,0)</x:f>
        <x:v>0</x:v>
      </x:c>
      <x:c r="AV78" t="n">
        <x:f>IF('01_Run_Config'!$B$47&lt;&gt;"ON / A-B",0,IF(OR(AND(A78&gt;='01_Run_Config'!$B$32,A78&lt;'01_Run_Config'!$B$33),AND(ISNUMBER(AL78),AL78&gt;=15,AL78&lt;=49)),2,0))</x:f>
        <x:v>0</x:v>
      </x:c>
      <x:c r="AW78" t="n">
        <x:f>IF('01_Run_Config'!$B$48="AN Bud Candy (replaces HESI Boost)",IF(AND(A78&gt;='01_Run_Config'!$B$32,OR(AL78="",AL78&lt;=49)),2,0),0)</x:f>
        <x:v>0</x:v>
      </x:c>
      <x:c r="AX78" t="n">
        <x:f>IF('01_Run_Config'!$B$49&lt;&gt;"ON / EXPERIMENTAL",0,IF(OR(AND(A78&gt;='01_Run_Config'!$B$32+7,A78&lt;'01_Run_Config'!$B$33),AND(ISNUMBER(AL78),AL78&gt;=1,AL78&lt;=49)),2,0))</x:f>
        <x:v>0</x:v>
      </x:c>
      <x:c r="AY78" t="n">
        <x:f>IF('01_Run_Config'!$B$50="AN Sensizym",IF(AND(A78&gt;='01_Run_Config'!$B$32,OR(AL78="",AL78&lt;=49)),2,0),0)</x:f>
        <x:v>0</x:v>
      </x:c>
      <x:c r="AZ78" t="n">
        <x:f>IF('01_Run_Config'!$B$51="AN Rhino Skin",IF(AND(A78&gt;='01_Run_Config'!$B$32,OR(AL78="",AL78&lt;=49)),2,0),0)</x:f>
        <x:v>0</x:v>
      </x:c>
      <x:c r="BA78" t="n">
        <x:f>IF(AND('01_Run_Config'!$B$52="AN Bud Ignitor &gt; Big Bud &gt; Overdrive",ISNUMBER(AL78),AL78&gt;=1,AL78&lt;=14),2,0)</x:f>
        <x:v>0</x:v>
      </x:c>
      <x:c r="BB78" t="n">
        <x:f>IF(AND('01_Run_Config'!$B$52="AN Bud Ignitor &gt; Big Bud &gt; Overdrive",ISNUMBER(AL78),AL78&gt;=8,AL78&lt;=35),2,0)</x:f>
        <x:v>0</x:v>
      </x:c>
      <x:c r="BC78" t="n">
        <x:f>IF(AND('01_Run_Config'!$B$52="AN Bud Ignitor &gt; Big Bud &gt; Overdrive",ISNUMBER(AL78),AL78&gt;=36,AL78&lt;=49),2,0)</x:f>
        <x:v>0</x:v>
      </x:c>
      <x:c r="BD78" t="n">
        <x:f>IF('01_Run_Config'!$B$53="ON / EXPERIMENTAL",IF(OR(AND(A78&gt;='01_Run_Config'!$B$32,A78&lt;'01_Run_Config'!$B$33),AND(ISNUMBER(AL78),AL78&gt;=15,AL78&lt;=49)),2,0),0)</x:f>
        <x:v>0</x:v>
      </x:c>
      <x:c r="BE78" t="n">
        <x:f>IF('01_Run_Config'!$B$54="AN Sensi CalMag Xtra conditional",'01_Run_Config'!$B$17,0)</x:f>
        <x:v>0</x:v>
      </x:c>
      <x:c r="BF78" t="n">
        <x:f>0</x:f>
        <x:v>0</x:v>
      </x:c>
      <x:c r="BG78" t="str">
        <x:f>'01_Run_Config'!$E$57</x:f>
        <x:v>OK</x:v>
      </x:c>
      <x:c r="BH78" t="str">
        <x:f>IF(SUM(AC78,AT78:BF78)=0,"keine AN-Dosis heute",IF(AC78&gt;0,"Voodoo "&amp;AC78&amp;" ml/L; ","")&amp;IF(AT78&gt;0,"Piranha "&amp;AT78&amp;" ml/L; ","")&amp;IF(AU78&gt;0,"Tarantula "&amp;AU78&amp;" ml/L; ","")&amp;IF(AV78&gt;0,"B-52 "&amp;AV78&amp;" ml/L; ","")&amp;IF(AW78&gt;0,"Bud Candy "&amp;AW78&amp;" ml/L; ","")&amp;IF(AX78&gt;0,"Bud Factor X "&amp;AX78&amp;" ml/L; ","")&amp;IF(AY78&gt;0,"Sensizym "&amp;AY78&amp;" ml/L; ","")&amp;IF(AZ78&gt;0,"Rhino Skin "&amp;AZ78&amp;" ml/L; ","")&amp;IF(BA78&gt;0,"Bud Ignitor "&amp;BA78&amp;" ml/L; ","")&amp;IF(BB78&gt;0,"Big Bud "&amp;BB78&amp;" ml/L; ","")&amp;IF(BC78&gt;0,"Overdrive "&amp;BC78&amp;" ml/L; ","")&amp;IF(BD78&gt;0,"Tasty Terpenes "&amp;BD78&amp;" ml/L; ","")&amp;IF(BE78&gt;0,"Sensi CalMag "&amp;BE78&amp;" ml/L",""))</x:f>
        <x:v>keine AN-Dosis heute</x:v>
      </x:c>
    </x:row>
    <x:row r="79">
      <x:c r="A79" s="34" t="n">
        <x:v>77</x:v>
      </x:c>
      <x:c r="B79" s="129" t="n">
        <x:f>'01_Run_Config'!$B$4+A79</x:f>
        <x:v>46319</x:v>
      </x:c>
      <x:c r="C79" s="63" t="n">
        <x:f>INT(A79/7)+1</x:f>
        <x:v>12</x:v>
      </x:c>
      <x:c r="D79" s="63" t="str">
        <x:f>"M"&amp;MIN(3,INT(A79/30)+1)</x:f>
        <x:v>M3</x:v>
      </x:c>
      <x:c r="E79" s="63" t="str">
        <x:f>IF(A79&lt;4,"Keimung",IF(A79&lt;8,"Etablierung",IF(A79&lt;15,"Early Veg",IF(A79&lt;'01_Run_Config'!$B$33,IF(A79&lt;22,"Veg / LST","Preflower-Watch"),IF(A79-'01_Run_Config'!$B$33&lt;=6,"Transition / Stretch ("&amp;AM79&amp;")",IF(A79-'01_Run_Config'!$B$33&lt;=13,"Early Flower ("&amp;AM79&amp;")",IF(A79-'01_Run_Config'!$B$33&lt;=20,"Flower I ("&amp;AM79&amp;")",IF(A79-'01_Run_Config'!$B$33&lt;=34,"Peak Flower ("&amp;AM79&amp;")",IF(A79-'01_Run_Config'!$B$33&lt;=41,"Late Flower ("&amp;AM79&amp;")",IF(A79-'01_Run_Config'!$B$33&lt;=48,"Ripening ("&amp;AM79&amp;")","Harvest / Extension ("&amp;AM79&amp;")"))))))))))</x:f>
        <x:v>Harvest / Extension (B7+)</x:v>
      </x:c>
      <x:c r="F79" s="63" t="str">
        <x:f>IF(A79&lt;4,"Keimung + Wurzelstart",IF(A79&lt;8,"Sämling etablieren; Wurzelraum erschließen",IF(A79&lt;15,"kompakter Aufbau; LST erst bei Vitalität",IF(A79&lt;'01_Run_Config'!$B$33,"Canopy aufbauen; Preflower beobachten",IF(A79-'01_Run_Config'!$B$33&lt;=6,"Stretch kontrollieren; Bloom-Trigger dokumentieren",IF(A79-'01_Run_Config'!$B$33&lt;=13,"Blütenansatz stabilisieren",IF(A79-'01_Run_Config'!$B$33&lt;=20,"Blütenaufbau ohne neue Stressoren",IF(A79-'01_Run_Config'!$B$33&lt;=34,"stabile Peak-Photosynthese; Klima priorisieren",IF(A79-'01_Run_Config'!$B$33&lt;=41,"Qualität/Schimmelprävention",IF(A79-'01_Run_Config'!$B$33&lt;=48,"Reife ohne Überfütterung","Erntefenster nach Pflanze; keine Kalenderernte"))))))))))</x:f>
        <x:v>Erntefenster nach Pflanze; keine Kalenderernte</x:v>
      </x:c>
      <x:c r="G79" s="63" t="n">
        <x:v>18</x:v>
      </x:c>
      <x:c r="H79" s="63" t="n">
        <x:v>90</x:v>
      </x:c>
      <x:c r="I79" s="63" t="n">
        <x:v>450</x:v>
      </x:c>
      <x:c r="J79" s="63" t="n">
        <x:f>I79*G79*3600/1000000</x:f>
        <x:v>29.16</x:v>
      </x:c>
      <x:c r="K79" s="63" t="n">
        <x:v>42</x:v>
      </x:c>
      <x:c r="L79" s="63" t="n">
        <x:v>22.5</x:v>
      </x:c>
      <x:c r="M79" s="63" t="n">
        <x:v>20</x:v>
      </x:c>
      <x:c r="N79" s="63" t="n">
        <x:v>42</x:v>
      </x:c>
      <x:c r="O79" s="63" t="n">
        <x:f>ROUND(0.6108*EXP(17.27*(L79+'01_Run_Config'!$B$34)/(L79+'01_Run_Config'!$B$34+237.3))-(N79/100)*0.6108*EXP(17.27*L79/(L79+237.3)),2)</x:f>
        <x:v>1.42</x:v>
      </x:c>
      <x:c r="P79" s="63" t="n">
        <x:f>IF(A79&lt;'01_Run_Config'!$B$32,0.55,IF(A79&lt;'01_Run_Config'!$B$33,IF(A79-'01_Run_Config'!$B$32&lt;=3,0.8,IF(A79-'01_Run_Config'!$B$32&lt;=10,1,IF(A79-'01_Run_Config'!$B$32&lt;=17,1.2,1.4))),IF(A79-'01_Run_Config'!$B$33&lt;=6,1.5,IF(A79-'01_Run_Config'!$B$33&lt;=13,1.6,IF(A79-'01_Run_Config'!$B$33&lt;=20,1.7,IF(A79-'01_Run_Config'!$B$33&lt;=34,1.8,IF(A79-'01_Run_Config'!$B$33&lt;=41,1.6,IF(A79-'01_Run_Config'!$B$33&lt;=48,1.4,1.15))))))))</x:f>
        <x:v>1.15</x:v>
      </x:c>
      <x:c r="Q79" s="63" t="n">
        <x:v>5.9</x:v>
      </x:c>
      <x:c r="R79" s="63" t="n">
        <x:v>0.3</x:v>
      </x:c>
      <x:c r="S79" s="63" t="n">
        <x:v>0.7</x:v>
      </x:c>
      <x:c r="T79" s="63" t="str">
        <x:f>IF(A79&lt;=7,"Manuell",'01_Run_Config'!$B$40)</x:f>
        <x:v>Manuell / indoor-freigegebene Automation</x:v>
      </x:c>
      <x:c r="U79" s="63" t="str">
        <x:f>IF(A79&lt;'01_Run_Config'!$B$32,"Kein Basisdünger",IF(A79&lt;'01_Run_Config'!$B$33,"HESI TNT","HESI Coco"))</x:f>
        <x:v>HESI Coco</x:v>
      </x:c>
      <x:c r="V79" s="63" t="n">
        <x:f>IF(A79&lt;'01_Run_Config'!$B$32,0,IF(A79&lt;'01_Run_Config'!$B$33,IF(A79-'01_Run_Config'!$B$32&lt;=3,1.25,IF(A79-'01_Run_Config'!$B$32&lt;=10,2,2.5)),IF(A79-'01_Run_Config'!$B$33&lt;=6,2.5,IF(A79-'01_Run_Config'!$B$33&lt;=13,3.25,IF(A79-'01_Run_Config'!$B$33&lt;=20,3.75,IF(A79-'01_Run_Config'!$B$33&lt;=34,4,IF(A79-'01_Run_Config'!$B$33&lt;=41,3.5,IF(A79-'01_Run_Config'!$B$33&lt;=48,2.5,1.5))))))))</x:f>
        <x:v>1.5</x:v>
      </x:c>
      <x:c r="W79" s="63" t="n">
        <x:f>IF(A79&lt;=14,2.5,0)</x:f>
        <x:v>0</x:v>
      </x:c>
      <x:c r="X79" s="63" t="n">
        <x:f>IF('01_Run_Config'!$B$50="AN Sensizym",0,IF(AND(A79&gt;='01_Run_Config'!$B$32,OR(AL79="",AL79&lt;=49)),2,0))</x:f>
        <x:v>0</x:v>
      </x:c>
      <x:c r="Y79" s="63" t="n">
        <x:f>0.015</x:f>
        <x:v>0.015</x:v>
      </x:c>
      <x:c r="Z79" s="63" t="n">
        <x:f>IF('01_Run_Config'!$B$51="HESI Hesilicio",2,0)</x:f>
        <x:v>0</x:v>
      </x:c>
      <x:c r="AA79" s="63" t="n">
        <x:f>IF('01_Run_Config'!$B$48="AN Bud Candy (replaces HESI Boost)",0,IF(AND(A79&gt;='01_Run_Config'!$B$33,MOD(A79-'01_Run_Config'!$B$33,7)=0),2,0))</x:f>
        <x:v>2</x:v>
      </x:c>
      <x:c r="AB79" s="63" t="n">
        <x:f>IF('01_Run_Config'!$B$52="AN Bud Ignitor &gt; Big Bud &gt; Overdrive",0,IF(AND(ISNUMBER(AL79),AL79&gt;=29,AL79&lt;=42),0.25+((AL79-29)/13)*0.25,0))</x:f>
        <x:v>0</x:v>
      </x:c>
      <x:c r="AC79" s="63" t="n">
        <x:f>IF('01_Run_Config'!$B$46="OFF",0,IF(OR(A79='01_Run_Config'!$B$32,A79='01_Run_Config'!$B$32+7,A79='01_Run_Config'!$B$33+1,A79='01_Run_Config'!$B$33+8),2,0))</x:f>
        <x:v>0</x:v>
      </x:c>
      <x:c r="AD79" s="63" t="str">
        <x:f>IF(BG79="BLOCK","HYBRID BLOCKED - Konfiguration prüfen",IF(SUM(AC79,AT79:BF79)&gt;0,"AN aktiv: "&amp;BH79,"AN: keine Dosis heute / Module aus"))</x:f>
        <x:v>AN: keine Dosis heute / Module aus</x:v>
      </x:c>
      <x:c r="AE79" s="63" t="str">
        <x:v>Keine Eingriffe</x:v>
      </x:c>
      <x:c r="AF79" s="63" t="str">
        <x:v>Morgens Klima/Pflanze/Bewässerung/Leck; Mitte Lichtphase Blattwinkel; vor Dunkel LF/Drain/stehendes Wasser. WÖCHENTLICH: pH/EC kalibrieren, Foto, Canopy messen, PPFD-Spotcheck, Reservoir falls genutzt / Tray reinigen.</x:v>
      </x:c>
      <x:c r="AG79" s="63" t="str">
        <x:v>EC nicht erhöhen bei steigender Diagnose-Drain-EC; PPFD nicht erhöhen bei Stress; Wasserband nie erzwingen; nie mehrere neue Booster gleichzeitig.</x:v>
      </x:c>
      <x:c r="AH79" s="35" t="str">
        <x:f>"UKD v9 evidence-guarded: Planwerte sind Ziele/Eligibility, keine automatische Freigabe. Eazy Plug/Block ist vorgepuffert; früher Basisfeed bleibt vom Propagation-/Pflanzengate abhängig. Messdaten und Safety-Gates überschreiben Kalender."</x:f>
        <x:v>UKD v9 evidence-guarded: Planwerte sind Ziele/Eligibility, keine automatische Freigabe. Eazy Plug/Block ist vorgepuffert; früher Basisfeed bleibt vom Propagation-/Pflanzengate abhängig. Messdaten und Safety-Gates überschreiben Kalender.</x:v>
      </x:c>
      <x:c r="AI79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79" s="201" t="str">
        <x:f>IF(A79&lt;'01_Run_Config'!$B$32,"—",IF(A79&lt;'01_Run_Config'!$B$33,"G"&amp;MIN(4,INT((A79-'01_Run_Config'!$B$32)/7)+1),AM79))</x:f>
        <x:v>B7+</x:v>
      </x:c>
      <x:c r="AK79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79" s="60" t="n">
        <x:f>IF(A79&lt;'01_Run_Config'!$B$33,"",A79-'01_Run_Config'!$B$33+1)</x:f>
        <x:v>50</x:v>
      </x:c>
      <x:c r="AM79" s="60" t="str">
        <x:f>IF(AL79="","",IF(AL79&gt;49,CHAR(66)&amp;"7+",CHAR(66)&amp;TEXT(INT((AL79-1)/7)+1,"0")))</x:f>
        <x:v>B7+</x:v>
      </x:c>
      <x:c r="AN79" s="60" t="n">
        <x:f>ROUND(0.6108*EXP(17.27*L79/(L79+237.3))*(1-N79/100),2)</x:f>
        <x:v>1.58</x:v>
      </x:c>
      <x:c r="AO79" s="60" t="n">
        <x:f>H79*G79/1000</x:f>
        <x:v>1.62</x:v>
      </x:c>
      <x:c r="AP79" s="60" t="n">
        <x:f>SUM($AO$2:AO79)</x:f>
        <x:v>145.25999999999988</x:v>
      </x:c>
      <x:c r="AQ79" t="n">
        <x:f>'01_Run_Config'!$B$17</x:f>
        <x:v>0</x:v>
      </x:c>
      <x:c r="AR79" t="n">
        <x:f>'01_Run_Config'!$B$22</x:f>
        <x:v>0</x:v>
      </x:c>
      <x:c r="AS79" t="n">
        <x:f>'01_Run_Config'!$B$25</x:f>
        <x:v>0</x:v>
      </x:c>
      <x:c r="AT79" t="n">
        <x:f>IF(AND('01_Run_Config'!$B$46="Voodoo + Piranha + Tarantula",AC79&gt;0),2,0)</x:f>
        <x:v>0</x:v>
      </x:c>
      <x:c r="AU79" t="n">
        <x:f>IF(AND(OR('01_Run_Config'!$B$46="Voodoo + Tarantula",'01_Run_Config'!$B$46="Voodoo + Piranha + Tarantula"),AC79&gt;0),2,0)</x:f>
        <x:v>0</x:v>
      </x:c>
      <x:c r="AV79" t="n">
        <x:f>IF('01_Run_Config'!$B$47&lt;&gt;"ON / A-B",0,IF(OR(AND(A79&gt;='01_Run_Config'!$B$32,A79&lt;'01_Run_Config'!$B$33),AND(ISNUMBER(AL79),AL79&gt;=15,AL79&lt;=49)),2,0))</x:f>
        <x:v>0</x:v>
      </x:c>
      <x:c r="AW79" t="n">
        <x:f>IF('01_Run_Config'!$B$48="AN Bud Candy (replaces HESI Boost)",IF(AND(A79&gt;='01_Run_Config'!$B$32,OR(AL79="",AL79&lt;=49)),2,0),0)</x:f>
        <x:v>0</x:v>
      </x:c>
      <x:c r="AX79" t="n">
        <x:f>IF('01_Run_Config'!$B$49&lt;&gt;"ON / EXPERIMENTAL",0,IF(OR(AND(A79&gt;='01_Run_Config'!$B$32+7,A79&lt;'01_Run_Config'!$B$33),AND(ISNUMBER(AL79),AL79&gt;=1,AL79&lt;=49)),2,0))</x:f>
        <x:v>0</x:v>
      </x:c>
      <x:c r="AY79" t="n">
        <x:f>IF('01_Run_Config'!$B$50="AN Sensizym",IF(AND(A79&gt;='01_Run_Config'!$B$32,OR(AL79="",AL79&lt;=49)),2,0),0)</x:f>
        <x:v>0</x:v>
      </x:c>
      <x:c r="AZ79" t="n">
        <x:f>IF('01_Run_Config'!$B$51="AN Rhino Skin",IF(AND(A79&gt;='01_Run_Config'!$B$32,OR(AL79="",AL79&lt;=49)),2,0),0)</x:f>
        <x:v>0</x:v>
      </x:c>
      <x:c r="BA79" t="n">
        <x:f>IF(AND('01_Run_Config'!$B$52="AN Bud Ignitor &gt; Big Bud &gt; Overdrive",ISNUMBER(AL79),AL79&gt;=1,AL79&lt;=14),2,0)</x:f>
        <x:v>0</x:v>
      </x:c>
      <x:c r="BB79" t="n">
        <x:f>IF(AND('01_Run_Config'!$B$52="AN Bud Ignitor &gt; Big Bud &gt; Overdrive",ISNUMBER(AL79),AL79&gt;=8,AL79&lt;=35),2,0)</x:f>
        <x:v>0</x:v>
      </x:c>
      <x:c r="BC79" t="n">
        <x:f>IF(AND('01_Run_Config'!$B$52="AN Bud Ignitor &gt; Big Bud &gt; Overdrive",ISNUMBER(AL79),AL79&gt;=36,AL79&lt;=49),2,0)</x:f>
        <x:v>0</x:v>
      </x:c>
      <x:c r="BD79" t="n">
        <x:f>IF('01_Run_Config'!$B$53="ON / EXPERIMENTAL",IF(OR(AND(A79&gt;='01_Run_Config'!$B$32,A79&lt;'01_Run_Config'!$B$33),AND(ISNUMBER(AL79),AL79&gt;=15,AL79&lt;=49)),2,0),0)</x:f>
        <x:v>0</x:v>
      </x:c>
      <x:c r="BE79" t="n">
        <x:f>IF('01_Run_Config'!$B$54="AN Sensi CalMag Xtra conditional",'01_Run_Config'!$B$17,0)</x:f>
        <x:v>0</x:v>
      </x:c>
      <x:c r="BF79" t="n">
        <x:f>0</x:f>
        <x:v>0</x:v>
      </x:c>
      <x:c r="BG79" t="str">
        <x:f>'01_Run_Config'!$E$57</x:f>
        <x:v>OK</x:v>
      </x:c>
      <x:c r="BH79" t="str">
        <x:f>IF(SUM(AC79,AT79:BF79)=0,"keine AN-Dosis heute",IF(AC79&gt;0,"Voodoo "&amp;AC79&amp;" ml/L; ","")&amp;IF(AT79&gt;0,"Piranha "&amp;AT79&amp;" ml/L; ","")&amp;IF(AU79&gt;0,"Tarantula "&amp;AU79&amp;" ml/L; ","")&amp;IF(AV79&gt;0,"B-52 "&amp;AV79&amp;" ml/L; ","")&amp;IF(AW79&gt;0,"Bud Candy "&amp;AW79&amp;" ml/L; ","")&amp;IF(AX79&gt;0,"Bud Factor X "&amp;AX79&amp;" ml/L; ","")&amp;IF(AY79&gt;0,"Sensizym "&amp;AY79&amp;" ml/L; ","")&amp;IF(AZ79&gt;0,"Rhino Skin "&amp;AZ79&amp;" ml/L; ","")&amp;IF(BA79&gt;0,"Bud Ignitor "&amp;BA79&amp;" ml/L; ","")&amp;IF(BB79&gt;0,"Big Bud "&amp;BB79&amp;" ml/L; ","")&amp;IF(BC79&gt;0,"Overdrive "&amp;BC79&amp;" ml/L; ","")&amp;IF(BD79&gt;0,"Tasty Terpenes "&amp;BD79&amp;" ml/L; ","")&amp;IF(BE79&gt;0,"Sensi CalMag "&amp;BE79&amp;" ml/L",""))</x:f>
        <x:v>keine AN-Dosis heute</x:v>
      </x:c>
    </x:row>
    <x:row r="80">
      <x:c r="A80" s="34" t="n">
        <x:v>78</x:v>
      </x:c>
      <x:c r="B80" s="129" t="n">
        <x:f>'01_Run_Config'!$B$4+A80</x:f>
        <x:v>46320</x:v>
      </x:c>
      <x:c r="C80" s="63" t="n">
        <x:f>INT(A80/7)+1</x:f>
        <x:v>12</x:v>
      </x:c>
      <x:c r="D80" s="63" t="str">
        <x:f>"M"&amp;MIN(3,INT(A80/30)+1)</x:f>
        <x:v>M3</x:v>
      </x:c>
      <x:c r="E80" s="63" t="str">
        <x:f>IF(A80&lt;4,"Keimung",IF(A80&lt;8,"Etablierung",IF(A80&lt;15,"Early Veg",IF(A80&lt;'01_Run_Config'!$B$33,IF(A80&lt;22,"Veg / LST","Preflower-Watch"),IF(A80-'01_Run_Config'!$B$33&lt;=6,"Transition / Stretch ("&amp;AM80&amp;")",IF(A80-'01_Run_Config'!$B$33&lt;=13,"Early Flower ("&amp;AM80&amp;")",IF(A80-'01_Run_Config'!$B$33&lt;=20,"Flower I ("&amp;AM80&amp;")",IF(A80-'01_Run_Config'!$B$33&lt;=34,"Peak Flower ("&amp;AM80&amp;")",IF(A80-'01_Run_Config'!$B$33&lt;=41,"Late Flower ("&amp;AM80&amp;")",IF(A80-'01_Run_Config'!$B$33&lt;=48,"Ripening ("&amp;AM80&amp;")","Harvest / Extension ("&amp;AM80&amp;")"))))))))))</x:f>
        <x:v>Harvest / Extension (B7+)</x:v>
      </x:c>
      <x:c r="F80" s="63" t="str">
        <x:f>IF(A80&lt;4,"Keimung + Wurzelstart",IF(A80&lt;8,"Sämling etablieren; Wurzelraum erschließen",IF(A80&lt;15,"kompakter Aufbau; LST erst bei Vitalität",IF(A80&lt;'01_Run_Config'!$B$33,"Canopy aufbauen; Preflower beobachten",IF(A80-'01_Run_Config'!$B$33&lt;=6,"Stretch kontrollieren; Bloom-Trigger dokumentieren",IF(A80-'01_Run_Config'!$B$33&lt;=13,"Blütenansatz stabilisieren",IF(A80-'01_Run_Config'!$B$33&lt;=20,"Blütenaufbau ohne neue Stressoren",IF(A80-'01_Run_Config'!$B$33&lt;=34,"stabile Peak-Photosynthese; Klima priorisieren",IF(A80-'01_Run_Config'!$B$33&lt;=41,"Qualität/Schimmelprävention",IF(A80-'01_Run_Config'!$B$33&lt;=48,"Reife ohne Überfütterung","Erntefenster nach Pflanze; keine Kalenderernte"))))))))))</x:f>
        <x:v>Erntefenster nach Pflanze; keine Kalenderernte</x:v>
      </x:c>
      <x:c r="G80" s="63" t="n">
        <x:v>18</x:v>
      </x:c>
      <x:c r="H80" s="63" t="n">
        <x:v>90</x:v>
      </x:c>
      <x:c r="I80" s="63" t="n">
        <x:v>450</x:v>
      </x:c>
      <x:c r="J80" s="63" t="n">
        <x:f>I80*G80*3600/1000000</x:f>
        <x:v>29.16</x:v>
      </x:c>
      <x:c r="K80" s="63" t="n">
        <x:v>42</x:v>
      </x:c>
      <x:c r="L80" s="63" t="n">
        <x:v>22.5</x:v>
      </x:c>
      <x:c r="M80" s="63" t="n">
        <x:v>20</x:v>
      </x:c>
      <x:c r="N80" s="63" t="n">
        <x:v>42</x:v>
      </x:c>
      <x:c r="O80" s="63" t="n">
        <x:f>ROUND(0.6108*EXP(17.27*(L80+'01_Run_Config'!$B$34)/(L80+'01_Run_Config'!$B$34+237.3))-(N80/100)*0.6108*EXP(17.27*L80/(L80+237.3)),2)</x:f>
        <x:v>1.42</x:v>
      </x:c>
      <x:c r="P80" s="63" t="n">
        <x:f>IF(A80&lt;'01_Run_Config'!$B$32,0.55,IF(A80&lt;'01_Run_Config'!$B$33,IF(A80-'01_Run_Config'!$B$32&lt;=3,0.8,IF(A80-'01_Run_Config'!$B$32&lt;=10,1,IF(A80-'01_Run_Config'!$B$32&lt;=17,1.2,1.4))),IF(A80-'01_Run_Config'!$B$33&lt;=6,1.5,IF(A80-'01_Run_Config'!$B$33&lt;=13,1.6,IF(A80-'01_Run_Config'!$B$33&lt;=20,1.7,IF(A80-'01_Run_Config'!$B$33&lt;=34,1.8,IF(A80-'01_Run_Config'!$B$33&lt;=41,1.6,IF(A80-'01_Run_Config'!$B$33&lt;=48,1.4,1.15))))))))</x:f>
        <x:v>1.15</x:v>
      </x:c>
      <x:c r="Q80" s="63" t="n">
        <x:v>5.9</x:v>
      </x:c>
      <x:c r="R80" s="63" t="n">
        <x:v>0.3</x:v>
      </x:c>
      <x:c r="S80" s="63" t="n">
        <x:v>0.7</x:v>
      </x:c>
      <x:c r="T80" s="63" t="str">
        <x:f>IF(A80&lt;=7,"Manuell",'01_Run_Config'!$B$40)</x:f>
        <x:v>Manuell / indoor-freigegebene Automation</x:v>
      </x:c>
      <x:c r="U80" s="63" t="str">
        <x:f>IF(A80&lt;'01_Run_Config'!$B$32,"Kein Basisdünger",IF(A80&lt;'01_Run_Config'!$B$33,"HESI TNT","HESI Coco"))</x:f>
        <x:v>HESI Coco</x:v>
      </x:c>
      <x:c r="V80" s="63" t="n">
        <x:f>IF(A80&lt;'01_Run_Config'!$B$32,0,IF(A80&lt;'01_Run_Config'!$B$33,IF(A80-'01_Run_Config'!$B$32&lt;=3,1.25,IF(A80-'01_Run_Config'!$B$32&lt;=10,2,2.5)),IF(A80-'01_Run_Config'!$B$33&lt;=6,2.5,IF(A80-'01_Run_Config'!$B$33&lt;=13,3.25,IF(A80-'01_Run_Config'!$B$33&lt;=20,3.75,IF(A80-'01_Run_Config'!$B$33&lt;=34,4,IF(A80-'01_Run_Config'!$B$33&lt;=41,3.5,IF(A80-'01_Run_Config'!$B$33&lt;=48,2.5,1.5))))))))</x:f>
        <x:v>1.5</x:v>
      </x:c>
      <x:c r="W80" s="63" t="n">
        <x:f>IF(A80&lt;=14,2.5,0)</x:f>
        <x:v>0</x:v>
      </x:c>
      <x:c r="X80" s="63" t="n">
        <x:f>IF('01_Run_Config'!$B$50="AN Sensizym",0,IF(AND(A80&gt;='01_Run_Config'!$B$32,OR(AL80="",AL80&lt;=49)),2,0))</x:f>
        <x:v>0</x:v>
      </x:c>
      <x:c r="Y80" s="63" t="n">
        <x:f>0.015</x:f>
        <x:v>0.015</x:v>
      </x:c>
      <x:c r="Z80" s="63" t="n">
        <x:f>IF('01_Run_Config'!$B$51="HESI Hesilicio",2,0)</x:f>
        <x:v>0</x:v>
      </x:c>
      <x:c r="AA80" s="63" t="n">
        <x:f>IF('01_Run_Config'!$B$48="AN Bud Candy (replaces HESI Boost)",0,IF(AND(A80&gt;='01_Run_Config'!$B$33,MOD(A80-'01_Run_Config'!$B$33,7)=0),2,0))</x:f>
        <x:v>0</x:v>
      </x:c>
      <x:c r="AB80" s="63" t="n">
        <x:f>IF('01_Run_Config'!$B$52="AN Bud Ignitor &gt; Big Bud &gt; Overdrive",0,IF(AND(ISNUMBER(AL80),AL80&gt;=29,AL80&lt;=42),0.25+((AL80-29)/13)*0.25,0))</x:f>
        <x:v>0</x:v>
      </x:c>
      <x:c r="AC80" s="63" t="n">
        <x:f>IF('01_Run_Config'!$B$46="OFF",0,IF(OR(A80='01_Run_Config'!$B$32,A80='01_Run_Config'!$B$32+7,A80='01_Run_Config'!$B$33+1,A80='01_Run_Config'!$B$33+8),2,0))</x:f>
        <x:v>0</x:v>
      </x:c>
      <x:c r="AD80" s="63" t="str">
        <x:f>IF(BG80="BLOCK","HYBRID BLOCKED - Konfiguration prüfen",IF(SUM(AC80,AT80:BF80)&gt;0,"AN aktiv: "&amp;BH80,"AN: keine Dosis heute / Module aus"))</x:f>
        <x:v>AN: keine Dosis heute / Module aus</x:v>
      </x:c>
      <x:c r="AE80" s="63" t="str">
        <x:v>Keine Eingriffe</x:v>
      </x:c>
      <x:c r="AF80" s="63" t="str">
        <x:v>Morgens Klima/Pflanze/Bewässerung/Leck; Mitte Lichtphase Blattwinkel; vor Dunkel LF/Drain/stehendes Wasser.</x:v>
      </x:c>
      <x:c r="AG80" s="63" t="str">
        <x:v>EC nicht erhöhen bei steigender Diagnose-Drain-EC; PPFD nicht erhöhen bei Stress; Wasserband nie erzwingen; nie mehrere neue Booster gleichzeitig.</x:v>
      </x:c>
      <x:c r="AH80" s="35" t="str">
        <x:f>"UKD v9 evidence-guarded: Planwerte sind Ziele/Eligibility, keine automatische Freigabe. Eazy Plug/Block ist vorgepuffert; früher Basisfeed bleibt vom Propagation-/Pflanzengate abhängig. Messdaten und Safety-Gates überschreiben Kalender."</x:f>
        <x:v>UKD v9 evidence-guarded: Planwerte sind Ziele/Eligibility, keine automatische Freigabe. Eazy Plug/Block ist vorgepuffert; früher Basisfeed bleibt vom Propagation-/Pflanzengate abhängig. Messdaten und Safety-Gates überschreiben Kalender.</x:v>
      </x:c>
      <x:c r="AI80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80" s="201" t="str">
        <x:f>IF(A80&lt;'01_Run_Config'!$B$32,"—",IF(A80&lt;'01_Run_Config'!$B$33,"G"&amp;MIN(4,INT((A80-'01_Run_Config'!$B$32)/7)+1),AM80))</x:f>
        <x:v>B7+</x:v>
      </x:c>
      <x:c r="AK80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80" s="60" t="n">
        <x:f>IF(A80&lt;'01_Run_Config'!$B$33,"",A80-'01_Run_Config'!$B$33+1)</x:f>
        <x:v>51</x:v>
      </x:c>
      <x:c r="AM80" s="60" t="str">
        <x:f>IF(AL80="","",IF(AL80&gt;49,CHAR(66)&amp;"7+",CHAR(66)&amp;TEXT(INT((AL80-1)/7)+1,"0")))</x:f>
        <x:v>B7+</x:v>
      </x:c>
      <x:c r="AN80" s="60" t="n">
        <x:f>ROUND(0.6108*EXP(17.27*L80/(L80+237.3))*(1-N80/100),2)</x:f>
        <x:v>1.58</x:v>
      </x:c>
      <x:c r="AO80" s="60" t="n">
        <x:f>H80*G80/1000</x:f>
        <x:v>1.62</x:v>
      </x:c>
      <x:c r="AP80" s="60" t="n">
        <x:f>SUM($AO$2:AO80)</x:f>
        <x:v>146.87999999999988</x:v>
      </x:c>
      <x:c r="AQ80" t="n">
        <x:f>'01_Run_Config'!$B$17</x:f>
        <x:v>0</x:v>
      </x:c>
      <x:c r="AR80" t="n">
        <x:f>'01_Run_Config'!$B$22</x:f>
        <x:v>0</x:v>
      </x:c>
      <x:c r="AS80" t="n">
        <x:f>'01_Run_Config'!$B$25</x:f>
        <x:v>0</x:v>
      </x:c>
      <x:c r="AT80" t="n">
        <x:f>IF(AND('01_Run_Config'!$B$46="Voodoo + Piranha + Tarantula",AC80&gt;0),2,0)</x:f>
        <x:v>0</x:v>
      </x:c>
      <x:c r="AU80" t="n">
        <x:f>IF(AND(OR('01_Run_Config'!$B$46="Voodoo + Tarantula",'01_Run_Config'!$B$46="Voodoo + Piranha + Tarantula"),AC80&gt;0),2,0)</x:f>
        <x:v>0</x:v>
      </x:c>
      <x:c r="AV80" t="n">
        <x:f>IF('01_Run_Config'!$B$47&lt;&gt;"ON / A-B",0,IF(OR(AND(A80&gt;='01_Run_Config'!$B$32,A80&lt;'01_Run_Config'!$B$33),AND(ISNUMBER(AL80),AL80&gt;=15,AL80&lt;=49)),2,0))</x:f>
        <x:v>0</x:v>
      </x:c>
      <x:c r="AW80" t="n">
        <x:f>IF('01_Run_Config'!$B$48="AN Bud Candy (replaces HESI Boost)",IF(AND(A80&gt;='01_Run_Config'!$B$32,OR(AL80="",AL80&lt;=49)),2,0),0)</x:f>
        <x:v>0</x:v>
      </x:c>
      <x:c r="AX80" t="n">
        <x:f>IF('01_Run_Config'!$B$49&lt;&gt;"ON / EXPERIMENTAL",0,IF(OR(AND(A80&gt;='01_Run_Config'!$B$32+7,A80&lt;'01_Run_Config'!$B$33),AND(ISNUMBER(AL80),AL80&gt;=1,AL80&lt;=49)),2,0))</x:f>
        <x:v>0</x:v>
      </x:c>
      <x:c r="AY80" t="n">
        <x:f>IF('01_Run_Config'!$B$50="AN Sensizym",IF(AND(A80&gt;='01_Run_Config'!$B$32,OR(AL80="",AL80&lt;=49)),2,0),0)</x:f>
        <x:v>0</x:v>
      </x:c>
      <x:c r="AZ80" t="n">
        <x:f>IF('01_Run_Config'!$B$51="AN Rhino Skin",IF(AND(A80&gt;='01_Run_Config'!$B$32,OR(AL80="",AL80&lt;=49)),2,0),0)</x:f>
        <x:v>0</x:v>
      </x:c>
      <x:c r="BA80" t="n">
        <x:f>IF(AND('01_Run_Config'!$B$52="AN Bud Ignitor &gt; Big Bud &gt; Overdrive",ISNUMBER(AL80),AL80&gt;=1,AL80&lt;=14),2,0)</x:f>
        <x:v>0</x:v>
      </x:c>
      <x:c r="BB80" t="n">
        <x:f>IF(AND('01_Run_Config'!$B$52="AN Bud Ignitor &gt; Big Bud &gt; Overdrive",ISNUMBER(AL80),AL80&gt;=8,AL80&lt;=35),2,0)</x:f>
        <x:v>0</x:v>
      </x:c>
      <x:c r="BC80" t="n">
        <x:f>IF(AND('01_Run_Config'!$B$52="AN Bud Ignitor &gt; Big Bud &gt; Overdrive",ISNUMBER(AL80),AL80&gt;=36,AL80&lt;=49),2,0)</x:f>
        <x:v>0</x:v>
      </x:c>
      <x:c r="BD80" t="n">
        <x:f>IF('01_Run_Config'!$B$53="ON / EXPERIMENTAL",IF(OR(AND(A80&gt;='01_Run_Config'!$B$32,A80&lt;'01_Run_Config'!$B$33),AND(ISNUMBER(AL80),AL80&gt;=15,AL80&lt;=49)),2,0),0)</x:f>
        <x:v>0</x:v>
      </x:c>
      <x:c r="BE80" t="n">
        <x:f>IF('01_Run_Config'!$B$54="AN Sensi CalMag Xtra conditional",'01_Run_Config'!$B$17,0)</x:f>
        <x:v>0</x:v>
      </x:c>
      <x:c r="BF80" t="n">
        <x:f>0</x:f>
        <x:v>0</x:v>
      </x:c>
      <x:c r="BG80" t="str">
        <x:f>'01_Run_Config'!$E$57</x:f>
        <x:v>OK</x:v>
      </x:c>
      <x:c r="BH80" t="str">
        <x:f>IF(SUM(AC80,AT80:BF80)=0,"keine AN-Dosis heute",IF(AC80&gt;0,"Voodoo "&amp;AC80&amp;" ml/L; ","")&amp;IF(AT80&gt;0,"Piranha "&amp;AT80&amp;" ml/L; ","")&amp;IF(AU80&gt;0,"Tarantula "&amp;AU80&amp;" ml/L; ","")&amp;IF(AV80&gt;0,"B-52 "&amp;AV80&amp;" ml/L; ","")&amp;IF(AW80&gt;0,"Bud Candy "&amp;AW80&amp;" ml/L; ","")&amp;IF(AX80&gt;0,"Bud Factor X "&amp;AX80&amp;" ml/L; ","")&amp;IF(AY80&gt;0,"Sensizym "&amp;AY80&amp;" ml/L; ","")&amp;IF(AZ80&gt;0,"Rhino Skin "&amp;AZ80&amp;" ml/L; ","")&amp;IF(BA80&gt;0,"Bud Ignitor "&amp;BA80&amp;" ml/L; ","")&amp;IF(BB80&gt;0,"Big Bud "&amp;BB80&amp;" ml/L; ","")&amp;IF(BC80&gt;0,"Overdrive "&amp;BC80&amp;" ml/L; ","")&amp;IF(BD80&gt;0,"Tasty Terpenes "&amp;BD80&amp;" ml/L; ","")&amp;IF(BE80&gt;0,"Sensi CalMag "&amp;BE80&amp;" ml/L",""))</x:f>
        <x:v>keine AN-Dosis heute</x:v>
      </x:c>
    </x:row>
    <x:row r="81">
      <x:c r="A81" s="34" t="n">
        <x:v>79</x:v>
      </x:c>
      <x:c r="B81" s="129" t="n">
        <x:f>'01_Run_Config'!$B$4+A81</x:f>
        <x:v>46321</x:v>
      </x:c>
      <x:c r="C81" s="63" t="n">
        <x:f>INT(A81/7)+1</x:f>
        <x:v>12</x:v>
      </x:c>
      <x:c r="D81" s="63" t="str">
        <x:f>"M"&amp;MIN(3,INT(A81/30)+1)</x:f>
        <x:v>M3</x:v>
      </x:c>
      <x:c r="E81" s="63" t="str">
        <x:f>IF(A81&lt;4,"Keimung",IF(A81&lt;8,"Etablierung",IF(A81&lt;15,"Early Veg",IF(A81&lt;'01_Run_Config'!$B$33,IF(A81&lt;22,"Veg / LST","Preflower-Watch"),IF(A81-'01_Run_Config'!$B$33&lt;=6,"Transition / Stretch ("&amp;AM81&amp;")",IF(A81-'01_Run_Config'!$B$33&lt;=13,"Early Flower ("&amp;AM81&amp;")",IF(A81-'01_Run_Config'!$B$33&lt;=20,"Flower I ("&amp;AM81&amp;")",IF(A81-'01_Run_Config'!$B$33&lt;=34,"Peak Flower ("&amp;AM81&amp;")",IF(A81-'01_Run_Config'!$B$33&lt;=41,"Late Flower ("&amp;AM81&amp;")",IF(A81-'01_Run_Config'!$B$33&lt;=48,"Ripening ("&amp;AM81&amp;")","Harvest / Extension ("&amp;AM81&amp;")"))))))))))</x:f>
        <x:v>Harvest / Extension (B7+)</x:v>
      </x:c>
      <x:c r="F81" s="63" t="str">
        <x:f>IF(A81&lt;4,"Keimung + Wurzelstart",IF(A81&lt;8,"Sämling etablieren; Wurzelraum erschließen",IF(A81&lt;15,"kompakter Aufbau; LST erst bei Vitalität",IF(A81&lt;'01_Run_Config'!$B$33,"Canopy aufbauen; Preflower beobachten",IF(A81-'01_Run_Config'!$B$33&lt;=6,"Stretch kontrollieren; Bloom-Trigger dokumentieren",IF(A81-'01_Run_Config'!$B$33&lt;=13,"Blütenansatz stabilisieren",IF(A81-'01_Run_Config'!$B$33&lt;=20,"Blütenaufbau ohne neue Stressoren",IF(A81-'01_Run_Config'!$B$33&lt;=34,"stabile Peak-Photosynthese; Klima priorisieren",IF(A81-'01_Run_Config'!$B$33&lt;=41,"Qualität/Schimmelprävention",IF(A81-'01_Run_Config'!$B$33&lt;=48,"Reife ohne Überfütterung","Erntefenster nach Pflanze; keine Kalenderernte"))))))))))</x:f>
        <x:v>Erntefenster nach Pflanze; keine Kalenderernte</x:v>
      </x:c>
      <x:c r="G81" s="63" t="n">
        <x:v>18</x:v>
      </x:c>
      <x:c r="H81" s="63" t="n">
        <x:v>90</x:v>
      </x:c>
      <x:c r="I81" s="63" t="n">
        <x:v>450</x:v>
      </x:c>
      <x:c r="J81" s="63" t="n">
        <x:f>I81*G81*3600/1000000</x:f>
        <x:v>29.16</x:v>
      </x:c>
      <x:c r="K81" s="63" t="n">
        <x:v>42</x:v>
      </x:c>
      <x:c r="L81" s="63" t="n">
        <x:v>22.5</x:v>
      </x:c>
      <x:c r="M81" s="63" t="n">
        <x:v>20</x:v>
      </x:c>
      <x:c r="N81" s="63" t="n">
        <x:v>42</x:v>
      </x:c>
      <x:c r="O81" s="63" t="n">
        <x:f>ROUND(0.6108*EXP(17.27*(L81+'01_Run_Config'!$B$34)/(L81+'01_Run_Config'!$B$34+237.3))-(N81/100)*0.6108*EXP(17.27*L81/(L81+237.3)),2)</x:f>
        <x:v>1.42</x:v>
      </x:c>
      <x:c r="P81" s="63" t="n">
        <x:f>IF(A81&lt;'01_Run_Config'!$B$32,0.55,IF(A81&lt;'01_Run_Config'!$B$33,IF(A81-'01_Run_Config'!$B$32&lt;=3,0.8,IF(A81-'01_Run_Config'!$B$32&lt;=10,1,IF(A81-'01_Run_Config'!$B$32&lt;=17,1.2,1.4))),IF(A81-'01_Run_Config'!$B$33&lt;=6,1.5,IF(A81-'01_Run_Config'!$B$33&lt;=13,1.6,IF(A81-'01_Run_Config'!$B$33&lt;=20,1.7,IF(A81-'01_Run_Config'!$B$33&lt;=34,1.8,IF(A81-'01_Run_Config'!$B$33&lt;=41,1.6,IF(A81-'01_Run_Config'!$B$33&lt;=48,1.4,1.15))))))))</x:f>
        <x:v>1.15</x:v>
      </x:c>
      <x:c r="Q81" s="63" t="n">
        <x:v>5.9</x:v>
      </x:c>
      <x:c r="R81" s="63" t="n">
        <x:v>0.3</x:v>
      </x:c>
      <x:c r="S81" s="63" t="n">
        <x:v>0.7</x:v>
      </x:c>
      <x:c r="T81" s="63" t="str">
        <x:f>IF(A81&lt;=7,"Manuell",'01_Run_Config'!$B$40)</x:f>
        <x:v>Manuell / indoor-freigegebene Automation</x:v>
      </x:c>
      <x:c r="U81" s="63" t="str">
        <x:f>IF(A81&lt;'01_Run_Config'!$B$32,"Kein Basisdünger",IF(A81&lt;'01_Run_Config'!$B$33,"HESI TNT","HESI Coco"))</x:f>
        <x:v>HESI Coco</x:v>
      </x:c>
      <x:c r="V81" s="63" t="n">
        <x:f>IF(A81&lt;'01_Run_Config'!$B$32,0,IF(A81&lt;'01_Run_Config'!$B$33,IF(A81-'01_Run_Config'!$B$32&lt;=3,1.25,IF(A81-'01_Run_Config'!$B$32&lt;=10,2,2.5)),IF(A81-'01_Run_Config'!$B$33&lt;=6,2.5,IF(A81-'01_Run_Config'!$B$33&lt;=13,3.25,IF(A81-'01_Run_Config'!$B$33&lt;=20,3.75,IF(A81-'01_Run_Config'!$B$33&lt;=34,4,IF(A81-'01_Run_Config'!$B$33&lt;=41,3.5,IF(A81-'01_Run_Config'!$B$33&lt;=48,2.5,1.5))))))))</x:f>
        <x:v>1.5</x:v>
      </x:c>
      <x:c r="W81" s="63" t="n">
        <x:f>IF(A81&lt;=14,2.5,0)</x:f>
        <x:v>0</x:v>
      </x:c>
      <x:c r="X81" s="63" t="n">
        <x:f>IF('01_Run_Config'!$B$50="AN Sensizym",0,IF(AND(A81&gt;='01_Run_Config'!$B$32,OR(AL81="",AL81&lt;=49)),2,0))</x:f>
        <x:v>0</x:v>
      </x:c>
      <x:c r="Y81" s="63" t="n">
        <x:f>0.015</x:f>
        <x:v>0.015</x:v>
      </x:c>
      <x:c r="Z81" s="63" t="n">
        <x:f>IF('01_Run_Config'!$B$51="HESI Hesilicio",2,0)</x:f>
        <x:v>0</x:v>
      </x:c>
      <x:c r="AA81" s="63" t="n">
        <x:f>IF('01_Run_Config'!$B$48="AN Bud Candy (replaces HESI Boost)",0,IF(AND(A81&gt;='01_Run_Config'!$B$33,MOD(A81-'01_Run_Config'!$B$33,7)=0),2,0))</x:f>
        <x:v>0</x:v>
      </x:c>
      <x:c r="AB81" s="63" t="n">
        <x:f>IF('01_Run_Config'!$B$52="AN Bud Ignitor &gt; Big Bud &gt; Overdrive",0,IF(AND(ISNUMBER(AL81),AL81&gt;=29,AL81&lt;=42),0.25+((AL81-29)/13)*0.25,0))</x:f>
        <x:v>0</x:v>
      </x:c>
      <x:c r="AC81" s="63" t="n">
        <x:f>IF('01_Run_Config'!$B$46="OFF",0,IF(OR(A81='01_Run_Config'!$B$32,A81='01_Run_Config'!$B$32+7,A81='01_Run_Config'!$B$33+1,A81='01_Run_Config'!$B$33+8),2,0))</x:f>
        <x:v>0</x:v>
      </x:c>
      <x:c r="AD81" s="63" t="str">
        <x:f>IF(BG81="BLOCK","HYBRID BLOCKED - Konfiguration prüfen",IF(SUM(AC81,AT81:BF81)&gt;0,"AN aktiv: "&amp;BH81,"AN: keine Dosis heute / Module aus"))</x:f>
        <x:v>AN: keine Dosis heute / Module aus</x:v>
      </x:c>
      <x:c r="AE81" s="63" t="str">
        <x:v>Keine Eingriffe</x:v>
      </x:c>
      <x:c r="AF81" s="63" t="str">
        <x:v>Morgens Klima/Pflanze/Bewässerung/Leck; Mitte Lichtphase Blattwinkel; vor Dunkel LF/Drain/stehendes Wasser.</x:v>
      </x:c>
      <x:c r="AG81" s="63" t="str">
        <x:v>EC nicht erhöhen bei steigender Diagnose-Drain-EC; PPFD nicht erhöhen bei Stress; Wasserband nie erzwingen; nie mehrere neue Booster gleichzeitig.</x:v>
      </x:c>
      <x:c r="AH81" s="35" t="str">
        <x:f>"UKD v9 evidence-guarded: Planwerte sind Ziele/Eligibility, keine automatische Freigabe. Eazy Plug/Block ist vorgepuffert; früher Basisfeed bleibt vom Propagation-/Pflanzengate abhängig. Messdaten und Safety-Gates überschreiben Kalender."</x:f>
        <x:v>UKD v9 evidence-guarded: Planwerte sind Ziele/Eligibility, keine automatische Freigabe. Eazy Plug/Block ist vorgepuffert; früher Basisfeed bleibt vom Propagation-/Pflanzengate abhängig. Messdaten und Safety-Gates überschreiben Kalender.</x:v>
      </x:c>
      <x:c r="AI81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81" s="201" t="str">
        <x:f>IF(A81&lt;'01_Run_Config'!$B$32,"—",IF(A81&lt;'01_Run_Config'!$B$33,"G"&amp;MIN(4,INT((A81-'01_Run_Config'!$B$32)/7)+1),AM81))</x:f>
        <x:v>B7+</x:v>
      </x:c>
      <x:c r="AK81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81" s="60" t="n">
        <x:f>IF(A81&lt;'01_Run_Config'!$B$33,"",A81-'01_Run_Config'!$B$33+1)</x:f>
        <x:v>52</x:v>
      </x:c>
      <x:c r="AM81" s="60" t="str">
        <x:f>IF(AL81="","",IF(AL81&gt;49,CHAR(66)&amp;"7+",CHAR(66)&amp;TEXT(INT((AL81-1)/7)+1,"0")))</x:f>
        <x:v>B7+</x:v>
      </x:c>
      <x:c r="AN81" s="60" t="n">
        <x:f>ROUND(0.6108*EXP(17.27*L81/(L81+237.3))*(1-N81/100),2)</x:f>
        <x:v>1.58</x:v>
      </x:c>
      <x:c r="AO81" s="60" t="n">
        <x:f>H81*G81/1000</x:f>
        <x:v>1.62</x:v>
      </x:c>
      <x:c r="AP81" s="60" t="n">
        <x:f>SUM($AO$2:AO81)</x:f>
        <x:v>148.4999999999999</x:v>
      </x:c>
      <x:c r="AQ81" t="n">
        <x:f>'01_Run_Config'!$B$17</x:f>
        <x:v>0</x:v>
      </x:c>
      <x:c r="AR81" t="n">
        <x:f>'01_Run_Config'!$B$22</x:f>
        <x:v>0</x:v>
      </x:c>
      <x:c r="AS81" t="n">
        <x:f>'01_Run_Config'!$B$25</x:f>
        <x:v>0</x:v>
      </x:c>
      <x:c r="AT81" t="n">
        <x:f>IF(AND('01_Run_Config'!$B$46="Voodoo + Piranha + Tarantula",AC81&gt;0),2,0)</x:f>
        <x:v>0</x:v>
      </x:c>
      <x:c r="AU81" t="n">
        <x:f>IF(AND(OR('01_Run_Config'!$B$46="Voodoo + Tarantula",'01_Run_Config'!$B$46="Voodoo + Piranha + Tarantula"),AC81&gt;0),2,0)</x:f>
        <x:v>0</x:v>
      </x:c>
      <x:c r="AV81" t="n">
        <x:f>IF('01_Run_Config'!$B$47&lt;&gt;"ON / A-B",0,IF(OR(AND(A81&gt;='01_Run_Config'!$B$32,A81&lt;'01_Run_Config'!$B$33),AND(ISNUMBER(AL81),AL81&gt;=15,AL81&lt;=49)),2,0))</x:f>
        <x:v>0</x:v>
      </x:c>
      <x:c r="AW81" t="n">
        <x:f>IF('01_Run_Config'!$B$48="AN Bud Candy (replaces HESI Boost)",IF(AND(A81&gt;='01_Run_Config'!$B$32,OR(AL81="",AL81&lt;=49)),2,0),0)</x:f>
        <x:v>0</x:v>
      </x:c>
      <x:c r="AX81" t="n">
        <x:f>IF('01_Run_Config'!$B$49&lt;&gt;"ON / EXPERIMENTAL",0,IF(OR(AND(A81&gt;='01_Run_Config'!$B$32+7,A81&lt;'01_Run_Config'!$B$33),AND(ISNUMBER(AL81),AL81&gt;=1,AL81&lt;=49)),2,0))</x:f>
        <x:v>0</x:v>
      </x:c>
      <x:c r="AY81" t="n">
        <x:f>IF('01_Run_Config'!$B$50="AN Sensizym",IF(AND(A81&gt;='01_Run_Config'!$B$32,OR(AL81="",AL81&lt;=49)),2,0),0)</x:f>
        <x:v>0</x:v>
      </x:c>
      <x:c r="AZ81" t="n">
        <x:f>IF('01_Run_Config'!$B$51="AN Rhino Skin",IF(AND(A81&gt;='01_Run_Config'!$B$32,OR(AL81="",AL81&lt;=49)),2,0),0)</x:f>
        <x:v>0</x:v>
      </x:c>
      <x:c r="BA81" t="n">
        <x:f>IF(AND('01_Run_Config'!$B$52="AN Bud Ignitor &gt; Big Bud &gt; Overdrive",ISNUMBER(AL81),AL81&gt;=1,AL81&lt;=14),2,0)</x:f>
        <x:v>0</x:v>
      </x:c>
      <x:c r="BB81" t="n">
        <x:f>IF(AND('01_Run_Config'!$B$52="AN Bud Ignitor &gt; Big Bud &gt; Overdrive",ISNUMBER(AL81),AL81&gt;=8,AL81&lt;=35),2,0)</x:f>
        <x:v>0</x:v>
      </x:c>
      <x:c r="BC81" t="n">
        <x:f>IF(AND('01_Run_Config'!$B$52="AN Bud Ignitor &gt; Big Bud &gt; Overdrive",ISNUMBER(AL81),AL81&gt;=36,AL81&lt;=49),2,0)</x:f>
        <x:v>0</x:v>
      </x:c>
      <x:c r="BD81" t="n">
        <x:f>IF('01_Run_Config'!$B$53="ON / EXPERIMENTAL",IF(OR(AND(A81&gt;='01_Run_Config'!$B$32,A81&lt;'01_Run_Config'!$B$33),AND(ISNUMBER(AL81),AL81&gt;=15,AL81&lt;=49)),2,0),0)</x:f>
        <x:v>0</x:v>
      </x:c>
      <x:c r="BE81" t="n">
        <x:f>IF('01_Run_Config'!$B$54="AN Sensi CalMag Xtra conditional",'01_Run_Config'!$B$17,0)</x:f>
        <x:v>0</x:v>
      </x:c>
      <x:c r="BF81" t="n">
        <x:f>0</x:f>
        <x:v>0</x:v>
      </x:c>
      <x:c r="BG81" t="str">
        <x:f>'01_Run_Config'!$E$57</x:f>
        <x:v>OK</x:v>
      </x:c>
      <x:c r="BH81" t="str">
        <x:f>IF(SUM(AC81,AT81:BF81)=0,"keine AN-Dosis heute",IF(AC81&gt;0,"Voodoo "&amp;AC81&amp;" ml/L; ","")&amp;IF(AT81&gt;0,"Piranha "&amp;AT81&amp;" ml/L; ","")&amp;IF(AU81&gt;0,"Tarantula "&amp;AU81&amp;" ml/L; ","")&amp;IF(AV81&gt;0,"B-52 "&amp;AV81&amp;" ml/L; ","")&amp;IF(AW81&gt;0,"Bud Candy "&amp;AW81&amp;" ml/L; ","")&amp;IF(AX81&gt;0,"Bud Factor X "&amp;AX81&amp;" ml/L; ","")&amp;IF(AY81&gt;0,"Sensizym "&amp;AY81&amp;" ml/L; ","")&amp;IF(AZ81&gt;0,"Rhino Skin "&amp;AZ81&amp;" ml/L; ","")&amp;IF(BA81&gt;0,"Bud Ignitor "&amp;BA81&amp;" ml/L; ","")&amp;IF(BB81&gt;0,"Big Bud "&amp;BB81&amp;" ml/L; ","")&amp;IF(BC81&gt;0,"Overdrive "&amp;BC81&amp;" ml/L; ","")&amp;IF(BD81&gt;0,"Tasty Terpenes "&amp;BD81&amp;" ml/L; ","")&amp;IF(BE81&gt;0,"Sensi CalMag "&amp;BE81&amp;" ml/L",""))</x:f>
        <x:v>keine AN-Dosis heute</x:v>
      </x:c>
    </x:row>
    <x:row r="82">
      <x:c r="A82" s="36" t="n">
        <x:v>80</x:v>
      </x:c>
      <x:c r="B82" s="130" t="n">
        <x:f>'01_Run_Config'!$B$4+A82</x:f>
        <x:v>46322</x:v>
      </x:c>
      <x:c r="C82" s="64" t="n">
        <x:f>INT(A82/7)+1</x:f>
        <x:v>12</x:v>
      </x:c>
      <x:c r="D82" s="64" t="str">
        <x:f>"M"&amp;MIN(3,INT(A82/30)+1)</x:f>
        <x:v>M3</x:v>
      </x:c>
      <x:c r="E82" s="64" t="str">
        <x:f>IF(A82&lt;4,"Keimung",IF(A82&lt;8,"Etablierung",IF(A82&lt;15,"Early Veg",IF(A82&lt;'01_Run_Config'!$B$33,IF(A82&lt;22,"Veg / LST","Preflower-Watch"),IF(A82-'01_Run_Config'!$B$33&lt;=6,"Transition / Stretch ("&amp;AM82&amp;")",IF(A82-'01_Run_Config'!$B$33&lt;=13,"Early Flower ("&amp;AM82&amp;")",IF(A82-'01_Run_Config'!$B$33&lt;=20,"Flower I ("&amp;AM82&amp;")",IF(A82-'01_Run_Config'!$B$33&lt;=34,"Peak Flower ("&amp;AM82&amp;")",IF(A82-'01_Run_Config'!$B$33&lt;=41,"Late Flower ("&amp;AM82&amp;")",IF(A82-'01_Run_Config'!$B$33&lt;=48,"Ripening ("&amp;AM82&amp;")","Harvest / Extension ("&amp;AM82&amp;")"))))))))))</x:f>
        <x:v>Harvest / Extension (B7+)</x:v>
      </x:c>
      <x:c r="F82" s="64" t="str">
        <x:f>IF(A82&lt;4,"Keimung + Wurzelstart",IF(A82&lt;8,"Sämling etablieren; Wurzelraum erschließen",IF(A82&lt;15,"kompakter Aufbau; LST erst bei Vitalität",IF(A82&lt;'01_Run_Config'!$B$33,"Canopy aufbauen; Preflower beobachten",IF(A82-'01_Run_Config'!$B$33&lt;=6,"Stretch kontrollieren; Bloom-Trigger dokumentieren",IF(A82-'01_Run_Config'!$B$33&lt;=13,"Blütenansatz stabilisieren",IF(A82-'01_Run_Config'!$B$33&lt;=20,"Blütenaufbau ohne neue Stressoren",IF(A82-'01_Run_Config'!$B$33&lt;=34,"stabile Peak-Photosynthese; Klima priorisieren",IF(A82-'01_Run_Config'!$B$33&lt;=41,"Qualität/Schimmelprävention",IF(A82-'01_Run_Config'!$B$33&lt;=48,"Reife ohne Überfütterung","Erntefenster nach Pflanze; keine Kalenderernte"))))))))))</x:f>
        <x:v>Erntefenster nach Pflanze; keine Kalenderernte</x:v>
      </x:c>
      <x:c r="G82" s="64" t="n">
        <x:v>18</x:v>
      </x:c>
      <x:c r="H82" s="64" t="n">
        <x:v>90</x:v>
      </x:c>
      <x:c r="I82" s="64" t="n">
        <x:v>450</x:v>
      </x:c>
      <x:c r="J82" s="64" t="n">
        <x:f>I82*G82*3600/1000000</x:f>
        <x:v>29.16</x:v>
      </x:c>
      <x:c r="K82" s="64" t="n">
        <x:v>42</x:v>
      </x:c>
      <x:c r="L82" s="64" t="n">
        <x:v>22.5</x:v>
      </x:c>
      <x:c r="M82" s="64" t="n">
        <x:v>20</x:v>
      </x:c>
      <x:c r="N82" s="64" t="n">
        <x:v>42</x:v>
      </x:c>
      <x:c r="O82" s="64" t="n">
        <x:f>ROUND(0.6108*EXP(17.27*(L82+'01_Run_Config'!$B$34)/(L82+'01_Run_Config'!$B$34+237.3))-(N82/100)*0.6108*EXP(17.27*L82/(L82+237.3)),2)</x:f>
        <x:v>1.42</x:v>
      </x:c>
      <x:c r="P82" s="64" t="n">
        <x:f>IF(A82&lt;'01_Run_Config'!$B$32,0.55,IF(A82&lt;'01_Run_Config'!$B$33,IF(A82-'01_Run_Config'!$B$32&lt;=3,0.8,IF(A82-'01_Run_Config'!$B$32&lt;=10,1,IF(A82-'01_Run_Config'!$B$32&lt;=17,1.2,1.4))),IF(A82-'01_Run_Config'!$B$33&lt;=6,1.5,IF(A82-'01_Run_Config'!$B$33&lt;=13,1.6,IF(A82-'01_Run_Config'!$B$33&lt;=20,1.7,IF(A82-'01_Run_Config'!$B$33&lt;=34,1.8,IF(A82-'01_Run_Config'!$B$33&lt;=41,1.6,IF(A82-'01_Run_Config'!$B$33&lt;=48,1.4,1.15))))))))</x:f>
        <x:v>1.15</x:v>
      </x:c>
      <x:c r="Q82" s="64" t="n">
        <x:v>5.9</x:v>
      </x:c>
      <x:c r="R82" s="64" t="n">
        <x:v>0.3</x:v>
      </x:c>
      <x:c r="S82" s="64" t="n">
        <x:v>0.7</x:v>
      </x:c>
      <x:c r="T82" s="64" t="str">
        <x:f>IF(A82&lt;=7,"Manuell",'01_Run_Config'!$B$40)</x:f>
        <x:v>Manuell / indoor-freigegebene Automation</x:v>
      </x:c>
      <x:c r="U82" s="64" t="str">
        <x:f>IF(A82&lt;'01_Run_Config'!$B$32,"Kein Basisdünger",IF(A82&lt;'01_Run_Config'!$B$33,"HESI TNT","HESI Coco"))</x:f>
        <x:v>HESI Coco</x:v>
      </x:c>
      <x:c r="V82" s="64" t="n">
        <x:f>IF(A82&lt;'01_Run_Config'!$B$32,0,IF(A82&lt;'01_Run_Config'!$B$33,IF(A82-'01_Run_Config'!$B$32&lt;=3,1.25,IF(A82-'01_Run_Config'!$B$32&lt;=10,2,2.5)),IF(A82-'01_Run_Config'!$B$33&lt;=6,2.5,IF(A82-'01_Run_Config'!$B$33&lt;=13,3.25,IF(A82-'01_Run_Config'!$B$33&lt;=20,3.75,IF(A82-'01_Run_Config'!$B$33&lt;=34,4,IF(A82-'01_Run_Config'!$B$33&lt;=41,3.5,IF(A82-'01_Run_Config'!$B$33&lt;=48,2.5,1.5))))))))</x:f>
        <x:v>1.5</x:v>
      </x:c>
      <x:c r="W82" s="64" t="n">
        <x:f>IF(A82&lt;=14,2.5,0)</x:f>
        <x:v>0</x:v>
      </x:c>
      <x:c r="X82" s="64" t="n">
        <x:f>IF('01_Run_Config'!$B$50="AN Sensizym",0,IF(AND(A82&gt;='01_Run_Config'!$B$32,OR(AL82="",AL82&lt;=49)),2,0))</x:f>
        <x:v>0</x:v>
      </x:c>
      <x:c r="Y82" s="64" t="n">
        <x:f>0.015</x:f>
        <x:v>0.015</x:v>
      </x:c>
      <x:c r="Z82" s="64" t="n">
        <x:f>IF('01_Run_Config'!$B$51="HESI Hesilicio",2,0)</x:f>
        <x:v>0</x:v>
      </x:c>
      <x:c r="AA82" s="64" t="n">
        <x:f>IF('01_Run_Config'!$B$48="AN Bud Candy (replaces HESI Boost)",0,IF(AND(A82&gt;='01_Run_Config'!$B$33,MOD(A82-'01_Run_Config'!$B$33,7)=0),2,0))</x:f>
        <x:v>0</x:v>
      </x:c>
      <x:c r="AB82" s="64" t="n">
        <x:f>IF('01_Run_Config'!$B$52="AN Bud Ignitor &gt; Big Bud &gt; Overdrive",0,IF(AND(ISNUMBER(AL82),AL82&gt;=29,AL82&lt;=42),0.25+((AL82-29)/13)*0.25,0))</x:f>
        <x:v>0</x:v>
      </x:c>
      <x:c r="AC82" s="64" t="n">
        <x:f>IF('01_Run_Config'!$B$46="OFF",0,IF(OR(A82='01_Run_Config'!$B$32,A82='01_Run_Config'!$B$32+7,A82='01_Run_Config'!$B$33+1,A82='01_Run_Config'!$B$33+8),2,0))</x:f>
        <x:v>0</x:v>
      </x:c>
      <x:c r="AD82" s="64" t="str">
        <x:f>IF(BG82="BLOCK","HYBRID BLOCKED - Konfiguration prüfen",IF(SUM(AC82,AT82:BF82)&gt;0,"AN aktiv: "&amp;BH82,"AN: keine Dosis heute / Module aus"))</x:f>
        <x:v>AN: keine Dosis heute / Module aus</x:v>
      </x:c>
      <x:c r="AE82" s="64" t="str">
        <x:v>Keine Eingriffe</x:v>
      </x:c>
      <x:c r="AF82" s="64" t="str">
        <x:v>Morgens Klima/Pflanze/Bewässerung/Leck; Mitte Lichtphase Blattwinkel; vor Dunkel LF/Drain/stehendes Wasser.</x:v>
      </x:c>
      <x:c r="AG82" s="64" t="str">
        <x:v>EC nicht erhöhen bei steigender Diagnose-Drain-EC; PPFD nicht erhöhen bei Stress; Wasserband nie erzwingen; nie mehrere neue Booster gleichzeitig.</x:v>
      </x:c>
      <x:c r="AH82" s="37" t="str">
        <x:f>"UKD v9 evidence-guarded: Planwerte sind Ziele/Eligibility, keine automatische Freigabe. Eazy Plug/Block ist vorgepuffert; früher Basisfeed bleibt vom Propagation-/Pflanzengate abhängig. Messdaten und Safety-Gates überschreiben Kalender."</x:f>
        <x:v>UKD v9 evidence-guarded: Planwerte sind Ziele/Eligibility, keine automatische Freigabe. Eazy Plug/Block ist vorgepuffert; früher Basisfeed bleibt vom Propagation-/Pflanzengate abhängig. Messdaten und Safety-Gates überschreiben Kalender.</x:v>
      </x:c>
      <x:c r="AI82" s="36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82" s="64" t="str">
        <x:f>IF(A82&lt;'01_Run_Config'!$B$32,"—",IF(A82&lt;'01_Run_Config'!$B$33,"G"&amp;MIN(4,INT((A82-'01_Run_Config'!$B$32)/7)+1),AM82))</x:f>
        <x:v>B7+</x:v>
      </x:c>
      <x:c r="AK82" s="37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82" s="60" t="n">
        <x:f>IF(A82&lt;'01_Run_Config'!$B$33,"",A82-'01_Run_Config'!$B$33+1)</x:f>
        <x:v>53</x:v>
      </x:c>
      <x:c r="AM82" s="60" t="str">
        <x:f>IF(AL82="","",IF(AL82&gt;49,CHAR(66)&amp;"7+",CHAR(66)&amp;TEXT(INT((AL82-1)/7)+1,"0")))</x:f>
        <x:v>B7+</x:v>
      </x:c>
      <x:c r="AN82" s="60" t="n">
        <x:f>ROUND(0.6108*EXP(17.27*L82/(L82+237.3))*(1-N82/100),2)</x:f>
        <x:v>1.58</x:v>
      </x:c>
      <x:c r="AO82" s="60" t="n">
        <x:f>H82*G82/1000</x:f>
        <x:v>1.62</x:v>
      </x:c>
      <x:c r="AP82" s="60" t="n">
        <x:f>SUM($AO$2:AO82)</x:f>
        <x:v>150.1199999999999</x:v>
      </x:c>
      <x:c r="AQ82" t="n">
        <x:f>'01_Run_Config'!$B$17</x:f>
        <x:v>0</x:v>
      </x:c>
      <x:c r="AR82" t="n">
        <x:f>'01_Run_Config'!$B$22</x:f>
        <x:v>0</x:v>
      </x:c>
      <x:c r="AS82" t="n">
        <x:f>'01_Run_Config'!$B$25</x:f>
        <x:v>0</x:v>
      </x:c>
      <x:c r="AT82" t="n">
        <x:f>IF(AND('01_Run_Config'!$B$46="Voodoo + Piranha + Tarantula",AC82&gt;0),2,0)</x:f>
        <x:v>0</x:v>
      </x:c>
      <x:c r="AU82" t="n">
        <x:f>IF(AND(OR('01_Run_Config'!$B$46="Voodoo + Tarantula",'01_Run_Config'!$B$46="Voodoo + Piranha + Tarantula"),AC82&gt;0),2,0)</x:f>
        <x:v>0</x:v>
      </x:c>
      <x:c r="AV82" t="n">
        <x:f>IF('01_Run_Config'!$B$47&lt;&gt;"ON / A-B",0,IF(OR(AND(A82&gt;='01_Run_Config'!$B$32,A82&lt;'01_Run_Config'!$B$33),AND(ISNUMBER(AL82),AL82&gt;=15,AL82&lt;=49)),2,0))</x:f>
        <x:v>0</x:v>
      </x:c>
      <x:c r="AW82" t="n">
        <x:f>IF('01_Run_Config'!$B$48="AN Bud Candy (replaces HESI Boost)",IF(AND(A82&gt;='01_Run_Config'!$B$32,OR(AL82="",AL82&lt;=49)),2,0),0)</x:f>
        <x:v>0</x:v>
      </x:c>
      <x:c r="AX82" t="n">
        <x:f>IF('01_Run_Config'!$B$49&lt;&gt;"ON / EXPERIMENTAL",0,IF(OR(AND(A82&gt;='01_Run_Config'!$B$32+7,A82&lt;'01_Run_Config'!$B$33),AND(ISNUMBER(AL82),AL82&gt;=1,AL82&lt;=49)),2,0))</x:f>
        <x:v>0</x:v>
      </x:c>
      <x:c r="AY82" t="n">
        <x:f>IF('01_Run_Config'!$B$50="AN Sensizym",IF(AND(A82&gt;='01_Run_Config'!$B$32,OR(AL82="",AL82&lt;=49)),2,0),0)</x:f>
        <x:v>0</x:v>
      </x:c>
      <x:c r="AZ82" t="n">
        <x:f>IF('01_Run_Config'!$B$51="AN Rhino Skin",IF(AND(A82&gt;='01_Run_Config'!$B$32,OR(AL82="",AL82&lt;=49)),2,0),0)</x:f>
        <x:v>0</x:v>
      </x:c>
      <x:c r="BA82" t="n">
        <x:f>IF(AND('01_Run_Config'!$B$52="AN Bud Ignitor &gt; Big Bud &gt; Overdrive",ISNUMBER(AL82),AL82&gt;=1,AL82&lt;=14),2,0)</x:f>
        <x:v>0</x:v>
      </x:c>
      <x:c r="BB82" t="n">
        <x:f>IF(AND('01_Run_Config'!$B$52="AN Bud Ignitor &gt; Big Bud &gt; Overdrive",ISNUMBER(AL82),AL82&gt;=8,AL82&lt;=35),2,0)</x:f>
        <x:v>0</x:v>
      </x:c>
      <x:c r="BC82" t="n">
        <x:f>IF(AND('01_Run_Config'!$B$52="AN Bud Ignitor &gt; Big Bud &gt; Overdrive",ISNUMBER(AL82),AL82&gt;=36,AL82&lt;=49),2,0)</x:f>
        <x:v>0</x:v>
      </x:c>
      <x:c r="BD82" t="n">
        <x:f>IF('01_Run_Config'!$B$53="ON / EXPERIMENTAL",IF(OR(AND(A82&gt;='01_Run_Config'!$B$32,A82&lt;'01_Run_Config'!$B$33),AND(ISNUMBER(AL82),AL82&gt;=15,AL82&lt;=49)),2,0),0)</x:f>
        <x:v>0</x:v>
      </x:c>
      <x:c r="BE82" t="n">
        <x:f>IF('01_Run_Config'!$B$54="AN Sensi CalMag Xtra conditional",'01_Run_Config'!$B$17,0)</x:f>
        <x:v>0</x:v>
      </x:c>
      <x:c r="BF82" t="n">
        <x:f>0</x:f>
        <x:v>0</x:v>
      </x:c>
      <x:c r="BG82" t="str">
        <x:f>'01_Run_Config'!$E$57</x:f>
        <x:v>OK</x:v>
      </x:c>
      <x:c r="BH82" t="str">
        <x:f>IF(SUM(AC82,AT82:BF82)=0,"keine AN-Dosis heute",IF(AC82&gt;0,"Voodoo "&amp;AC82&amp;" ml/L; ","")&amp;IF(AT82&gt;0,"Piranha "&amp;AT82&amp;" ml/L; ","")&amp;IF(AU82&gt;0,"Tarantula "&amp;AU82&amp;" ml/L; ","")&amp;IF(AV82&gt;0,"B-52 "&amp;AV82&amp;" ml/L; ","")&amp;IF(AW82&gt;0,"Bud Candy "&amp;AW82&amp;" ml/L; ","")&amp;IF(AX82&gt;0,"Bud Factor X "&amp;AX82&amp;" ml/L; ","")&amp;IF(AY82&gt;0,"Sensizym "&amp;AY82&amp;" ml/L; ","")&amp;IF(AZ82&gt;0,"Rhino Skin "&amp;AZ82&amp;" ml/L; ","")&amp;IF(BA82&gt;0,"Bud Ignitor "&amp;BA82&amp;" ml/L; ","")&amp;IF(BB82&gt;0,"Big Bud "&amp;BB82&amp;" ml/L; ","")&amp;IF(BC82&gt;0,"Overdrive "&amp;BC82&amp;" ml/L; ","")&amp;IF(BD82&gt;0,"Tasty Terpenes "&amp;BD82&amp;" ml/L; ","")&amp;IF(BE82&gt;0,"Sensi CalMag "&amp;BE82&amp;" ml/L",""))</x:f>
        <x:v>keine AN-Dosis heute</x:v>
      </x:c>
    </x:row>
  </x:sheetData>
  <x:conditionalFormatting sqref="I2:I82">
    <x:cfRule type="dataBar" priority="1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{8C69CB05-CAF6-1204-8B6A-307D7229AFBC}</x14:id>
        </x:ext>
      </x:extLst>
    </x:cfRule>
  </x:conditionalFormatting>
  <x:conditionalFormatting sqref="P2:P82">
    <x:cfRule type="colorScale" priority="2">
      <x:colorScale>
        <x:cfvo type="min"/>
        <x:cfvo type="percentile" val="50"/>
        <x:cfvo type="max"/>
        <x:color rgb="FFE2F0D9"/>
        <x:color rgb="FFFFF2CC"/>
        <x:color rgb="FFF4CCCC"/>
      </x:colorScale>
    </x:cfRule>
  </x:conditionalFormatting>
  <x:conditionalFormatting sqref="N2:N82">
    <x:cfRule type="colorScale" priority="3">
      <x:colorScale>
        <x:cfvo type="min"/>
        <x:cfvo type="percentile" val="50"/>
        <x:cfvo type="max"/>
        <x:color rgb="FFF4CCCC"/>
        <x:color rgb="FFFFF2CC"/>
        <x:color rgb="FFD9EAD3"/>
      </x:colorScale>
    </x:cfRule>
  </x:conditionalFormatting>
  <x:conditionalFormatting sqref="V2:V82">
    <x:cfRule type="expression" dxfId="41" priority="4">
      <x:formula>V2&gt;0</x:formula>
    </x:cfRule>
  </x:conditionalFormatting>
  <x:conditionalFormatting sqref="W2:W82">
    <x:cfRule type="expression" dxfId="42" priority="5">
      <x:formula>W2&gt;0</x:formula>
    </x:cfRule>
  </x:conditionalFormatting>
  <x:conditionalFormatting sqref="X2:X82">
    <x:cfRule type="expression" dxfId="43" priority="6">
      <x:formula>X2&gt;0</x:formula>
    </x:cfRule>
  </x:conditionalFormatting>
  <x:conditionalFormatting sqref="Y2:Y82">
    <x:cfRule type="expression" dxfId="44" priority="7">
      <x:formula>Y2&gt;0</x:formula>
    </x:cfRule>
  </x:conditionalFormatting>
  <x:conditionalFormatting sqref="Z2:Z82">
    <x:cfRule type="expression" dxfId="45" priority="8">
      <x:formula>Z2&gt;0</x:formula>
    </x:cfRule>
  </x:conditionalFormatting>
  <x:conditionalFormatting sqref="AA2:AA82">
    <x:cfRule type="expression" dxfId="46" priority="9">
      <x:formula>AA2&gt;0</x:formula>
    </x:cfRule>
  </x:conditionalFormatting>
  <x:conditionalFormatting sqref="AB2:AB82">
    <x:cfRule type="expression" dxfId="47" priority="10">
      <x:formula>AB2&gt;0</x:formula>
    </x:cfRule>
  </x:conditionalFormatting>
  <x:conditionalFormatting sqref="AC2:AC82">
    <x:cfRule type="expression" dxfId="48" priority="11">
      <x:formula>AC2&gt;0</x:formula>
    </x:cfRule>
  </x:conditionalFormatting>
  <x:conditionalFormatting sqref="A2:AK82">
    <x:cfRule type="expression" dxfId="49" priority="12">
      <x:formula>$A2='01_Run_Config'!$B$5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0a7ae1df160140c2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8C69CB05-CAF6-1204-8B6A-307D7229AFBC}">
            <x14:dataBar gradient="1">
              <x14:cfvo type="min"/>
              <x14:cfvo type="max"/>
              <x14:fillColor rgb="FFA02B93"/>
            </x14:dataBar>
          </x14:cfRule>
          <xm:sqref>I2:I82</xm:sqref>
        </x14:conditionalFormatting>
      </x14:conditionalFormattings>
    </x:ext>
  </x:extLst>
</x:worksheet>
</file>

<file path=xl/worksheets/sheet4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0" hidden="0" customWidth="1"/>
    <x:col min="3" max="3" width="21" hidden="0" customWidth="1"/>
    <x:col min="4" max="4" width="10" hidden="0" customWidth="1"/>
    <x:col min="5" max="5" width="10" hidden="0" customWidth="1"/>
    <x:col min="6" max="6" width="10" hidden="0" customWidth="1"/>
    <x:col min="7" max="7" width="10" hidden="0" customWidth="1"/>
    <x:col min="8" max="8" width="10" hidden="0" customWidth="1"/>
    <x:col min="9" max="9" width="10" hidden="0" customWidth="1"/>
    <x:col min="10" max="10" width="10" hidden="0" customWidth="1"/>
    <x:col min="11" max="11" width="10" hidden="0" customWidth="1"/>
    <x:col min="12" max="12" width="14" hidden="0" customWidth="1"/>
    <x:col min="13" max="13" width="18" hidden="0" customWidth="1"/>
    <x:col min="14" max="14" width="24" hidden="0" customWidth="1"/>
    <x:col min="15" max="15" width="30" hidden="0" customWidth="1"/>
    <x:col min="16" max="16" width="30" hidden="0" customWidth="1"/>
    <x:col min="17" max="17" width="28" hidden="0" customWidth="1"/>
    <x:col min="18" max="18" width="30" hidden="0" customWidth="1"/>
    <x:col min="19" max="19" width="42" hidden="0" customWidth="1"/>
    <x:col min="20" max="20" width="42" hidden="0" customWidth="1"/>
  </x:cols>
  <x:sheetData>
    <x:row r="1" ht="38" customHeight="1">
      <x:c r="A1" s="790" t="str">
        <x:v>Woche</x:v>
      </x:c>
      <x:c r="B1" s="790" t="str">
        <x:v>Tage</x:v>
      </x:c>
      <x:c r="C1" s="790" t="str">
        <x:v>Leitphase</x:v>
      </x:c>
      <x:c r="D1" s="1211" t="str">
        <x:v>PPFD</x:v>
      </x:c>
      <x:c r="E1" s="1211" t="str">
        <x:v>Watt</x:v>
      </x:c>
      <x:c r="F1" s="1211" t="str">
        <x:v>DLI</x:v>
      </x:c>
      <x:c r="G1" s="1211" t="str">
        <x:v>Temp an</x:v>
      </x:c>
      <x:c r="H1" s="1211" t="str">
        <x:v>Temp aus</x:v>
      </x:c>
      <x:c r="I1" s="1211" t="str">
        <x:v>LF</x:v>
      </x:c>
      <x:c r="J1" s="1211" t="str">
        <x:v>VPD</x:v>
      </x:c>
      <x:c r="K1" s="1211" t="str">
        <x:v>EC</x:v>
      </x:c>
      <x:c r="L1" s="1211" t="str">
        <x:v>pH Setpoint</x:v>
      </x:c>
      <x:c r="M1" s="1209" t="str">
        <x:v>Wasser Start-/Beobachtungsband L/Tag</x:v>
      </x:c>
      <x:c r="N1" s="708" t="str">
        <x:v>HESI Basis</x:v>
      </x:c>
      <x:c r="O1" s="708" t="str">
        <x:v>Root/Enzyme</x:v>
      </x:c>
      <x:c r="P1" s="708" t="str">
        <x:v>Bloom/PK</x:v>
      </x:c>
      <x:c r="Q1" s="708" t="str">
        <x:v>AN / OWNED-STOCK HYBRID</x:v>
      </x:c>
      <x:c r="R1" s="1213" t="str">
        <x:v>Training</x:v>
      </x:c>
      <x:c r="S1" s="1213" t="str">
        <x:v>Wochen-QA</x:v>
      </x:c>
      <x:c r="T1" s="1213" t="str">
        <x:v>Gate / Entscheidung</x:v>
      </x:c>
    </x:row>
    <x:row r="2">
      <x:c r="A2" s="32" t="n">
        <x:v>1</x:v>
      </x:c>
      <x:c r="B2" s="62" t="str">
        <x:v>0–6</x:v>
      </x:c>
      <x:c r="C2" s="62" t="str">
        <x:v>Keimung/Etablierung</x:v>
      </x:c>
      <x:c r="D2" s="62" t="n">
        <x:v>180</x:v>
      </x:c>
      <x:c r="E2" s="62" t="n">
        <x:v>35</x:v>
      </x:c>
      <x:c r="F2" s="62" t="n">
        <x:v>11.7</x:v>
      </x:c>
      <x:c r="G2" s="62" t="n">
        <x:v>25</x:v>
      </x:c>
      <x:c r="H2" s="62" t="n">
        <x:v>22</x:v>
      </x:c>
      <x:c r="I2" s="62" t="n">
        <x:v>72</x:v>
      </x:c>
      <x:c r="J2" s="62" t="n">
        <x:v>0.7</x:v>
      </x:c>
      <x:c r="K2" s="62" t="n">
        <x:v>0.7</x:v>
      </x:c>
      <x:c r="L2" s="62" t="n">
        <x:v>5.9</x:v>
      </x:c>
      <x:c r="M2" s="62" t="str">
        <x:v>0.03–0.15</x:v>
      </x:c>
      <x:c r="N2" s="62" t="str">
        <x:v>TNT ab Sämlingsaufnahme, mild</x:v>
      </x:c>
      <x:c r="O2" s="62" t="str">
        <x:v>Root Complex + Voodoo Frischgabe</x:v>
      </x:c>
      <x:c r="P2" s="62" t="str">
        <x:v>—</x:v>
      </x:c>
      <x:c r="Q2" s="62" t="str">
        <x:v>Voodoo + Tarantula selected in defined fresh windows; Root Complex + SuperVit remain HESI core.</x:v>
      </x:c>
      <x:c r="R2" s="62" t="str">
        <x:v>kein LST</x:v>
      </x:c>
      <x:c r="S2" s="62" t="str">
        <x:v>Leckschutz, Sensorik, Startfoto</x:v>
      </x:c>
      <x:c r="T2" s="33" t="str">
        <x:v>Keimling vital? Sonst nicht Licht/EC pushen</x:v>
      </x:c>
      <x:c r="V2" s="194" t="str">
        <x:v>Woche</x:v>
      </x:c>
      <x:c r="W2" s="194" t="str">
        <x:v>PPFD</x:v>
      </x:c>
      <x:c r="X2" s="194" t="str">
        <x:v>Watt</x:v>
      </x:c>
      <x:c r="Z2" s="194" t="str">
        <x:v>Woche</x:v>
      </x:c>
      <x:c r="AA2" s="194" t="str">
        <x:v>Temp</x:v>
      </x:c>
      <x:c r="AB2" s="194" t="str">
        <x:v>LF</x:v>
      </x:c>
      <x:c r="AD2" s="194" t="str">
        <x:v>Woche</x:v>
      </x:c>
      <x:c r="AE2" s="194" t="str">
        <x:v>EC</x:v>
      </x:c>
    </x:row>
    <x:row r="3">
      <x:c r="A3" s="34" t="n">
        <x:v>2</x:v>
      </x:c>
      <x:c r="B3" s="63" t="str">
        <x:v>7–13</x:v>
      </x:c>
      <x:c r="C3" s="63" t="str">
        <x:v>Early Veg</x:v>
      </x:c>
      <x:c r="D3" s="63" t="n">
        <x:v>250</x:v>
      </x:c>
      <x:c r="E3" s="63" t="n">
        <x:v>50</x:v>
      </x:c>
      <x:c r="F3" s="63" t="n">
        <x:v>16.2</x:v>
      </x:c>
      <x:c r="G3" s="63" t="n">
        <x:v>25.5</x:v>
      </x:c>
      <x:c r="H3" s="63" t="n">
        <x:v>22</x:v>
      </x:c>
      <x:c r="I3" s="63" t="n">
        <x:v>67</x:v>
      </x:c>
      <x:c r="J3" s="63" t="n">
        <x:v>0.85</x:v>
      </x:c>
      <x:c r="K3" s="63" t="n">
        <x:v>0.9</x:v>
      </x:c>
      <x:c r="L3" s="63" t="n">
        <x:v>5.9</x:v>
      </x:c>
      <x:c r="M3" s="63" t="str">
        <x:v>0.10–0.30</x:v>
      </x:c>
      <x:c r="N3" s="63" t="str">
        <x:v>TNT ~1.5–2 ml/L</x:v>
      </x:c>
      <x:c r="O3" s="63" t="str">
        <x:v>PowerZyme; ggf. Root</x:v>
      </x:c>
      <x:c r="P3" s="63" t="str">
        <x:v>—</x:v>
      </x:c>
      <x:c r="Q3" s="63" t="str">
        <x:v>Second Voodoo + Tarantula fresh window if plant/root-zone state is normal.</x:v>
      </x:c>
      <x:c r="R3" s="63" t="str">
        <x:v>LST nur 4–5 Nodes</x:v>
      </x:c>
      <x:c r="S3" s="63" t="str">
        <x:v>Bewässerungsroutine/Automation validieren; pH/EC kalibrieren</x:v>
      </x:c>
      <x:c r="T3" s="35" t="str">
        <x:v>48 h stabile Feuchte-/Leckfreiheit? Bei Automation Hersteller-SOP beachten.</x:v>
      </x:c>
      <x:c r="V3" t="n">
        <x:v>1</x:v>
      </x:c>
      <x:c r="W3" t="n">
        <x:v>180</x:v>
      </x:c>
      <x:c r="X3" t="n">
        <x:v>35</x:v>
      </x:c>
      <x:c r="Z3" t="n">
        <x:v>1</x:v>
      </x:c>
      <x:c r="AA3" t="n">
        <x:v>25</x:v>
      </x:c>
      <x:c r="AB3" t="n">
        <x:v>72</x:v>
      </x:c>
      <x:c r="AD3" t="n">
        <x:v>1</x:v>
      </x:c>
      <x:c r="AE3" t="n">
        <x:v>0.7</x:v>
      </x:c>
    </x:row>
    <x:row r="4">
      <x:c r="A4" s="34" t="n">
        <x:v>3</x:v>
      </x:c>
      <x:c r="B4" s="63" t="str">
        <x:v>14–20</x:v>
      </x:c>
      <x:c r="C4" s="63" t="str">
        <x:v>Veg/LST</x:v>
      </x:c>
      <x:c r="D4" s="63" t="n">
        <x:v>350</x:v>
      </x:c>
      <x:c r="E4" s="63" t="n">
        <x:v>75</x:v>
      </x:c>
      <x:c r="F4" s="63" t="n">
        <x:v>22.7</x:v>
      </x:c>
      <x:c r="G4" s="63" t="n">
        <x:v>25.5</x:v>
      </x:c>
      <x:c r="H4" s="63" t="n">
        <x:v>22</x:v>
      </x:c>
      <x:c r="I4" s="63" t="n">
        <x:v>62</x:v>
      </x:c>
      <x:c r="J4" s="63" t="n">
        <x:v>1.05</x:v>
      </x:c>
      <x:c r="K4" s="63" t="n">
        <x:v>1.2</x:v>
      </x:c>
      <x:c r="L4" s="63" t="n">
        <x:v>5.9</x:v>
      </x:c>
      <x:c r="M4" s="63" t="str">
        <x:v>0.25–0.50</x:v>
      </x:c>
      <x:c r="N4" s="63" t="str">
        <x:v>TNT ~2.5 ml/L</x:v>
      </x:c>
      <x:c r="O4" s="63" t="str">
        <x:v>PowerZyme; Hesilicio optional</x:v>
      </x:c>
      <x:c r="P4" s="63" t="str">
        <x:v>—</x:v>
      </x:c>
      <x:c r="Q4" s="63" t="str">
        <x:v>No extra AN bloom biostims. Tasty Terpenes owned but OFF; CarboLoad not scheduled.</x:v>
      </x:c>
      <x:c r="R4" s="63" t="str">
        <x:v>radiales LST</x:v>
      </x:c>
      <x:c r="S4" s="63" t="str">
        <x:v>PPFD 9-Punkt Basis-Mapping</x:v>
      </x:c>
      <x:c r="T4" s="35" t="str">
        <x:v>Canopy &lt;8 cm Höhenstreuung?</x:v>
      </x:c>
      <x:c r="V4" t="n">
        <x:v>2</x:v>
      </x:c>
      <x:c r="W4" t="n">
        <x:v>250</x:v>
      </x:c>
      <x:c r="X4" t="n">
        <x:v>50</x:v>
      </x:c>
      <x:c r="Z4" t="n">
        <x:v>2</x:v>
      </x:c>
      <x:c r="AA4" t="n">
        <x:v>25.5</x:v>
      </x:c>
      <x:c r="AB4" t="n">
        <x:v>67</x:v>
      </x:c>
      <x:c r="AD4" t="n">
        <x:v>2</x:v>
      </x:c>
      <x:c r="AE4" t="n">
        <x:v>0.9</x:v>
      </x:c>
    </x:row>
    <x:row r="5">
      <x:c r="A5" s="34" t="n">
        <x:v>4</x:v>
      </x:c>
      <x:c r="B5" s="63" t="str">
        <x:v>21–27</x:v>
      </x:c>
      <x:c r="C5" s="63" t="str">
        <x:v>Transition</x:v>
      </x:c>
      <x:c r="D5" s="63" t="n">
        <x:v>450</x:v>
      </x:c>
      <x:c r="E5" s="63" t="n">
        <x:v>95</x:v>
      </x:c>
      <x:c r="F5" s="63" t="n">
        <x:v>29.2</x:v>
      </x:c>
      <x:c r="G5" s="63" t="n">
        <x:v>25.5</x:v>
      </x:c>
      <x:c r="H5" s="63" t="n">
        <x:v>22</x:v>
      </x:c>
      <x:c r="I5" s="63" t="n">
        <x:v>58</x:v>
      </x:c>
      <x:c r="J5" s="63" t="n">
        <x:v>1.15</x:v>
      </x:c>
      <x:c r="K5" s="63" t="n">
        <x:v>1.4</x:v>
      </x:c>
      <x:c r="L5" s="63" t="n">
        <x:v>5.9</x:v>
      </x:c>
      <x:c r="M5" s="63" t="str">
        <x:v>0.40–0.70</x:v>
      </x:c>
      <x:c r="N5" s="63" t="str">
        <x:v>bei Preflower → HESI Coco</x:v>
      </x:c>
      <x:c r="O5" s="63" t="str">
        <x:v>PowerZyme</x:v>
      </x:c>
      <x:c r="P5" s="63" t="str">
        <x:v>Boost optional ab Trigger</x:v>
      </x:c>
      <x:c r="Q5" s="63" t="str">
        <x:v>Prepare transition with HESI Boost path; Athena Balance remains conditional only.</x:v>
      </x:c>
      <x:c r="R5" s="63" t="str">
        <x:v>letzte Strukturkorrektur</x:v>
      </x:c>
      <x:c r="S5" s="63" t="str">
        <x:v>Drain-Diagnose; Foto; Canopy</x:v>
      </x:c>
      <x:c r="T5" s="35" t="str">
        <x:v>Basiswechsel nur bei echter Preflower</x:v>
      </x:c>
      <x:c r="V5" t="n">
        <x:v>3</x:v>
      </x:c>
      <x:c r="W5" t="n">
        <x:v>350</x:v>
      </x:c>
      <x:c r="X5" t="n">
        <x:v>75</x:v>
      </x:c>
      <x:c r="Z5" t="n">
        <x:v>3</x:v>
      </x:c>
      <x:c r="AA5" t="n">
        <x:v>25.5</x:v>
      </x:c>
      <x:c r="AB5" t="n">
        <x:v>62</x:v>
      </x:c>
      <x:c r="AD5" t="n">
        <x:v>3</x:v>
      </x:c>
      <x:c r="AE5" t="n">
        <x:v>1.2</x:v>
      </x:c>
    </x:row>
    <x:row r="6">
      <x:c r="A6" s="34" t="n">
        <x:v>5</x:v>
      </x:c>
      <x:c r="B6" s="63" t="str">
        <x:v>28–34</x:v>
      </x:c>
      <x:c r="C6" s="63" t="str">
        <x:v>Stretch</x:v>
      </x:c>
      <x:c r="D6" s="63" t="n">
        <x:v>550</x:v>
      </x:c>
      <x:c r="E6" s="63" t="n">
        <x:v>120</x:v>
      </x:c>
      <x:c r="F6" s="63" t="n">
        <x:v>35.6</x:v>
      </x:c>
      <x:c r="G6" s="63" t="n">
        <x:v>25</x:v>
      </x:c>
      <x:c r="H6" s="63" t="n">
        <x:v>21.5</x:v>
      </x:c>
      <x:c r="I6" s="63" t="n">
        <x:v>53</x:v>
      </x:c>
      <x:c r="J6" s="63" t="n">
        <x:v>1.25</x:v>
      </x:c>
      <x:c r="K6" s="63" t="n">
        <x:v>1.6</x:v>
      </x:c>
      <x:c r="L6" s="63" t="n">
        <x:v>5.9</x:v>
      </x:c>
      <x:c r="M6" s="63" t="str">
        <x:v>0.60–1.00</x:v>
      </x:c>
      <x:c r="N6" s="63" t="str">
        <x:v>HESI Coco ~3.25 ml/L</x:v>
      </x:c>
      <x:c r="O6" s="63" t="str">
        <x:v>Voodoo Frühblüte frisch</x:v>
      </x:c>
      <x:c r="P6" s="63" t="str">
        <x:v>Boost 2 ml/L Wochenfeed</x:v>
      </x:c>
      <x:c r="Q6" s="63" t="str">
        <x:v>B1: Voodoo + Tarantula fresh window; HESI Boost preferred. No Bud Ignitor.</x:v>
      </x:c>
      <x:c r="R6" s="63" t="str">
        <x:v>strukturelles LST beenden</x:v>
      </x:c>
      <x:c r="S6" s="63" t="str">
        <x:v>Luftzonen prüfen; Lampenmapping</x:v>
      </x:c>
      <x:c r="T6" s="35" t="str">
        <x:v>Kein Training bei Stress</x:v>
      </x:c>
      <x:c r="V6" t="n">
        <x:v>4</x:v>
      </x:c>
      <x:c r="W6" t="n">
        <x:v>450</x:v>
      </x:c>
      <x:c r="X6" t="n">
        <x:v>95</x:v>
      </x:c>
      <x:c r="Z6" t="n">
        <x:v>4</x:v>
      </x:c>
      <x:c r="AA6" t="n">
        <x:v>25.5</x:v>
      </x:c>
      <x:c r="AB6" t="n">
        <x:v>58</x:v>
      </x:c>
      <x:c r="AD6" t="n">
        <x:v>4</x:v>
      </x:c>
      <x:c r="AE6" t="n">
        <x:v>1.4</x:v>
      </x:c>
    </x:row>
    <x:row r="7">
      <x:c r="A7" s="34" t="n">
        <x:v>6</x:v>
      </x:c>
      <x:c r="B7" s="63" t="str">
        <x:v>35–41</x:v>
      </x:c>
      <x:c r="C7" s="63" t="str">
        <x:v>Flower I</x:v>
      </x:c>
      <x:c r="D7" s="63" t="n">
        <x:v>600</x:v>
      </x:c>
      <x:c r="E7" s="63" t="n">
        <x:v>135</x:v>
      </x:c>
      <x:c r="F7" s="63" t="n">
        <x:v>38.9</x:v>
      </x:c>
      <x:c r="G7" s="63" t="n">
        <x:v>25</x:v>
      </x:c>
      <x:c r="H7" s="63" t="n">
        <x:v>21.5</x:v>
      </x:c>
      <x:c r="I7" s="63" t="n">
        <x:v>50</x:v>
      </x:c>
      <x:c r="J7" s="63" t="n">
        <x:v>1.35</x:v>
      </x:c>
      <x:c r="K7" s="63" t="n">
        <x:v>1.7</x:v>
      </x:c>
      <x:c r="L7" s="63" t="n">
        <x:v>5.9</x:v>
      </x:c>
      <x:c r="M7" s="63" t="str">
        <x:v>0.80–1.20</x:v>
      </x:c>
      <x:c r="N7" s="63" t="str">
        <x:v>HESI Coco ~3.75 ml/L</x:v>
      </x:c>
      <x:c r="O7" s="63" t="str">
        <x:v>PowerZyme; letzte Voodoo-Gabe</x:v>
      </x:c>
      <x:c r="P7" s="63" t="str">
        <x:v>Boost Wochenfeed</x:v>
      </x:c>
      <x:c r="Q7" s="63" t="str">
        <x:v>B2: second bloom Voodoo + Tarantula fresh window; HESI Boost preferred.</x:v>
      </x:c>
      <x:c r="R7" s="63" t="str">
        <x:v>nur tuck/support</x:v>
      </x:c>
      <x:c r="S7" s="63" t="str">
        <x:v>Cola-RH/Untercanopy prüfen</x:v>
      </x:c>
      <x:c r="T7" s="35" t="str">
        <x:v>Kein PK, wenn Spitzenbrand/Drain-EC hoch</x:v>
      </x:c>
      <x:c r="V7" t="n">
        <x:v>5</x:v>
      </x:c>
      <x:c r="W7" t="n">
        <x:v>550</x:v>
      </x:c>
      <x:c r="X7" t="n">
        <x:v>120</x:v>
      </x:c>
      <x:c r="Z7" t="n">
        <x:v>5</x:v>
      </x:c>
      <x:c r="AA7" t="n">
        <x:v>25</x:v>
      </x:c>
      <x:c r="AB7" t="n">
        <x:v>53</x:v>
      </x:c>
      <x:c r="AD7" t="n">
        <x:v>5</x:v>
      </x:c>
      <x:c r="AE7" t="n">
        <x:v>1.6</x:v>
      </x:c>
    </x:row>
    <x:row r="8">
      <x:c r="A8" s="34" t="n">
        <x:v>7</x:v>
      </x:c>
      <x:c r="B8" s="63" t="str">
        <x:v>42–48</x:v>
      </x:c>
      <x:c r="C8" s="63" t="str">
        <x:v>Peak I</x:v>
      </x:c>
      <x:c r="D8" s="63" t="n">
        <x:v>625</x:v>
      </x:c>
      <x:c r="E8" s="63" t="n">
        <x:v>140</x:v>
      </x:c>
      <x:c r="F8" s="63" t="n">
        <x:v>40.5</x:v>
      </x:c>
      <x:c r="G8" s="63" t="n">
        <x:v>24.5</x:v>
      </x:c>
      <x:c r="H8" s="63" t="n">
        <x:v>21</x:v>
      </x:c>
      <x:c r="I8" s="63" t="n">
        <x:v>47</x:v>
      </x:c>
      <x:c r="J8" s="63" t="n">
        <x:v>1.4</x:v>
      </x:c>
      <x:c r="K8" s="63" t="n">
        <x:v>1.8</x:v>
      </x:c>
      <x:c r="L8" s="63" t="n">
        <x:v>5.9</x:v>
      </x:c>
      <x:c r="M8" s="63" t="str">
        <x:v>0.90–1.50</x:v>
      </x:c>
      <x:c r="N8" s="63" t="str">
        <x:v>HESI Coco ~4 ml/L</x:v>
      </x:c>
      <x:c r="O8" s="63" t="str">
        <x:v>PowerZyme/Hesilicio Wochenfeed</x:v>
      </x:c>
      <x:c r="P8" s="63" t="str">
        <x:v>Boost; PK noch 0</x:v>
      </x:c>
      <x:c r="Q8" s="63" t="str">
        <x:v>B3: HESI Boost; Tasty Terpenes remains A/B-only and OFF.</x:v>
      </x:c>
      <x:c r="R8" s="63" t="str">
        <x:v>nur Support</x:v>
      </x:c>
      <x:c r="S8" s="63" t="str">
        <x:v>PPFD/Temp/RH Maxima auswerten</x:v>
      </x:c>
      <x:c r="T8" s="35" t="str">
        <x:v>140 W nur bei stabilem Blattzustand</x:v>
      </x:c>
      <x:c r="V8" t="n">
        <x:v>6</x:v>
      </x:c>
      <x:c r="W8" t="n">
        <x:v>600</x:v>
      </x:c>
      <x:c r="X8" t="n">
        <x:v>135</x:v>
      </x:c>
      <x:c r="Z8" t="n">
        <x:v>6</x:v>
      </x:c>
      <x:c r="AA8" t="n">
        <x:v>25</x:v>
      </x:c>
      <x:c r="AB8" t="n">
        <x:v>50</x:v>
      </x:c>
      <x:c r="AD8" t="n">
        <x:v>6</x:v>
      </x:c>
      <x:c r="AE8" t="n">
        <x:v>1.7</x:v>
      </x:c>
    </x:row>
    <x:row r="9">
      <x:c r="A9" s="34" t="n">
        <x:v>8</x:v>
      </x:c>
      <x:c r="B9" s="63" t="str">
        <x:v>49–55</x:v>
      </x:c>
      <x:c r="C9" s="63" t="str">
        <x:v>Peak II</x:v>
      </x:c>
      <x:c r="D9" s="63" t="n">
        <x:v>625</x:v>
      </x:c>
      <x:c r="E9" s="63" t="n">
        <x:v>140</x:v>
      </x:c>
      <x:c r="F9" s="63" t="n">
        <x:v>40.5</x:v>
      </x:c>
      <x:c r="G9" s="63" t="n">
        <x:v>24.5</x:v>
      </x:c>
      <x:c r="H9" s="63" t="n">
        <x:v>21</x:v>
      </x:c>
      <x:c r="I9" s="63" t="n">
        <x:v>47</x:v>
      </x:c>
      <x:c r="J9" s="63" t="n">
        <x:v>1.4</x:v>
      </x:c>
      <x:c r="K9" s="63" t="n">
        <x:v>1.8</x:v>
      </x:c>
      <x:c r="L9" s="63" t="n">
        <x:v>5.9</x:v>
      </x:c>
      <x:c r="M9" s="63" t="str">
        <x:v>0.90–1.50</x:v>
      </x:c>
      <x:c r="N9" s="63" t="str">
        <x:v>HESI Coco ~4 ml/L</x:v>
      </x:c>
      <x:c r="O9" s="63" t="str">
        <x:v>PowerZyme</x:v>
      </x:c>
      <x:c r="P9" s="63" t="str">
        <x:v>Boost + PK 0.25–0.35</x:v>
      </x:c>
      <x:c r="Q9" s="63" t="str">
        <x:v>B4: HESI Boost; HESI PK path stays canonical.</x:v>
      </x:c>
      <x:c r="R9" s="63" t="str">
        <x:v>nur Support</x:v>
      </x:c>
      <x:c r="S9" s="63" t="str">
        <x:v>Drain EC; Schimmelcheck</x:v>
      </x:c>
      <x:c r="T9" s="35" t="str">
        <x:v>PK nur wenn EC/Canopy stabil</x:v>
      </x:c>
      <x:c r="V9" t="n">
        <x:v>7</x:v>
      </x:c>
      <x:c r="W9" t="n">
        <x:v>625</x:v>
      </x:c>
      <x:c r="X9" t="n">
        <x:v>140</x:v>
      </x:c>
      <x:c r="Z9" t="n">
        <x:v>7</x:v>
      </x:c>
      <x:c r="AA9" t="n">
        <x:v>24.5</x:v>
      </x:c>
      <x:c r="AB9" t="n">
        <x:v>47</x:v>
      </x:c>
      <x:c r="AD9" t="n">
        <x:v>7</x:v>
      </x:c>
      <x:c r="AE9" t="n">
        <x:v>1.8</x:v>
      </x:c>
    </x:row>
    <x:row r="10">
      <x:c r="A10" s="34" t="n">
        <x:v>9</x:v>
      </x:c>
      <x:c r="B10" s="63" t="str">
        <x:v>56–62</x:v>
      </x:c>
      <x:c r="C10" s="63" t="str">
        <x:v>Late Flower</x:v>
      </x:c>
      <x:c r="D10" s="63" t="n">
        <x:v>600</x:v>
      </x:c>
      <x:c r="E10" s="63" t="n">
        <x:v>130</x:v>
      </x:c>
      <x:c r="F10" s="63" t="n">
        <x:v>38.9</x:v>
      </x:c>
      <x:c r="G10" s="63" t="n">
        <x:v>24</x:v>
      </x:c>
      <x:c r="H10" s="63" t="n">
        <x:v>20.5</x:v>
      </x:c>
      <x:c r="I10" s="63" t="n">
        <x:v>45</x:v>
      </x:c>
      <x:c r="J10" s="63" t="n">
        <x:v>1.4</x:v>
      </x:c>
      <x:c r="K10" s="63" t="n">
        <x:v>1.6</x:v>
      </x:c>
      <x:c r="L10" s="63" t="n">
        <x:v>5.9</x:v>
      </x:c>
      <x:c r="M10" s="63" t="str">
        <x:v>0.80–1.30</x:v>
      </x:c>
      <x:c r="N10" s="63" t="str">
        <x:v>HESI Coco ~3.5 ml/L</x:v>
      </x:c>
      <x:c r="O10" s="63" t="str">
        <x:v>PowerZyme</x:v>
      </x:c>
      <x:c r="P10" s="63" t="str">
        <x:v>Boost letzter Feed; PK 0.35–0.5</x:v>
      </x:c>
      <x:c r="Q10" s="63" t="str">
        <x:v>B5: HESI Boost + HESI PK by UKD curve; no Big Bud/Tasty default.</x:v>
      </x:c>
      <x:c r="R10" s="63" t="str">
        <x:v>keine Strukturarbeit</x:v>
      </x:c>
      <x:c r="S10" s="63" t="str">
        <x:v>RH &lt;50%; dichte Colas prüfen</x:v>
      </x:c>
      <x:c r="T10" s="35" t="str">
        <x:v>Bei RH&gt;55% Klima vor Defoliation</x:v>
      </x:c>
      <x:c r="V10" t="n">
        <x:v>8</x:v>
      </x:c>
      <x:c r="W10" t="n">
        <x:v>625</x:v>
      </x:c>
      <x:c r="X10" t="n">
        <x:v>140</x:v>
      </x:c>
      <x:c r="Z10" t="n">
        <x:v>8</x:v>
      </x:c>
      <x:c r="AA10" t="n">
        <x:v>24.5</x:v>
      </x:c>
      <x:c r="AB10" t="n">
        <x:v>47</x:v>
      </x:c>
      <x:c r="AD10" t="n">
        <x:v>8</x:v>
      </x:c>
      <x:c r="AE10" t="n">
        <x:v>1.8</x:v>
      </x:c>
    </x:row>
    <x:row r="11">
      <x:c r="A11" s="34" t="n">
        <x:v>10</x:v>
      </x:c>
      <x:c r="B11" s="63" t="str">
        <x:v>63–69</x:v>
      </x:c>
      <x:c r="C11" s="63" t="str">
        <x:v>Ripening</x:v>
      </x:c>
      <x:c r="D11" s="63" t="n">
        <x:v>550</x:v>
      </x:c>
      <x:c r="E11" s="63" t="n">
        <x:v>120</x:v>
      </x:c>
      <x:c r="F11" s="63" t="n">
        <x:v>35.6</x:v>
      </x:c>
      <x:c r="G11" s="63" t="n">
        <x:v>23.5</x:v>
      </x:c>
      <x:c r="H11" s="63" t="n">
        <x:v>20.5</x:v>
      </x:c>
      <x:c r="I11" s="63" t="n">
        <x:v>43</x:v>
      </x:c>
      <x:c r="J11" s="63" t="n">
        <x:v>1.35</x:v>
      </x:c>
      <x:c r="K11" s="63" t="n">
        <x:v>1.4</x:v>
      </x:c>
      <x:c r="L11" s="63" t="n">
        <x:v>5.9</x:v>
      </x:c>
      <x:c r="M11" s="63" t="str">
        <x:v>0.60–1.00</x:v>
      </x:c>
      <x:c r="N11" s="63" t="str">
        <x:v>HESI Coco ~2.5 ml/L</x:v>
      </x:c>
      <x:c r="O11" s="63" t="str">
        <x:v>Enzyme optional</x:v>
      </x:c>
      <x:c r="P11" s="63" t="str">
        <x:v>PK stoppen</x:v>
      </x:c>
      <x:c r="Q11" s="63" t="str">
        <x:v>B6: HESI PK path; no Overdrive. CalMag only if gated.</x:v>
      </x:c>
      <x:c r="R11" s="63" t="str">
        <x:v>Stützen</x:v>
      </x:c>
      <x:c r="S11" s="63" t="str">
        <x:v>Trichom/Calyx-Log; Wasserverbrauch</x:v>
      </x:c>
      <x:c r="T11" s="35" t="str">
        <x:v>Reife &gt; Kalender</x:v>
      </x:c>
      <x:c r="V11" t="n">
        <x:v>9</x:v>
      </x:c>
      <x:c r="W11" t="n">
        <x:v>600</x:v>
      </x:c>
      <x:c r="X11" t="n">
        <x:v>130</x:v>
      </x:c>
      <x:c r="Z11" t="n">
        <x:v>9</x:v>
      </x:c>
      <x:c r="AA11" t="n">
        <x:v>24</x:v>
      </x:c>
      <x:c r="AB11" t="n">
        <x:v>45</x:v>
      </x:c>
      <x:c r="AD11" t="n">
        <x:v>9</x:v>
      </x:c>
      <x:c r="AE11" t="n">
        <x:v>1.6</x:v>
      </x:c>
    </x:row>
    <x:row r="12">
      <x:c r="A12" s="34" t="n">
        <x:v>11</x:v>
      </x:c>
      <x:c r="B12" s="63" t="str">
        <x:v>70–76</x:v>
      </x:c>
      <x:c r="C12" s="63" t="str">
        <x:v>Harvest Readiness Watch</x:v>
      </x:c>
      <x:c r="D12" s="63" t="n">
        <x:v>500</x:v>
      </x:c>
      <x:c r="E12" s="63" t="n">
        <x:v>105</x:v>
      </x:c>
      <x:c r="F12" s="63" t="n">
        <x:v>32.4</x:v>
      </x:c>
      <x:c r="G12" s="63" t="n">
        <x:v>23</x:v>
      </x:c>
      <x:c r="H12" s="63" t="n">
        <x:v>20</x:v>
      </x:c>
      <x:c r="I12" s="63" t="n">
        <x:v>42</x:v>
      </x:c>
      <x:c r="J12" s="63" t="n">
        <x:v>1.3</x:v>
      </x:c>
      <x:c r="K12" s="63" t="n">
        <x:v>1.2</x:v>
      </x:c>
      <x:c r="L12" s="63" t="n">
        <x:v>5.9</x:v>
      </x:c>
      <x:c r="M12" s="63" t="str">
        <x:v>0.40–0.80</x:v>
      </x:c>
      <x:c r="N12" s="63" t="str">
        <x:v>HESI Coco 0–1.5 ml/L</x:v>
      </x:c>
      <x:c r="O12" s="63" t="str">
        <x:v>—</x:v>
      </x:c>
      <x:c r="P12" s="63" t="str">
        <x:v>—</x:v>
      </x:c>
      <x:c r="Q12" s="63" t="str">
        <x:v>B7: HESI PK/Boost stop logic per plan; no additional AN booster.</x:v>
      </x:c>
      <x:c r="R12" s="63" t="str">
        <x:v>keine</x:v>
      </x:c>
      <x:c r="S12" s="63" t="str">
        <x:v>Ernteentscheidung; Trocknungsraum vorbereiten</x:v>
      </x:c>
      <x:c r="T12" s="35" t="str">
        <x:v>Nur Wasser bei tatsächlich fertiger Pflanze/hohem Salzlevel</x:v>
      </x:c>
      <x:c r="V12" t="n">
        <x:v>10</x:v>
      </x:c>
      <x:c r="W12" t="n">
        <x:v>550</x:v>
      </x:c>
      <x:c r="X12" t="n">
        <x:v>120</x:v>
      </x:c>
      <x:c r="Z12" t="n">
        <x:v>10</x:v>
      </x:c>
      <x:c r="AA12" t="n">
        <x:v>23.5</x:v>
      </x:c>
      <x:c r="AB12" t="n">
        <x:v>43</x:v>
      </x:c>
      <x:c r="AD12" t="n">
        <x:v>10</x:v>
      </x:c>
      <x:c r="AE12" t="n">
        <x:v>1.4</x:v>
      </x:c>
    </x:row>
    <x:row r="13">
      <x:c r="A13" s="36" t="n">
        <x:v>12</x:v>
      </x:c>
      <x:c r="B13" s="64" t="str">
        <x:v>77–80</x:v>
      </x:c>
      <x:c r="C13" s="64" t="str">
        <x:v>Readiness / Extension</x:v>
      </x:c>
      <x:c r="D13" s="64" t="n">
        <x:v>450</x:v>
      </x:c>
      <x:c r="E13" s="64" t="n">
        <x:v>90</x:v>
      </x:c>
      <x:c r="F13" s="64" t="n">
        <x:v>29.2</x:v>
      </x:c>
      <x:c r="G13" s="64" t="n">
        <x:v>22.5</x:v>
      </x:c>
      <x:c r="H13" s="64" t="n">
        <x:v>20</x:v>
      </x:c>
      <x:c r="I13" s="64" t="n">
        <x:v>42</x:v>
      </x:c>
      <x:c r="J13" s="64" t="n">
        <x:v>1.25</x:v>
      </x:c>
      <x:c r="K13" s="64" t="n">
        <x:v>1</x:v>
      </x:c>
      <x:c r="L13" s="64" t="n">
        <x:v>5.9</x:v>
      </x:c>
      <x:c r="M13" s="64" t="str">
        <x:v>0.30–0.70</x:v>
      </x:c>
      <x:c r="N13" s="64" t="str">
        <x:v>0 bei Erntebereitschaft</x:v>
      </x:c>
      <x:c r="O13" s="64" t="str">
        <x:v>—</x:v>
      </x:c>
      <x:c r="P13" s="64" t="str">
        <x:v>—</x:v>
      </x:c>
      <x:c r="Q13" s="64" t="str">
        <x:v>Finish: no CarboLoad/Tasty/Flawless Finish default.</x:v>
      </x:c>
      <x:c r="R13" s="64" t="str">
        <x:v>keine</x:v>
      </x:c>
      <x:c r="S13" s="64" t="str">
        <x:v>Ernte, Nassgewicht, Dry-Log starten</x:v>
      </x:c>
      <x:c r="T13" s="37" t="str">
        <x:v>Besitzgrenzen/Schutzmaßnahmen dokumentieren</x:v>
      </x:c>
      <x:c r="V13" t="n">
        <x:v>11</x:v>
      </x:c>
      <x:c r="W13" t="n">
        <x:v>500</x:v>
      </x:c>
      <x:c r="X13" t="n">
        <x:v>105</x:v>
      </x:c>
      <x:c r="Z13" t="n">
        <x:v>11</x:v>
      </x:c>
      <x:c r="AA13" t="n">
        <x:v>23</x:v>
      </x:c>
      <x:c r="AB13" t="n">
        <x:v>42</x:v>
      </x:c>
      <x:c r="AD13" t="n">
        <x:v>11</x:v>
      </x:c>
      <x:c r="AE13" t="n">
        <x:v>1.2</x:v>
      </x:c>
    </x:row>
    <x:row r="14">
      <x:c r="V14" t="n">
        <x:v>12</x:v>
      </x:c>
      <x:c r="W14" t="n">
        <x:v>450</x:v>
      </x:c>
      <x:c r="X14" t="n">
        <x:v>90</x:v>
      </x:c>
      <x:c r="Z14" t="n">
        <x:v>12</x:v>
      </x:c>
      <x:c r="AA14" t="n">
        <x:v>22.5</x:v>
      </x:c>
      <x:c r="AB14" t="n">
        <x:v>42</x:v>
      </x:c>
      <x:c r="AD14" t="n">
        <x:v>12</x:v>
      </x:c>
      <x:c r="AE14" t="n">
        <x:v>1</x:v>
      </x:c>
    </x:row>
    <x:row r="15">
      <x:c r="A15" s="1406" t="str">
        <x:v>AUTOFLOWER v11.2: Wochen 4+ sind nur Projektion. Operationaler Transition-/Bloom-Start folgt beobachtetem Preflower/FlowerInitiation-Event; Double Grape 70–80 d breeder window = readiness watch, kein Zwangs-Endtag.</x:v>
      </x:c>
      <x:c r="B15" s="1407"/>
      <x:c r="C15" s="1407"/>
      <x:c r="D15" s="1407"/>
      <x:c r="E15" s="1407"/>
      <x:c r="F15" s="1407"/>
      <x:c r="G15" s="1407"/>
      <x:c r="H15" s="1407"/>
      <x:c r="I15" s="1407"/>
      <x:c r="J15" s="1407"/>
      <x:c r="K15" s="1407"/>
      <x:c r="L15" s="1407"/>
      <x:c r="M15" s="1407"/>
      <x:c r="N15" s="1407"/>
      <x:c r="O15" s="1407"/>
      <x:c r="P15" s="1407"/>
      <x:c r="Q15" s="1407"/>
      <x:c r="R15" s="1407"/>
      <x:c r="S15" s="1407"/>
      <x:c r="T15" s="1408"/>
    </x:row>
  </x:sheetData>
  <x:mergeCells>
    <x:mergeCell ref="A15:T15"/>
  </x:mergeCells>
  <x:conditionalFormatting sqref="A2:T13">
    <x:cfRule type="expression" dxfId="50" priority="1">
      <x:formula>$A2=VLOOKUP('01_Run_Config'!$B$5,'02_Daily_Master'!$A$2:$AK$82,3,FALSE)</x:formula>
    </x:cfRule>
  </x:conditionalFormatting>
  <x:pageMargins left="0.7" right="0.7" top="0.75" bottom="0.75" header="0.3" footer="0.3"/>
  <x:drawing xmlns:r="http://schemas.openxmlformats.org/officeDocument/2006/relationships" r:id="R0a336235ee974ce1"/>
  <x:tableParts count="1">
    <x:tablePart xmlns:r="http://schemas.openxmlformats.org/officeDocument/2006/relationships" r:id="Rf1f742963af4448d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5" hidden="0" customWidth="1"/>
    <x:col min="3" max="3" width="35" hidden="0" customWidth="1"/>
    <x:col min="4" max="4" width="35" hidden="0" customWidth="1"/>
    <x:col min="5" max="5" width="35" hidden="0" customWidth="1"/>
    <x:col min="6" max="6" width="37" hidden="0" customWidth="1"/>
    <x:col min="7" max="7" width="37" hidden="0" customWidth="1"/>
    <x:col min="8" max="8" width="37" hidden="0" customWidth="1"/>
    <x:col min="9" max="9" width="37" hidden="0" customWidth="1"/>
    <x:col min="10" max="10" width="37" hidden="0" customWidth="1"/>
  </x:cols>
  <x:sheetData>
    <x:row r="1">
      <x:c r="A1" s="14" t="str">
        <x:v>Monat</x:v>
      </x:c>
      <x:c r="B1" s="14" t="str">
        <x:v>Tage</x:v>
      </x:c>
      <x:c r="C1" s="14" t="str">
        <x:v>Systemziel</x:v>
      </x:c>
      <x:c r="D1" s="14" t="str">
        <x:v>Pflanzenziel</x:v>
      </x:c>
      <x:c r="E1" s="14" t="str">
        <x:v>Licht</x:v>
      </x:c>
      <x:c r="F1" s="14" t="str">
        <x:v>Klima</x:v>
      </x:c>
      <x:c r="G1" s="14" t="str">
        <x:v>Wurzel/Feed</x:v>
      </x:c>
      <x:c r="H1" s="14" t="str">
        <x:v>Training</x:v>
      </x:c>
      <x:c r="I1" s="14" t="str">
        <x:v>QA-Schwerpunkt</x:v>
      </x:c>
      <x:c r="J1" s="14" t="str">
        <x:v>Go/No-Go</x:v>
      </x:c>
    </x:row>
    <x:row r="2">
      <x:c r="A2" s="32" t="str">
        <x:v>M1</x:v>
      </x:c>
      <x:c r="B2" s="62" t="str">
        <x:v>0–29</x:v>
      </x:c>
      <x:c r="C2" s="62" t="str">
        <x:v>Etablierung + Messsystem</x:v>
      </x:c>
      <x:c r="D2" s="62" t="str">
        <x:v>kompakte vitale Auto; Wurzeln im Endtopf</x:v>
      </x:c>
      <x:c r="E2" s="62" t="str">
        <x:v>160→550 PPFD</x:v>
      </x:c>
      <x:c r="F2" s="62" t="str">
        <x:v>25–25.5°C; 73→55% LF</x:v>
      </x:c>
      <x:c r="G2" s="62" t="str">
        <x:v>TNT→Coco Trigger; Root/Voodoo eng begrenzt</x:v>
      </x:c>
      <x:c r="H2" s="62" t="str">
        <x:v>LST ab 4–5 Nodes; Ende Strukturarbeit</x:v>
      </x:c>
      <x:c r="I2" s="62" t="str">
        <x:v>Bewässerung/Leckschutz, pH/EC, Baseline-PPFD, Wasserverbrauch</x:v>
      </x:c>
      <x:c r="J2" s="33" t="str">
        <x:v>keine Peak-Leistung vor stabilem System</x:v>
      </x:c>
    </x:row>
    <x:row r="3">
      <x:c r="A3" s="34" t="str">
        <x:v>M2</x:v>
      </x:c>
      <x:c r="B3" s="63" t="str">
        <x:v>30–59</x:v>
      </x:c>
      <x:c r="C3" s="63" t="str">
        <x:v>Produktion + Stabilität</x:v>
      </x:c>
      <x:c r="D3" s="63" t="str">
        <x:v>gleichmäßige offene Blütenkrone</x:v>
      </x:c>
      <x:c r="E3" s="63" t="str">
        <x:v>550→625 PPFD</x:v>
      </x:c>
      <x:c r="F3" s="63" t="str">
        <x:v>25→24°C; 53→45% LF</x:v>
      </x:c>
      <x:c r="G3" s="63" t="str">
        <x:v>HESI Coco; PowerZyme; Boost; konservatives PK spät</x:v>
      </x:c>
      <x:c r="H3" s="63" t="str">
        <x:v>nur Tuck/Support, Luftkanäle</x:v>
      </x:c>
      <x:c r="I3" s="63" t="str">
        <x:v>Drain-EC, RH-Nachtspitzen, Cola-Mould-Checks, Lampenmapping</x:v>
      </x:c>
      <x:c r="J3" s="35" t="str">
        <x:v>kein Boosterwechsel ohne Messgrund</x:v>
      </x:c>
    </x:row>
    <x:row r="4">
      <x:c r="A4" s="36" t="str">
        <x:v>M3</x:v>
      </x:c>
      <x:c r="B4" s="64" t="str">
        <x:v>60–80</x:v>
      </x:c>
      <x:c r="C4" s="64" t="str">
        <x:v>Qualität + Reife + Nachernte</x:v>
      </x:c>
      <x:c r="D4" s="64" t="str">
        <x:v>Reife ohne Überfütterung</x:v>
      </x:c>
      <x:c r="E4" s="64" t="str">
        <x:v>600→450 PPFD</x:v>
      </x:c>
      <x:c r="F4" s="64" t="str">
        <x:v>24→22.5°C; 45→42% LF</x:v>
      </x:c>
      <x:c r="G4" s="64" t="str">
        <x:v>Coco taper; Booster/PK aus</x:v>
      </x:c>
      <x:c r="H4" s="64" t="str">
        <x:v>keine HST</x:v>
      </x:c>
      <x:c r="I4" s="64" t="str">
        <x:v>Trichome/Calyx, Dry-room, Bestands-/Sicherheitslog</x:v>
      </x:c>
      <x:c r="J4" s="37" t="str">
        <x:v>Ernte nach Pflanze, nicht Breeder-Kalender</x:v>
      </x:c>
    </x:row>
    <x:row r="5">
      <x:c r="A5" s="1411" t="str">
        <x:v>KORRIGIERT: Monatsblöcke stimmen jetzt mit der Formel in 02_Daily_Master überein (0–29 / 30–59 / 60+).</x:v>
      </x:c>
      <x:c r="B5" s="1412"/>
      <x:c r="C5" s="1412"/>
      <x:c r="D5" s="1412"/>
      <x:c r="E5" s="1412"/>
      <x:c r="F5" s="1412"/>
      <x:c r="G5" s="1412"/>
      <x:c r="H5" s="1412"/>
      <x:c r="I5" s="1412"/>
      <x:c r="J5" s="1413"/>
    </x:row>
    <x:row r="7">
      <x:c r="A7" s="14" t="str">
        <x:v>Wartungsintervall</x:v>
      </x:c>
      <x:c r="B7" s="14" t="str">
        <x:v>Täglich</x:v>
      </x:c>
      <x:c r="C7" s="14" t="str">
        <x:v>Wöchentlich</x:v>
      </x:c>
      <x:c r="D7" s="14" t="str">
        <x:v>Monatlich/Run</x:v>
      </x:c>
      <x:c r="E7" s="14" t="str">
        <x:v>Kriterium</x:v>
      </x:c>
    </x:row>
    <x:row r="8">
      <x:c r="A8" s="32" t="str">
        <x:v>pH/EC-Messgeräte</x:v>
      </x:c>
      <x:c r="B8" s="62" t="str">
        <x:v>Abweichungen erkennen</x:v>
      </x:c>
      <x:c r="C8" s="62" t="str">
        <x:v>kalibrieren</x:v>
      </x:c>
      <x:c r="D8" s="62" t="str">
        <x:v>Elektrodenzustand prüfen</x:v>
      </x:c>
      <x:c r="E8" s="33" t="str">
        <x:v>keine Messung = keine Düngerkorrektur</x:v>
      </x:c>
    </x:row>
    <x:row r="9">
      <x:c r="A9" s="34" t="str">
        <x:v>Reservoir</x:v>
      </x:c>
      <x:c r="B9" s="63" t="str">
        <x:v>Temp/Füllstand/Geruch</x:v>
      </x:c>
      <x:c r="C9" s="63" t="str">
        <x:v>komplett reinigen</x:v>
      </x:c>
      <x:c r="D9" s="63" t="str">
        <x:v>Schläuche inspizieren</x:v>
      </x:c>
      <x:c r="E9" s="35" t="str">
        <x:v>keine organisch stagnierende Brühe</x:v>
      </x:c>
    </x:row>
    <x:row r="10">
      <x:c r="A10" s="34" t="str">
        <x:v>Bewässerung/Automation</x:v>
      </x:c>
      <x:c r="B10" s="63" t="str">
        <x:v>Feuchte/Leck täglich</x:v>
      </x:c>
      <x:c r="C10" s="63" t="str">
        <x:v>System-/Leitungsprüfung</x:v>
      </x:c>
      <x:c r="D10" s="63" t="str">
        <x:v>nach Hersteller-SOP warten</x:v>
      </x:c>
      <x:c r="E10" s="35" t="str">
        <x:v>nur indoor-freigegebene Automation als Reference</x:v>
      </x:c>
    </x:row>
    <x:row r="11">
      <x:c r="A11" s="34" t="str">
        <x:v>AKF/Abluft</x:v>
      </x:c>
      <x:c r="B11" s="63" t="str">
        <x:v>Unterdruck/Geruch</x:v>
      </x:c>
      <x:c r="C11" s="63" t="str">
        <x:v>Luftweg/Staub</x:v>
      </x:c>
      <x:c r="D11" s="63" t="str">
        <x:v>Filterzustand</x:v>
      </x:c>
      <x:c r="E11" s="35" t="str">
        <x:v>Geruch außerhalb = Alarm</x:v>
      </x:c>
    </x:row>
    <x:row r="12">
      <x:c r="A12" s="34" t="str">
        <x:v>Umluft</x:v>
      </x:c>
      <x:c r="B12" s="63" t="str">
        <x:v>tote Zonen</x:v>
      </x:c>
      <x:c r="C12" s="63" t="str">
        <x:v>Gitter reinigen</x:v>
      </x:c>
      <x:c r="D12" s="63" t="str">
        <x:v>Lager/Kabel prüfen</x:v>
      </x:c>
      <x:c r="E12" s="35" t="str">
        <x:v>keine direkte Dauerbeströmung einer Spitze</x:v>
      </x:c>
    </x:row>
    <x:row r="13">
      <x:c r="A13" s="34" t="str">
        <x:v>Canopy</x:v>
      </x:c>
      <x:c r="B13" s="63" t="str">
        <x:v>Blattstellung</x:v>
      </x:c>
      <x:c r="C13" s="63" t="str">
        <x:v>Maße + Standardfoto</x:v>
      </x:c>
      <x:c r="D13" s="63" t="str">
        <x:v>Runvergleich</x:v>
      </x:c>
      <x:c r="E13" s="35" t="str">
        <x:v>&lt;8 cm Höhenstreuung Ziel</x:v>
      </x:c>
    </x:row>
    <x:row r="14">
      <x:c r="A14" s="34" t="str">
        <x:v>Hygiene</x:v>
      </x:c>
      <x:c r="B14" s="63" t="str">
        <x:v>stehendes Wasser entfernen</x:v>
      </x:c>
      <x:c r="C14" s="63" t="str">
        <x:v>Tray/Werkzeuge reinigen</x:v>
      </x:c>
      <x:c r="D14" s="63" t="str">
        <x:v>Zelt komplett reinigen</x:v>
      </x:c>
      <x:c r="E14" s="35" t="str">
        <x:v>kein fremdes Pflanzenmaterial</x:v>
      </x:c>
    </x:row>
    <x:row r="15">
      <x:c r="A15" s="36" t="str">
        <x:v>Daten</x:v>
      </x:c>
      <x:c r="B15" s="64" t="str">
        <x:v>Tageseintrag</x:v>
      </x:c>
      <x:c r="C15" s="64" t="str">
        <x:v>Wochenreview</x:v>
      </x:c>
      <x:c r="D15" s="64" t="str">
        <x:v>Runreport</x:v>
      </x:c>
      <x:c r="E15" s="37" t="str">
        <x:v>eine Variable pro A/B-Test</x:v>
      </x:c>
    </x:row>
  </x:sheetData>
  <x:mergeCells>
    <x:mergeCell ref="A5:J5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1" hidden="0" customWidth="1"/>
    <x:col min="2" max="2" width="24" hidden="0" customWidth="1"/>
    <x:col min="4" max="4" width="24" hidden="0" customWidth="1"/>
    <x:col min="5" max="5" width="24" hidden="0" customWidth="1"/>
    <x:col min="6" max="6" width="24" hidden="0" customWidth="1"/>
    <x:col min="7" max="7" width="42" hidden="0" customWidth="1"/>
    <x:col min="8" max="8" width="18" hidden="0" customWidth="1"/>
    <x:col min="3" max="3" width="24" hidden="0" customWidth="1"/>
    <x:col min="10" max="10" width="22" hidden="0" customWidth="1"/>
    <x:col min="11" max="11" width="11" hidden="0" customWidth="1"/>
    <x:col min="12" max="12" width="11" hidden="0" customWidth="1"/>
    <x:col min="13" max="13" width="14" hidden="0" customWidth="1"/>
    <x:col min="14" max="14" width="34" hidden="0" customWidth="1"/>
  </x:cols>
  <x:sheetData>
    <x:row r="1">
      <x:c r="A1" s="2364" t="str">
        <x:v>MIX CALCULATOR v9 — resolved owned-stock HESI + Voodoo/Tarantula · propagation &amp; chemistry gates</x:v>
      </x:c>
      <x:c r="B1" s="2364"/>
      <x:c r="C1" s="2364"/>
      <x:c r="D1" s="2364"/>
      <x:c r="E1" s="2364"/>
      <x:c r="F1" s="2364"/>
      <x:c r="G1" s="2364"/>
      <x:c r="H1" s="2364"/>
    </x:row>
    <x:row r="2">
      <x:c r="J2" s="1789" t="str">
        <x:v>AN HYBRID MODULES</x:v>
      </x:c>
      <x:c r="K2" s="1789" t="str">
        <x:v>ml/L</x:v>
      </x:c>
      <x:c r="L2" s="1789" t="str">
        <x:v>Batch ml</x:v>
      </x:c>
      <x:c r="M2" s="1789" t="str">
        <x:v>Status</x:v>
      </x:c>
      <x:c r="N2" s="1789" t="str">
        <x:v>Regel</x:v>
      </x:c>
    </x:row>
    <x:row r="3" ht="24" customHeight="1">
      <x:c r="A3" s="1416" t="str">
        <x:v>Eingabe</x:v>
      </x:c>
      <x:c r="B3" s="1417" t="str">
        <x:v>Wert</x:v>
      </x:c>
      <x:c r="D3" s="708" t="str">
        <x:v>Produkt</x:v>
      </x:c>
      <x:c r="E3" s="708" t="str">
        <x:v>ml/L</x:v>
      </x:c>
      <x:c r="F3" s="708" t="str">
        <x:v>Batch ml</x:v>
      </x:c>
      <x:c r="G3" s="708" t="str">
        <x:v>Reservoir/Manual</x:v>
      </x:c>
      <x:c r="H3" s="708" t="str">
        <x:v>Regel</x:v>
      </x:c>
      <x:c r="J3" s="60" t="str">
        <x:v>Voodoo Juice</x:v>
      </x:c>
      <x:c r="K3" s="60" t="n">
        <x:f>INDEX('02_Daily_Master'!$AC$2:$AC$82,$B$4+1)</x:f>
        <x:v>0</x:v>
      </x:c>
      <x:c r="L3" s="60" t="n">
        <x:f>K3*$B$5</x:f>
        <x:v>0</x:v>
      </x:c>
      <x:c r="M3" s="60" t="str">
        <x:v>SELECTED</x:v>
      </x:c>
      <x:c r="N3" s="60" t="str">
        <x:v>Defined fresh windows; cross-brand compatible.</x:v>
      </x:c>
    </x:row>
    <x:row r="4" ht="24" customHeight="1">
      <x:c r="A4" s="1156" t="str">
        <x:v>Run-Tag</x:v>
      </x:c>
      <x:c r="B4" s="1426" t="n">
        <x:f>'01_Run_Config'!$B$5</x:f>
        <x:v>0</x:v>
      </x:c>
      <x:c r="D4" s="1240" t="str">
        <x:v>Athena Balance</x:v>
      </x:c>
      <x:c r="E4" s="1241" t="n">
        <x:f>IF(OR('01_Run_Config'!$B$51&lt;&gt;"Athena Balance conditional",'01_Run_Config'!$E$35="BLOCK"),0,$B$6)</x:f>
        <x:v>0</x:v>
      </x:c>
      <x:c r="F4" s="1241" t="n">
        <x:f>IF(ISNUMBER(E4),E4*$B$5,"")</x:f>
        <x:v>0</x:v>
      </x:c>
      <x:c r="G4" s="1242" t="str">
        <x:v>WASSER ZUERST</x:v>
      </x:c>
      <x:c r="H4" s="1243" t="str">
        <x:f>IF('01_Run_Config'!$E$35="BLOCK","BLOCKED: Wasserchemie unbekannt; Athena-Dosis wird auf 0 gesetzt.","pH+ / K-Silikat. Nur gemessene Titration/Testbatch; kein Kalenderwert.")</x:f>
        <x:v>pH+ / K-Silikat. Nur gemessene Titration/Testbatch; kein Kalenderwert.</x:v>
      </x:c>
      <x:c r="J4" s="60" t="str">
        <x:v>Tarantula</x:v>
      </x:c>
      <x:c r="K4" s="60" t="n">
        <x:f>INDEX('02_Daily_Master'!$AU$2:$AU$82,$B$4+1)</x:f>
        <x:v>0</x:v>
      </x:c>
      <x:c r="L4" s="60" t="n">
        <x:f>K4*$B$5</x:f>
        <x:v>0</x:v>
      </x:c>
      <x:c r="M4" s="60" t="str">
        <x:v>SELECTED</x:v>
      </x:c>
      <x:c r="N4" s="60" t="str">
        <x:v>Paired with Voodoo; manufacturer explicitly recommends combination.</x:v>
      </x:c>
    </x:row>
    <x:row r="5" ht="24" customHeight="1">
      <x:c r="A5" s="1156" t="str">
        <x:v>Batchvolumen L</x:v>
      </x:c>
      <x:c r="B5" s="1423" t="n">
        <x:v>5</x:v>
      </x:c>
      <x:c r="D5" s="1244" t="str">
        <x:v>HESI Basis</x:v>
      </x:c>
      <x:c r="E5" s="1245" t="n">
        <x:f>VLOOKUP($B$4,'02_Daily_Master'!$A$2:$AH$82,22,FALSE)</x:f>
        <x:v>0</x:v>
      </x:c>
      <x:c r="F5" s="1245" t="n">
        <x:f>IF(ISNUMBER(E5),E5*$B$5,"")</x:f>
        <x:v>0</x:v>
      </x:c>
      <x:c r="G5" s="1246" t="str">
        <x:v>Tank</x:v>
      </x:c>
      <x:c r="H5" s="1247" t="str">
        <x:v>EC-Ziel und Pflanzenreaktion kontrollieren die finale Basisstärke.</x:v>
      </x:c>
      <x:c r="J5" s="60" t="str">
        <x:v>Piranha</x:v>
      </x:c>
      <x:c r="K5" s="60" t="n">
        <x:f>INDEX('02_Daily_Master'!$AT$2:$AT$82,$B$4+1)</x:f>
        <x:v>0</x:v>
      </x:c>
      <x:c r="L5" s="60" t="n">
        <x:f>K5*$B$5</x:f>
        <x:v>0</x:v>
      </x:c>
      <x:c r="M5" s="60" t="str">
        <x:v>NOT OWNED</x:v>
      </x:c>
      <x:c r="N5" s="60" t="str">
        <x:v>Not required for current Voodoo+Tarantula preset.</x:v>
      </x:c>
    </x:row>
    <x:row r="6" ht="24" customHeight="1">
      <x:c r="A6" s="1156" t="str">
        <x:v>Athena Balance ml/L (titr.)</x:v>
      </x:c>
      <x:c r="B6" s="1714" t="n">
        <x:f>'01_Run_Config'!$B$22</x:f>
        <x:v>0</x:v>
      </x:c>
      <x:c r="D6" s="1244" t="str">
        <x:v>HESI CalMag (not selected)</x:v>
      </x:c>
      <x:c r="E6" s="1245" t="n">
        <x:f>IF('01_Run_Config'!$B$54="HESI CalMag conditional",'01_Run_Config'!$B$17,0)</x:f>
        <x:v>0</x:v>
      </x:c>
      <x:c r="F6" s="1245" t="n">
        <x:f>IF(ISNUMBER(E6),E6*$B$5,"")</x:f>
        <x:v>0</x:v>
      </x:c>
      <x:c r="G6" s="1246" t="str">
        <x:v>Tank</x:v>
      </x:c>
      <x:c r="H6" s="1247" t="str">
        <x:v>Current inventory uses Sensi Cal Mag Xtra as conditional source; this row remains 0.</x:v>
      </x:c>
      <x:c r="J6" s="60" t="str">
        <x:v>B-52</x:v>
      </x:c>
      <x:c r="K6" s="60" t="n">
        <x:f>INDEX('02_Daily_Master'!$AV$2:$AV$82,$B$4+1)</x:f>
        <x:v>0</x:v>
      </x:c>
      <x:c r="L6" s="60" t="n">
        <x:f>K6*$B$5</x:f>
        <x:v>0</x:v>
      </x:c>
      <x:c r="M6" s="60" t="str">
        <x:v>NOT OWNED</x:v>
      </x:c>
      <x:c r="N6" s="60" t="str">
        <x:v>No purchase; overlap with HESI support.</x:v>
      </x:c>
    </x:row>
    <x:row r="7" ht="24" customHeight="1">
      <x:c r="A7" s="1156" t="str">
        <x:v>CalMag ml/L</x:v>
      </x:c>
      <x:c r="B7" s="1431" t="n">
        <x:f>'01_Run_Config'!$B$17</x:f>
        <x:v>0</x:v>
      </x:c>
      <x:c r="D7" s="1244" t="str">
        <x:v>Wurzel Complex</x:v>
      </x:c>
      <x:c r="E7" s="1245" t="n">
        <x:f>VLOOKUP($B$4,'02_Daily_Master'!$A$2:$AH$82,23,FALSE)</x:f>
        <x:v>2.5</x:v>
      </x:c>
      <x:c r="F7" s="1245" t="n">
        <x:f>IF(ISNUMBER(E7),E7*$B$5,"")</x:f>
        <x:v>12.5</x:v>
      </x:c>
      <x:c r="G7" s="1246" t="str">
        <x:v>Manual</x:v>
      </x:c>
      <x:c r="H7" s="1247" t="str">
        <x:v>definierte Frühgaben.</x:v>
      </x:c>
      <x:c r="J7" s="60" t="str">
        <x:v>Bud Candy</x:v>
      </x:c>
      <x:c r="K7" s="60" t="n">
        <x:f>INDEX('02_Daily_Master'!$AW$2:$AW$82,$B$4+1)</x:f>
        <x:v>0</x:v>
      </x:c>
      <x:c r="L7" s="60" t="n">
        <x:f>K7*$B$5</x:f>
        <x:v>0</x:v>
      </x:c>
      <x:c r="M7" s="60" t="str">
        <x:v>NOT OWNED</x:v>
      </x:c>
      <x:c r="N7" s="60" t="str">
        <x:v>No purchase; HESI Boost preferred.</x:v>
      </x:c>
    </x:row>
    <x:row r="8" ht="24" customHeight="1">
      <x:c r="A8" s="1156" t="str">
        <x:v>GM Pilot-Faktor vs Label (Info)</x:v>
      </x:c>
      <x:c r="B8" s="1430" t="n">
        <x:f>'01_Run_Config'!$B$28</x:f>
        <x:v>0.5</x:v>
      </x:c>
      <x:c r="D8" s="1244" t="str">
        <x:v>PowerZyme</x:v>
      </x:c>
      <x:c r="E8" s="1245" t="n">
        <x:f>VLOOKUP($B$4,'02_Daily_Master'!$A$2:$AH$82,24,FALSE)</x:f>
        <x:v>0</x:v>
      </x:c>
      <x:c r="F8" s="1245" t="n">
        <x:f>IF(ISNUMBER(E8),E8*$B$5,"")</x:f>
        <x:v>0</x:v>
      </x:c>
      <x:c r="G8" s="1246" t="str">
        <x:v>Manual/Wochenfeed</x:v>
      </x:c>
      <x:c r="H8" s="1247" t="str">
        <x:v>nicht + Sensizym im Reference.</x:v>
      </x:c>
      <x:c r="J8" s="60" t="str">
        <x:v>Bud Factor X</x:v>
      </x:c>
      <x:c r="K8" s="60" t="n">
        <x:f>INDEX('02_Daily_Master'!$AX$2:$AX$82,$B$4+1)</x:f>
        <x:v>0</x:v>
      </x:c>
      <x:c r="L8" s="60" t="n">
        <x:f>K8*$B$5</x:f>
        <x:v>0</x:v>
      </x:c>
      <x:c r="M8" s="60" t="str">
        <x:v>NOT OWNED</x:v>
      </x:c>
      <x:c r="N8" s="60" t="str">
        <x:v>No purchase.</x:v>
      </x:c>
    </x:row>
    <x:row r="9" ht="24" customHeight="1">
      <x:c r="A9" s="1158" t="str">
        <x:v>pH Down ml/L (tatsächlich)</x:v>
      </x:c>
      <x:c r="B9" s="1432" t="n">
        <x:f>'01_Run_Config'!$B$25</x:f>
        <x:v>0</x:v>
      </x:c>
      <x:c r="D9" s="1244" t="str">
        <x:v>SuperVit</x:v>
      </x:c>
      <x:c r="E9" s="1245" t="n">
        <x:f>VLOOKUP($B$4,'02_Daily_Master'!$A$2:$AH$82,25,FALSE)</x:f>
        <x:v>0.015</x:v>
      </x:c>
      <x:c r="F9" s="1245" t="n">
        <x:f>IF(ISNUMBER(E9),E9*$B$5,"")</x:f>
        <x:v>0.075</x:v>
      </x:c>
      <x:c r="G9" s="1246" t="str">
        <x:v>Batch</x:v>
      </x:c>
      <x:c r="H9" s="1247" t="str">
        <x:v>Mikrodosis.</x:v>
      </x:c>
      <x:c r="J9" s="60" t="str">
        <x:v>Sensizym</x:v>
      </x:c>
      <x:c r="K9" s="60" t="n">
        <x:f>INDEX('02_Daily_Master'!$AY$2:$AY$82,$B$4+1)</x:f>
        <x:v>0</x:v>
      </x:c>
      <x:c r="L9" s="60" t="n">
        <x:f>K9*$B$5</x:f>
        <x:v>0</x:v>
      </x:c>
      <x:c r="M9" s="60" t="str">
        <x:v>NOT OWNED</x:v>
      </x:c>
      <x:c r="N9" s="60" t="str">
        <x:v>No purchase; PowerZyme preferred.</x:v>
      </x:c>
    </x:row>
    <x:row r="10" ht="8" customHeight="1">
      <x:c r="A10" s="1375"/>
      <x:c r="B10" s="1376"/>
      <x:c r="D10" s="1244" t="str">
        <x:v>HESI Boost</x:v>
      </x:c>
      <x:c r="E10" s="1245" t="n">
        <x:f>VLOOKUP($B$4,'02_Daily_Master'!$A$2:$AH$82,27,FALSE)</x:f>
        <x:v>0</x:v>
      </x:c>
      <x:c r="F10" s="1245" t="n">
        <x:f>IF(ISNUMBER(E10),E10*$B$5,"")</x:f>
        <x:v>0</x:v>
      </x:c>
      <x:c r="G10" s="1246" t="str">
        <x:v>Manual/Wochenfeed</x:v>
      </x:c>
      <x:c r="H10" s="1247" t="str">
        <x:v>bei GM-Biostim-A/B konstant halten oder auslassen.</x:v>
      </x:c>
      <x:c r="J10" s="60" t="str">
        <x:v>Rhino Skin</x:v>
      </x:c>
      <x:c r="K10" s="60" t="n">
        <x:f>INDEX('02_Daily_Master'!$AZ$2:$AZ$82,$B$4+1)</x:f>
        <x:v>0</x:v>
      </x:c>
      <x:c r="L10" s="60" t="n">
        <x:f>K10*$B$5</x:f>
        <x:v>0</x:v>
      </x:c>
      <x:c r="M10" s="60" t="str">
        <x:v>NOT OWNED</x:v>
      </x:c>
      <x:c r="N10" s="60" t="str">
        <x:v>No purchase; Athena Balance preferred Si path.</x:v>
      </x:c>
    </x:row>
    <x:row r="11">
      <x:c r="A11" s="1217" t="str">
        <x:v>Mischreihenfolge v3</x:v>
      </x:c>
      <x:c r="B11" s="1218" t="str">
        <x:v>Owned-stock HESI + Athena + Voodoo/Tarantula</x:v>
      </x:c>
      <x:c r="D11" s="1244" t="str">
        <x:v>PK13/14</x:v>
      </x:c>
      <x:c r="E11" s="1245" t="n">
        <x:f>VLOOKUP($B$4,'02_Daily_Master'!$A$2:$AH$82,28,FALSE)</x:f>
        <x:v>0</x:v>
      </x:c>
      <x:c r="F11" s="1245" t="n">
        <x:f>IF(ISNUMBER(E11),E11*$B$5,"")</x:f>
        <x:v>0</x:v>
      </x:c>
      <x:c r="G11" s="1246" t="str">
        <x:v>Manual/Wochenfeed</x:v>
      </x:c>
      <x:c r="H11" s="1247" t="str">
        <x:v>nicht + Big Bud/Overdrive im gleichen UKD-Test.</x:v>
      </x:c>
      <x:c r="J11" s="60" t="str">
        <x:v>Bud Ignitor</x:v>
      </x:c>
      <x:c r="K11" s="60" t="n">
        <x:f>INDEX('02_Daily_Master'!$BA$2:$BA$82,$B$4+1)</x:f>
        <x:v>0</x:v>
      </x:c>
      <x:c r="L11" s="60" t="n">
        <x:f>K11*$B$5</x:f>
        <x:v>0</x:v>
      </x:c>
      <x:c r="M11" s="60" t="str">
        <x:v>NOT OWNED</x:v>
      </x:c>
      <x:c r="N11" s="60" t="str">
        <x:v>No purchase; HESI PK path preferred.</x:v>
      </x:c>
    </x:row>
    <x:row r="12">
      <x:c r="A12" s="1160" t="str">
        <x:v>1</x:v>
      </x:c>
      <x:c r="B12" s="1207" t="str">
        <x:v>Frisches Wasser; Ausgangs-pH, EC und Temperatur messen.</x:v>
      </x:c>
      <x:c r="D12" s="1248" t="str">
        <x:v>Voodoo Juice</x:v>
      </x:c>
      <x:c r="E12" s="1249" t="n">
        <x:f>VLOOKUP($B$4,'02_Daily_Master'!$A$2:$AH$82,29,FALSE)</x:f>
        <x:v>0</x:v>
      </x:c>
      <x:c r="F12" s="1249" t="n">
        <x:f>IF(ISNUMBER(E12),E12*$B$5,"")</x:f>
        <x:v>0</x:v>
      </x:c>
      <x:c r="G12" s="1250" t="str">
        <x:v>Frisch/Manual</x:v>
      </x:c>
      <x:c r="H12" s="1251" t="str">
        <x:v>definierte Frühfenster; kein stagnierender Dauertank.</x:v>
      </x:c>
      <x:c r="J12" s="60" t="str">
        <x:v>Big Bud</x:v>
      </x:c>
      <x:c r="K12" s="60" t="n">
        <x:f>INDEX('02_Daily_Master'!$BB$2:$BB$82,$B$4+1)</x:f>
        <x:v>0</x:v>
      </x:c>
      <x:c r="L12" s="60" t="n">
        <x:f>K12*$B$5</x:f>
        <x:v>0</x:v>
      </x:c>
      <x:c r="M12" s="60" t="str">
        <x:v>NOT OWNED</x:v>
      </x:c>
      <x:c r="N12" s="60" t="str">
        <x:v>No purchase; HESI PK path preferred.</x:v>
      </x:c>
    </x:row>
    <x:row r="13">
      <x:c r="A13" s="1162" t="str">
        <x:v>2</x:v>
      </x:c>
      <x:c r="B13" s="1200" t="str">
        <x:v>Athena Balance nur wenn Safety-Gate freigibt: zuerst vollständig in Wasser einmischen; keine feste Kalenderdosis.</x:v>
      </x:c>
      <x:c r="D13" s="1252" t="str">
        <x:v>pH Down</x:v>
      </x:c>
      <x:c r="E13" s="1253" t="n">
        <x:f>$B$9</x:f>
        <x:v>0</x:v>
      </x:c>
      <x:c r="F13" s="1253" t="n">
        <x:f>IF(ISNUMBER(E13),E13*$B$5,"")</x:f>
        <x:v>0</x:v>
      </x:c>
      <x:c r="G13" s="1254" t="str">
        <x:v>GANZ ZUM SCHLUSS</x:v>
      </x:c>
      <x:c r="H13" s="1255" t="str">
        <x:v>nur falls finaler Endmix über Ziel-pH liegt; Konzentration produktabhängig.</x:v>
      </x:c>
      <x:c r="J13" s="60" t="str">
        <x:v>Overdrive</x:v>
      </x:c>
      <x:c r="K13" s="60" t="n">
        <x:f>INDEX('02_Daily_Master'!$BC$2:$BC$82,$B$4+1)</x:f>
        <x:v>0</x:v>
      </x:c>
      <x:c r="L13" s="60" t="n">
        <x:f>K13*$B$5</x:f>
        <x:v>0</x:v>
      </x:c>
      <x:c r="M13" s="60" t="str">
        <x:v>NOT OWNED</x:v>
      </x:c>
      <x:c r="N13" s="60" t="str">
        <x:v>No purchase; HESI PK path preferred.</x:v>
      </x:c>
    </x:row>
    <x:row r="14">
      <x:c r="A14" s="1162" t="str">
        <x:v>3</x:v>
      </x:c>
      <x:c r="B14" s="1200" t="str">
        <x:v>Falls CalMag-Bedarf bestätigt: Sensi Cal Mag Xtra in der freigegebenen Plan-Dosis einmischen.</x:v>
      </x:c>
      <x:c r="D14" s="1256" t="str">
        <x:v>Hybrid status</x:v>
      </x:c>
      <x:c r="E14" s="1257" t="str">
        <x:f>'01_Run_Config'!$E$57</x:f>
        <x:v>OK</x:v>
      </x:c>
      <x:c r="F14" s="1257"/>
      <x:c r="G14" s="1257" t="str">
        <x:v>Frisch/Manual</x:v>
      </x:c>
      <x:c r="H14" s="1258" t="str">
        <x:v>BLOCK/REVIEW stoppt blindes Mischen; siehe Module rechts.</x:v>
      </x:c>
      <x:c r="J14" s="60" t="str">
        <x:v>Tasty Terpenes</x:v>
      </x:c>
      <x:c r="K14" s="60" t="n">
        <x:f>INDEX('02_Daily_Master'!$BD$2:$BD$82,$B$4+1)</x:f>
        <x:v>0</x:v>
      </x:c>
      <x:c r="L14" s="60" t="n">
        <x:f>K14*$B$5</x:f>
        <x:v>0</x:v>
      </x:c>
      <x:c r="M14" s="60" t="str">
        <x:v>OWNED / OFF</x:v>
      </x:c>
      <x:c r="N14" s="60" t="str">
        <x:v>Reserve for documented A/B only.</x:v>
      </x:c>
    </x:row>
    <x:row r="15">
      <x:c r="A15" s="1162" t="str">
        <x:v>4</x:v>
      </x:c>
      <x:c r="B15" s="1200" t="str">
        <x:v>HESI Basis (TNT oder Coco) vollständig einmischen.</x:v>
      </x:c>
      <x:c r="D15" s="1259" t="str">
        <x:v>Silizium-Modul</x:v>
      </x:c>
      <x:c r="E15" s="1260" t="n">
        <x:f>IF('01_Run_Config'!$B$51="HESI Hesilicio",INDEX('02_Daily_Master'!$Z$2:$Z$82,$B$4+1),IF('01_Run_Config'!$B$51="AN Rhino Skin",INDEX('02_Daily_Master'!$AZ$2:$AZ$82,$B$4+1),0))</x:f>
        <x:v>0</x:v>
      </x:c>
      <x:c r="F15" s="1260" t="n">
        <x:v>0</x:v>
      </x:c>
      <x:c r="G15" s="1260" t="str">
        <x:v>AUS</x:v>
      </x:c>
      <x:c r="H15" s="1261" t="str">
        <x:v>Athena/Hesilicio/Rhino sind alternative Si-Pfade.</x:v>
      </x:c>
      <x:c r="J15" s="60" t="str">
        <x:v>Sensi CalMag Xtra</x:v>
      </x:c>
      <x:c r="K15" s="60" t="n">
        <x:f>INDEX('02_Daily_Master'!$BE$2:$BE$82,$B$4+1)</x:f>
        <x:v>0</x:v>
      </x:c>
      <x:c r="L15" s="60" t="n">
        <x:f>K15*$B$5</x:f>
        <x:v>0</x:v>
      </x:c>
      <x:c r="M15" s="60" t="str">
        <x:v>OWNED / CONDITIONAL</x:v>
      </x:c>
      <x:c r="N15" s="60" t="str">
        <x:v>Dose = CalMag Plan ml/L; default 0 until need is established.</x:v>
      </x:c>
    </x:row>
    <x:row r="16">
      <x:c r="A16" s="1162" t="str">
        <x:v>5</x:v>
      </x:c>
      <x:c r="B16" s="1200" t="str">
        <x:v>HESI Wurzel Complex / PowerZyme / SuperVit und - in Blüte - HESI Boost bzw. HESI PK nach Tagesplan einzeln zugeben.</x:v>
      </x:c>
      <x:c r="D16" s="1262" t="str">
        <x:v>pH Perfect</x:v>
      </x:c>
      <x:c r="E16" s="1263" t="n">
        <x:v>0</x:v>
      </x:c>
      <x:c r="F16" s="1263" t="n">
        <x:v>0</x:v>
      </x:c>
      <x:c r="G16" s="1263" t="str">
        <x:v>ALT-SYSTEM</x:v>
      </x:c>
      <x:c r="H16" s="1264" t="str">
        <x:v>kein Additiv; nur Eigenschaft separater AN-Basislinien.</x:v>
      </x:c>
      <x:c r="J16" s="60" t="str">
        <x:v>Revive</x:v>
      </x:c>
      <x:c r="K16" s="60" t="n">
        <x:f>INDEX('02_Daily_Master'!$BF$2:$BF$82,$B$4+1)</x:f>
        <x:v>0</x:v>
      </x:c>
      <x:c r="L16" s="60" t="n">
        <x:f>K16*$B$5</x:f>
        <x:v>0</x:v>
      </x:c>
      <x:c r="M16" s="60" t="str">
        <x:v>NOT OWNED</x:v>
      </x:c>
      <x:c r="N16" s="60" t="str">
        <x:v>Diagnostic-only; no purchase needed.</x:v>
      </x:c>
    </x:row>
    <x:row r="17">
      <x:c r="A17" s="1236" t="str">
        <x:v>6</x:v>
      </x:c>
      <x:c r="B17" s="1239" t="str">
        <x:v>EC messen; Basisstärke nicht blind erhöhen, wenn Drain-/Stress-Gates dagegen sprechen.</x:v>
      </x:c>
      <x:c r="D17" s="2064" t="str">
        <x:v>Propagation gate</x:v>
      </x:c>
      <x:c r="E17" s="2064"/>
      <x:c r="F17" s="2064"/>
      <x:c r="G17" s="2064"/>
      <x:c r="H17" s="2064" t="str">
        <x:v>Day-based plan is not authorization while Eazy Plug/Block propagation gate is unresolved.</x:v>
      </x:c>
      <x:c r="J17" s="60"/>
      <x:c r="K17" s="60"/>
      <x:c r="L17" s="60"/>
      <x:c r="M17" s="60"/>
      <x:c r="N17" s="60"/>
    </x:row>
    <x:row r="18">
      <x:c r="A18" s="1162" t="str">
        <x:v>7</x:v>
      </x:c>
      <x:c r="B18" s="1200" t="str">
        <x:v>5–10 min homogenisieren; finalen pH messen. 5.9 ist Arbeitssetpoint innerhalb 5.8–6.2.</x:v>
      </x:c>
      <x:c r="J18" s="1801" t="str">
        <x:v>Owned extra</x:v>
      </x:c>
      <x:c r="K18" s="1801" t="str">
        <x:v>Stock</x:v>
      </x:c>
      <x:c r="L18" s="1801" t="str">
        <x:v>Default</x:v>
      </x:c>
      <x:c r="M18" s="1801" t="str">
        <x:v>Repurchase</x:v>
      </x:c>
      <x:c r="N18" s="1801" t="str">
        <x:v>Rule</x:v>
      </x:c>
    </x:row>
    <x:row r="19" ht="26" customHeight="1">
      <x:c r="A19" s="1267" t="str">
        <x:v>8</x:v>
      </x:c>
      <x:c r="B19" s="1268" t="str">
        <x:v>Nur wenn final zu hoch: pH Down vorsichtig nach komplettem Mix. Kein pH-Ping-Pong mit Athena Balance.</x:v>
      </x:c>
      <x:c r="C19" s="14"/>
      <x:c r="D19" s="14"/>
      <x:c r="J19" s="60" t="str">
        <x:v>CarboLoad</x:v>
      </x:c>
      <x:c r="K19" s="60" t="str">
        <x:v>tiny remainder</x:v>
      </x:c>
      <x:c r="L19" s="60" t="str">
        <x:v>OFF</x:v>
      </x:c>
      <x:c r="M19" s="60" t="str">
        <x:v>NO</x:v>
      </x:c>
      <x:c r="N19" s="60" t="str">
        <x:v>Redundant carbohydrate path while HESI Boost is selected; reserve for future A/B.</x:v>
      </x:c>
    </x:row>
    <x:row r="20" ht="44" customHeight="1">
      <x:c r="A20" s="1196" t="str">
        <x:v>9</x:v>
      </x:c>
      <x:c r="B20" s="1198" t="str">
        <x:v>Voodoo Juice + Tarantula erst nach fertiger pH-Korrektur und starker Verdünnung als letzte biologische Zusätze zugeben.</x:v>
      </x:c>
      <x:c r="C20" s="62"/>
      <x:c r="D20" s="33"/>
      <x:c r="J20" s="60" t="str">
        <x:v>Athena Balance</x:v>
      </x:c>
      <x:c r="K20" s="60" t="str">
        <x:v>available</x:v>
      </x:c>
      <x:c r="L20" s="60" t="str">
        <x:v>CONDITIONAL</x:v>
      </x:c>
      <x:c r="M20" s="60" t="str">
        <x:v>NO</x:v>
      </x:c>
      <x:c r="N20" s="60" t="str">
        <x:v>Preferred silicon/pH buffer, but no universal ml/L schedule; titrate only after gate.</x:v>
      </x:c>
    </x:row>
    <x:row r="21" ht="44" customHeight="1">
      <x:c r="A21" s="1162" t="str">
        <x:v>10</x:v>
      </x:c>
      <x:c r="B21" s="1200" t="str">
        <x:v>CarboLoad und Tasty Terpenes sind im Reference-Preset AUS; nicht zum 'Aufbrauchen' zusätzlich in den Mix geben.</x:v>
      </x:c>
      <x:c r="C21" s="63"/>
      <x:c r="D21" s="35"/>
      <x:c r="J21" s="60" t="str">
        <x:v>HESI Boost</x:v>
      </x:c>
      <x:c r="K21" s="60" t="str">
        <x:v>available</x:v>
      </x:c>
      <x:c r="L21" s="60" t="str">
        <x:v>ACTIVE</x:v>
      </x:c>
      <x:c r="M21" s="60" t="str">
        <x:v>NO</x:v>
      </x:c>
      <x:c r="N21" s="60" t="str">
        <x:v>Preferred bloom biostim/carbo path in current inventory preset.</x:v>
      </x:c>
    </x:row>
    <x:row r="22" ht="44" customHeight="1">
      <x:c r="A22" s="1164" t="str">
        <x:v>11</x:v>
      </x:c>
      <x:c r="B22" s="1203" t="str">
        <x:v>Nie Konzentrate direkt miteinander mischen; jede Komponente einzeln ins Wasser.</x:v>
      </x:c>
      <x:c r="C22" s="64"/>
      <x:c r="D22" s="37"/>
    </x:row>
    <x:row r="24">
      <x:c r="A24" s="707" t="str">
        <x:v>pH-ENTSCHEIDUNG · erst Endmix beurteilen</x:v>
      </x:c>
      <x:c r="B24" s="707"/>
      <x:c r="C24" s="707"/>
      <x:c r="D24" s="707"/>
      <x:c r="E24" s="707"/>
      <x:c r="F24" s="707"/>
      <x:c r="G24" s="707"/>
      <x:c r="H24" s="707"/>
    </x:row>
    <x:row r="25" ht="15" hidden="0" customHeight="1">
      <x:c r="A25" s="790" t="str">
        <x:v>Fall</x:v>
      </x:c>
      <x:c r="B25" s="790" t="str">
        <x:v>Endmix / Wasser</x:v>
      </x:c>
      <x:c r="C25" s="790" t="str">
        <x:v>Athena Balance</x:v>
      </x:c>
      <x:c r="D25" s="790" t="str">
        <x:v>pH Down</x:v>
      </x:c>
      <x:c r="E25" s="790" t="str">
        <x:v>Silizium</x:v>
      </x:c>
      <x:c r="F25" s="790" t="str">
        <x:v>Aktion</x:v>
      </x:c>
      <x:c r="G25" s="790" t="str">
        <x:v>Warum</x:v>
      </x:c>
      <x:c r="H25" s="790" t="str">
        <x:v>Status</x:v>
      </x:c>
    </x:row>
    <x:row r="26" ht="30" hidden="0" customHeight="1">
      <x:c r="A26" s="1160" t="str">
        <x:v>A</x:v>
      </x:c>
      <x:c r="B26" s="1206" t="str">
        <x:v>Endmix 5.8–6.2</x:v>
      </x:c>
      <x:c r="C26" s="1206" t="str">
        <x:v>0</x:v>
      </x:c>
      <x:c r="D26" s="1206" t="str">
        <x:v>0</x:v>
      </x:c>
      <x:c r="E26" s="1206" t="str">
        <x:v>kein Zusatz nötig</x:v>
      </x:c>
      <x:c r="F26" s="1206" t="str">
        <x:v>nichts ändern</x:v>
      </x:c>
      <x:c r="G26" s="1206" t="str">
        <x:v>HESI-Coco-Band bereits erreicht</x:v>
      </x:c>
      <x:c r="H26" s="1207" t="str">
        <x:v>OPTIMAL</x:v>
      </x:c>
    </x:row>
    <x:row r="27" ht="42" hidden="0" customHeight="1">
      <x:c r="A27" s="1162" t="str">
        <x:v>B</x:v>
      </x:c>
      <x:c r="B27" s="1201" t="str">
        <x:v>Baseline-Endmix &lt;5.8 + RO/weich + Source-pH/Ca/Mg/HCO3 gemessen</x:v>
      </x:c>
      <x:c r="C27" s="1201" t="str">
        <x:v>nächsten Batch vorsichtig titrieren</x:v>
      </x:c>
      <x:c r="D27" s="1201" t="str">
        <x:v>0</x:v>
      </x:c>
      <x:c r="E27" s="1201" t="str">
        <x:v>Balance deckt Si</x:v>
      </x:c>
      <x:c r="F27" s="1201" t="str">
        <x:v>kleinschrittiger Testbatch</x:v>
      </x:c>
      <x:c r="G27" s="1201" t="str">
        <x:v>Athena nennt keine universelle ml/L-Application-Rate</x:v>
      </x:c>
      <x:c r="H27" s="1200" t="str">
        <x:v>TEST</x:v>
      </x:c>
    </x:row>
    <x:row r="28" ht="36" hidden="0" customHeight="1">
      <x:c r="A28" s="1164" t="str">
        <x:v>C</x:v>
      </x:c>
      <x:c r="B28" s="1202" t="str">
        <x:v>final &gt;6.2</x:v>
      </x:c>
      <x:c r="C28" s="1202" t="str">
        <x:v>0</x:v>
      </x:c>
      <x:c r="D28" s="1202" t="str">
        <x:v>vorsichtig NACH Endmix</x:v>
      </x:c>
      <x:c r="E28" s="1202" t="str">
        <x:v>optional separate Si-Quelle</x:v>
      </x:c>
      <x:c r="F28" s="1202" t="str">
        <x:v>nur eine Richtung korrigieren</x:v>
      </x:c>
      <x:c r="G28" s="1202" t="str">
        <x:v>Balance würde pH weiter erhöhen; kein pH-Ping-Pong</x:v>
      </x:c>
      <x:c r="H28" s="1203" t="str">
        <x:v>KORRIGIEREN</x:v>
      </x:c>
    </x:row>
    <x:row r="29" ht="54" hidden="0" customHeight="1">
      <x:c r="A29" s="1733" t="str">
        <x:v>D</x:v>
      </x:c>
      <x:c r="B29" s="1731" t="str">
        <x:v>Endmix &lt;5.8, Wasserchemie unbekannt</x:v>
      </x:c>
      <x:c r="C29" s="1731" t="str">
        <x:v>BLOCK</x:v>
      </x:c>
      <x:c r="D29" s="1731" t="str">
        <x:v>0</x:v>
      </x:c>
      <x:c r="E29" s="1731" t="str">
        <x:v>0</x:v>
      </x:c>
      <x:c r="F29" s="1731" t="str">
        <x:v>erst Source-pH, Ca, Mg, HCO3/Alkalinität + Baseline-Endmix erfassen</x:v>
      </x:c>
      <x:c r="G29" s="1731" t="str">
        <x:v>unterbestimmte Titration darf keine operative Dosis erzeugen</x:v>
      </x:c>
      <x:c r="H29" s="1729" t="str">
        <x:v>BLOCK</x:v>
      </x:c>
    </x:row>
  </x:sheetData>
  <x:mergeCells>
    <x:mergeCell ref="A24:H24"/>
    <x:mergeCell ref="A1:H1"/>
  </x:mergeCells>
  <x:conditionalFormatting sqref="E4:F16">
    <x:cfRule type="expression" dxfId="51" priority="1">
      <x:formula>AND(ISNUMBER(E4),E4&gt;0)</x:formula>
    </x:cfRule>
  </x:conditionalFormatting>
  <x:conditionalFormatting sqref="H26:H28">
    <x:cfRule type="expression" dxfId="59" priority="2">
      <x:formula>H26="OPTIMAL"</x:formula>
    </x:cfRule>
    <x:cfRule type="expression" dxfId="60" priority="3">
      <x:formula>H26="TEST"</x:formula>
    </x:cfRule>
    <x:cfRule type="expression" dxfId="61" priority="4">
      <x:formula>H26="KORRIGIEREN"</x:formula>
    </x:cfRule>
  </x:conditionalFormatting>
  <x:dataValidations count="1">
    <x:dataValidation type="list" sqref="B7">
      <x:formula1>"Ja,Nein"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2" hidden="0" customWidth="1"/>
    <x:col min="3" max="3" width="28" hidden="0" customWidth="1"/>
    <x:col min="4" max="4" width="28" hidden="0" customWidth="1"/>
    <x:col min="5" max="5" width="25" hidden="0" customWidth="1"/>
    <x:col min="6" max="6" width="15" hidden="0" customWidth="1"/>
    <x:col min="7" max="7" width="42" hidden="0" customWidth="1"/>
    <x:col min="8" max="8" width="42" hidden="0" customWidth="1"/>
    <x:col min="9" max="9" width="45" hidden="0" customWidth="1"/>
    <x:col min="10" max="10" width="10" hidden="0" customWidth="1"/>
    <x:col min="11" max="11" width="40" hidden="0" customWidth="1"/>
    <x:col min="12" max="12" width="18" hidden="0" customWidth="1"/>
  </x:cols>
  <x:sheetData>
    <x:row r="1">
      <x:c r="A1" s="1614" t="str">
        <x:v>Produkt</x:v>
      </x:c>
      <x:c r="B1" s="1615" t="str">
        <x:v>Funktion</x:v>
      </x:c>
      <x:c r="C1" s="1615" t="str">
        <x:v>Herstellerdosis</x:v>
      </x:c>
      <x:c r="D1" s="1615" t="str">
        <x:v>UKD Custom Plan (NICHT Herstellerchart)</x:v>
      </x:c>
      <x:c r="E1" s="1615" t="str">
        <x:v>Phase/Fenster</x:v>
      </x:c>
      <x:c r="F1" s="1615" t="str">
        <x:v>Reservoir</x:v>
      </x:c>
      <x:c r="G1" s="1615" t="str">
        <x:v>Redundanz</x:v>
      </x:c>
      <x:c r="H1" s="1615" t="str">
        <x:v>Stop-Regel</x:v>
      </x:c>
      <x:c r="I1" s="1615" t="str">
        <x:v>Quelle</x:v>
      </x:c>
      <x:c r="J1" s="1615" t="str">
        <x:v>Evidenz</x:v>
      </x:c>
      <x:c r="K1" s="1615" t="str">
        <x:v>Kommentar</x:v>
      </x:c>
      <x:c r="L1" s="1616" t="str">
        <x:v>UKD Status</x:v>
      </x:c>
    </x:row>
    <x:row r="2">
      <x:c r="A2" s="1191" t="str">
        <x:v>TNT Complex</x:v>
      </x:c>
      <x:c r="B2" s="62" t="str">
        <x:v>Veg-Vollbasis</x:v>
      </x:c>
      <x:c r="C2" s="62" t="str">
        <x:v>5 ml/L; halb jung/kontinuierlich</x:v>
      </x:c>
      <x:c r="D2" s="62" t="str">
        <x:v>1.25→2.5 ml/L Planstart; bewusst unter 5 ml/L Label</x:v>
      </x:c>
      <x:c r="E2" s="62" t="str">
        <x:v>ab Nährstoffaufnahme bis klare Preflower</x:v>
      </x:c>
      <x:c r="F2" s="62" t="str">
        <x:v>ja</x:v>
      </x:c>
      <x:c r="G2" s="62" t="str">
        <x:v>nicht parallel zu Voll-HESI-Coco</x:v>
      </x:c>
      <x:c r="H2" s="62" t="str">
        <x:v>bei Spitzenbrand/Drain-EC hoch zuerst Stärke senken</x:v>
      </x:c>
      <x:c r="I2" s="62" t="str">
        <x:v>https://hesi.nl/de/TNT-COMPLEX</x:v>
      </x:c>
      <x:c r="J2" s="62" t="str">
        <x:v>A</x:v>
      </x:c>
      <x:c r="K2" s="62" t="str">
        <x:v>Label 5 ml/L; halb bei jungen/langfristig versorgten Pflanzen. UKD-Kurve ist konservative, nicht validierte Anpassung.</x:v>
      </x:c>
      <x:c r="L2" s="1192" t="str">
        <x:v>CORE</x:v>
      </x:c>
    </x:row>
    <x:row r="3">
      <x:c r="A3" s="1156" t="str">
        <x:v>HESI Coco</x:v>
      </x:c>
      <x:c r="B3" s="201" t="str">
        <x:v>Coco-Blütebasis</x:v>
      </x:c>
      <x:c r="C3" s="201" t="str">
        <x:v>5 ml/L bei jedem Gießen</x:v>
      </x:c>
      <x:c r="D3" s="201" t="str">
        <x:v>2.5→4.0→Taper; bewusst unter 5 ml/L Label</x:v>
      </x:c>
      <x:c r="E3" s="201" t="str">
        <x:v>Preflower bis Reife</x:v>
      </x:c>
      <x:c r="F3" s="201" t="str">
        <x:v>ja</x:v>
      </x:c>
      <x:c r="G3" s="201" t="str">
        <x:v>keine zweite Vollbasis</x:v>
      </x:c>
      <x:c r="H3" s="201" t="str">
        <x:v>pH nach Zugabe prüfen; EC/Blattzustand überschreiben Plan</x:v>
      </x:c>
      <x:c r="I3" s="201" t="str">
        <x:v>https://hesi.nl/de/COCO</x:v>
      </x:c>
      <x:c r="J3" s="201" t="str">
        <x:v>A</x:v>
      </x:c>
      <x:c r="K3" s="201" t="str">
        <x:v>Hersteller: 5 ml/L bei jedem Gießen. UKD-Kurve ist ein konservativer Auto-/140-W-Pilot, kein offizielles HESI-Schema.</x:v>
      </x:c>
      <x:c r="L3" s="1193" t="str">
        <x:v>CORE</x:v>
      </x:c>
    </x:row>
    <x:row r="4">
      <x:c r="A4" s="1156" t="str">
        <x:v>Wurzel Complex</x:v>
      </x:c>
      <x:c r="B4" s="201" t="str">
        <x:v>Root/Stress</x:v>
      </x:c>
      <x:c r="C4" s="201" t="str">
        <x:v>5 ml/L; halb bei häufiger/langer Nutzung</x:v>
      </x:c>
      <x:c r="D4" s="201" t="str">
        <x:v>2.5 ml/L definierte Frühgaben</x:v>
      </x:c>
      <x:c r="E4" s="201" t="str">
        <x:v>Etablierung/Veg; Stress</x:v>
      </x:c>
      <x:c r="F4" s="201" t="str">
        <x:v>manual/fresh</x:v>
      </x:c>
      <x:c r="G4" s="201" t="str">
        <x:v>Voodoo ergänzt andere Funktion, aber A/B überwachen</x:v>
      </x:c>
      <x:c r="H4" s="201" t="str">
        <x:v>nicht dauerhaft als Problem-Löser</x:v>
      </x:c>
      <x:c r="I4" s="201" t="str">
        <x:v>https://hesi.nl/de/Wurzel-Complex</x:v>
      </x:c>
      <x:c r="J4" s="201" t="str">
        <x:v>A</x:v>
      </x:c>
      <x:c r="K4" s="201" t="str">
        <x:v>Mikronährstoffe/Vitamine/Aminosäuren</x:v>
      </x:c>
      <x:c r="L4" s="1193" t="str">
        <x:v>CORE</x:v>
      </x:c>
    </x:row>
    <x:row r="5">
      <x:c r="A5" s="1156" t="str">
        <x:v>PowerZyme</x:v>
      </x:c>
      <x:c r="B5" s="201" t="str">
        <x:v>Enzym</x:v>
      </x:c>
      <x:c r="C5" s="201" t="str">
        <x:v>2 ml/L durchgehend</x:v>
      </x:c>
      <x:c r="D5" s="201" t="str">
        <x:v>2 ml/L als UKD-Wochenfeed</x:v>
      </x:c>
      <x:c r="E5" s="201" t="str">
        <x:v>gesamter Zyklus bis spät</x:v>
      </x:c>
      <x:c r="F5" s="201" t="str">
        <x:v>manual/kurz</x:v>
      </x:c>
      <x:c r="G5" s="201" t="str">
        <x:v>Sensizym redundant</x:v>
      </x:c>
      <x:c r="H5" s="201" t="str">
        <x:v>nicht + Sensizym im Reference</x:v>
      </x:c>
      <x:c r="I5" s="201" t="str">
        <x:v>https://hesi.nl/de/PowerZyme</x:v>
      </x:c>
      <x:c r="J5" s="201" t="str">
        <x:v>A</x:v>
      </x:c>
      <x:c r="K5" s="201" t="str">
        <x:v>Hersteller: 2 ml/L durchgängig während des gesamten Lebenszyklus. Wochenfeed = UKD-Reduktion ohne kontrollierten Wirksamkeitsnachweis.</x:v>
      </x:c>
      <x:c r="L5" s="1193" t="str">
        <x:v>CORE</x:v>
      </x:c>
    </x:row>
    <x:row r="6">
      <x:c r="A6" s="1156" t="str">
        <x:v>SuperVit</x:v>
      </x:c>
      <x:c r="B6" s="201" t="str">
        <x:v>Biostim</x:v>
      </x:c>
      <x:c r="C6" s="201" t="str">
        <x:v>1 ml/65 L</x:v>
      </x:c>
      <x:c r="D6" s="201" t="str">
        <x:v>0.015 ml/L pro frischem Batch</x:v>
      </x:c>
      <x:c r="E6" s="201" t="str">
        <x:v>gesamter Zyklus</x:v>
      </x:c>
      <x:c r="F6" s="201" t="str">
        <x:v>ja</x:v>
      </x:c>
      <x:c r="G6" s="201" t="str">
        <x:v>B-52 teilweise funktionell redundant</x:v>
      </x:c>
      <x:c r="H6" s="201" t="str">
        <x:v>Mikrodosis nicht 'nach Gefühl' erhöhen</x:v>
      </x:c>
      <x:c r="I6" s="201" t="str">
        <x:v>https://hesi.nl/de/SUPERVIT</x:v>
      </x:c>
      <x:c r="J6" s="201" t="str">
        <x:v>A/D</x:v>
      </x:c>
      <x:c r="K6" s="201" t="str">
        <x:v>sehr geringe Dosis</x:v>
      </x:c>
      <x:c r="L6" s="1193" t="str">
        <x:v>CORE</x:v>
      </x:c>
    </x:row>
    <x:row r="7">
      <x:c r="A7" s="1156" t="str">
        <x:v>Hesilicio</x:v>
      </x:c>
      <x:c r="B7" s="201" t="str">
        <x:v>Silizium</x:v>
      </x:c>
      <x:c r="C7" s="201" t="str">
        <x:v>max 0.5 ml/L, ~1×/Woche</x:v>
      </x:c>
      <x:c r="D7" s="201" t="str">
        <x:v>AUS wenn Athena Balance genutzt wird</x:v>
      </x:c>
      <x:c r="E7" s="201" t="str">
        <x:v>Veg bis Late Flower</x:v>
      </x:c>
      <x:c r="F7" s="201" t="str">
        <x:v>nur Alternative</x:v>
      </x:c>
      <x:c r="G7" s="201" t="str">
        <x:v>Athena Balance/Rhino Skin redundant</x:v>
      </x:c>
      <x:c r="H7" s="201" t="str">
        <x:v>nur eine Siliziumquelle; Balance liefert bereits K-Silikat</x:v>
      </x:c>
      <x:c r="I7" s="201" t="str">
        <x:v>https://hesi.nl/de/Hesilicio</x:v>
      </x:c>
      <x:c r="J7" s="201" t="str">
        <x:v>A</x:v>
      </x:c>
      <x:c r="K7" s="201" t="str">
        <x:v>3% Orthokieselsäure</x:v>
      </x:c>
      <x:c r="L7" s="1193" t="str">
        <x:v>ALTERNATIVE</x:v>
      </x:c>
    </x:row>
    <x:row r="8">
      <x:c r="A8" s="1156" t="str">
        <x:v>Boost</x:v>
      </x:c>
      <x:c r="B8" s="201" t="str">
        <x:v>Blütestimulator</x:v>
      </x:c>
      <x:c r="C8" s="201" t="str">
        <x:v>2 ml/L regelmäßig</x:v>
      </x:c>
      <x:c r="D8" s="201" t="str">
        <x:v>2 ml/L als UKD-Wochenfeed</x:v>
      </x:c>
      <x:c r="E8" s="201" t="str">
        <x:v>Transition–Late Flower</x:v>
      </x:c>
      <x:c r="F8" s="201" t="str">
        <x:v>manual</x:v>
      </x:c>
      <x:c r="G8" s="201" t="str">
        <x:v>Bud Candy/CarboLoad/B-52 teilw. überlappend</x:v>
      </x:c>
      <x:c r="H8" s="201" t="str">
        <x:v>bei A/B-Bloomtest konstant halten oder weglassen</x:v>
      </x:c>
      <x:c r="I8" s="201" t="str">
        <x:v>https://hesi.nl/de/Boost</x:v>
      </x:c>
      <x:c r="J8" s="201" t="str">
        <x:v>A/D</x:v>
      </x:c>
      <x:c r="K8" s="201" t="str">
        <x:v>Hersteller: 2 ml/L regelmäßig/fortlaufend in der Blüte. Wochenfeed = UKD-Reduktion, nicht Herstellerchart.</x:v>
      </x:c>
      <x:c r="L8" s="1193" t="str">
        <x:v>OPTION/REF</x:v>
      </x:c>
    </x:row>
    <x:row r="9">
      <x:c r="A9" s="1156" t="str">
        <x:v>PK 13/14</x:v>
      </x:c>
      <x:c r="B9" s="201" t="str">
        <x:v>PK</x:v>
      </x:c>
      <x:c r="C9" s="201" t="str">
        <x:v>0.25–1.5 ml/L zweite Hälfte steigern</x:v>
      </x:c>
      <x:c r="D9" s="201" t="str">
        <x:v>0.25–0.5 ml/L gezielte Wochenfeeds</x:v>
      </x:c>
      <x:c r="E9" s="201" t="str">
        <x:v>Peak/Late Flower</x:v>
      </x:c>
      <x:c r="F9" s="201" t="str">
        <x:v>manual</x:v>
      </x:c>
      <x:c r="G9" s="201" t="str">
        <x:v>Big Bud/BB Coco/Overdrive PK-Redundanz</x:v>
      </x:c>
      <x:c r="H9" s="201" t="str">
        <x:v>kein PK-Push bei hohen EC/Spitzenbrand</x:v>
      </x:c>
      <x:c r="I9" s="201" t="str">
        <x:v>https://hesi.nl/de/PK-13-14</x:v>
      </x:c>
      <x:c r="J9" s="201" t="str">
        <x:v>A</x:v>
      </x:c>
      <x:c r="K9" s="201" t="str">
        <x:v>Hersteller warnt K-Überschuss→Ca/Mg-Mangel</x:v>
      </x:c>
      <x:c r="L9" s="1193" t="str">
        <x:v>OPTION</x:v>
      </x:c>
    </x:row>
    <x:row r="10">
      <x:c r="A10" s="1158" t="str">
        <x:v>CalMag</x:v>
      </x:c>
      <x:c r="B10" s="1194" t="str">
        <x:v>Ca/Mg/Fe</x:v>
      </x:c>
      <x:c r="C10" s="1194" t="str">
        <x:v>bis Wasser-EC 0.4–0.5; RO typ. 3–4 ml/5L</x:v>
      </x:c>
      <x:c r="D10" s="1194" t="str">
        <x:v>nur Wasseranalyse-/Bedarf</x:v>
      </x:c>
      <x:c r="E10" s="1194" t="str">
        <x:v>alle Phasen bei Bedarf</x:v>
      </x:c>
      <x:c r="F10" s="1194" t="str">
        <x:v>ja</x:v>
      </x:c>
      <x:c r="G10" s="1194" t="str">
        <x:v>Sensi CalMag Xtra redundant</x:v>
      </x:c>
      <x:c r="H10" s="1194" t="str">
        <x:v>nicht pauschal zusätzlich zu Ca/Mg-haltiger Basis</x:v>
      </x:c>
      <x:c r="I10" s="1194" t="str">
        <x:v>https://hesi.nl/de/CalMag</x:v>
      </x:c>
      <x:c r="J10" s="1194" t="str">
        <x:v>A</x:v>
      </x:c>
      <x:c r="K10" s="1194" t="str">
        <x:v>NPK 5-0-0; MgO/CaO</x:v>
      </x:c>
      <x:c r="L10" s="1195" t="str">
        <x:v>CONDITIONAL</x:v>
      </x:c>
    </x:row>
    <x:row r="12">
      <x:c r="A12" s="1625" t="str">
        <x:v>AUDIT: 'UKD HESI Conservative' ist ein projektspezifischer, reduzierter Plan. Herstellerlabel und UKD-Dosis/Cadence sind getrennte Datenebenen. Für TNT/Coco/PowerZyme/Boost ist die UKD-Kurve NICHT als Hersteller- oder wissenschaftlich bewiesenes Optimum zu lesen.</x:v>
      </x:c>
      <x:c r="B12" s="1626"/>
      <x:c r="C12" s="1626"/>
      <x:c r="D12" s="1626"/>
      <x:c r="E12" s="1626"/>
      <x:c r="F12" s="1626"/>
      <x:c r="G12" s="1626"/>
      <x:c r="H12" s="1626"/>
      <x:c r="I12" s="1626"/>
      <x:c r="J12" s="1626"/>
      <x:c r="K12" s="1626"/>
      <x:c r="L12" s="1627"/>
    </x:row>
    <x:row r="13">
      <x:c r="A13" s="1718" t="str">
        <x:v>FINISH / FLUSH SOURCE CONFLICT</x:v>
      </x:c>
      <x:c r="B13" s="1719"/>
      <x:c r="C13" s="1719"/>
      <x:c r="D13" s="1719"/>
      <x:c r="E13" s="1719"/>
      <x:c r="F13" s="1719"/>
      <x:c r="G13" s="1719"/>
      <x:c r="H13" s="1719"/>
      <x:c r="I13" s="1719"/>
      <x:c r="J13" s="1719"/>
      <x:c r="K13" s="1719"/>
      <x:c r="L13" s="1720"/>
    </x:row>
    <x:row r="14">
      <x:c r="A14" s="60" t="str">
        <x:v>HESI PK 13/14 manufacturer label</x:v>
      </x:c>
      <x:c r="B14" s="60" t="str">
        <x:v>Herstellerseite: letzte Woche vor Ernte nur reines Wasser.</x:v>
      </x:c>
      <x:c r="C14" s="60" t="str">
        <x:v>UKD v6 führt dies NICHT als universelles Qualitätsoptimum, sondern als Herstellerlabel/optionale ressourcensparende Finish-Variante.</x:v>
      </x:c>
      <x:c r="D14" s="60" t="str">
        <x:v>Die unabhängige Cannabis-Literatur zeigt nur geringe bzw. cultivarabhängige Qualitätswirkungen des Flushens.</x:v>
      </x:c>
      <x:c r="E14" s="60" t="str">
        <x:v>Wenn 'HESI-label-compliant finish' gewählt wird: letzte Woche Basis/PK aus und Wasserchemie/EC dokumentieren.</x:v>
      </x:c>
      <x:c r="F14" s="60"/>
      <x:c r="G14" s="60"/>
      <x:c r="H14" s="60"/>
      <x:c r="I14" s="60" t="str">
        <x:v>https://hesi.nl/de/PK-13-14</x:v>
      </x:c>
      <x:c r="J14" s="60" t="str">
        <x:v>A Hersteller + A Primärliteratur</x:v>
      </x:c>
      <x:c r="K14" s="60" t="str">
        <x:v>Explizite Abweichung statt stiller Vermischung.</x:v>
      </x:c>
      <x:c r="L14" s="60" t="str">
        <x:v>CONDITIONAL</x:v>
      </x:c>
    </x:row>
    <x:row r="15">
      <x:c r="A15" s="1789" t="str">
        <x:v>v7 HYBRID COVERAGE</x:v>
      </x:c>
      <x:c r="B15" s="1789"/>
      <x:c r="C15" s="1789"/>
      <x:c r="D15" s="1789"/>
      <x:c r="E15" s="1789"/>
      <x:c r="F15" s="1789"/>
      <x:c r="G15" s="1789"/>
      <x:c r="H15" s="1789"/>
    </x:row>
    <x:row r="16">
      <x:c r="A16" s="60" t="str">
        <x:v>HESI Core completeness</x:v>
      </x:c>
      <x:c r="B16" s="60" t="str">
        <x:v>Wurzel Complex</x:v>
      </x:c>
      <x:c r="C16" s="60" t="str">
        <x:v>2.5 ml/L frequent-use UKD path early</x:v>
      </x:c>
      <x:c r="D16" s="60" t="str">
        <x:v>Manufacturer 5 ml/L; half for long/frequent use</x:v>
      </x:c>
      <x:c r="E16" s="60" t="str">
        <x:v>Visible in Daily/Mix</x:v>
      </x:c>
      <x:c r="F16" s="60" t="str">
        <x:v>ACTIVE EARLY</x:v>
      </x:c>
      <x:c r="G16" s="60" t="str">
        <x:v>https://hesi.nl/de/Wurzel-Complex</x:v>
      </x:c>
      <x:c r="H16" s="60" t="str">
        <x:v>Actual irrigation still gates application</x:v>
      </x:c>
    </x:row>
    <x:row r="17">
      <x:c r="A17" s="60" t="str">
        <x:v>HESI Core completeness</x:v>
      </x:c>
      <x:c r="B17" s="60" t="str">
        <x:v>SuperVit</x:v>
      </x:c>
      <x:c r="C17" s="60" t="str">
        <x:v>0.015 ml/L visible at watering</x:v>
      </x:c>
      <x:c r="D17" s="60" t="str">
        <x:v>Manufacturer: every watering/spraying; 1 ml/65 L</x:v>
      </x:c>
      <x:c r="E17" s="60" t="str">
        <x:v>Visible from day 0</x:v>
      </x:c>
      <x:c r="F17" s="60" t="str">
        <x:v>ACTIVE</x:v>
      </x:c>
      <x:c r="G17" s="60" t="str">
        <x:v>https://hesi.nl/de/SUPERVIT</x:v>
      </x:c>
      <x:c r="H17" s="60" t="str">
        <x:v>Not a command to water</x:v>
      </x:c>
    </x:row>
    <x:row r="18">
      <x:c r="A18" s="60" t="str">
        <x:v>HESI Core completeness</x:v>
      </x:c>
      <x:c r="B18" s="60" t="str">
        <x:v>PowerZyme</x:v>
      </x:c>
      <x:c r="C18" s="60" t="str">
        <x:v>2 ml/L from nutrient start unless Sensizym alternative</x:v>
      </x:c>
      <x:c r="D18" s="60" t="str">
        <x:v>Manufacturer continuous life-cycle use</x:v>
      </x:c>
      <x:c r="E18" s="60" t="str">
        <x:v>Visible in Daily/Mix</x:v>
      </x:c>
      <x:c r="F18" s="60" t="str">
        <x:v>ACTIVE</x:v>
      </x:c>
      <x:c r="G18" s="60" t="str">
        <x:v>https://hesi.nl/de/PowerZyme</x:v>
      </x:c>
      <x:c r="H18" s="60" t="str">
        <x:v>Never stack with Sensizym</x:v>
      </x:c>
    </x:row>
    <x:row r="19">
      <x:c r="A19" s="60" t="str">
        <x:v>AN complement</x:v>
      </x:c>
      <x:c r="B19" s="60" t="str">
        <x:v>Voodoo Juice</x:v>
      </x:c>
      <x:c r="C19" s="60" t="str">
        <x:v>2 ml/L defined fresh windows</x:v>
      </x:c>
      <x:c r="D19" s="60" t="str">
        <x:v>Cross-brand compatibility explicitly stated by manufacturer</x:v>
      </x:c>
      <x:c r="E19" s="60" t="str">
        <x:v>Default AN module</x:v>
      </x:c>
      <x:c r="F19" s="60" t="str">
        <x:v>CORE</x:v>
      </x:c>
      <x:c r="G19" s="60" t="str">
        <x:v>https://www.advancednutrients.com/de/products/voodoo-juice/</x:v>
      </x:c>
      <x:c r="H19" s="60" t="str">
        <x:v>Compatibility != independent efficacy</x:v>
      </x:c>
    </x:row>
    <x:row r="20">
      <x:c r="A20" s="60" t="str">
        <x:v>Alternative paths</x:v>
      </x:c>
      <x:c r="B20" s="60" t="str">
        <x:v>Carbo / enzyme / Si / PK</x:v>
      </x:c>
      <x:c r="C20" s="60" t="str">
        <x:v>Bud Candy / Sensizym / Rhino Skin / AN PK sequence</x:v>
      </x:c>
      <x:c r="D20" s="60" t="str">
        <x:v>One function path at a time</x:v>
      </x:c>
      <x:c r="E20" s="60" t="str">
        <x:v>Selectable in Run Config</x:v>
      </x:c>
      <x:c r="F20" s="60" t="str">
        <x:v>ALT</x:v>
      </x:c>
      <x:c r="G20" s="60" t="str">
        <x:v>27_HESI_AN_Hybrid</x:v>
      </x:c>
      <x:c r="H20" s="60" t="str">
        <x:v>No silent stacking</x:v>
      </x:c>
    </x:row>
    <x:row r="21">
      <x:c r="A21" s="60" t="str">
        <x:v>Experimental</x:v>
      </x:c>
      <x:c r="B21" s="60" t="str">
        <x:v>B-52 / Bud Factor X / Tasty Terpenes</x:v>
      </x:c>
      <x:c r="C21" s="60" t="str">
        <x:v>Manufacturer-compatible but overlapping/uncertain incremental value</x:v>
      </x:c>
      <x:c r="D21" s="60" t="str">
        <x:v>Default OFF</x:v>
      </x:c>
      <x:c r="E21" s="60" t="str">
        <x:v>A/B only</x:v>
      </x:c>
      <x:c r="F21" s="60" t="str">
        <x:v>EXPERIMENTAL</x:v>
      </x:c>
      <x:c r="G21" s="60" t="str">
        <x:v>27_HESI_AN_Hybrid</x:v>
      </x:c>
      <x:c r="H21" s="60" t="str">
        <x:v>Log reason + outcome</x:v>
      </x:c>
    </x:row>
  </x:sheetData>
  <x:mergeCells>
    <x:mergeCell ref="A12:L13"/>
  </x:mergeCells>
  <x:conditionalFormatting sqref="L2:L10">
    <x:cfRule type="expression" dxfId="5" priority="1">
      <x:formula>ISNUMBER(SEARCH("CORE",L2))</x:formula>
    </x:cfRule>
    <x:cfRule type="expression" dxfId="6" priority="2">
      <x:formula>ISNUMBER(SEARCH("OPTION",L2))</x:formula>
    </x:cfRule>
    <x:cfRule type="expression" dxfId="7" priority="3">
      <x:formula>ISNUMBER(SEARCH("CONDITIONAL",L2))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bcfae9b720cc4dc3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40" hidden="0" customWidth="1"/>
    <x:col min="3" max="3" width="40" hidden="0" customWidth="1"/>
    <x:col min="4" max="4" width="40" hidden="0" customWidth="1"/>
    <x:col min="5" max="5" width="40" hidden="0" customWidth="1"/>
    <x:col min="6" max="6" width="40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</x:cols>
  <x:sheetData>
    <x:row r="1">
      <x:c r="A1" s="241" t="str">
        <x:v>ALT-SYSTEM ONLY — pH Perfect ist eine AN-BASISTECHNOLOGIE, NICHT das im UKD gewünschte pH-Produkt</x:v>
      </x:c>
      <x:c r="B1" s="241"/>
      <x:c r="C1" s="241"/>
      <x:c r="D1" s="241"/>
      <x:c r="E1" s="241"/>
      <x:c r="F1" s="241"/>
      <x:c r="G1" s="241"/>
      <x:c r="H1" s="241"/>
      <x:c r="I1" s="241"/>
      <x:c r="J1" s="241"/>
      <x:c r="K1" s="241"/>
      <x:c r="L1" s="241"/>
      <x:c r="M1" s="241"/>
    </x:row>
    <x:row r="2">
      <x:c r="A2" s="32"/>
      <x:c r="B2" s="62"/>
      <x:c r="C2" s="62"/>
      <x:c r="D2" s="62"/>
      <x:c r="E2" s="62"/>
      <x:c r="F2" s="62"/>
      <x:c r="G2" s="62"/>
      <x:c r="H2" s="62"/>
      <x:c r="I2" s="62"/>
      <x:c r="J2" s="62"/>
      <x:c r="K2" s="62"/>
      <x:c r="L2" s="62"/>
      <x:c r="M2" s="33"/>
    </x:row>
    <x:row r="3">
      <x:c r="A3" s="251" t="str">
        <x:v>Produkt</x:v>
      </x:c>
      <x:c r="B3" s="206" t="str">
        <x:v>Klasse</x:v>
      </x:c>
      <x:c r="C3" s="206" t="str">
        <x:v>Grow W1</x:v>
      </x:c>
      <x:c r="D3" s="206" t="str">
        <x:v>G2</x:v>
      </x:c>
      <x:c r="E3" s="206" t="str">
        <x:v>G3</x:v>
      </x:c>
      <x:c r="F3" s="206" t="str">
        <x:v>G4</x:v>
      </x:c>
      <x:c r="G3" s="206" t="str">
        <x:v>Bloom W1</x:v>
      </x:c>
      <x:c r="H3" s="206" t="str">
        <x:v>B2</x:v>
      </x:c>
      <x:c r="I3" s="206" t="str">
        <x:v>B3</x:v>
      </x:c>
      <x:c r="J3" s="206" t="str">
        <x:v>B4</x:v>
      </x:c>
      <x:c r="K3" s="206" t="str">
        <x:v>B5</x:v>
      </x:c>
      <x:c r="L3" s="206" t="str">
        <x:v>B6</x:v>
      </x:c>
      <x:c r="M3" s="252" t="str">
        <x:v>B7</x:v>
      </x:c>
    </x:row>
    <x:row r="4">
      <x:c r="A4" s="32" t="str">
        <x:v>Sensi Coco Grow A</x:v>
      </x:c>
      <x:c r="B4" s="62" t="str">
        <x:v>Basis</x:v>
      </x:c>
      <x:c r="C4" s="62" t="n">
        <x:v>1</x:v>
      </x:c>
      <x:c r="D4" s="62" t="n">
        <x:v>2</x:v>
      </x:c>
      <x:c r="E4" s="62" t="n">
        <x:v>3</x:v>
      </x:c>
      <x:c r="F4" s="62" t="n">
        <x:v>4</x:v>
      </x:c>
      <x:c r="G4" s="62" t="n">
        <x:v>0</x:v>
      </x:c>
      <x:c r="H4" s="62" t="n">
        <x:v>0</x:v>
      </x:c>
      <x:c r="I4" s="62" t="n">
        <x:v>0</x:v>
      </x:c>
      <x:c r="J4" s="62" t="n">
        <x:v>0</x:v>
      </x:c>
      <x:c r="K4" s="62" t="n">
        <x:v>0</x:v>
      </x:c>
      <x:c r="L4" s="62" t="n">
        <x:v>0</x:v>
      </x:c>
      <x:c r="M4" s="33" t="n">
        <x:v>0</x:v>
      </x:c>
    </x:row>
    <x:row r="5">
      <x:c r="A5" s="34" t="str">
        <x:v>Sensi Coco Grow B</x:v>
      </x:c>
      <x:c r="B5" s="201" t="str">
        <x:v>Basis</x:v>
      </x:c>
      <x:c r="C5" s="201" t="n">
        <x:v>1</x:v>
      </x:c>
      <x:c r="D5" s="201" t="n">
        <x:v>2</x:v>
      </x:c>
      <x:c r="E5" s="201" t="n">
        <x:v>3</x:v>
      </x:c>
      <x:c r="F5" s="201" t="n">
        <x:v>4</x:v>
      </x:c>
      <x:c r="G5" s="201" t="n">
        <x:v>0</x:v>
      </x:c>
      <x:c r="H5" s="201" t="n">
        <x:v>0</x:v>
      </x:c>
      <x:c r="I5" s="201" t="n">
        <x:v>0</x:v>
      </x:c>
      <x:c r="J5" s="201" t="n">
        <x:v>0</x:v>
      </x:c>
      <x:c r="K5" s="201" t="n">
        <x:v>0</x:v>
      </x:c>
      <x:c r="L5" s="201" t="n">
        <x:v>0</x:v>
      </x:c>
      <x:c r="M5" s="35" t="n">
        <x:v>0</x:v>
      </x:c>
    </x:row>
    <x:row r="6">
      <x:c r="A6" s="34" t="str">
        <x:v>Sensi Coco Bloom A</x:v>
      </x:c>
      <x:c r="B6" s="201" t="str">
        <x:v>Basis</x:v>
      </x:c>
      <x:c r="C6" s="201" t="n">
        <x:v>0</x:v>
      </x:c>
      <x:c r="D6" s="201" t="n">
        <x:v>0</x:v>
      </x:c>
      <x:c r="E6" s="201" t="n">
        <x:v>0</x:v>
      </x:c>
      <x:c r="F6" s="201" t="n">
        <x:v>0</x:v>
      </x:c>
      <x:c r="G6" s="201" t="n">
        <x:v>4</x:v>
      </x:c>
      <x:c r="H6" s="201" t="n">
        <x:v>4</x:v>
      </x:c>
      <x:c r="I6" s="201" t="n">
        <x:v>4</x:v>
      </x:c>
      <x:c r="J6" s="201" t="n">
        <x:v>4</x:v>
      </x:c>
      <x:c r="K6" s="201" t="n">
        <x:v>4</x:v>
      </x:c>
      <x:c r="L6" s="201" t="n">
        <x:v>4</x:v>
      </x:c>
      <x:c r="M6" s="35" t="n">
        <x:v>4</x:v>
      </x:c>
    </x:row>
    <x:row r="7">
      <x:c r="A7" s="36" t="str">
        <x:v>Sensi Coco Bloom B</x:v>
      </x:c>
      <x:c r="B7" s="64" t="str">
        <x:v>Basis</x:v>
      </x:c>
      <x:c r="C7" s="64" t="n">
        <x:v>0</x:v>
      </x:c>
      <x:c r="D7" s="64" t="n">
        <x:v>0</x:v>
      </x:c>
      <x:c r="E7" s="64" t="n">
        <x:v>0</x:v>
      </x:c>
      <x:c r="F7" s="64" t="n">
        <x:v>0</x:v>
      </x:c>
      <x:c r="G7" s="64" t="n">
        <x:v>4</x:v>
      </x:c>
      <x:c r="H7" s="64" t="n">
        <x:v>4</x:v>
      </x:c>
      <x:c r="I7" s="64" t="n">
        <x:v>4</x:v>
      </x:c>
      <x:c r="J7" s="64" t="n">
        <x:v>4</x:v>
      </x:c>
      <x:c r="K7" s="64" t="n">
        <x:v>4</x:v>
      </x:c>
      <x:c r="L7" s="64" t="n">
        <x:v>4</x:v>
      </x:c>
      <x:c r="M7" s="37" t="n">
        <x:v>4</x:v>
      </x:c>
    </x:row>
    <x:row r="8">
      <x:c r="A8" s="34"/>
      <x:c r="B8" s="63"/>
      <x:c r="C8" s="63"/>
      <x:c r="D8" s="63"/>
      <x:c r="E8" s="63"/>
      <x:c r="F8" s="63"/>
      <x:c r="G8" s="63"/>
      <x:c r="H8" s="63"/>
      <x:c r="I8" s="63"/>
      <x:c r="J8" s="63"/>
      <x:c r="K8" s="63"/>
      <x:c r="L8" s="63"/>
      <x:c r="M8" s="35"/>
    </x:row>
    <x:row r="9">
      <x:c r="A9" s="34"/>
      <x:c r="B9" s="63"/>
      <x:c r="C9" s="63"/>
      <x:c r="D9" s="63"/>
      <x:c r="E9" s="63"/>
      <x:c r="F9" s="63"/>
      <x:c r="G9" s="63"/>
      <x:c r="H9" s="63"/>
      <x:c r="I9" s="63"/>
      <x:c r="J9" s="63"/>
      <x:c r="K9" s="63"/>
      <x:c r="L9" s="63"/>
      <x:c r="M9" s="35"/>
    </x:row>
    <x:row r="10">
      <x:c r="A10" s="251" t="str">
        <x:v>Kernaussage</x:v>
      </x:c>
      <x:c r="B10" s="206" t="str">
        <x:v>Bedeutung</x:v>
      </x:c>
      <x:c r="C10" s="206" t="str">
        <x:v>UKD</x:v>
      </x:c>
      <x:c r="D10" s="206" t="str">
        <x:v>Quelle</x:v>
      </x:c>
      <x:c r="E10" s="63"/>
      <x:c r="F10" s="63"/>
      <x:c r="G10" s="63"/>
      <x:c r="H10" s="63"/>
      <x:c r="I10" s="63"/>
      <x:c r="J10" s="63"/>
      <x:c r="K10" s="63"/>
      <x:c r="L10" s="63"/>
      <x:c r="M10" s="35"/>
    </x:row>
    <x:row r="11">
      <x:c r="A11" s="253" t="str">
        <x:v>pH Perfect</x:v>
      </x:c>
      <x:c r="B11" s="254" t="str">
        <x:v>Eigenschaft der AN-Basis, kein Additiv</x:v>
      </x:c>
      <x:c r="C11" s="254" t="str">
        <x:v>nicht mit Athena Balance verwechseln</x:v>
      </x:c>
      <x:c r="D11" s="255" t="str">
        <x:v>https://www.advancednutrients.com/de/products/</x:v>
      </x:c>
      <x:c r="E11" s="64"/>
      <x:c r="F11" s="64"/>
      <x:c r="G11" s="64"/>
      <x:c r="H11" s="64"/>
      <x:c r="I11" s="64"/>
      <x:c r="J11" s="64"/>
      <x:c r="K11" s="64"/>
      <x:c r="L11" s="64"/>
      <x:c r="M11" s="37"/>
    </x:row>
    <x:row r="12">
      <x:c r="A12" s="34" t="str">
        <x:v>Cross-brand</x:v>
      </x:c>
      <x:c r="B12" s="201" t="str">
        <x:v>AN garantiert pH-Stabilisierung bei Fremdprodukten nicht</x:v>
      </x:c>
      <x:c r="C12" s="201" t="str">
        <x:v>HESI-Hybrid aktiv pH messen</x:v>
      </x:c>
      <x:c r="D12" s="35" t="str">
        <x:v>https://www.advancednutrients.com/de/products/b-52/</x:v>
      </x:c>
    </x:row>
    <x:row r="13">
      <x:c r="A13" s="259" t="str">
        <x:v>Reference</x:v>
      </x:c>
      <x:c r="B13" s="260" t="str">
        <x:v>UKD nutzt HESI + bedarfsabhängig Athena Balance</x:v>
      </x:c>
      <x:c r="C13" s="260" t="str">
        <x:v>dieses Blatt ist nur Alternative</x:v>
      </x:c>
      <x:c r="D13" s="261" t="str">
        <x:v>—</x:v>
      </x:c>
      <x:c r="E13" s="14"/>
      <x:c r="F13" s="14"/>
    </x:row>
    <x:row r="14">
      <x:c r="A14" s="32"/>
      <x:c r="B14" s="62"/>
      <x:c r="C14" s="62"/>
      <x:c r="D14" s="62"/>
      <x:c r="E14" s="62"/>
      <x:c r="F14" s="33"/>
    </x:row>
    <x:row r="15">
      <x:c r="A15" s="34"/>
      <x:c r="B15" s="63"/>
      <x:c r="C15" s="63"/>
      <x:c r="D15" s="63"/>
      <x:c r="E15" s="63"/>
      <x:c r="F15" s="35"/>
    </x:row>
    <x:row r="16">
      <x:c r="A16" s="34"/>
      <x:c r="B16" s="63"/>
      <x:c r="C16" s="63"/>
      <x:c r="D16" s="63"/>
      <x:c r="E16" s="63"/>
      <x:c r="F16" s="35"/>
    </x:row>
    <x:row r="17">
      <x:c r="A17" s="34"/>
      <x:c r="B17" s="63"/>
      <x:c r="C17" s="63"/>
      <x:c r="D17" s="63"/>
      <x:c r="E17" s="63"/>
      <x:c r="F17" s="35"/>
    </x:row>
    <x:row r="18">
      <x:c r="A18" s="34"/>
      <x:c r="B18" s="63"/>
      <x:c r="C18" s="63"/>
      <x:c r="D18" s="63"/>
      <x:c r="E18" s="63"/>
      <x:c r="F18" s="35"/>
    </x:row>
    <x:row r="19">
      <x:c r="A19" s="34"/>
      <x:c r="B19" s="63"/>
      <x:c r="C19" s="63"/>
      <x:c r="D19" s="63"/>
      <x:c r="E19" s="63"/>
      <x:c r="F19" s="35"/>
    </x:row>
    <x:row r="20">
      <x:c r="A20" s="36"/>
      <x:c r="B20" s="64"/>
      <x:c r="C20" s="64"/>
      <x:c r="D20" s="64"/>
      <x:c r="E20" s="64"/>
      <x:c r="F20" s="37"/>
    </x:row>
  </x:sheetData>
  <x:mergeCells>
    <x:mergeCell ref="A1:M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30" hidden="0" customWidth="1"/>
    <x:col min="3" max="3" width="30" hidden="0" customWidth="1"/>
    <x:col min="4" max="4" width="30" hidden="0" customWidth="1"/>
    <x:col min="5" max="5" width="30" hidden="0" customWidth="1"/>
    <x:col min="6" max="6" width="30" hidden="0" customWidth="1"/>
    <x:col min="7" max="7" width="45" hidden="0" customWidth="1"/>
    <x:col min="8" max="8" width="45" hidden="0" customWidth="1"/>
    <x:col min="9" max="9" width="45" hidden="0" customWidth="1"/>
    <x:col min="10" max="10" width="10" hidden="0" customWidth="1"/>
  </x:cols>
  <x:sheetData>
    <x:row r="1">
      <x:c r="A1" s="14" t="str">
        <x:v>Run</x:v>
      </x:c>
      <x:c r="B1" s="14" t="str">
        <x:v>Konstante Basis</x:v>
      </x:c>
      <x:c r="C1" s="14" t="str">
        <x:v>Variable</x:v>
      </x:c>
      <x:c r="D1" s="14" t="str">
        <x:v>Testprodukt</x:v>
      </x:c>
      <x:c r="E1" s="14" t="str">
        <x:v>Vergleich</x:v>
      </x:c>
      <x:c r="F1" s="14" t="str">
        <x:v>Nicht gleichzeitig</x:v>
      </x:c>
      <x:c r="G1" s="14" t="str">
        <x:v>Messgrößen</x:v>
      </x:c>
      <x:c r="H1" s="14" t="str">
        <x:v>Mindestbedingung</x:v>
      </x:c>
      <x:c r="I1" s="14" t="str">
        <x:v>Interpretation</x:v>
      </x:c>
      <x:c r="J1" s="14" t="str">
        <x:v>Priorität</x:v>
      </x:c>
    </x:row>
    <x:row r="2">
      <x:c r="A2" s="1154" t="str">
        <x:v>R0 Baseline</x:v>
      </x:c>
      <x:c r="B2" s="1204" t="str">
        <x:v>UKD HESI Conservative</x:v>
      </x:c>
      <x:c r="C2" s="1204" t="str">
        <x:v>keine</x:v>
      </x:c>
      <x:c r="D2" s="1204" t="str">
        <x:v>—</x:v>
      </x:c>
      <x:c r="E2" s="1204" t="str">
        <x:v>—</x:v>
      </x:c>
      <x:c r="F2" s="1204" t="str">
        <x:v>keine Zusatztests</x:v>
      </x:c>
      <x:c r="G2" s="1204" t="str">
        <x:v>Ertrag trocken, Licht-kWh, g/kWh, Sensorik, Wasser, EC-Delta, Zyklus</x:v>
      </x:c>
      <x:c r="H2" s="1204" t="str">
        <x:v>vollständig dokumentierter Baseline-Run</x:v>
      </x:c>
      <x:c r="I2" s="1204" t="str">
        <x:v>Baseline; keine kausale Aussage über einzelne Produkte</x:v>
      </x:c>
      <x:c r="J2" s="1205" t="str">
        <x:v>1</x:v>
      </x:c>
    </x:row>
    <x:row r="3">
      <x:c r="A3" s="1156" t="str">
        <x:v>R1 PK</x:v>
      </x:c>
      <x:c r="B3" s="201" t="str">
        <x:v>UKD HESI Conservative ohne HESI PK</x:v>
      </x:c>
      <x:c r="C3" s="201" t="str">
        <x:v>PK-Bulker</x:v>
      </x:c>
      <x:c r="D3" s="201" t="str">
        <x:v>Big Bud</x:v>
      </x:c>
      <x:c r="E3" s="201" t="str">
        <x:v>HESI PK 13/14</x:v>
      </x:c>
      <x:c r="F3" s="201" t="str">
        <x:v>Big Bud Coco/Overdrive/HESI PK</x:v>
      </x:c>
      <x:c r="G3" s="201" t="str">
        <x:v>wie Baseline + Drain EC</x:v>
      </x:c>
      <x:c r="H3" s="201" t="str">
        <x:v>gleiche Sorte + möglichst gleicher Seedlot + gleiches Protokoll</x:v>
      </x:c>
      <x:c r="I3" s="201" t="str">
        <x:v>liefert einen vergleichenden Hinweis; Samenpflanzen sind nicht derselbe Genotyp</x:v>
      </x:c>
      <x:c r="J3" s="1193" t="str">
        <x:v>2</x:v>
      </x:c>
    </x:row>
    <x:row r="4">
      <x:c r="A4" s="1156" t="str">
        <x:v>R2 Enzym</x:v>
      </x:c>
      <x:c r="B4" s="201" t="str">
        <x:v>UKD HESI Conservative ohne PowerZyme</x:v>
      </x:c>
      <x:c r="C4" s="201" t="str">
        <x:v>Enzym</x:v>
      </x:c>
      <x:c r="D4" s="201" t="str">
        <x:v>Sensizym</x:v>
      </x:c>
      <x:c r="E4" s="201" t="str">
        <x:v>PowerZyme</x:v>
      </x:c>
      <x:c r="F4" s="201" t="str">
        <x:v>PowerZyme</x:v>
      </x:c>
      <x:c r="G4" s="201" t="str">
        <x:v>Wurzel-/Substratzustand, Wasserverbrauch, g/kWh</x:v>
      </x:c>
      <x:c r="H4" s="201" t="str">
        <x:v>gleiche Sorte/Seedlot; Umwelt eng dokumentiert</x:v>
      </x:c>
      <x:c r="I4" s="201" t="str">
        <x:v>explorativer N-of-1-Vergleich, keine kausale Isolierung</x:v>
      </x:c>
      <x:c r="J4" s="1193" t="str">
        <x:v>3</x:v>
      </x:c>
    </x:row>
    <x:row r="5">
      <x:c r="A5" s="1156" t="str">
        <x:v>R3 Silizium</x:v>
      </x:c>
      <x:c r="B5" s="201" t="str">
        <x:v>UKD HESI Conservative ohne Standard-Si</x:v>
      </x:c>
      <x:c r="C5" s="201" t="str">
        <x:v>Silizium</x:v>
      </x:c>
      <x:c r="D5" s="201" t="str">
        <x:v>Rhino Skin oder Hesilicio</x:v>
      </x:c>
      <x:c r="E5" s="201" t="str">
        <x:v>Athena Balance als Wasserconditioner getrennt betrachten</x:v>
      </x:c>
      <x:c r="F5" s="201" t="str">
        <x:v>weitere Siliziumquellen</x:v>
      </x:c>
      <x:c r="G5" s="201" t="str">
        <x:v>Stammsteifigkeit, Schäden, EC/K-Last, g/kWh</x:v>
      </x:c>
      <x:c r="H5" s="201" t="str">
        <x:v>Wasserchemie dokumentiert</x:v>
      </x:c>
      <x:c r="I5" s="201" t="str">
        <x:v>nur interpretierbar, wenn pH-/K-Unterschiede mitgedacht werden</x:v>
      </x:c>
      <x:c r="J5" s="1193" t="str">
        <x:v>4</x:v>
      </x:c>
      <x:c r="R5" t="str">
        <x:v>v7 HYBRID MODULES</x:v>
      </x:c>
    </x:row>
    <x:row r="6">
      <x:c r="A6" s="1156" t="str">
        <x:v>R4 Mikroben</x:v>
      </x:c>
      <x:c r="B6" s="201" t="str">
        <x:v>Rhiza + Wurzel Complex</x:v>
      </x:c>
      <x:c r="C6" s="201" t="str">
        <x:v>Mikrobenmodul</x:v>
      </x:c>
      <x:c r="D6" s="201" t="str">
        <x:v>Voodoo + Tarantula</x:v>
      </x:c>
      <x:c r="E6" s="201" t="str">
        <x:v>Voodoo allein</x:v>
      </x:c>
      <x:c r="F6" s="201" t="str">
        <x:v>Piranha/Plus</x:v>
      </x:c>
      <x:c r="G6" s="201" t="str">
        <x:v>Wurzelbild, Wasser, EC, Biofilm</x:v>
      </x:c>
      <x:c r="H6" s="201" t="str">
        <x:v>identische Hygiene-/Reservoirlogik</x:v>
      </x:c>
      <x:c r="I6" s="201" t="str">
        <x:v>explorativer Hinweis; mikrobielles Ausgangsmilieu ist nicht vollständig kontrolliert</x:v>
      </x:c>
      <x:c r="J6" s="1193" t="str">
        <x:v>5</x:v>
      </x:c>
      <x:c r="R6" t="str">
        <x:v>Bud Candy vs HESI Boost: alternative carbohydrate/biostim path; do not stack by default.</x:v>
      </x:c>
    </x:row>
    <x:row r="7">
      <x:c r="A7" s="1158" t="str">
        <x:v>R5 Vollbasis</x:v>
      </x:c>
      <x:c r="B7" s="1194" t="str">
        <x:v>UGro Coco + gleiche Hardware</x:v>
      </x:c>
      <x:c r="C7" s="1194" t="str">
        <x:v>Vollbasissystem</x:v>
      </x:c>
      <x:c r="D7" s="1194" t="str">
        <x:v>AN Sensi Coco pH Perfect</x:v>
      </x:c>
      <x:c r="E7" s="1194" t="str">
        <x:v>HESI TNT→Coco</x:v>
      </x:c>
      <x:c r="F7" s="1194" t="str">
        <x:v>keine HESI-Basis</x:v>
      </x:c>
      <x:c r="G7" s="1194" t="str">
        <x:v>pH-Drift, EC, Licht-kWh, g/kWh, Qualität</x:v>
      </x:c>
      <x:c r="H7" s="1194" t="str">
        <x:v>mehrere wiederholte Runs erforderlich</x:v>
      </x:c>
      <x:c r="I7" s="1194" t="str">
        <x:v>großer Systemvergleich; zeitliche/Genotyp-Effekte bleiben bei Einzelruns Confounder</x:v>
      </x:c>
      <x:c r="J7" s="1195" t="str">
        <x:v>6</x:v>
      </x:c>
      <x:c r="R7" t="str">
        <x:v>B-52: cross-brand-compatible, but overlaps HESI Root Complex/SuperVit; A/B only.</x:v>
      </x:c>
    </x:row>
    <x:row r="8">
      <x:c r="R8" t="str">
        <x:v>Bud Factor X: cross-brand-compatible; independent hybrid efficacy not established; experimental.</x:v>
      </x:c>
    </x:row>
    <x:row r="9">
      <x:c r="A9" s="1448" t="str">
        <x:v>METHODIK: Bei seed-grown Autoflowers sind zwei Runs derselben Sorte nicht genetisch identisch. Ein einzelner Wechsel zwischen Produkten ist daher ein N-of-1-/Quasi-Experiment. Stärkere Schlussfolgerungen erfordern Replikation über mehrere Pflanzen/Runs und möglichst denselben Seedlot.</x:v>
      </x:c>
      <x:c r="B9" s="1449"/>
      <x:c r="C9" s="1449"/>
      <x:c r="D9" s="1449"/>
      <x:c r="E9" s="1449"/>
      <x:c r="F9" s="1449"/>
      <x:c r="G9" s="1449"/>
      <x:c r="H9" s="1449"/>
      <x:c r="I9" s="1449"/>
      <x:c r="J9" s="1450"/>
      <x:c r="R9" t="str">
        <x:v>AN PK sequence: Bud Ignitor -&gt; Big Bud -&gt; Overdrive replaces HESI PK13/14 path.</x:v>
      </x:c>
    </x:row>
    <x:row r="10">
      <x:c r="A10" s="1451"/>
      <x:c r="B10" s="1452"/>
      <x:c r="C10" s="1452"/>
      <x:c r="D10" s="1452"/>
      <x:c r="E10" s="1452"/>
      <x:c r="F10" s="1452"/>
      <x:c r="G10" s="1452"/>
      <x:c r="H10" s="1452"/>
      <x:c r="I10" s="1452"/>
      <x:c r="J10" s="1453"/>
      <x:c r="R10" t="str">
        <x:v>Sensizym replaces PowerZyme; Rhino Skin replaces Athena/Hesilicio Si path.</x:v>
      </x:c>
    </x:row>
    <x:row r="11">
      <x:c r="R11" t="str">
        <x:v>Tasty Terpenes: current successor name for Nirvana per AN; K/kelp overlap, experimental only.</x:v>
      </x:c>
    </x:row>
    <x:row r="12">
      <x:c r="R12" t="str">
        <x:v>Sensi CalMag Xtra/Revive: conditional plant-aid modules, never automatic calendar boosters.</x:v>
      </x:c>
    </x:row>
  </x:sheetData>
  <x:mergeCells>
    <x:mergeCell ref="A9:J10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1" hidden="0" customWidth="1"/>
    <x:col min="3" max="3" width="12" hidden="0" customWidth="1"/>
    <x:col min="4" max="4" width="42" hidden="0" customWidth="1"/>
    <x:col min="5" max="5" width="42" hidden="0" customWidth="1"/>
    <x:col min="6" max="6" width="42" hidden="0" customWidth="1"/>
    <x:col min="7" max="7" width="42" hidden="0" customWidth="1"/>
    <x:col min="8" max="8" width="42" hidden="0" customWidth="1"/>
  </x:cols>
  <x:sheetData>
    <x:row r="1">
      <x:c r="A1" s="14" t="str">
        <x:v>Phase</x:v>
      </x:c>
      <x:c r="B1" s="14" t="str">
        <x:v>Tag</x:v>
      </x:c>
      <x:c r="C1" s="14" t="str">
        <x:v>REFERENCE-MODUS</x:v>
      </x:c>
      <x:c r="D1" s="14" t="str">
        <x:v>START-/BEOBACHTUNGSBAND L/Tag (nicht erzwingen)</x:v>
      </x:c>
      <x:c r="E1" s="14" t="str">
        <x:v>Drain-Ziel</x:v>
      </x:c>
      <x:c r="F1" s="14" t="str">
        <x:v>Kontrolle</x:v>
      </x:c>
      <x:c r="G1" s="14" t="str">
        <x:v>Eingriffsschwelle</x:v>
      </x:c>
      <x:c r="H1" s="14" t="str">
        <x:v>Aktion</x:v>
      </x:c>
    </x:row>
    <x:row r="2">
      <x:c r="A2" s="1154" t="str">
        <x:v>Vorbereitung</x:v>
      </x:c>
      <x:c r="B2" s="1204" t="str">
        <x:v>D-1</x:v>
      </x:c>
      <x:c r="C2" s="1204" t="str">
        <x:v>Manuell / indoor-freigegebene Automation</x:v>
      </x:c>
      <x:c r="D2" s="1204" t="str">
        <x:v>bis gleichmäßig feucht</x:v>
      </x:c>
      <x:c r="E2" s="1204" t="str">
        <x:v>kein Dauerdrain</x:v>
      </x:c>
      <x:c r="F2" s="1204" t="str">
        <x:v>Topfgewicht Baseline</x:v>
      </x:c>
      <x:c r="G2" s="1204" t="str">
        <x:v>trockenes Nest / Kanalbildung</x:v>
      </x:c>
      <x:c r="H2" s="1205" t="str">
        <x:v>Medium gleichmäßig sättigen</x:v>
      </x:c>
    </x:row>
    <x:row r="3">
      <x:c r="A3" s="1156" t="str">
        <x:v>Keimung</x:v>
      </x:c>
      <x:c r="B3" s="201" t="str">
        <x:v>0–3</x:v>
      </x:c>
      <x:c r="C3" s="201" t="str">
        <x:v>manueller Mikro-Ring</x:v>
      </x:c>
      <x:c r="D3" s="201" t="str">
        <x:v>0.03–0.08</x:v>
      </x:c>
      <x:c r="E3" s="201" t="str">
        <x:v>0</x:v>
      </x:c>
      <x:c r="F3" s="201" t="str">
        <x:v>Oberfläche + Topfgewicht</x:v>
      </x:c>
      <x:c r="G3" s="201" t="str">
        <x:v>stehende Nässe / Keimling kippt</x:v>
      </x:c>
      <x:c r="H3" s="1193" t="str">
        <x:v>Nicht nach Literzahl 'auffüllen'; Feuchte/Topfmasse und Sämlingsreaktion priorisieren.</x:v>
      </x:c>
    </x:row>
    <x:row r="4">
      <x:c r="A4" s="1156" t="str">
        <x:v>Etablierung</x:v>
      </x:c>
      <x:c r="B4" s="201" t="str">
        <x:v>4–7</x:v>
      </x:c>
      <x:c r="C4" s="201" t="str">
        <x:v>manuell</x:v>
      </x:c>
      <x:c r="D4" s="201" t="str">
        <x:v>0.08–0.15</x:v>
      </x:c>
      <x:c r="E4" s="201" t="str">
        <x:v>0</x:v>
      </x:c>
      <x:c r="F4" s="201" t="str">
        <x:v>Wurzelzone/Topfgewicht</x:v>
      </x:c>
      <x:c r="G4" s="201" t="str">
        <x:v>Topf bleibt dauerhaft schwer</x:v>
      </x:c>
      <x:c r="H4" s="1193" t="str">
        <x:v>Nicht nach Literzahl 'auffüllen'; Wurzelzonenfeuchte/Topfmasse priorisieren.</x:v>
      </x:c>
    </x:row>
    <x:row r="5">
      <x:c r="A5" s="1156" t="str">
        <x:v>Veg</x:v>
      </x:c>
      <x:c r="B5" s="201" t="str">
        <x:v>8–21</x:v>
      </x:c>
      <x:c r="C5" s="201" t="str">
        <x:v>manuell oder indoor-freigegebene Automation</x:v>
      </x:c>
      <x:c r="D5" s="201" t="str">
        <x:v>0.15–0.50</x:v>
      </x:c>
      <x:c r="E5" s="201" t="str">
        <x:v>nur Diagnose</x:v>
      </x:c>
      <x:c r="F5" s="201" t="str">
        <x:v>Topfgewicht/Feuchte + Input</x:v>
      </x:c>
      <x:c r="G5" s="201" t="str">
        <x:v>Salzrand / Diagnose-Runoff deutlich erhöht</x:v>
      </x:c>
      <x:c r="H5" s="1193" t="str">
        <x:v>Feed/Bewässerung prüfen</x:v>
      </x:c>
    </x:row>
    <x:row r="6">
      <x:c r="A6" s="1156" t="str">
        <x:v>Transition</x:v>
      </x:c>
      <x:c r="B6" s="201" t="str">
        <x:v>22–35</x:v>
      </x:c>
      <x:c r="C6" s="201" t="str">
        <x:v>wie Config</x:v>
      </x:c>
      <x:c r="D6" s="201" t="str">
        <x:v>0.40–1.00</x:v>
      </x:c>
      <x:c r="E6" s="201" t="str">
        <x:v>Diagnose 10–15% nur bei Bedarf</x:v>
      </x:c>
      <x:c r="F6" s="201" t="str">
        <x:v>Input/Runoff etwa 1×/W</x:v>
      </x:c>
      <x:c r="G6" s="201" t="str">
        <x:v>UKD-Heuristik: EC_out &gt; EC_in +0.3–0.4 wiederholt</x:v>
      </x:c>
      <x:c r="H6" s="1193" t="str">
        <x:v>keine EC-Erhöhung; Messmethode prüfen</x:v>
      </x:c>
    </x:row>
    <x:row r="7">
      <x:c r="A7" s="1156" t="str">
        <x:v>Peak</x:v>
      </x:c>
      <x:c r="B7" s="201" t="str">
        <x:v>36–56</x:v>
      </x:c>
      <x:c r="C7" s="201" t="str">
        <x:v>wie Config</x:v>
      </x:c>
      <x:c r="D7" s="201" t="str">
        <x:v>0.80–1.50</x:v>
      </x:c>
      <x:c r="E7" s="201" t="str">
        <x:v>Diagnose</x:v>
      </x:c>
      <x:c r="F7" s="201" t="str">
        <x:v>Wasserverbrauch/Leck/Topfgewicht</x:v>
      </x:c>
      <x:c r="G7" s="201" t="str">
        <x:v>ungeklärter Verbrauchssprung</x:v>
      </x:c>
      <x:c r="H7" s="1193" t="str">
        <x:v>Leck vs. Transpiration klären</x:v>
      </x:c>
    </x:row>
    <x:row r="8">
      <x:c r="A8" s="1156" t="str">
        <x:v>Late</x:v>
      </x:c>
      <x:c r="B8" s="201" t="str">
        <x:v>57–70</x:v>
      </x:c>
      <x:c r="C8" s="201" t="str">
        <x:v>wie Config</x:v>
      </x:c>
      <x:c r="D8" s="201" t="str">
        <x:v>0.60–1.30</x:v>
      </x:c>
      <x:c r="E8" s="201" t="str">
        <x:v>Diagnose</x:v>
      </x:c>
      <x:c r="F8" s="201" t="str">
        <x:v>Nacht-RH + Wasserverbrauch</x:v>
      </x:c>
      <x:c r="G8" s="201" t="str">
        <x:v>nasser Topf + sinkender Bedarf</x:v>
      </x:c>
      <x:c r="H8" s="1193" t="str">
        <x:v>Bewässerung reduzieren / Feed taper</x:v>
      </x:c>
    </x:row>
    <x:row r="9">
      <x:c r="A9" s="1156" t="str">
        <x:v>Harvest I</x:v>
      </x:c>
      <x:c r="B9" s="201" t="str">
        <x:v>71–76</x:v>
      </x:c>
      <x:c r="C9" s="201" t="str">
        <x:v>wie Config</x:v>
      </x:c>
      <x:c r="D9" s="201" t="str">
        <x:v>0.40–0.80</x:v>
      </x:c>
      <x:c r="E9" s="201" t="str">
        <x:v>kein Routineflush</x:v>
      </x:c>
      <x:c r="F9" s="201" t="str">
        <x:v>Reife + EC</x:v>
      </x:c>
      <x:c r="G9" s="201" t="str">
        <x:v>Salz hoch bei reifer Pflanze</x:v>
      </x:c>
      <x:c r="H9" s="1193" t="str">
        <x:v>kurzer Low-EC-Endlauf nur bei begründetem Bedarf</x:v>
      </x:c>
    </x:row>
    <x:row r="10">
      <x:c r="A10" s="1158" t="str">
        <x:v>Harvest II</x:v>
      </x:c>
      <x:c r="B10" s="1194" t="str">
        <x:v>77–80</x:v>
      </x:c>
      <x:c r="C10" s="1194" t="str">
        <x:v>wie Config</x:v>
      </x:c>
      <x:c r="D10" s="1194" t="str">
        <x:v>0.30–0.70</x:v>
      </x:c>
      <x:c r="E10" s="1194" t="str">
        <x:v>kein Routineflush</x:v>
      </x:c>
      <x:c r="F10" s="1194" t="str">
        <x:v>Reife + Wasserbedarf</x:v>
      </x:c>
      <x:c r="G10" s="1194" t="str">
        <x:v>Pflanze fertig / Verbrauch fällt</x:v>
      </x:c>
      <x:c r="H10" s="1195" t="str">
        <x:v>keine kalenderbasierte Überwässerung</x:v>
      </x:c>
    </x:row>
    <x:row r="11">
      <x:c r="A11" s="1723" t="str">
        <x:v>SAFETY: Alle Liter/Tag-Angaben sind empirische Start-/Beobachtungsbänder für dieses Setup, KEINE validierten Cannabis-Dosiswerte. Realer Bedarf hängt von Pflanzenmasse, VPD, Wurzelraum, Substratstruktur, Frequenz und Drainage ab. Band niemals erzwingen.</x:v>
      </x:c>
      <x:c r="B11" s="1723"/>
      <x:c r="C11" s="1723"/>
      <x:c r="D11" s="1723"/>
      <x:c r="E11" s="1723"/>
      <x:c r="F11" s="1723"/>
      <x:c r="G11" s="1723"/>
      <x:c r="H11" s="1723"/>
    </x:row>
    <x:row r="12">
      <x:c r="A12" s="1454" t="str">
        <x:v>TROPF-BLUMAT — LEGACY/RISIKOANALYSE, NICHT UKD-REFERENCE: Der Hersteller erklärt ausdrücklich, dass Tropf-Blumat nicht im Innenbereich verwendet werden darf. Sicherheitsmaßnahmen ändern diesen Herstellerstatus nicht.</x:v>
      </x:c>
      <x:c r="B12" s="1454"/>
      <x:c r="C12" s="1454"/>
      <x:c r="D12" s="1454"/>
      <x:c r="E12" s="1454"/>
      <x:c r="F12" s="1454"/>
      <x:c r="G12" s="1454"/>
      <x:c r="H12" s="1454"/>
    </x:row>
    <x:row r="13">
      <x:c r="A13" s="1455" t="str">
        <x:v>Tropf-Blumat OFF-LABEL</x:v>
      </x:c>
      <x:c r="B13" s="1455" t="str">
        <x:v>Herstellerstatus</x:v>
      </x:c>
      <x:c r="C13" s="1455" t="str">
        <x:v>UKD Status</x:v>
      </x:c>
      <x:c r="D13" s="1455" t="str">
        <x:v>Warum</x:v>
      </x:c>
      <x:c r="E13" s="1455" t="str">
        <x:v>Trigger</x:v>
      </x:c>
      <x:c r="F13" s="1455" t="str">
        <x:v>Aktion</x:v>
      </x:c>
      <x:c r="G13" s="1455" t="str">
        <x:v>Quelle</x:v>
      </x:c>
      <x:c r="H13" s="1455" t="str">
        <x:v>Priorität</x:v>
      </x:c>
    </x:row>
    <x:row r="14">
      <x:c r="A14" s="1154" t="str">
        <x:v>Indoor-Nutzung</x:v>
      </x:c>
      <x:c r="B14" s="1204" t="str">
        <x:v>Hersteller: nicht im Innenbereich verwenden</x:v>
      </x:c>
      <x:c r="C14" s="1204" t="str">
        <x:v>NICHT REFERENCE</x:v>
      </x:c>
      <x:c r="D14" s="1204" t="str">
        <x:v>Herstellerwarnung ist eindeutig</x:v>
      </x:c>
      <x:c r="E14" s="1204" t="str">
        <x:v>Planung</x:v>
      </x:c>
      <x:c r="F14" s="1204" t="str">
        <x:v>manuell oder indoor-freigegebenes System wählen</x:v>
      </x:c>
      <x:c r="G14" s="1204" t="str">
        <x:v>Blumat offizielle App/FAQ</x:v>
      </x:c>
      <x:c r="H14" s="1205" t="str">
        <x:v>KRITISCH</x:v>
      </x:c>
    </x:row>
    <x:row r="15">
      <x:c r="A15" s="1156" t="str">
        <x:v>Auffangwanne</x:v>
      </x:c>
      <x:c r="B15" s="201" t="str">
        <x:v>Schadensminderung nur</x:v>
      </x:c>
      <x:c r="C15" s="201" t="str">
        <x:v>keine Freigabe</x:v>
      </x:c>
      <x:c r="D15" s="201" t="str">
        <x:v>reduziert nur Folgeschaden</x:v>
      </x:c>
      <x:c r="E15" s="201" t="str">
        <x:v>Wasserleck</x:v>
      </x:c>
      <x:c r="F15" s="201" t="str">
        <x:v>Zufuhr stoppen</x:v>
      </x:c>
      <x:c r="G15" s="201" t="str">
        <x:v>UKD Engineering</x:v>
      </x:c>
      <x:c r="H15" s="1193" t="str">
        <x:v>HOCH</x:v>
      </x:c>
    </x:row>
    <x:row r="16">
      <x:c r="A16" s="1156" t="str">
        <x:v>Leckagesensor</x:v>
      </x:c>
      <x:c r="B16" s="201" t="str">
        <x:v>Schadensminderung</x:v>
      </x:c>
      <x:c r="C16" s="201" t="str">
        <x:v>keine Freigabe</x:v>
      </x:c>
      <x:c r="D16" s="201" t="str">
        <x:v>Alarm ersetzt keine Herstellerfreigabe</x:v>
      </x:c>
      <x:c r="E16" s="201" t="str">
        <x:v>Alarm</x:v>
      </x:c>
      <x:c r="F16" s="201" t="str">
        <x:v>Wasser/Strom sicher trennen</x:v>
      </x:c>
      <x:c r="G16" s="201" t="str">
        <x:v>UKD Engineering</x:v>
      </x:c>
      <x:c r="H16" s="1193" t="str">
        <x:v>HOCH</x:v>
      </x:c>
    </x:row>
    <x:row r="17">
      <x:c r="A17" s="1156" t="str">
        <x:v>Reservoirlimit</x:v>
      </x:c>
      <x:c r="B17" s="201" t="str">
        <x:v>Schadensminderung</x:v>
      </x:c>
      <x:c r="C17" s="201" t="str">
        <x:v>keine Freigabe</x:v>
      </x:c>
      <x:c r="D17" s="201" t="str">
        <x:v>Worst-case Volumen begrenzen</x:v>
      </x:c>
      <x:c r="E17" s="201" t="str">
        <x:v>Tankfüllung</x:v>
      </x:c>
      <x:c r="F17" s="201" t="str">
        <x:v>kleine Charge</x:v>
      </x:c>
      <x:c r="G17" s="201" t="str">
        <x:v>UKD Engineering</x:v>
      </x:c>
      <x:c r="H17" s="1193" t="str">
        <x:v>HOCH</x:v>
      </x:c>
    </x:row>
    <x:row r="18">
      <x:c r="A18" s="1156" t="str">
        <x:v>Flüssigdünger</x:v>
      </x:c>
      <x:c r="B18" s="201" t="str">
        <x:v>laut Blumat grundsätzlich im Tank möglich</x:v>
      </x:c>
      <x:c r="C18" s="201" t="str">
        <x:v>Leitungen überwachen</x:v>
      </x:c>
      <x:c r="D18" s="201" t="str">
        <x:v>Hersteller warnt vor Kristallisation über Zeit</x:v>
      </x:c>
      <x:c r="E18" s="201" t="str">
        <x:v>ungleiche Tropfung</x:v>
      </x:c>
      <x:c r="F18" s="201" t="str">
        <x:v>reinigen/ersetzen</x:v>
      </x:c>
      <x:c r="G18" s="201" t="str">
        <x:v>Blumat FAQ</x:v>
      </x:c>
      <x:c r="H18" s="1193" t="str">
        <x:v>HOCH</x:v>
      </x:c>
    </x:row>
    <x:row r="19">
      <x:c r="A19" s="1156" t="str">
        <x:v>Feuchteregelung</x:v>
      </x:c>
      <x:c r="B19" s="201" t="str">
        <x:v>Blumat reagiert ausschließlich auf Bodenfeuchte</x:v>
      </x:c>
      <x:c r="C19" s="201" t="str">
        <x:v>technisch nachvollziehbar</x:v>
      </x:c>
      <x:c r="D19" s="201" t="str">
        <x:v>kein zeitgesteuertes ml/Tag-System</x:v>
      </x:c>
      <x:c r="E19" s="201" t="str">
        <x:v>Feuchteänderung</x:v>
      </x:c>
      <x:c r="F19" s="201" t="str">
        <x:v>Sensorprinzip respektieren</x:v>
      </x:c>
      <x:c r="G19" s="201" t="str">
        <x:v>Blumat FAQ</x:v>
      </x:c>
      <x:c r="H19" s="1193" t="str">
        <x:v>MITTEL</x:v>
      </x:c>
    </x:row>
    <x:row r="20">
      <x:c r="A20" s="1158" t="str">
        <x:v>Mikroben/Carbos</x:v>
      </x:c>
      <x:c r="B20" s="1194" t="str">
        <x:v>keine spezifische Blumat-Freigabe abgeleitet</x:v>
      </x:c>
      <x:c r="C20" s="1194" t="str">
        <x:v>UKD nicht stagnierend</x:v>
      </x:c>
      <x:c r="D20" s="1194" t="str">
        <x:v>zusätzliche Biofilm-/Hygienevariable</x:v>
      </x:c>
      <x:c r="E20" s="1194" t="str">
        <x:v>Geruch/Schleim</x:v>
      </x:c>
      <x:c r="F20" s="1194" t="str">
        <x:v>frisch/separat oder anderes System</x:v>
      </x:c>
      <x:c r="G20" s="1194" t="str">
        <x:v>UKD Vorsicht</x:v>
      </x:c>
      <x:c r="H20" s="1195" t="str">
        <x:v>HOCH</x:v>
      </x:c>
    </x:row>
  </x:sheetData>
  <x:mergeCells>
    <x:mergeCell ref="A12:H12"/>
  </x:mergeCells>
  <x:dataValidations count="1">
    <x:dataValidation type="list" sqref="C14:C20">
      <x:formula1>"offen,OK,WARN,N/A"</x:formula1>
    </x:dataValidation>
  </x:dataValidation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12" hidden="0" customWidth="1"/>
    <x:col min="3" max="3" width="19" hidden="0" customWidth="1"/>
    <x:col min="4" max="4" width="26" hidden="0" customWidth="1"/>
    <x:col min="5" max="5" width="12" hidden="0" customWidth="1"/>
    <x:col min="6" max="6" width="13" hidden="0" customWidth="1"/>
    <x:col min="7" max="7" width="13" hidden="0" customWidth="1"/>
    <x:col min="8" max="8" width="27" hidden="0" customWidth="1"/>
    <x:col min="9" max="9" width="11" hidden="0" customWidth="1"/>
    <x:col min="10" max="10" width="46" hidden="0" customWidth="1"/>
    <x:col min="11" max="11" width="46" hidden="0" customWidth="1"/>
    <x:col min="12" max="12" width="46" hidden="0" customWidth="1"/>
    <x:col min="13" max="13" width="13" hidden="0" customWidth="1"/>
  </x:cols>
  <x:sheetData>
    <x:row r="1">
      <x:c r="A1" s="14" t="str">
        <x:v>Phase</x:v>
      </x:c>
      <x:c r="B1" s="14" t="str">
        <x:v>PPFD</x:v>
      </x:c>
      <x:c r="C1" s="14" t="str">
        <x:v>DLI @18h</x:v>
      </x:c>
      <x:c r="D1" s="14" t="str">
        <x:v>Watt Start</x:v>
      </x:c>
      <x:c r="E1" s="14" t="str">
        <x:v>Abstand Start cm</x:v>
      </x:c>
      <x:c r="F1" s="14" t="str">
        <x:v>Temp an</x:v>
      </x:c>
      <x:c r="G1" s="14" t="str">
        <x:v>Temp aus</x:v>
      </x:c>
      <x:c r="H1" s="14" t="str">
        <x:v>LF</x:v>
      </x:c>
      <x:c r="I1" s="14" t="str">
        <x:v>Leaf-VPD est. kPa</x:v>
      </x:c>
      <x:c r="J1" s="14" t="str">
        <x:v>Grenze</x:v>
      </x:c>
      <x:c r="K1" s="14" t="str">
        <x:v>Regelkreis</x:v>
      </x:c>
      <x:c r="L1" s="14" t="str">
        <x:v>Kommentar</x:v>
      </x:c>
      <x:c r="M1" s="1645" t="str">
        <x:v>Air-VPD kPa</x:v>
      </x:c>
    </x:row>
    <x:row r="2">
      <x:c r="A2" s="32" t="str">
        <x:v>Keimung</x:v>
      </x:c>
      <x:c r="B2" s="62" t="n">
        <x:v>160</x:v>
      </x:c>
      <x:c r="C2" s="62" t="n">
        <x:v>10.4</x:v>
      </x:c>
      <x:c r="D2" s="62" t="n">
        <x:v>30</x:v>
      </x:c>
      <x:c r="E2" s="62" t="n">
        <x:v>55</x:v>
      </x:c>
      <x:c r="F2" s="62" t="n">
        <x:v>25</x:v>
      </x:c>
      <x:c r="G2" s="62" t="n">
        <x:v>22.5</x:v>
      </x:c>
      <x:c r="H2" s="62" t="n">
        <x:v>73</x:v>
      </x:c>
      <x:c r="I2" s="62" t="n">
        <x:f>ROUND(0.6108*EXP(17.27*(F2+'01_Run_Config'!$B$34)/(F2+'01_Run_Config'!$B$34+237.3))-(H2/100)*0.6108*EXP(17.27*F2/(F2+237.3)),2)</x:f>
        <x:v>0.67</x:v>
      </x:c>
      <x:c r="J2" s="62" t="str">
        <x:v>Kein PPFD-Upgrade bei Bleaching/Taco/Hitze/EC-Stress</x:v>
      </x:c>
      <x:c r="K2" s="62" t="str">
        <x:v>PPFD messen → Dimmer/Höhe → Temp/RH → Pflanze 24–48h beobachten</x:v>
      </x:c>
      <x:c r="L2" s="33" t="str">
        <x:v>Watt/Abstand nur Startpunkt; PPFD-Mapping dominiert.</x:v>
      </x:c>
      <x:c r="M2" s="1642" t="n">
        <x:f>ROUND(0.6108*EXP(17.27*F2/(F2+237.3))*(1-H2/100),2)</x:f>
        <x:v>0.86</x:v>
      </x:c>
    </x:row>
    <x:row r="3">
      <x:c r="A3" s="34" t="str">
        <x:v>Etablierung</x:v>
      </x:c>
      <x:c r="B3" s="63" t="n">
        <x:v>200</x:v>
      </x:c>
      <x:c r="C3" s="63" t="n">
        <x:v>13</x:v>
      </x:c>
      <x:c r="D3" s="63" t="n">
        <x:v>40</x:v>
      </x:c>
      <x:c r="E3" s="63" t="n">
        <x:v>52</x:v>
      </x:c>
      <x:c r="F3" s="63" t="n">
        <x:v>25</x:v>
      </x:c>
      <x:c r="G3" s="63" t="n">
        <x:v>22</x:v>
      </x:c>
      <x:c r="H3" s="63" t="n">
        <x:v>70</x:v>
      </x:c>
      <x:c r="I3" s="63" t="n">
        <x:f>ROUND(0.6108*EXP(17.27*(F3+'01_Run_Config'!$B$34)/(F3+'01_Run_Config'!$B$34+237.3))-(H3/100)*0.6108*EXP(17.27*F3/(F3+237.3)),2)</x:f>
        <x:v>0.77</x:v>
      </x:c>
      <x:c r="J3" s="63" t="str">
        <x:v>Kein PPFD-Upgrade bei Bleaching/Taco/Hitze/EC-Stress</x:v>
      </x:c>
      <x:c r="K3" s="63" t="str">
        <x:v>PPFD messen → Dimmer/Höhe → Temp/RH → Pflanze 24–48h beobachten</x:v>
      </x:c>
      <x:c r="L3" s="35" t="str">
        <x:v>Watt/Abstand nur Startpunkt; PPFD-Mapping dominiert.</x:v>
      </x:c>
      <x:c r="M3" s="1642" t="n">
        <x:f>ROUND(0.6108*EXP(17.27*F3/(F3+237.3))*(1-H3/100),2)</x:f>
        <x:v>0.95</x:v>
      </x:c>
    </x:row>
    <x:row r="4">
      <x:c r="A4" s="34" t="str">
        <x:v>Early Veg</x:v>
      </x:c>
      <x:c r="B4" s="63" t="n">
        <x:v>275</x:v>
      </x:c>
      <x:c r="C4" s="63" t="n">
        <x:v>17.8</x:v>
      </x:c>
      <x:c r="D4" s="63" t="n">
        <x:v>55</x:v>
      </x:c>
      <x:c r="E4" s="63" t="n">
        <x:v>48</x:v>
      </x:c>
      <x:c r="F4" s="63" t="n">
        <x:v>25.5</x:v>
      </x:c>
      <x:c r="G4" s="63" t="n">
        <x:v>22</x:v>
      </x:c>
      <x:c r="H4" s="63" t="n">
        <x:v>66</x:v>
      </x:c>
      <x:c r="I4" s="63" t="n">
        <x:f>ROUND(0.6108*EXP(17.27*(F4+'01_Run_Config'!$B$34)/(F4+'01_Run_Config'!$B$34+237.3))-(H4/100)*0.6108*EXP(17.27*F4/(F4+237.3)),2)</x:f>
        <x:v>0.92</x:v>
      </x:c>
      <x:c r="J4" s="63" t="str">
        <x:v>Kein PPFD-Upgrade bei Bleaching/Taco/Hitze/EC-Stress</x:v>
      </x:c>
      <x:c r="K4" s="63" t="str">
        <x:v>PPFD messen → Dimmer/Höhe → Temp/RH → Pflanze 24–48h beobachten</x:v>
      </x:c>
      <x:c r="L4" s="35" t="str">
        <x:v>Watt/Abstand nur Startpunkt; PPFD-Mapping dominiert.</x:v>
      </x:c>
      <x:c r="M4" s="1642" t="n">
        <x:f>ROUND(0.6108*EXP(17.27*F4/(F4+237.3))*(1-H4/100),2)</x:f>
        <x:v>1.11</x:v>
      </x:c>
    </x:row>
    <x:row r="5">
      <x:c r="A5" s="34" t="str">
        <x:v>Veg / LST</x:v>
      </x:c>
      <x:c r="B5" s="63" t="n">
        <x:v>350</x:v>
      </x:c>
      <x:c r="C5" s="63" t="n">
        <x:v>22.7</x:v>
      </x:c>
      <x:c r="D5" s="63" t="n">
        <x:v>75</x:v>
      </x:c>
      <x:c r="E5" s="63" t="n">
        <x:v>43</x:v>
      </x:c>
      <x:c r="F5" s="63" t="n">
        <x:v>25.5</x:v>
      </x:c>
      <x:c r="G5" s="63" t="n">
        <x:v>22</x:v>
      </x:c>
      <x:c r="H5" s="63" t="n">
        <x:v>62</x:v>
      </x:c>
      <x:c r="I5" s="63" t="n">
        <x:f>ROUND(0.6108*EXP(17.27*(F5+'01_Run_Config'!$B$34)/(F5+'01_Run_Config'!$B$34+237.3))-(H5/100)*0.6108*EXP(17.27*F5/(F5+237.3)),2)</x:f>
        <x:v>1.05</x:v>
      </x:c>
      <x:c r="J5" s="63" t="str">
        <x:v>Kein PPFD-Upgrade bei Bleaching/Taco/Hitze/EC-Stress</x:v>
      </x:c>
      <x:c r="K5" s="63" t="str">
        <x:v>PPFD messen → Dimmer/Höhe → Temp/RH → Pflanze 24–48h beobachten</x:v>
      </x:c>
      <x:c r="L5" s="35" t="str">
        <x:v>Watt/Abstand nur Startpunkt; PPFD-Mapping dominiert.</x:v>
      </x:c>
      <x:c r="M5" s="1642" t="n">
        <x:f>ROUND(0.6108*EXP(17.27*F5/(F5+237.3))*(1-H5/100),2)</x:f>
        <x:v>1.24</x:v>
      </x:c>
    </x:row>
    <x:row r="6">
      <x:c r="A6" s="34" t="str">
        <x:v>Preflower / Transition</x:v>
      </x:c>
      <x:c r="B6" s="63" t="n">
        <x:v>450</x:v>
      </x:c>
      <x:c r="C6" s="63" t="n">
        <x:v>29.2</x:v>
      </x:c>
      <x:c r="D6" s="63" t="n">
        <x:v>95</x:v>
      </x:c>
      <x:c r="E6" s="63" t="n">
        <x:v>40</x:v>
      </x:c>
      <x:c r="F6" s="63" t="n">
        <x:v>25.5</x:v>
      </x:c>
      <x:c r="G6" s="63" t="n">
        <x:v>22</x:v>
      </x:c>
      <x:c r="H6" s="63" t="n">
        <x:v>58</x:v>
      </x:c>
      <x:c r="I6" s="63" t="n">
        <x:f>ROUND(0.6108*EXP(17.27*(F6+'01_Run_Config'!$B$34)/(F6+'01_Run_Config'!$B$34+237.3))-(H6/100)*0.6108*EXP(17.27*F6/(F6+237.3)),2)</x:f>
        <x:v>1.18</x:v>
      </x:c>
      <x:c r="J6" s="63" t="str">
        <x:v>Kein PPFD-Upgrade bei Bleaching/Taco/Hitze/EC-Stress</x:v>
      </x:c>
      <x:c r="K6" s="63" t="str">
        <x:v>PPFD messen → Dimmer/Höhe → Temp/RH → Pflanze 24–48h beobachten</x:v>
      </x:c>
      <x:c r="L6" s="35" t="str">
        <x:v>Watt/Abstand nur Startpunkt; PPFD-Mapping dominiert.</x:v>
      </x:c>
      <x:c r="M6" s="1642" t="n">
        <x:f>ROUND(0.6108*EXP(17.27*F6/(F6+237.3))*(1-H6/100),2)</x:f>
        <x:v>1.37</x:v>
      </x:c>
    </x:row>
    <x:row r="7">
      <x:c r="A7" s="34" t="str">
        <x:v>Stretch / Early Flower</x:v>
      </x:c>
      <x:c r="B7" s="63" t="n">
        <x:v>550</x:v>
      </x:c>
      <x:c r="C7" s="63" t="n">
        <x:v>35.6</x:v>
      </x:c>
      <x:c r="D7" s="63" t="n">
        <x:v>120</x:v>
      </x:c>
      <x:c r="E7" s="63" t="n">
        <x:v>36</x:v>
      </x:c>
      <x:c r="F7" s="63" t="n">
        <x:v>25</x:v>
      </x:c>
      <x:c r="G7" s="63" t="n">
        <x:v>21.5</x:v>
      </x:c>
      <x:c r="H7" s="63" t="n">
        <x:v>53</x:v>
      </x:c>
      <x:c r="I7" s="63" t="n">
        <x:f>ROUND(0.6108*EXP(17.27*(F7+'01_Run_Config'!$B$34)/(F7+'01_Run_Config'!$B$34+237.3))-(H7/100)*0.6108*EXP(17.27*F7/(F7+237.3)),2)</x:f>
        <x:v>1.3</x:v>
      </x:c>
      <x:c r="J7" s="63" t="str">
        <x:v>Kein PPFD-Upgrade bei Bleaching/Taco/Hitze/EC-Stress</x:v>
      </x:c>
      <x:c r="K7" s="63" t="str">
        <x:v>PPFD messen → Dimmer/Höhe → Temp/RH → Pflanze 24–48h beobachten</x:v>
      </x:c>
      <x:c r="L7" s="35" t="str">
        <x:v>Watt/Abstand nur Startpunkt; PPFD-Mapping dominiert.</x:v>
      </x:c>
      <x:c r="M7" s="1642" t="n">
        <x:f>ROUND(0.6108*EXP(17.27*F7/(F7+237.3))*(1-H7/100),2)</x:f>
        <x:v>1.49</x:v>
      </x:c>
    </x:row>
    <x:row r="8">
      <x:c r="A8" s="34" t="str">
        <x:v>Flower I</x:v>
      </x:c>
      <x:c r="B8" s="63" t="n">
        <x:v>600</x:v>
      </x:c>
      <x:c r="C8" s="63" t="n">
        <x:v>38.9</x:v>
      </x:c>
      <x:c r="D8" s="63" t="n">
        <x:v>135</x:v>
      </x:c>
      <x:c r="E8" s="63" t="n">
        <x:v>34</x:v>
      </x:c>
      <x:c r="F8" s="63" t="n">
        <x:v>25</x:v>
      </x:c>
      <x:c r="G8" s="63" t="n">
        <x:v>21.5</x:v>
      </x:c>
      <x:c r="H8" s="63" t="n">
        <x:v>50</x:v>
      </x:c>
      <x:c r="I8" s="63" t="n">
        <x:f>ROUND(0.6108*EXP(17.27*(F8+'01_Run_Config'!$B$34)/(F8+'01_Run_Config'!$B$34+237.3))-(H8/100)*0.6108*EXP(17.27*F8/(F8+237.3)),2)</x:f>
        <x:v>1.4</x:v>
      </x:c>
      <x:c r="J8" s="63" t="str">
        <x:v>Kein PPFD-Upgrade bei Bleaching/Taco/Hitze/EC-Stress</x:v>
      </x:c>
      <x:c r="K8" s="63" t="str">
        <x:v>PPFD messen → Dimmer/Höhe → Temp/RH → Pflanze 24–48h beobachten</x:v>
      </x:c>
      <x:c r="L8" s="35" t="str">
        <x:v>Watt/Abstand nur Startpunkt; PPFD-Mapping dominiert.</x:v>
      </x:c>
      <x:c r="M8" s="1642" t="n">
        <x:f>ROUND(0.6108*EXP(17.27*F8/(F8+237.3))*(1-H8/100),2)</x:f>
        <x:v>1.58</x:v>
      </x:c>
    </x:row>
    <x:row r="9">
      <x:c r="A9" s="34" t="str">
        <x:v>Peak Flower</x:v>
      </x:c>
      <x:c r="B9" s="63" t="n">
        <x:v>625</x:v>
      </x:c>
      <x:c r="C9" s="63" t="n">
        <x:v>40.5</x:v>
      </x:c>
      <x:c r="D9" s="63" t="n">
        <x:v>140</x:v>
      </x:c>
      <x:c r="E9" s="63" t="n">
        <x:v>34</x:v>
      </x:c>
      <x:c r="F9" s="63" t="n">
        <x:v>24.5</x:v>
      </x:c>
      <x:c r="G9" s="63" t="n">
        <x:v>21</x:v>
      </x:c>
      <x:c r="H9" s="63" t="n">
        <x:v>47</x:v>
      </x:c>
      <x:c r="I9" s="63" t="n">
        <x:f>ROUND(0.6108*EXP(17.27*(F9+'01_Run_Config'!$B$34)/(F9+'01_Run_Config'!$B$34+237.3))-(H9/100)*0.6108*EXP(17.27*F9/(F9+237.3)),2)</x:f>
        <x:v>1.45</x:v>
      </x:c>
      <x:c r="J9" s="63" t="str">
        <x:v>Kein PPFD-Upgrade bei Bleaching/Taco/Hitze/EC-Stress</x:v>
      </x:c>
      <x:c r="K9" s="63" t="str">
        <x:v>PPFD messen → Dimmer/Höhe → Temp/RH → Pflanze 24–48h beobachten</x:v>
      </x:c>
      <x:c r="L9" s="35" t="str">
        <x:v>Watt/Abstand nur Startpunkt; PPFD-Mapping dominiert.</x:v>
      </x:c>
      <x:c r="M9" s="1642" t="n">
        <x:f>ROUND(0.6108*EXP(17.27*F9/(F9+237.3))*(1-H9/100),2)</x:f>
        <x:v>1.63</x:v>
      </x:c>
    </x:row>
    <x:row r="10">
      <x:c r="A10" s="34" t="str">
        <x:v>Late Flower</x:v>
      </x:c>
      <x:c r="B10" s="63" t="n">
        <x:v>600</x:v>
      </x:c>
      <x:c r="C10" s="63" t="n">
        <x:v>38.9</x:v>
      </x:c>
      <x:c r="D10" s="63" t="n">
        <x:v>130</x:v>
      </x:c>
      <x:c r="E10" s="63" t="n">
        <x:v>35</x:v>
      </x:c>
      <x:c r="F10" s="63" t="n">
        <x:v>24</x:v>
      </x:c>
      <x:c r="G10" s="63" t="n">
        <x:v>20.5</x:v>
      </x:c>
      <x:c r="H10" s="63" t="n">
        <x:v>45</x:v>
      </x:c>
      <x:c r="I10" s="63" t="n">
        <x:f>ROUND(0.6108*EXP(17.27*(F10+'01_Run_Config'!$B$34)/(F10+'01_Run_Config'!$B$34+237.3))-(H10/100)*0.6108*EXP(17.27*F10/(F10+237.3)),2)</x:f>
        <x:v>1.47</x:v>
      </x:c>
      <x:c r="J10" s="63" t="str">
        <x:v>Kein PPFD-Upgrade bei Bleaching/Taco/Hitze/EC-Stress</x:v>
      </x:c>
      <x:c r="K10" s="63" t="str">
        <x:v>PPFD messen → Dimmer/Höhe → Temp/RH → Pflanze 24–48h beobachten</x:v>
      </x:c>
      <x:c r="L10" s="35" t="str">
        <x:v>Watt/Abstand nur Startpunkt; PPFD-Mapping dominiert.</x:v>
      </x:c>
      <x:c r="M10" s="1642" t="n">
        <x:f>ROUND(0.6108*EXP(17.27*F10/(F10+237.3))*(1-H10/100),2)</x:f>
        <x:v>1.64</x:v>
      </x:c>
    </x:row>
    <x:row r="11">
      <x:c r="A11" s="34" t="str">
        <x:v>Ripening</x:v>
      </x:c>
      <x:c r="B11" s="63" t="n">
        <x:v>550</x:v>
      </x:c>
      <x:c r="C11" s="63" t="n">
        <x:v>35.6</x:v>
      </x:c>
      <x:c r="D11" s="63" t="n">
        <x:v>120</x:v>
      </x:c>
      <x:c r="E11" s="63" t="n">
        <x:v>37</x:v>
      </x:c>
      <x:c r="F11" s="63" t="n">
        <x:v>23.5</x:v>
      </x:c>
      <x:c r="G11" s="63" t="n">
        <x:v>20.5</x:v>
      </x:c>
      <x:c r="H11" s="63" t="n">
        <x:v>43</x:v>
      </x:c>
      <x:c r="I11" s="63" t="n">
        <x:f>ROUND(0.6108*EXP(17.27*(F11+'01_Run_Config'!$B$34)/(F11+'01_Run_Config'!$B$34+237.3))-(H11/100)*0.6108*EXP(17.27*F11/(F11+237.3)),2)</x:f>
        <x:v>1.48</x:v>
      </x:c>
      <x:c r="J11" s="63" t="str">
        <x:v>Kein PPFD-Upgrade bei Bleaching/Taco/Hitze/EC-Stress</x:v>
      </x:c>
      <x:c r="K11" s="63" t="str">
        <x:v>PPFD messen → Dimmer/Höhe → Temp/RH → Pflanze 24–48h beobachten</x:v>
      </x:c>
      <x:c r="L11" s="35" t="str">
        <x:v>Watt/Abstand nur Startpunkt; PPFD-Mapping dominiert.</x:v>
      </x:c>
      <x:c r="M11" s="1642" t="n">
        <x:f>ROUND(0.6108*EXP(17.27*F11/(F11+237.3))*(1-H11/100),2)</x:f>
        <x:v>1.65</x:v>
      </x:c>
    </x:row>
    <x:row r="12">
      <x:c r="A12" s="36" t="str">
        <x:v>Harvest Window</x:v>
      </x:c>
      <x:c r="B12" s="64" t="n">
        <x:v>500</x:v>
      </x:c>
      <x:c r="C12" s="64" t="n">
        <x:v>32.4</x:v>
      </x:c>
      <x:c r="D12" s="64" t="n">
        <x:v>105</x:v>
      </x:c>
      <x:c r="E12" s="64" t="n">
        <x:v>40</x:v>
      </x:c>
      <x:c r="F12" s="64" t="n">
        <x:v>23</x:v>
      </x:c>
      <x:c r="G12" s="64" t="n">
        <x:v>20</x:v>
      </x:c>
      <x:c r="H12" s="64" t="n">
        <x:v>42</x:v>
      </x:c>
      <x:c r="I12" s="64" t="n">
        <x:f>ROUND(0.6108*EXP(17.27*(F12+'01_Run_Config'!$B$34)/(F12+'01_Run_Config'!$B$34+237.3))-(H12/100)*0.6108*EXP(17.27*F12/(F12+237.3)),2)</x:f>
        <x:v>1.46</x:v>
      </x:c>
      <x:c r="J12" s="64" t="str">
        <x:v>Kein PPFD-Upgrade bei Bleaching/Taco/Hitze/EC-Stress</x:v>
      </x:c>
      <x:c r="K12" s="64" t="str">
        <x:v>PPFD messen → Dimmer/Höhe → Temp/RH → Pflanze 24–48h beobachten</x:v>
      </x:c>
      <x:c r="L12" s="37" t="str">
        <x:v>Watt/Abstand nur Startpunkt; PPFD-Mapping dominiert.</x:v>
      </x:c>
      <x:c r="M12" s="1642" t="n">
        <x:f>ROUND(0.6108*EXP(17.27*F12/(F12+237.3))*(1-H12/100),2)</x:f>
        <x:v>1.63</x:v>
      </x:c>
    </x:row>
    <x:row r="13">
      <x:c r="A13" s="1467" t="str">
        <x:v>Harvest Window II</x:v>
      </x:c>
      <x:c r="B13" s="1468" t="n">
        <x:v>450</x:v>
      </x:c>
      <x:c r="C13" s="1468" t="n">
        <x:v>29.2</x:v>
      </x:c>
      <x:c r="D13" s="1468" t="n">
        <x:v>90</x:v>
      </x:c>
      <x:c r="E13" s="1468" t="n">
        <x:v>42</x:v>
      </x:c>
      <x:c r="F13" s="1468" t="n">
        <x:v>22.5</x:v>
      </x:c>
      <x:c r="G13" s="1468" t="n">
        <x:v>20</x:v>
      </x:c>
      <x:c r="H13" s="1468" t="n">
        <x:v>42</x:v>
      </x:c>
      <x:c r="I13" s="1468" t="n">
        <x:f>ROUND(0.6108*EXP(17.27*(F13+'01_Run_Config'!$B$34)/(F13+'01_Run_Config'!$B$34+237.3))-(H13/100)*0.6108*EXP(17.27*F13/(F13+237.3)),2)</x:f>
        <x:v>1.42</x:v>
      </x:c>
      <x:c r="J13" s="1468" t="str">
        <x:v>Nur bei fortgesetztem Run; Ernte nach Reife, nicht Kalender</x:v>
      </x:c>
      <x:c r="K13" s="1468" t="str">
        <x:v>PPFD messen → Dimmer/Höhe → Klima → Pflanze beobachten</x:v>
      </x:c>
      <x:c r="L13" s="1468" t="str">
        <x:v>Tage 77–80 Plan-Taper; kein Qualitätsbeweis für Lichtreduktion.</x:v>
      </x:c>
      <x:c r="M13" s="1643" t="n">
        <x:f>ROUND(0.6108*EXP(17.27*F13/(F13+237.3))*(1-H13/100),2)</x:f>
        <x:v>1.58</x:v>
      </x:c>
    </x:row>
    <x:row r="14">
      <x:c r="A14" s="1406" t="str">
        <x:v>EVIDENZHINWEIS: 600–625 µmol/m²/s bei 18 h ist eine konservative UKD-Arbeitsobergrenze (DLI ≈39–40,5), kein wissenschaftlich bewiesenes Autoflower-Optimum. Viele Cannabis-Lichtstudien wurden an photoperiodischen Pflanzen unter 12 h durchgeführt.</x:v>
      </x:c>
      <x:c r="B14" s="1407"/>
      <x:c r="C14" s="1407"/>
      <x:c r="D14" s="1407"/>
      <x:c r="E14" s="1407"/>
      <x:c r="F14" s="1407"/>
      <x:c r="G14" s="1407"/>
      <x:c r="H14" s="1407"/>
      <x:c r="I14" s="1407"/>
      <x:c r="J14" s="1407"/>
      <x:c r="K14" s="1407"/>
      <x:c r="L14" s="1407"/>
      <x:c r="M14" s="1408"/>
    </x:row>
    <x:row r="15">
      <x:c r="A15" s="14" t="str">
        <x:v>9-Punkt PPFD Mapping</x:v>
      </x:c>
      <x:c r="B15" s="14" t="str">
        <x:v>Position</x:v>
      </x:c>
      <x:c r="C15" s="14" t="str">
        <x:v>Zielabweichung</x:v>
      </x:c>
      <x:c r="D15" s="14" t="str">
        <x:v>Aktion</x:v>
      </x:c>
      <x:c r="E15" s="1400" t="str">
        <x:v>PPFD IST</x:v>
      </x:c>
      <x:c r="F15" s="1400" t="str">
        <x:v>Δ vs Mittel</x:v>
      </x:c>
      <x:c r="G15" s="1400" t="str">
        <x:v>Status</x:v>
      </x:c>
      <x:c r="H15" s="1400" t="str">
        <x:v>Messnotiz</x:v>
      </x:c>
    </x:row>
    <x:row r="16">
      <x:c r="A16" s="32" t="str">
        <x:v>1</x:v>
      </x:c>
      <x:c r="B16" s="62" t="str">
        <x:v>vorn links</x:v>
      </x:c>
      <x:c r="C16" s="62" t="str">
        <x:v>±15% vom Mittel</x:v>
      </x:c>
      <x:c r="D16" s="33" t="str">
        <x:v>Höhe/Dimmer/Fixtureposition</x:v>
      </x:c>
      <x:c r="E16" s="1474"/>
      <x:c r="F16" s="1477" t="str">
        <x:f>IF(COUNT($E$16:$E$24)&lt;1,"",E16/AVERAGE($E$16:$E$24)-1)</x:f>
      </x:c>
      <x:c r="G16" t="str">
        <x:f>IF(E16="","",IF(ABS(F16)&lt;=0.15,"OK","PRÜFEN"))</x:f>
      </x:c>
    </x:row>
    <x:row r="17">
      <x:c r="A17" s="34" t="str">
        <x:v>2</x:v>
      </x:c>
      <x:c r="B17" s="63" t="str">
        <x:v>vorn Mitte</x:v>
      </x:c>
      <x:c r="C17" s="63" t="str">
        <x:v>±15%</x:v>
      </x:c>
      <x:c r="D17" s="35" t="str"/>
      <x:c r="E17" s="1475"/>
      <x:c r="F17" s="1477" t="str">
        <x:f>IF(COUNT($E$16:$E$24)&lt;1,"",E17/AVERAGE($E$16:$E$24)-1)</x:f>
      </x:c>
      <x:c r="G17" t="str">
        <x:f>IF(E17="","",IF(ABS(F17)&lt;=0.15,"OK","PRÜFEN"))</x:f>
      </x:c>
    </x:row>
    <x:row r="18">
      <x:c r="A18" s="34" t="str">
        <x:v>3</x:v>
      </x:c>
      <x:c r="B18" s="63" t="str">
        <x:v>vorn rechts</x:v>
      </x:c>
      <x:c r="C18" s="63" t="str">
        <x:v>±15%</x:v>
      </x:c>
      <x:c r="D18" s="35" t="str"/>
      <x:c r="E18" s="1475"/>
      <x:c r="F18" s="1477" t="str">
        <x:f>IF(COUNT($E$16:$E$24)&lt;1,"",E18/AVERAGE($E$16:$E$24)-1)</x:f>
      </x:c>
      <x:c r="G18" t="str">
        <x:f>IF(E18="","",IF(ABS(F18)&lt;=0.15,"OK","PRÜFEN"))</x:f>
      </x:c>
    </x:row>
    <x:row r="19">
      <x:c r="A19" s="34" t="str">
        <x:v>4</x:v>
      </x:c>
      <x:c r="B19" s="63" t="str">
        <x:v>Mitte links</x:v>
      </x:c>
      <x:c r="C19" s="63" t="str">
        <x:v>±15%</x:v>
      </x:c>
      <x:c r="D19" s="35" t="str"/>
      <x:c r="E19" s="1475"/>
      <x:c r="F19" s="1477" t="str">
        <x:f>IF(COUNT($E$16:$E$24)&lt;1,"",E19/AVERAGE($E$16:$E$24)-1)</x:f>
      </x:c>
      <x:c r="G19" t="str">
        <x:f>IF(E19="","",IF(ABS(F19)&lt;=0.15,"OK","PRÜFEN"))</x:f>
      </x:c>
    </x:row>
    <x:row r="20">
      <x:c r="A20" s="34" t="str">
        <x:v>5</x:v>
      </x:c>
      <x:c r="B20" s="63" t="str">
        <x:v>Zentrum</x:v>
      </x:c>
      <x:c r="C20" s="63" t="str">
        <x:v>±15%</x:v>
      </x:c>
      <x:c r="D20" s="35" t="str">
        <x:v>Hotspot vermeiden</x:v>
      </x:c>
      <x:c r="E20" s="1475"/>
      <x:c r="F20" s="1477" t="str">
        <x:f>IF(COUNT($E$16:$E$24)&lt;1,"",E20/AVERAGE($E$16:$E$24)-1)</x:f>
      </x:c>
      <x:c r="G20" t="str">
        <x:f>IF(E20="","",IF(ABS(F20)&lt;=0.15,"OK","PRÜFEN"))</x:f>
      </x:c>
    </x:row>
    <x:row r="21">
      <x:c r="A21" s="34" t="str">
        <x:v>6</x:v>
      </x:c>
      <x:c r="B21" s="63" t="str">
        <x:v>Mitte rechts</x:v>
      </x:c>
      <x:c r="C21" s="63" t="str">
        <x:v>±15%</x:v>
      </x:c>
      <x:c r="D21" s="35" t="str"/>
      <x:c r="E21" s="1475"/>
      <x:c r="F21" s="1477" t="str">
        <x:f>IF(COUNT($E$16:$E$24)&lt;1,"",E21/AVERAGE($E$16:$E$24)-1)</x:f>
      </x:c>
      <x:c r="G21" t="str">
        <x:f>IF(E21="","",IF(ABS(F21)&lt;=0.15,"OK","PRÜFEN"))</x:f>
      </x:c>
    </x:row>
    <x:row r="22">
      <x:c r="A22" s="34" t="str">
        <x:v>7</x:v>
      </x:c>
      <x:c r="B22" s="63" t="str">
        <x:v>hinten links</x:v>
      </x:c>
      <x:c r="C22" s="63" t="str">
        <x:v>±15%</x:v>
      </x:c>
      <x:c r="D22" s="35" t="str"/>
      <x:c r="E22" s="1475"/>
      <x:c r="F22" s="1477" t="str">
        <x:f>IF(COUNT($E$16:$E$24)&lt;1,"",E22/AVERAGE($E$16:$E$24)-1)</x:f>
      </x:c>
      <x:c r="G22" t="str">
        <x:f>IF(E22="","",IF(ABS(F22)&lt;=0.15,"OK","PRÜFEN"))</x:f>
      </x:c>
    </x:row>
    <x:row r="23">
      <x:c r="A23" s="34" t="str">
        <x:v>8</x:v>
      </x:c>
      <x:c r="B23" s="63" t="str">
        <x:v>hinten Mitte</x:v>
      </x:c>
      <x:c r="C23" s="63" t="str">
        <x:v>±15%</x:v>
      </x:c>
      <x:c r="D23" s="35" t="str"/>
      <x:c r="E23" s="1475"/>
      <x:c r="F23" s="1477" t="str">
        <x:f>IF(COUNT($E$16:$E$24)&lt;1,"",E23/AVERAGE($E$16:$E$24)-1)</x:f>
      </x:c>
      <x:c r="G23" t="str">
        <x:f>IF(E23="","",IF(ABS(F23)&lt;=0.15,"OK","PRÜFEN"))</x:f>
      </x:c>
    </x:row>
    <x:row r="24">
      <x:c r="A24" s="34" t="str">
        <x:v>9</x:v>
      </x:c>
      <x:c r="B24" s="63" t="str">
        <x:v>hinten rechts</x:v>
      </x:c>
      <x:c r="C24" s="63" t="str">
        <x:v>±15%</x:v>
      </x:c>
      <x:c r="D24" s="35" t="str"/>
      <x:c r="E24" s="1476"/>
      <x:c r="F24" s="1477" t="str">
        <x:f>IF(COUNT($E$16:$E$24)&lt;1,"",E24/AVERAGE($E$16:$E$24)-1)</x:f>
      </x:c>
      <x:c r="G24" t="str">
        <x:f>IF(E24="","",IF(ABS(F24)&lt;=0.15,"OK","PRÜFEN"))</x:f>
      </x:c>
    </x:row>
    <x:row r="25">
      <x:c r="A25" s="36" t="str">
        <x:v>Regel</x:v>
      </x:c>
      <x:c r="B25" s="64" t="str">
        <x:v>nach jeder relevanten Lampenhöhen-/Canopyänderung</x:v>
      </x:c>
      <x:c r="C25" s="64" t="str">
        <x:v>nicht Potthöhe messen</x:v>
      </x:c>
      <x:c r="D25" s="37" t="str">
        <x:v>Messung auf Canopyhöhe</x:v>
      </x:c>
    </x:row>
    <x:row r="27">
      <x:c r="A27" s="1482" t="str">
        <x:v>PPFD-QA</x:v>
      </x:c>
      <x:c r="B27" s="1482" t="str">
        <x:v>Wert</x:v>
      </x:c>
      <x:c r="C27" s="1482" t="str">
        <x:v>Interpretation</x:v>
      </x:c>
      <x:c r="D27" s="1482" t="str">
        <x:v>Status</x:v>
      </x:c>
    </x:row>
    <x:row r="28">
      <x:c r="A28" s="1154" t="str">
        <x:v>Mittel</x:v>
      </x:c>
      <x:c r="B28" s="1204" t="str">
        <x:f>IF(COUNT(E16:E24)&lt;9,"",AVERAGE(E16:E24))</x:f>
      </x:c>
      <x:c r="C28" s="1204" t="str">
        <x:v>arithmetisches Mittel der 9 Punkte</x:v>
      </x:c>
      <x:c r="D28" s="1205" t="str"/>
    </x:row>
    <x:row r="29">
      <x:c r="A29" s="1156" t="str">
        <x:v>Minimum</x:v>
      </x:c>
      <x:c r="B29" s="201" t="str">
        <x:f>IF(COUNT(E16:E24)&lt;9,"",MIN(E16:E24))</x:f>
      </x:c>
      <x:c r="C29" s="201" t="str">
        <x:v>niedrigster Messpunkt</x:v>
      </x:c>
      <x:c r="D29" s="1193" t="str"/>
    </x:row>
    <x:row r="30">
      <x:c r="A30" s="1156" t="str">
        <x:v>Maximum</x:v>
      </x:c>
      <x:c r="B30" s="201" t="str">
        <x:f>IF(COUNT(E16:E24)&lt;9,"",MAX(E16:E24))</x:f>
      </x:c>
      <x:c r="C30" s="201" t="str">
        <x:v>höchster Messpunkt</x:v>
      </x:c>
      <x:c r="D30" s="1193" t="str"/>
    </x:row>
    <x:row r="31">
      <x:c r="A31" s="1156" t="str">
        <x:v>Uniformity min/avg</x:v>
      </x:c>
      <x:c r="B31" s="1483" t="str">
        <x:f>IF(COUNT(E16:E24)&lt;9,"",MIN(E16:E24)/AVERAGE(E16:E24))</x:f>
      </x:c>
      <x:c r="C31" s="201" t="str">
        <x:v>höher = gleichmäßiger; kein universeller Cannabis-Grenzwert</x:v>
      </x:c>
      <x:c r="D31" s="1193" t="str"/>
    </x:row>
    <x:row r="32">
      <x:c r="A32" s="1158" t="str">
        <x:v>CV</x:v>
      </x:c>
      <x:c r="B32" s="1484" t="str">
        <x:f>IF(COUNT(E16:E24)&lt;9,"",STDEV.S(E16:E24)/AVERAGE(E16:E24))</x:f>
      </x:c>
      <x:c r="C32" s="1194" t="str">
        <x:v>UKD internes Ziel: ≤15%; Heuristik, kein Naturgesetz</x:v>
      </x:c>
      <x:c r="D32" s="1195" t="str"/>
    </x:row>
    <x:row r="33">
      <x:c r="A33" s="1724" t="str">
        <x:v>RH EVIDENCE 2025</x:v>
      </x:c>
      <x:c r="B33" s="1724" t="str">
        <x:v>Corredor-Perilla et al. verglichen 37–58% vs. extreme 78–98% canopy RH in EINEM CBD-dominanten Klon.</x:v>
      </x:c>
      <x:c r="C33" s="1724" t="str">
        <x:v>Extreme RH reduzierte Biomasse/Blüten und verzögerte Blüte.</x:v>
      </x:c>
      <x:c r="D33" s="1724" t="str">
        <x:v>Die Autoren sagen ausdrücklich, dass 37–58% Kontrollbereich NICHT als ideales Optimum zu lesen ist.</x:v>
      </x:c>
      <x:c r="E33" s="1724" t="str">
        <x:v>UKD-Folge: RH-Trajektorie bleibt Arbeitsrahmen; keine universelle 40–60%- oder 40–50%-Regel daraus ableiten.</x:v>
      </x:c>
      <x:c r="F33" s="1724"/>
      <x:c r="G33" s="1724"/>
      <x:c r="H33" s="1724"/>
      <x:c r="I33" s="1724"/>
      <x:c r="J33" s="1724"/>
      <x:c r="K33" s="1724"/>
      <x:c r="L33" s="1724"/>
      <x:c r="M33" s="1724" t="str">
        <x:v>https://www.frontiersin.org/journals/plant-science/articles/10.3389/fpls.2025.1678142/full</x:v>
      </x:c>
    </x:row>
    <x:row r="34">
      <x:c r="A34" s="1724" t="str">
        <x:v>AUTOFLOWER / PHOTOPERIOD</x:v>
      </x:c>
      <x:c r="B34" s="1724" t="str">
        <x:v>2024/2026 Genetikarbeiten bestätigen photoperiod-insensitive Autoflower-Typen.</x:v>
      </x:c>
      <x:c r="C34" s="1724" t="str">
        <x:v>Es fehlt weiterhin eine robuste 18h-vs-20h-vs-24h Optimumstudie für diese konkrete Genetik/Setup.</x:v>
      </x:c>
      <x:c r="D34" s="1724" t="str">
        <x:v>18 h ist UKD-Arbeitsphotoperiode, kein bewiesenes Optimum; DLI/Stress/Temperatur und Energieverbrauch sind mitzuwerten.</x:v>
      </x:c>
      <x:c r="E34" s="1724"/>
      <x:c r="F34" s="1724"/>
      <x:c r="G34" s="1724"/>
      <x:c r="H34" s="1724"/>
      <x:c r="I34" s="1724"/>
      <x:c r="J34" s="1724"/>
      <x:c r="K34" s="1724"/>
      <x:c r="L34" s="1724"/>
      <x:c r="M34" s="1724" t="str">
        <x:v>https://pubmed.ncbi.nlm.nih.gov/42168298/</x:v>
      </x:c>
    </x:row>
  </x:sheetData>
  <x:mergeCells>
    <x:mergeCell ref="A14:M14"/>
  </x:mergeCells>
  <x:conditionalFormatting sqref="B2:B12">
    <x:cfRule type="dataBar" priority="1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{131DF822-4450-4528-0C14-B8C24EE0C46D}</x14:id>
        </x:ext>
      </x:extLst>
    </x:cfRule>
  </x:conditionalFormatting>
  <x:conditionalFormatting sqref="H2:H12">
    <x:cfRule type="colorScale" priority="2">
      <x:colorScale>
        <x:cfvo type="min"/>
        <x:cfvo type="percentile" val="50"/>
        <x:cfvo type="max"/>
        <x:color rgb="FFF4CCCC"/>
        <x:color rgb="FFFFF2CC"/>
        <x:color rgb="FFD9EAD3"/>
      </x:colorScale>
    </x:cfRule>
  </x:conditionalFormatting>
  <x:conditionalFormatting sqref="G16:G24">
    <x:cfRule type="expression" dxfId="62" priority="3">
      <x:formula>G16="OK"</x:formula>
    </x:cfRule>
    <x:cfRule type="expression" dxfId="63" priority="4">
      <x:formula>G16="PRÜFEN"</x:formula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131DF822-4450-4528-0C14-B8C24EE0C46D}">
            <x14:dataBar gradient="1">
              <x14:cfvo type="min"/>
              <x14:cfvo type="max"/>
              <x14:fillColor rgb="FFA02B93"/>
            </x14:dataBar>
          </x14:cfRule>
          <xm:sqref>B2:B12</xm:sqref>
        </x14:conditionalFormatting>
      </x14:conditionalFormattings>
    </x:ext>
  </x:extLst>
</x:worksheet>
</file>

<file path=xl/worksheets/sheet1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8" hidden="0" customWidth="1"/>
    <x:col min="3" max="3" width="42" hidden="0" customWidth="1"/>
    <x:col min="4" max="4" width="42" hidden="0" customWidth="1"/>
    <x:col min="5" max="5" width="42" hidden="0" customWidth="1"/>
    <x:col min="6" max="6" width="24" hidden="0" customWidth="1"/>
    <x:col min="7" max="7" width="42" hidden="0" customWidth="1"/>
    <x:col min="8" max="8" width="42" hidden="0" customWidth="1"/>
  </x:cols>
  <x:sheetData>
    <x:row r="1">
      <x:c r="A1" s="14" t="str">
        <x:v>Zeitfenster</x:v>
      </x:c>
      <x:c r="B1" s="14" t="str">
        <x:v>Trigger</x:v>
      </x:c>
      <x:c r="C1" s="14" t="str">
        <x:v>Maßnahme</x:v>
      </x:c>
      <x:c r="D1" s="14" t="str">
        <x:v>Ziel</x:v>
      </x:c>
      <x:c r="E1" s="14" t="str">
        <x:v>Nicht tun</x:v>
      </x:c>
      <x:c r="F1" s="14" t="str">
        <x:v>Messwert</x:v>
      </x:c>
      <x:c r="G1" s="14" t="str">
        <x:v>Stop-Regel</x:v>
      </x:c>
      <x:c r="H1" s="14" t="str">
        <x:v>Dokumentation</x:v>
      </x:c>
    </x:row>
    <x:row r="2">
      <x:c r="A2" s="32" t="str">
        <x:v>Sämling bis &lt;4 kräftige Nodes</x:v>
      </x:c>
      <x:c r="B2" s="62" t="str">
        <x:v>Plug/Block bzw. noch keine stabile Finaltopf-Etablierung</x:v>
      </x:c>
      <x:c r="C2" s="62" t="str">
        <x:v>keine Strukturarbeit</x:v>
      </x:c>
      <x:c r="D2" s="62" t="str">
        <x:v>Wurzel/Vitalität</x:v>
      </x:c>
      <x:c r="E2" s="62" t="str">
        <x:v>kein Toppen, kein Biegen</x:v>
      </x:c>
      <x:c r="F2" s="62" t="str">
        <x:v>Blattstellung/Wachstum</x:v>
      </x:c>
      <x:c r="G2" s="62" t="str">
        <x:v>jede Stressanzeige</x:v>
      </x:c>
      <x:c r="H2" s="33" t="str">
        <x:v>Topfoto 2×/W</x:v>
      </x:c>
    </x:row>
    <x:row r="3">
      <x:c r="A3" s="34" t="str">
        <x:v>Nach Finaltopf-Recovery</x:v>
      </x:c>
      <x:c r="B3" s="63" t="str">
        <x:v>4–5 kräftige Nodes + Wachstum nach Umtopfen wieder klar aktiv</x:v>
      </x:c>
      <x:c r="C3" s="63" t="str">
        <x:v>Stamm ankern, graduell zum Rand biegen / leaf-tuck</x:v>
      </x:c>
      <x:c r="D3" s="63" t="str">
        <x:v>Apikaldominanz sanft brechen</x:v>
      </x:c>
      <x:c r="E3" s="63" t="str">
        <x:v>kein harter Knick; kein Default-Topping</x:v>
      </x:c>
      <x:c r="F3" s="63" t="str">
        <x:v>Canopyhöhe</x:v>
      </x:c>
      <x:c r="G3" s="63" t="str">
        <x:v>bei verlangsamtem Wachstum stoppen</x:v>
      </x:c>
      <x:c r="H3" s="35" t="str">
        <x:v>vor/nach LST Foto</x:v>
      </x:c>
    </x:row>
    <x:row r="4">
      <x:c r="A4" s="34" t="str">
        <x:v>Vor / frühe Preflower</x:v>
      </x:c>
      <x:c r="B4" s="63" t="str">
        <x:v>kräftige Seitenäste, noch keine deutliche Blütenbildung</x:v>
      </x:c>
      <x:c r="C4" s="63" t="str">
        <x:v>radial verteilen, feinjustieren</x:v>
      </x:c>
      <x:c r="D4" s="63" t="str">
        <x:v>gleichmäßig exponierte Tops</x:v>
      </x:c>
      <x:c r="E4" s="63" t="str">
        <x:v>keine wiederholten starken Eingriffe</x:v>
      </x:c>
      <x:c r="F4" s="63" t="str">
        <x:v>Höhenstreuung</x:v>
      </x:c>
      <x:c r="G4" s="63" t="str">
        <x:v>bei klarer Preflower strukturelles Training auslaufen</x:v>
      </x:c>
      <x:c r="H4" s="35" t="str">
        <x:v>Top-down Raster</x:v>
      </x:c>
    </x:row>
    <x:row r="5">
      <x:c r="A5" s="34" t="str">
        <x:v>Stretch / Blütenansatz</x:v>
      </x:c>
      <x:c r="B5" s="63" t="str">
        <x:v>FlowerInitiation bestätigt</x:v>
      </x:c>
      <x:c r="C5" s="63" t="str">
        <x:v>Binder lockern, Triebe stützen, leaf-tuck</x:v>
      </x:c>
      <x:c r="D5" s="63" t="str">
        <x:v>Canopy offen und gleich hoch</x:v>
      </x:c>
      <x:c r="E5" s="63" t="str">
        <x:v>kein Toppen/Supercrop</x:v>
      </x:c>
      <x:c r="F5" s="63" t="str">
        <x:v>PPFD-Verteilung</x:v>
      </x:c>
      <x:c r="G5" s="63" t="str">
        <x:v>bei Blütenstress keine weitere Manipulation</x:v>
      </x:c>
      <x:c r="H5" s="35" t="str">
        <x:v>Wochencanopy</x:v>
      </x:c>
    </x:row>
    <x:row r="6">
      <x:c r="A6" s="36" t="str">
        <x:v>Blütenaufbau</x:v>
      </x:c>
      <x:c r="B6" s="64" t="str">
        <x:v>Stretch weitgehend beendet</x:v>
      </x:c>
      <x:c r="C6" s="64" t="str">
        <x:v>nur Support; tote/kranke/blockierende Blätter selektiv</x:v>
      </x:c>
      <x:c r="D6" s="64" t="str">
        <x:v>Luftstrom/Qualität</x:v>
      </x:c>
      <x:c r="E6" s="64" t="str">
        <x:v>keine Massenentlaubung</x:v>
      </x:c>
      <x:c r="F6" s="64" t="str">
        <x:v>rF innen/außen</x:v>
      </x:c>
      <x:c r="G6" s="64" t="str">
        <x:v>Schimmel-/Stressrisiko vor Ästhetik</x:v>
      </x:c>
      <x:c r="H6" s="37" t="str">
        <x:v>Problemblatt dokumentieren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2" hidden="0" customWidth="1"/>
    <x:col min="3" max="3" width="22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11" hidden="0" customWidth="1"/>
    <x:col min="17" max="17" width="11" hidden="0" customWidth="1"/>
    <x:col min="18" max="18" width="11" hidden="0" customWidth="1"/>
    <x:col min="19" max="19" width="11" hidden="0" customWidth="1"/>
    <x:col min="20" max="20" width="11" hidden="0" customWidth="1"/>
    <x:col min="21" max="21" width="12" hidden="0" customWidth="1"/>
    <x:col min="22" max="22" width="12" hidden="0" customWidth="1"/>
    <x:col min="23" max="23" width="12" hidden="0" customWidth="1"/>
    <x:col min="24" max="24" width="12" hidden="0" customWidth="1"/>
    <x:col min="25" max="25" width="12" hidden="0" customWidth="1"/>
    <x:col min="26" max="26" width="55" hidden="0" customWidth="1"/>
    <x:col min="27" max="27" width="14" hidden="0" customWidth="1"/>
    <x:col min="28" max="28" width="14" hidden="0" customWidth="1"/>
  </x:cols>
  <x:sheetData>
    <x:row r="1" ht="38" customHeight="1">
      <x:c r="A1" s="790" t="str">
        <x:v>Tag</x:v>
      </x:c>
      <x:c r="B1" s="790" t="str">
        <x:v>Datum</x:v>
      </x:c>
      <x:c r="C1" s="790" t="str">
        <x:v>Phase</x:v>
      </x:c>
      <x:c r="D1" s="1212" t="str">
        <x:v>Temp max</x:v>
      </x:c>
      <x:c r="E1" s="1212" t="str">
        <x:v>Temp min</x:v>
      </x:c>
      <x:c r="F1" s="1212" t="str">
        <x:v>LF max</x:v>
      </x:c>
      <x:c r="G1" s="1212" t="str">
        <x:v>LF min</x:v>
      </x:c>
      <x:c r="H1" s="1212" t="str">
        <x:v>VPD</x:v>
      </x:c>
      <x:c r="I1" s="1212" t="str">
        <x:v>PPFD</x:v>
      </x:c>
      <x:c r="J1" s="1212" t="str">
        <x:v>Watt</x:v>
      </x:c>
      <x:c r="K1" s="1209" t="str">
        <x:v>pH in</x:v>
      </x:c>
      <x:c r="L1" s="1209" t="str">
        <x:v>EC in</x:v>
      </x:c>
      <x:c r="M1" s="1209" t="str">
        <x:v>pH drain</x:v>
      </x:c>
      <x:c r="N1" s="1209" t="str">
        <x:v>EC drain</x:v>
      </x:c>
      <x:c r="O1" s="1209" t="str">
        <x:v>ΔEC</x:v>
      </x:c>
      <x:c r="P1" s="1209" t="str">
        <x:v>Wasser L</x:v>
      </x:c>
      <x:c r="Q1" s="1209" t="str">
        <x:v>Reservoir L</x:v>
      </x:c>
      <x:c r="R1" s="1211" t="str">
        <x:v>Pflanzenhöhe cm</x:v>
      </x:c>
      <x:c r="S1" s="1211" t="str">
        <x:v>Canopy B cm</x:v>
      </x:c>
      <x:c r="T1" s="1211" t="str">
        <x:v>Canopy T cm</x:v>
      </x:c>
      <x:c r="U1" s="1213" t="str">
        <x:v>Bewässerungssystem</x:v>
      </x:c>
      <x:c r="V1" s="1213" t="str">
        <x:v>Geruch/AKF</x:v>
      </x:c>
      <x:c r="W1" s="1213" t="str">
        <x:v>Pest</x:v>
      </x:c>
      <x:c r="X1" s="1213" t="str">
        <x:v>Stress 0-5</x:v>
      </x:c>
      <x:c r="Y1" s="1213" t="str">
        <x:v>Gesamtstatus</x:v>
      </x:c>
      <x:c r="Z1" s="1213" t="str">
        <x:v>Notizen</x:v>
      </x:c>
      <x:c r="AA1" s="1400" t="str">
        <x:v>Blatttemp °C opt.</x:v>
      </x:c>
      <x:c r="AB1" s="1400" t="str">
        <x:v>CO₂ ppm opt.</x:v>
      </x:c>
    </x:row>
    <x:row r="2">
      <x:c r="A2" s="26" t="n">
        <x:v>0</x:v>
      </x:c>
      <x:c r="B2" s="125" t="n">
        <x:f>'01_Run_Config'!$B$4+A2</x:f>
        <x:v>46242</x:v>
      </x:c>
      <x:c r="C2" s="59" t="str">
        <x:f>VLOOKUP(A2,'02_Daily_Master'!$A$2:$AS$82,5,FALSE)</x:f>
        <x:v>Keimung</x:v>
      </x:c>
      <x:c r="D2" s="59"/>
      <x:c r="E2" s="59"/>
      <x:c r="F2" s="59"/>
      <x:c r="G2" s="59"/>
      <x:c r="H2" s="59"/>
      <x:c r="I2" s="59"/>
      <x:c r="J2" s="59"/>
      <x:c r="K2" s="59"/>
      <x:c r="L2" s="59"/>
      <x:c r="M2" s="59"/>
      <x:c r="N2" s="59"/>
      <x:c r="O2" s="59" t="str">
        <x:f>IF(OR(N2="",L2=""),"",N2-L2)</x:f>
      </x:c>
      <x:c r="P2" s="59"/>
      <x:c r="Q2" s="59"/>
      <x:c r="R2" s="59"/>
      <x:c r="S2" s="59"/>
      <x:c r="T2" s="59"/>
      <x:c r="U2" s="59" t="str">
        <x:v>OFFEN</x:v>
      </x:c>
      <x:c r="V2" s="59" t="str">
        <x:v>OFFEN</x:v>
      </x:c>
      <x:c r="W2" s="59" t="str">
        <x:v>OFFEN</x:v>
      </x:c>
      <x:c r="X2" s="59" t="n">
        <x:v>0</x:v>
      </x:c>
      <x:c r="Y2" s="59" t="str">
        <x:f>IF(OR(U2="OFFEN",V2="OFFEN",W2="OFFEN"),"OFFEN",IF(OR(U2="FAIL",V2="FAIL",W2="FAIL",X2&gt;=4),"FAIL",IF(OR(U2="WARN",V2="WARN",W2="WARN",X2&gt;=2),"WARN","OK")))</x:f>
        <x:v>OFFEN</x:v>
      </x:c>
      <x:c r="Z2" s="27" t="str"/>
    </x:row>
    <x:row r="3">
      <x:c r="A3" s="28" t="n">
        <x:v>1</x:v>
      </x:c>
      <x:c r="B3" s="126" t="n">
        <x:f>'01_Run_Config'!$B$4+A3</x:f>
        <x:v>46243</x:v>
      </x:c>
      <x:c r="C3" s="60" t="str">
        <x:f>VLOOKUP(A3,'02_Daily_Master'!$A$2:$AS$82,5,FALSE)</x:f>
        <x:v>Keimung</x:v>
      </x:c>
      <x:c r="D3" s="60"/>
      <x:c r="E3" s="60"/>
      <x:c r="F3" s="60"/>
      <x:c r="G3" s="60"/>
      <x:c r="H3" s="60"/>
      <x:c r="I3" s="60"/>
      <x:c r="J3" s="60"/>
      <x:c r="K3" s="60"/>
      <x:c r="L3" s="60"/>
      <x:c r="M3" s="60"/>
      <x:c r="N3" s="60"/>
      <x:c r="O3" s="60" t="str">
        <x:f>IF(OR(N3="",L3=""),"",N3-L3)</x:f>
      </x:c>
      <x:c r="P3" s="60"/>
      <x:c r="Q3" s="60"/>
      <x:c r="R3" s="60"/>
      <x:c r="S3" s="60"/>
      <x:c r="T3" s="60"/>
      <x:c r="U3" s="60" t="str">
        <x:v>OFFEN</x:v>
      </x:c>
      <x:c r="V3" s="60" t="str">
        <x:v>OFFEN</x:v>
      </x:c>
      <x:c r="W3" s="60" t="str">
        <x:v>OFFEN</x:v>
      </x:c>
      <x:c r="X3" s="60" t="n">
        <x:v>0</x:v>
      </x:c>
      <x:c r="Y3" s="60" t="str">
        <x:f>IF(OR(U3="OFFEN",V3="OFFEN",W3="OFFEN"),"OFFEN",IF(OR(U3="FAIL",V3="FAIL",W3="FAIL",X3&gt;=4),"FAIL",IF(OR(U3="WARN",V3="WARN",W3="WARN",X3&gt;=2),"WARN","OK")))</x:f>
        <x:v>OFFEN</x:v>
      </x:c>
      <x:c r="Z3" s="29" t="str"/>
    </x:row>
    <x:row r="4">
      <x:c r="A4" s="28" t="n">
        <x:v>2</x:v>
      </x:c>
      <x:c r="B4" s="126" t="n">
        <x:f>'01_Run_Config'!$B$4+A4</x:f>
        <x:v>46244</x:v>
      </x:c>
      <x:c r="C4" s="60" t="str">
        <x:f>VLOOKUP(A4,'02_Daily_Master'!$A$2:$AS$82,5,FALSE)</x:f>
        <x:v>Keimung</x:v>
      </x:c>
      <x:c r="D4" s="60"/>
      <x:c r="E4" s="60"/>
      <x:c r="F4" s="60"/>
      <x:c r="G4" s="60"/>
      <x:c r="H4" s="60"/>
      <x:c r="I4" s="60"/>
      <x:c r="J4" s="60"/>
      <x:c r="K4" s="60"/>
      <x:c r="L4" s="60"/>
      <x:c r="M4" s="60"/>
      <x:c r="N4" s="60"/>
      <x:c r="O4" s="60" t="str">
        <x:f>IF(OR(N4="",L4=""),"",N4-L4)</x:f>
      </x:c>
      <x:c r="P4" s="60"/>
      <x:c r="Q4" s="60"/>
      <x:c r="R4" s="60"/>
      <x:c r="S4" s="60"/>
      <x:c r="T4" s="60"/>
      <x:c r="U4" s="60" t="str">
        <x:v>OFFEN</x:v>
      </x:c>
      <x:c r="V4" s="60" t="str">
        <x:v>OFFEN</x:v>
      </x:c>
      <x:c r="W4" s="60" t="str">
        <x:v>OFFEN</x:v>
      </x:c>
      <x:c r="X4" s="60" t="n">
        <x:v>0</x:v>
      </x:c>
      <x:c r="Y4" s="60" t="str">
        <x:f>IF(OR(U4="OFFEN",V4="OFFEN",W4="OFFEN"),"OFFEN",IF(OR(U4="FAIL",V4="FAIL",W4="FAIL",X4&gt;=4),"FAIL",IF(OR(U4="WARN",V4="WARN",W4="WARN",X4&gt;=2),"WARN","OK")))</x:f>
        <x:v>OFFEN</x:v>
      </x:c>
      <x:c r="Z4" s="29" t="str"/>
    </x:row>
    <x:row r="5">
      <x:c r="A5" s="28" t="n">
        <x:v>3</x:v>
      </x:c>
      <x:c r="B5" s="126" t="n">
        <x:f>'01_Run_Config'!$B$4+A5</x:f>
        <x:v>46245</x:v>
      </x:c>
      <x:c r="C5" s="60" t="str">
        <x:f>VLOOKUP(A5,'02_Daily_Master'!$A$2:$AS$82,5,FALSE)</x:f>
        <x:v>Keimung</x:v>
      </x:c>
      <x:c r="D5" s="60"/>
      <x:c r="E5" s="60"/>
      <x:c r="F5" s="60"/>
      <x:c r="G5" s="60"/>
      <x:c r="H5" s="60"/>
      <x:c r="I5" s="60"/>
      <x:c r="J5" s="60"/>
      <x:c r="K5" s="60"/>
      <x:c r="L5" s="60"/>
      <x:c r="M5" s="60"/>
      <x:c r="N5" s="60"/>
      <x:c r="O5" s="60" t="str">
        <x:f>IF(OR(N5="",L5=""),"",N5-L5)</x:f>
      </x:c>
      <x:c r="P5" s="60"/>
      <x:c r="Q5" s="60"/>
      <x:c r="R5" s="60"/>
      <x:c r="S5" s="60"/>
      <x:c r="T5" s="60"/>
      <x:c r="U5" s="60" t="str">
        <x:v>OFFEN</x:v>
      </x:c>
      <x:c r="V5" s="60" t="str">
        <x:v>OFFEN</x:v>
      </x:c>
      <x:c r="W5" s="60" t="str">
        <x:v>OFFEN</x:v>
      </x:c>
      <x:c r="X5" s="60" t="n">
        <x:v>0</x:v>
      </x:c>
      <x:c r="Y5" s="60" t="str">
        <x:f>IF(OR(U5="OFFEN",V5="OFFEN",W5="OFFEN"),"OFFEN",IF(OR(U5="FAIL",V5="FAIL",W5="FAIL",X5&gt;=4),"FAIL",IF(OR(U5="WARN",V5="WARN",W5="WARN",X5&gt;=2),"WARN","OK")))</x:f>
        <x:v>OFFEN</x:v>
      </x:c>
      <x:c r="Z5" s="29" t="str"/>
    </x:row>
    <x:row r="6">
      <x:c r="A6" s="28" t="n">
        <x:v>4</x:v>
      </x:c>
      <x:c r="B6" s="126" t="n">
        <x:f>'01_Run_Config'!$B$4+A6</x:f>
        <x:v>46246</x:v>
      </x:c>
      <x:c r="C6" s="60" t="str">
        <x:f>VLOOKUP(A6,'02_Daily_Master'!$A$2:$AS$82,5,FALSE)</x:f>
        <x:v>Etablierung</x:v>
      </x:c>
      <x:c r="D6" s="60"/>
      <x:c r="E6" s="60"/>
      <x:c r="F6" s="60"/>
      <x:c r="G6" s="60"/>
      <x:c r="H6" s="60"/>
      <x:c r="I6" s="60"/>
      <x:c r="J6" s="60"/>
      <x:c r="K6" s="60"/>
      <x:c r="L6" s="60"/>
      <x:c r="M6" s="60"/>
      <x:c r="N6" s="60"/>
      <x:c r="O6" s="60" t="str">
        <x:f>IF(OR(N6="",L6=""),"",N6-L6)</x:f>
      </x:c>
      <x:c r="P6" s="60"/>
      <x:c r="Q6" s="60"/>
      <x:c r="R6" s="60"/>
      <x:c r="S6" s="60"/>
      <x:c r="T6" s="60"/>
      <x:c r="U6" s="60" t="str">
        <x:v>OFFEN</x:v>
      </x:c>
      <x:c r="V6" s="60" t="str">
        <x:v>OFFEN</x:v>
      </x:c>
      <x:c r="W6" s="60" t="str">
        <x:v>OFFEN</x:v>
      </x:c>
      <x:c r="X6" s="60" t="n">
        <x:v>0</x:v>
      </x:c>
      <x:c r="Y6" s="60" t="str">
        <x:f>IF(OR(U6="OFFEN",V6="OFFEN",W6="OFFEN"),"OFFEN",IF(OR(U6="FAIL",V6="FAIL",W6="FAIL",X6&gt;=4),"FAIL",IF(OR(U6="WARN",V6="WARN",W6="WARN",X6&gt;=2),"WARN","OK")))</x:f>
        <x:v>OFFEN</x:v>
      </x:c>
      <x:c r="Z6" s="29" t="str"/>
    </x:row>
    <x:row r="7">
      <x:c r="A7" s="28" t="n">
        <x:v>5</x:v>
      </x:c>
      <x:c r="B7" s="126" t="n">
        <x:f>'01_Run_Config'!$B$4+A7</x:f>
        <x:v>46247</x:v>
      </x:c>
      <x:c r="C7" s="60" t="str">
        <x:f>VLOOKUP(A7,'02_Daily_Master'!$A$2:$AS$82,5,FALSE)</x:f>
        <x:v>Etablierung</x:v>
      </x:c>
      <x:c r="D7" s="60"/>
      <x:c r="E7" s="60"/>
      <x:c r="F7" s="60"/>
      <x:c r="G7" s="60"/>
      <x:c r="H7" s="60"/>
      <x:c r="I7" s="60"/>
      <x:c r="J7" s="60"/>
      <x:c r="K7" s="60"/>
      <x:c r="L7" s="60"/>
      <x:c r="M7" s="60"/>
      <x:c r="N7" s="60"/>
      <x:c r="O7" s="60" t="str">
        <x:f>IF(OR(N7="",L7=""),"",N7-L7)</x:f>
      </x:c>
      <x:c r="P7" s="60"/>
      <x:c r="Q7" s="60"/>
      <x:c r="R7" s="60"/>
      <x:c r="S7" s="60"/>
      <x:c r="T7" s="60"/>
      <x:c r="U7" s="60" t="str">
        <x:v>OFFEN</x:v>
      </x:c>
      <x:c r="V7" s="60" t="str">
        <x:v>OFFEN</x:v>
      </x:c>
      <x:c r="W7" s="60" t="str">
        <x:v>OFFEN</x:v>
      </x:c>
      <x:c r="X7" s="60" t="n">
        <x:v>0</x:v>
      </x:c>
      <x:c r="Y7" s="60" t="str">
        <x:f>IF(OR(U7="OFFEN",V7="OFFEN",W7="OFFEN"),"OFFEN",IF(OR(U7="FAIL",V7="FAIL",W7="FAIL",X7&gt;=4),"FAIL",IF(OR(U7="WARN",V7="WARN",W7="WARN",X7&gt;=2),"WARN","OK")))</x:f>
        <x:v>OFFEN</x:v>
      </x:c>
      <x:c r="Z7" s="29" t="str"/>
    </x:row>
    <x:row r="8">
      <x:c r="A8" s="28" t="n">
        <x:v>6</x:v>
      </x:c>
      <x:c r="B8" s="126" t="n">
        <x:f>'01_Run_Config'!$B$4+A8</x:f>
        <x:v>46248</x:v>
      </x:c>
      <x:c r="C8" s="60" t="str">
        <x:f>VLOOKUP(A8,'02_Daily_Master'!$A$2:$AS$82,5,FALSE)</x:f>
        <x:v>Etablierung</x:v>
      </x:c>
      <x:c r="D8" s="60"/>
      <x:c r="E8" s="60"/>
      <x:c r="F8" s="60"/>
      <x:c r="G8" s="60"/>
      <x:c r="H8" s="60"/>
      <x:c r="I8" s="60"/>
      <x:c r="J8" s="60"/>
      <x:c r="K8" s="60"/>
      <x:c r="L8" s="60"/>
      <x:c r="M8" s="60"/>
      <x:c r="N8" s="60"/>
      <x:c r="O8" s="60" t="str">
        <x:f>IF(OR(N8="",L8=""),"",N8-L8)</x:f>
      </x:c>
      <x:c r="P8" s="60"/>
      <x:c r="Q8" s="60"/>
      <x:c r="R8" s="60"/>
      <x:c r="S8" s="60"/>
      <x:c r="T8" s="60"/>
      <x:c r="U8" s="60" t="str">
        <x:v>OFFEN</x:v>
      </x:c>
      <x:c r="V8" s="60" t="str">
        <x:v>OFFEN</x:v>
      </x:c>
      <x:c r="W8" s="60" t="str">
        <x:v>OFFEN</x:v>
      </x:c>
      <x:c r="X8" s="60" t="n">
        <x:v>0</x:v>
      </x:c>
      <x:c r="Y8" s="60" t="str">
        <x:f>IF(OR(U8="OFFEN",V8="OFFEN",W8="OFFEN"),"OFFEN",IF(OR(U8="FAIL",V8="FAIL",W8="FAIL",X8&gt;=4),"FAIL",IF(OR(U8="WARN",V8="WARN",W8="WARN",X8&gt;=2),"WARN","OK")))</x:f>
        <x:v>OFFEN</x:v>
      </x:c>
      <x:c r="Z8" s="29" t="str"/>
    </x:row>
    <x:row r="9">
      <x:c r="A9" s="28" t="n">
        <x:v>7</x:v>
      </x:c>
      <x:c r="B9" s="126" t="n">
        <x:f>'01_Run_Config'!$B$4+A9</x:f>
        <x:v>46249</x:v>
      </x:c>
      <x:c r="C9" s="60" t="str">
        <x:f>VLOOKUP(A9,'02_Daily_Master'!$A$2:$AS$82,5,FALSE)</x:f>
        <x:v>Etablierung</x:v>
      </x:c>
      <x:c r="D9" s="60"/>
      <x:c r="E9" s="60"/>
      <x:c r="F9" s="60"/>
      <x:c r="G9" s="60"/>
      <x:c r="H9" s="60"/>
      <x:c r="I9" s="60"/>
      <x:c r="J9" s="60"/>
      <x:c r="K9" s="60"/>
      <x:c r="L9" s="60"/>
      <x:c r="M9" s="60"/>
      <x:c r="N9" s="60"/>
      <x:c r="O9" s="60" t="str">
        <x:f>IF(OR(N9="",L9=""),"",N9-L9)</x:f>
      </x:c>
      <x:c r="P9" s="60"/>
      <x:c r="Q9" s="60"/>
      <x:c r="R9" s="60"/>
      <x:c r="S9" s="60"/>
      <x:c r="T9" s="60"/>
      <x:c r="U9" s="60" t="str">
        <x:v>OFFEN</x:v>
      </x:c>
      <x:c r="V9" s="60" t="str">
        <x:v>OFFEN</x:v>
      </x:c>
      <x:c r="W9" s="60" t="str">
        <x:v>OFFEN</x:v>
      </x:c>
      <x:c r="X9" s="60" t="n">
        <x:v>0</x:v>
      </x:c>
      <x:c r="Y9" s="60" t="str">
        <x:f>IF(OR(U9="OFFEN",V9="OFFEN",W9="OFFEN"),"OFFEN",IF(OR(U9="FAIL",V9="FAIL",W9="FAIL",X9&gt;=4),"FAIL",IF(OR(U9="WARN",V9="WARN",W9="WARN",X9&gt;=2),"WARN","OK")))</x:f>
        <x:v>OFFEN</x:v>
      </x:c>
      <x:c r="Z9" s="29" t="str"/>
    </x:row>
    <x:row r="10">
      <x:c r="A10" s="28" t="n">
        <x:v>8</x:v>
      </x:c>
      <x:c r="B10" s="126" t="n">
        <x:f>'01_Run_Config'!$B$4+A10</x:f>
        <x:v>46250</x:v>
      </x:c>
      <x:c r="C10" s="60" t="str">
        <x:f>VLOOKUP(A10,'02_Daily_Master'!$A$2:$AS$82,5,FALSE)</x:f>
        <x:v>Early Veg</x:v>
      </x:c>
      <x:c r="D10" s="60"/>
      <x:c r="E10" s="60"/>
      <x:c r="F10" s="60"/>
      <x:c r="G10" s="60"/>
      <x:c r="H10" s="60"/>
      <x:c r="I10" s="60"/>
      <x:c r="J10" s="60"/>
      <x:c r="K10" s="60"/>
      <x:c r="L10" s="60"/>
      <x:c r="M10" s="60"/>
      <x:c r="N10" s="60"/>
      <x:c r="O10" s="60" t="str">
        <x:f>IF(OR(N10="",L10=""),"",N10-L10)</x:f>
      </x:c>
      <x:c r="P10" s="60"/>
      <x:c r="Q10" s="60"/>
      <x:c r="R10" s="60"/>
      <x:c r="S10" s="60"/>
      <x:c r="T10" s="60"/>
      <x:c r="U10" s="60" t="str">
        <x:v>OFFEN</x:v>
      </x:c>
      <x:c r="V10" s="60" t="str">
        <x:v>OFFEN</x:v>
      </x:c>
      <x:c r="W10" s="60" t="str">
        <x:v>OFFEN</x:v>
      </x:c>
      <x:c r="X10" s="60" t="n">
        <x:v>0</x:v>
      </x:c>
      <x:c r="Y10" s="60" t="str">
        <x:f>IF(OR(U10="OFFEN",V10="OFFEN",W10="OFFEN"),"OFFEN",IF(OR(U10="FAIL",V10="FAIL",W10="FAIL",X10&gt;=4),"FAIL",IF(OR(U10="WARN",V10="WARN",W10="WARN",X10&gt;=2),"WARN","OK")))</x:f>
        <x:v>OFFEN</x:v>
      </x:c>
      <x:c r="Z10" s="29" t="str"/>
    </x:row>
    <x:row r="11">
      <x:c r="A11" s="28" t="n">
        <x:v>9</x:v>
      </x:c>
      <x:c r="B11" s="126" t="n">
        <x:f>'01_Run_Config'!$B$4+A11</x:f>
        <x:v>46251</x:v>
      </x:c>
      <x:c r="C11" s="60" t="str">
        <x:f>VLOOKUP(A11,'02_Daily_Master'!$A$2:$AS$82,5,FALSE)</x:f>
        <x:v>Early Veg</x:v>
      </x:c>
      <x:c r="D11" s="60"/>
      <x:c r="E11" s="60"/>
      <x:c r="F11" s="60"/>
      <x:c r="G11" s="60"/>
      <x:c r="H11" s="60"/>
      <x:c r="I11" s="60"/>
      <x:c r="J11" s="60"/>
      <x:c r="K11" s="60"/>
      <x:c r="L11" s="60"/>
      <x:c r="M11" s="60"/>
      <x:c r="N11" s="60"/>
      <x:c r="O11" s="60" t="str">
        <x:f>IF(OR(N11="",L11=""),"",N11-L11)</x:f>
      </x:c>
      <x:c r="P11" s="60"/>
      <x:c r="Q11" s="60"/>
      <x:c r="R11" s="60"/>
      <x:c r="S11" s="60"/>
      <x:c r="T11" s="60"/>
      <x:c r="U11" s="60" t="str">
        <x:v>OFFEN</x:v>
      </x:c>
      <x:c r="V11" s="60" t="str">
        <x:v>OFFEN</x:v>
      </x:c>
      <x:c r="W11" s="60" t="str">
        <x:v>OFFEN</x:v>
      </x:c>
      <x:c r="X11" s="60" t="n">
        <x:v>0</x:v>
      </x:c>
      <x:c r="Y11" s="60" t="str">
        <x:f>IF(OR(U11="OFFEN",V11="OFFEN",W11="OFFEN"),"OFFEN",IF(OR(U11="FAIL",V11="FAIL",W11="FAIL",X11&gt;=4),"FAIL",IF(OR(U11="WARN",V11="WARN",W11="WARN",X11&gt;=2),"WARN","OK")))</x:f>
        <x:v>OFFEN</x:v>
      </x:c>
      <x:c r="Z11" s="29" t="str"/>
    </x:row>
    <x:row r="12">
      <x:c r="A12" s="28" t="n">
        <x:v>10</x:v>
      </x:c>
      <x:c r="B12" s="126" t="n">
        <x:f>'01_Run_Config'!$B$4+A12</x:f>
        <x:v>46252</x:v>
      </x:c>
      <x:c r="C12" s="60" t="str">
        <x:f>VLOOKUP(A12,'02_Daily_Master'!$A$2:$AS$82,5,FALSE)</x:f>
        <x:v>Early Veg</x:v>
      </x:c>
      <x:c r="D12" s="60"/>
      <x:c r="E12" s="60"/>
      <x:c r="F12" s="60"/>
      <x:c r="G12" s="60"/>
      <x:c r="H12" s="60"/>
      <x:c r="I12" s="60"/>
      <x:c r="J12" s="60"/>
      <x:c r="K12" s="60"/>
      <x:c r="L12" s="60"/>
      <x:c r="M12" s="60"/>
      <x:c r="N12" s="60"/>
      <x:c r="O12" s="60" t="str">
        <x:f>IF(OR(N12="",L12=""),"",N12-L12)</x:f>
      </x:c>
      <x:c r="P12" s="60"/>
      <x:c r="Q12" s="60"/>
      <x:c r="R12" s="60"/>
      <x:c r="S12" s="60"/>
      <x:c r="T12" s="60"/>
      <x:c r="U12" s="60" t="str">
        <x:v>OFFEN</x:v>
      </x:c>
      <x:c r="V12" s="60" t="str">
        <x:v>OFFEN</x:v>
      </x:c>
      <x:c r="W12" s="60" t="str">
        <x:v>OFFEN</x:v>
      </x:c>
      <x:c r="X12" s="60" t="n">
        <x:v>0</x:v>
      </x:c>
      <x:c r="Y12" s="60" t="str">
        <x:f>IF(OR(U12="OFFEN",V12="OFFEN",W12="OFFEN"),"OFFEN",IF(OR(U12="FAIL",V12="FAIL",W12="FAIL",X12&gt;=4),"FAIL",IF(OR(U12="WARN",V12="WARN",W12="WARN",X12&gt;=2),"WARN","OK")))</x:f>
        <x:v>OFFEN</x:v>
      </x:c>
      <x:c r="Z12" s="29" t="str"/>
    </x:row>
    <x:row r="13">
      <x:c r="A13" s="28" t="n">
        <x:v>11</x:v>
      </x:c>
      <x:c r="B13" s="126" t="n">
        <x:f>'01_Run_Config'!$B$4+A13</x:f>
        <x:v>46253</x:v>
      </x:c>
      <x:c r="C13" s="60" t="str">
        <x:f>VLOOKUP(A13,'02_Daily_Master'!$A$2:$AS$82,5,FALSE)</x:f>
        <x:v>Early Veg</x:v>
      </x:c>
      <x:c r="D13" s="60"/>
      <x:c r="E13" s="60"/>
      <x:c r="F13" s="60"/>
      <x:c r="G13" s="60"/>
      <x:c r="H13" s="60"/>
      <x:c r="I13" s="60"/>
      <x:c r="J13" s="60"/>
      <x:c r="K13" s="60"/>
      <x:c r="L13" s="60"/>
      <x:c r="M13" s="60"/>
      <x:c r="N13" s="60"/>
      <x:c r="O13" s="60" t="str">
        <x:f>IF(OR(N13="",L13=""),"",N13-L13)</x:f>
      </x:c>
      <x:c r="P13" s="60"/>
      <x:c r="Q13" s="60"/>
      <x:c r="R13" s="60"/>
      <x:c r="S13" s="60"/>
      <x:c r="T13" s="60"/>
      <x:c r="U13" s="60" t="str">
        <x:v>OFFEN</x:v>
      </x:c>
      <x:c r="V13" s="60" t="str">
        <x:v>OFFEN</x:v>
      </x:c>
      <x:c r="W13" s="60" t="str">
        <x:v>OFFEN</x:v>
      </x:c>
      <x:c r="X13" s="60" t="n">
        <x:v>0</x:v>
      </x:c>
      <x:c r="Y13" s="60" t="str">
        <x:f>IF(OR(U13="OFFEN",V13="OFFEN",W13="OFFEN"),"OFFEN",IF(OR(U13="FAIL",V13="FAIL",W13="FAIL",X13&gt;=4),"FAIL",IF(OR(U13="WARN",V13="WARN",W13="WARN",X13&gt;=2),"WARN","OK")))</x:f>
        <x:v>OFFEN</x:v>
      </x:c>
      <x:c r="Z13" s="29" t="str"/>
    </x:row>
    <x:row r="14">
      <x:c r="A14" s="28" t="n">
        <x:v>12</x:v>
      </x:c>
      <x:c r="B14" s="126" t="n">
        <x:f>'01_Run_Config'!$B$4+A14</x:f>
        <x:v>46254</x:v>
      </x:c>
      <x:c r="C14" s="60" t="str">
        <x:f>VLOOKUP(A14,'02_Daily_Master'!$A$2:$AS$82,5,FALSE)</x:f>
        <x:v>Early Veg</x:v>
      </x:c>
      <x:c r="D14" s="60"/>
      <x:c r="E14" s="60"/>
      <x:c r="F14" s="60"/>
      <x:c r="G14" s="60"/>
      <x:c r="H14" s="60"/>
      <x:c r="I14" s="60"/>
      <x:c r="J14" s="60"/>
      <x:c r="K14" s="60"/>
      <x:c r="L14" s="60"/>
      <x:c r="M14" s="60"/>
      <x:c r="N14" s="60"/>
      <x:c r="O14" s="60" t="str">
        <x:f>IF(OR(N14="",L14=""),"",N14-L14)</x:f>
      </x:c>
      <x:c r="P14" s="60"/>
      <x:c r="Q14" s="60"/>
      <x:c r="R14" s="60"/>
      <x:c r="S14" s="60"/>
      <x:c r="T14" s="60"/>
      <x:c r="U14" s="60" t="str">
        <x:v>OFFEN</x:v>
      </x:c>
      <x:c r="V14" s="60" t="str">
        <x:v>OFFEN</x:v>
      </x:c>
      <x:c r="W14" s="60" t="str">
        <x:v>OFFEN</x:v>
      </x:c>
      <x:c r="X14" s="60" t="n">
        <x:v>0</x:v>
      </x:c>
      <x:c r="Y14" s="60" t="str">
        <x:f>IF(OR(U14="OFFEN",V14="OFFEN",W14="OFFEN"),"OFFEN",IF(OR(U14="FAIL",V14="FAIL",W14="FAIL",X14&gt;=4),"FAIL",IF(OR(U14="WARN",V14="WARN",W14="WARN",X14&gt;=2),"WARN","OK")))</x:f>
        <x:v>OFFEN</x:v>
      </x:c>
      <x:c r="Z14" s="29" t="str"/>
    </x:row>
    <x:row r="15">
      <x:c r="A15" s="28" t="n">
        <x:v>13</x:v>
      </x:c>
      <x:c r="B15" s="126" t="n">
        <x:f>'01_Run_Config'!$B$4+A15</x:f>
        <x:v>46255</x:v>
      </x:c>
      <x:c r="C15" s="60" t="str">
        <x:f>VLOOKUP(A15,'02_Daily_Master'!$A$2:$AS$82,5,FALSE)</x:f>
        <x:v>Early Veg</x:v>
      </x:c>
      <x:c r="D15" s="60"/>
      <x:c r="E15" s="60"/>
      <x:c r="F15" s="60"/>
      <x:c r="G15" s="60"/>
      <x:c r="H15" s="60"/>
      <x:c r="I15" s="60"/>
      <x:c r="J15" s="60"/>
      <x:c r="K15" s="60"/>
      <x:c r="L15" s="60"/>
      <x:c r="M15" s="60"/>
      <x:c r="N15" s="60"/>
      <x:c r="O15" s="60" t="str">
        <x:f>IF(OR(N15="",L15=""),"",N15-L15)</x:f>
      </x:c>
      <x:c r="P15" s="60"/>
      <x:c r="Q15" s="60"/>
      <x:c r="R15" s="60"/>
      <x:c r="S15" s="60"/>
      <x:c r="T15" s="60"/>
      <x:c r="U15" s="60" t="str">
        <x:v>OFFEN</x:v>
      </x:c>
      <x:c r="V15" s="60" t="str">
        <x:v>OFFEN</x:v>
      </x:c>
      <x:c r="W15" s="60" t="str">
        <x:v>OFFEN</x:v>
      </x:c>
      <x:c r="X15" s="60" t="n">
        <x:v>0</x:v>
      </x:c>
      <x:c r="Y15" s="60" t="str">
        <x:f>IF(OR(U15="OFFEN",V15="OFFEN",W15="OFFEN"),"OFFEN",IF(OR(U15="FAIL",V15="FAIL",W15="FAIL",X15&gt;=4),"FAIL",IF(OR(U15="WARN",V15="WARN",W15="WARN",X15&gt;=2),"WARN","OK")))</x:f>
        <x:v>OFFEN</x:v>
      </x:c>
      <x:c r="Z15" s="29" t="str"/>
    </x:row>
    <x:row r="16">
      <x:c r="A16" s="28" t="n">
        <x:v>14</x:v>
      </x:c>
      <x:c r="B16" s="126" t="n">
        <x:f>'01_Run_Config'!$B$4+A16</x:f>
        <x:v>46256</x:v>
      </x:c>
      <x:c r="C16" s="60" t="str">
        <x:f>VLOOKUP(A16,'02_Daily_Master'!$A$2:$AS$82,5,FALSE)</x:f>
        <x:v>Early Veg</x:v>
      </x:c>
      <x:c r="D16" s="60"/>
      <x:c r="E16" s="60"/>
      <x:c r="F16" s="60"/>
      <x:c r="G16" s="60"/>
      <x:c r="H16" s="60"/>
      <x:c r="I16" s="60"/>
      <x:c r="J16" s="60"/>
      <x:c r="K16" s="60"/>
      <x:c r="L16" s="60"/>
      <x:c r="M16" s="60"/>
      <x:c r="N16" s="60"/>
      <x:c r="O16" s="60" t="str">
        <x:f>IF(OR(N16="",L16=""),"",N16-L16)</x:f>
      </x:c>
      <x:c r="P16" s="60"/>
      <x:c r="Q16" s="60"/>
      <x:c r="R16" s="60"/>
      <x:c r="S16" s="60"/>
      <x:c r="T16" s="60"/>
      <x:c r="U16" s="60" t="str">
        <x:v>OFFEN</x:v>
      </x:c>
      <x:c r="V16" s="60" t="str">
        <x:v>OFFEN</x:v>
      </x:c>
      <x:c r="W16" s="60" t="str">
        <x:v>OFFEN</x:v>
      </x:c>
      <x:c r="X16" s="60" t="n">
        <x:v>0</x:v>
      </x:c>
      <x:c r="Y16" s="60" t="str">
        <x:f>IF(OR(U16="OFFEN",V16="OFFEN",W16="OFFEN"),"OFFEN",IF(OR(U16="FAIL",V16="FAIL",W16="FAIL",X16&gt;=4),"FAIL",IF(OR(U16="WARN",V16="WARN",W16="WARN",X16&gt;=2),"WARN","OK")))</x:f>
        <x:v>OFFEN</x:v>
      </x:c>
      <x:c r="Z16" s="29" t="str"/>
    </x:row>
    <x:row r="17">
      <x:c r="A17" s="28" t="n">
        <x:v>15</x:v>
      </x:c>
      <x:c r="B17" s="126" t="n">
        <x:f>'01_Run_Config'!$B$4+A17</x:f>
        <x:v>46257</x:v>
      </x:c>
      <x:c r="C17" s="60" t="str">
        <x:f>VLOOKUP(A17,'02_Daily_Master'!$A$2:$AS$82,5,FALSE)</x:f>
        <x:v>Veg / LST</x:v>
      </x:c>
      <x:c r="D17" s="60"/>
      <x:c r="E17" s="60"/>
      <x:c r="F17" s="60"/>
      <x:c r="G17" s="60"/>
      <x:c r="H17" s="60"/>
      <x:c r="I17" s="60"/>
      <x:c r="J17" s="60"/>
      <x:c r="K17" s="60"/>
      <x:c r="L17" s="60"/>
      <x:c r="M17" s="60"/>
      <x:c r="N17" s="60"/>
      <x:c r="O17" s="60" t="str">
        <x:f>IF(OR(N17="",L17=""),"",N17-L17)</x:f>
      </x:c>
      <x:c r="P17" s="60"/>
      <x:c r="Q17" s="60"/>
      <x:c r="R17" s="60"/>
      <x:c r="S17" s="60"/>
      <x:c r="T17" s="60"/>
      <x:c r="U17" s="60" t="str">
        <x:v>OFFEN</x:v>
      </x:c>
      <x:c r="V17" s="60" t="str">
        <x:v>OFFEN</x:v>
      </x:c>
      <x:c r="W17" s="60" t="str">
        <x:v>OFFEN</x:v>
      </x:c>
      <x:c r="X17" s="60" t="n">
        <x:v>0</x:v>
      </x:c>
      <x:c r="Y17" s="60" t="str">
        <x:f>IF(OR(U17="OFFEN",V17="OFFEN",W17="OFFEN"),"OFFEN",IF(OR(U17="FAIL",V17="FAIL",W17="FAIL",X17&gt;=4),"FAIL",IF(OR(U17="WARN",V17="WARN",W17="WARN",X17&gt;=2),"WARN","OK")))</x:f>
        <x:v>OFFEN</x:v>
      </x:c>
      <x:c r="Z17" s="29" t="str"/>
    </x:row>
    <x:row r="18">
      <x:c r="A18" s="28" t="n">
        <x:v>16</x:v>
      </x:c>
      <x:c r="B18" s="126" t="n">
        <x:f>'01_Run_Config'!$B$4+A18</x:f>
        <x:v>46258</x:v>
      </x:c>
      <x:c r="C18" s="60" t="str">
        <x:f>VLOOKUP(A18,'02_Daily_Master'!$A$2:$AS$82,5,FALSE)</x:f>
        <x:v>Veg / LST</x:v>
      </x:c>
      <x:c r="D18" s="60"/>
      <x:c r="E18" s="60"/>
      <x:c r="F18" s="60"/>
      <x:c r="G18" s="60"/>
      <x:c r="H18" s="60"/>
      <x:c r="I18" s="60"/>
      <x:c r="J18" s="60"/>
      <x:c r="K18" s="60"/>
      <x:c r="L18" s="60"/>
      <x:c r="M18" s="60"/>
      <x:c r="N18" s="60"/>
      <x:c r="O18" s="60" t="str">
        <x:f>IF(OR(N18="",L18=""),"",N18-L18)</x:f>
      </x:c>
      <x:c r="P18" s="60"/>
      <x:c r="Q18" s="60"/>
      <x:c r="R18" s="60"/>
      <x:c r="S18" s="60"/>
      <x:c r="T18" s="60"/>
      <x:c r="U18" s="60" t="str">
        <x:v>OFFEN</x:v>
      </x:c>
      <x:c r="V18" s="60" t="str">
        <x:v>OFFEN</x:v>
      </x:c>
      <x:c r="W18" s="60" t="str">
        <x:v>OFFEN</x:v>
      </x:c>
      <x:c r="X18" s="60" t="n">
        <x:v>0</x:v>
      </x:c>
      <x:c r="Y18" s="60" t="str">
        <x:f>IF(OR(U18="OFFEN",V18="OFFEN",W18="OFFEN"),"OFFEN",IF(OR(U18="FAIL",V18="FAIL",W18="FAIL",X18&gt;=4),"FAIL",IF(OR(U18="WARN",V18="WARN",W18="WARN",X18&gt;=2),"WARN","OK")))</x:f>
        <x:v>OFFEN</x:v>
      </x:c>
      <x:c r="Z18" s="29" t="str"/>
    </x:row>
    <x:row r="19">
      <x:c r="A19" s="28" t="n">
        <x:v>17</x:v>
      </x:c>
      <x:c r="B19" s="126" t="n">
        <x:f>'01_Run_Config'!$B$4+A19</x:f>
        <x:v>46259</x:v>
      </x:c>
      <x:c r="C19" s="60" t="str">
        <x:f>VLOOKUP(A19,'02_Daily_Master'!$A$2:$AS$82,5,FALSE)</x:f>
        <x:v>Veg / LST</x:v>
      </x:c>
      <x:c r="D19" s="60"/>
      <x:c r="E19" s="60"/>
      <x:c r="F19" s="60"/>
      <x:c r="G19" s="60"/>
      <x:c r="H19" s="60"/>
      <x:c r="I19" s="60"/>
      <x:c r="J19" s="60"/>
      <x:c r="K19" s="60"/>
      <x:c r="L19" s="60"/>
      <x:c r="M19" s="60"/>
      <x:c r="N19" s="60"/>
      <x:c r="O19" s="60" t="str">
        <x:f>IF(OR(N19="",L19=""),"",N19-L19)</x:f>
      </x:c>
      <x:c r="P19" s="60"/>
      <x:c r="Q19" s="60"/>
      <x:c r="R19" s="60"/>
      <x:c r="S19" s="60"/>
      <x:c r="T19" s="60"/>
      <x:c r="U19" s="60" t="str">
        <x:v>OFFEN</x:v>
      </x:c>
      <x:c r="V19" s="60" t="str">
        <x:v>OFFEN</x:v>
      </x:c>
      <x:c r="W19" s="60" t="str">
        <x:v>OFFEN</x:v>
      </x:c>
      <x:c r="X19" s="60" t="n">
        <x:v>0</x:v>
      </x:c>
      <x:c r="Y19" s="60" t="str">
        <x:f>IF(OR(U19="OFFEN",V19="OFFEN",W19="OFFEN"),"OFFEN",IF(OR(U19="FAIL",V19="FAIL",W19="FAIL",X19&gt;=4),"FAIL",IF(OR(U19="WARN",V19="WARN",W19="WARN",X19&gt;=2),"WARN","OK")))</x:f>
        <x:v>OFFEN</x:v>
      </x:c>
      <x:c r="Z19" s="29" t="str"/>
    </x:row>
    <x:row r="20">
      <x:c r="A20" s="28" t="n">
        <x:v>18</x:v>
      </x:c>
      <x:c r="B20" s="126" t="n">
        <x:f>'01_Run_Config'!$B$4+A20</x:f>
        <x:v>46260</x:v>
      </x:c>
      <x:c r="C20" s="60" t="str">
        <x:f>VLOOKUP(A20,'02_Daily_Master'!$A$2:$AS$82,5,FALSE)</x:f>
        <x:v>Veg / LST</x:v>
      </x:c>
      <x:c r="D20" s="60"/>
      <x:c r="E20" s="60"/>
      <x:c r="F20" s="60"/>
      <x:c r="G20" s="60"/>
      <x:c r="H20" s="60"/>
      <x:c r="I20" s="60"/>
      <x:c r="J20" s="60"/>
      <x:c r="K20" s="60"/>
      <x:c r="L20" s="60"/>
      <x:c r="M20" s="60"/>
      <x:c r="N20" s="60"/>
      <x:c r="O20" s="60" t="str">
        <x:f>IF(OR(N20="",L20=""),"",N20-L20)</x:f>
      </x:c>
      <x:c r="P20" s="60"/>
      <x:c r="Q20" s="60"/>
      <x:c r="R20" s="60"/>
      <x:c r="S20" s="60"/>
      <x:c r="T20" s="60"/>
      <x:c r="U20" s="60" t="str">
        <x:v>OFFEN</x:v>
      </x:c>
      <x:c r="V20" s="60" t="str">
        <x:v>OFFEN</x:v>
      </x:c>
      <x:c r="W20" s="60" t="str">
        <x:v>OFFEN</x:v>
      </x:c>
      <x:c r="X20" s="60" t="n">
        <x:v>0</x:v>
      </x:c>
      <x:c r="Y20" s="60" t="str">
        <x:f>IF(OR(U20="OFFEN",V20="OFFEN",W20="OFFEN"),"OFFEN",IF(OR(U20="FAIL",V20="FAIL",W20="FAIL",X20&gt;=4),"FAIL",IF(OR(U20="WARN",V20="WARN",W20="WARN",X20&gt;=2),"WARN","OK")))</x:f>
        <x:v>OFFEN</x:v>
      </x:c>
      <x:c r="Z20" s="29" t="str"/>
    </x:row>
    <x:row r="21">
      <x:c r="A21" s="28" t="n">
        <x:v>19</x:v>
      </x:c>
      <x:c r="B21" s="126" t="n">
        <x:f>'01_Run_Config'!$B$4+A21</x:f>
        <x:v>46261</x:v>
      </x:c>
      <x:c r="C21" s="60" t="str">
        <x:f>VLOOKUP(A21,'02_Daily_Master'!$A$2:$AS$82,5,FALSE)</x:f>
        <x:v>Veg / LST</x:v>
      </x:c>
      <x:c r="D21" s="60"/>
      <x:c r="E21" s="60"/>
      <x:c r="F21" s="60"/>
      <x:c r="G21" s="60"/>
      <x:c r="H21" s="60"/>
      <x:c r="I21" s="60"/>
      <x:c r="J21" s="60"/>
      <x:c r="K21" s="60"/>
      <x:c r="L21" s="60"/>
      <x:c r="M21" s="60"/>
      <x:c r="N21" s="60"/>
      <x:c r="O21" s="60" t="str">
        <x:f>IF(OR(N21="",L21=""),"",N21-L21)</x:f>
      </x:c>
      <x:c r="P21" s="60"/>
      <x:c r="Q21" s="60"/>
      <x:c r="R21" s="60"/>
      <x:c r="S21" s="60"/>
      <x:c r="T21" s="60"/>
      <x:c r="U21" s="60" t="str">
        <x:v>OFFEN</x:v>
      </x:c>
      <x:c r="V21" s="60" t="str">
        <x:v>OFFEN</x:v>
      </x:c>
      <x:c r="W21" s="60" t="str">
        <x:v>OFFEN</x:v>
      </x:c>
      <x:c r="X21" s="60" t="n">
        <x:v>0</x:v>
      </x:c>
      <x:c r="Y21" s="60" t="str">
        <x:f>IF(OR(U21="OFFEN",V21="OFFEN",W21="OFFEN"),"OFFEN",IF(OR(U21="FAIL",V21="FAIL",W21="FAIL",X21&gt;=4),"FAIL",IF(OR(U21="WARN",V21="WARN",W21="WARN",X21&gt;=2),"WARN","OK")))</x:f>
        <x:v>OFFEN</x:v>
      </x:c>
      <x:c r="Z21" s="29" t="str"/>
    </x:row>
    <x:row r="22">
      <x:c r="A22" s="28" t="n">
        <x:v>20</x:v>
      </x:c>
      <x:c r="B22" s="126" t="n">
        <x:f>'01_Run_Config'!$B$4+A22</x:f>
        <x:v>46262</x:v>
      </x:c>
      <x:c r="C22" s="60" t="str">
        <x:f>VLOOKUP(A22,'02_Daily_Master'!$A$2:$AS$82,5,FALSE)</x:f>
        <x:v>Veg / LST</x:v>
      </x:c>
      <x:c r="D22" s="60"/>
      <x:c r="E22" s="60"/>
      <x:c r="F22" s="60"/>
      <x:c r="G22" s="60"/>
      <x:c r="H22" s="60"/>
      <x:c r="I22" s="60"/>
      <x:c r="J22" s="60"/>
      <x:c r="K22" s="60"/>
      <x:c r="L22" s="60"/>
      <x:c r="M22" s="60"/>
      <x:c r="N22" s="60"/>
      <x:c r="O22" s="60" t="str">
        <x:f>IF(OR(N22="",L22=""),"",N22-L22)</x:f>
      </x:c>
      <x:c r="P22" s="60"/>
      <x:c r="Q22" s="60"/>
      <x:c r="R22" s="60"/>
      <x:c r="S22" s="60"/>
      <x:c r="T22" s="60"/>
      <x:c r="U22" s="60" t="str">
        <x:v>OFFEN</x:v>
      </x:c>
      <x:c r="V22" s="60" t="str">
        <x:v>OFFEN</x:v>
      </x:c>
      <x:c r="W22" s="60" t="str">
        <x:v>OFFEN</x:v>
      </x:c>
      <x:c r="X22" s="60" t="n">
        <x:v>0</x:v>
      </x:c>
      <x:c r="Y22" s="60" t="str">
        <x:f>IF(OR(U22="OFFEN",V22="OFFEN",W22="OFFEN"),"OFFEN",IF(OR(U22="FAIL",V22="FAIL",W22="FAIL",X22&gt;=4),"FAIL",IF(OR(U22="WARN",V22="WARN",W22="WARN",X22&gt;=2),"WARN","OK")))</x:f>
        <x:v>OFFEN</x:v>
      </x:c>
      <x:c r="Z22" s="29" t="str"/>
    </x:row>
    <x:row r="23">
      <x:c r="A23" s="28" t="n">
        <x:v>21</x:v>
      </x:c>
      <x:c r="B23" s="126" t="n">
        <x:f>'01_Run_Config'!$B$4+A23</x:f>
        <x:v>46263</x:v>
      </x:c>
      <x:c r="C23" s="60" t="str">
        <x:f>VLOOKUP(A23,'02_Daily_Master'!$A$2:$AS$82,5,FALSE)</x:f>
        <x:v>Veg / LST</x:v>
      </x:c>
      <x:c r="D23" s="60"/>
      <x:c r="E23" s="60"/>
      <x:c r="F23" s="60"/>
      <x:c r="G23" s="60"/>
      <x:c r="H23" s="60"/>
      <x:c r="I23" s="60"/>
      <x:c r="J23" s="60"/>
      <x:c r="K23" s="60"/>
      <x:c r="L23" s="60"/>
      <x:c r="M23" s="60"/>
      <x:c r="N23" s="60"/>
      <x:c r="O23" s="60" t="str">
        <x:f>IF(OR(N23="",L23=""),"",N23-L23)</x:f>
      </x:c>
      <x:c r="P23" s="60"/>
      <x:c r="Q23" s="60"/>
      <x:c r="R23" s="60"/>
      <x:c r="S23" s="60"/>
      <x:c r="T23" s="60"/>
      <x:c r="U23" s="60" t="str">
        <x:v>OFFEN</x:v>
      </x:c>
      <x:c r="V23" s="60" t="str">
        <x:v>OFFEN</x:v>
      </x:c>
      <x:c r="W23" s="60" t="str">
        <x:v>OFFEN</x:v>
      </x:c>
      <x:c r="X23" s="60" t="n">
        <x:v>0</x:v>
      </x:c>
      <x:c r="Y23" s="60" t="str">
        <x:f>IF(OR(U23="OFFEN",V23="OFFEN",W23="OFFEN"),"OFFEN",IF(OR(U23="FAIL",V23="FAIL",W23="FAIL",X23&gt;=4),"FAIL",IF(OR(U23="WARN",V23="WARN",W23="WARN",X23&gt;=2),"WARN","OK")))</x:f>
        <x:v>OFFEN</x:v>
      </x:c>
      <x:c r="Z23" s="29" t="str"/>
    </x:row>
    <x:row r="24">
      <x:c r="A24" s="28" t="n">
        <x:v>22</x:v>
      </x:c>
      <x:c r="B24" s="126" t="n">
        <x:f>'01_Run_Config'!$B$4+A24</x:f>
        <x:v>46264</x:v>
      </x:c>
      <x:c r="C24" s="60" t="str">
        <x:f>VLOOKUP(A24,'02_Daily_Master'!$A$2:$AS$82,5,FALSE)</x:f>
        <x:v>Preflower-Watch</x:v>
      </x:c>
      <x:c r="D24" s="60"/>
      <x:c r="E24" s="60"/>
      <x:c r="F24" s="60"/>
      <x:c r="G24" s="60"/>
      <x:c r="H24" s="60"/>
      <x:c r="I24" s="60"/>
      <x:c r="J24" s="60"/>
      <x:c r="K24" s="60"/>
      <x:c r="L24" s="60"/>
      <x:c r="M24" s="60"/>
      <x:c r="N24" s="60"/>
      <x:c r="O24" s="60" t="str">
        <x:f>IF(OR(N24="",L24=""),"",N24-L24)</x:f>
      </x:c>
      <x:c r="P24" s="60"/>
      <x:c r="Q24" s="60"/>
      <x:c r="R24" s="60"/>
      <x:c r="S24" s="60"/>
      <x:c r="T24" s="60"/>
      <x:c r="U24" s="60" t="str">
        <x:v>OFFEN</x:v>
      </x:c>
      <x:c r="V24" s="60" t="str">
        <x:v>OFFEN</x:v>
      </x:c>
      <x:c r="W24" s="60" t="str">
        <x:v>OFFEN</x:v>
      </x:c>
      <x:c r="X24" s="60" t="n">
        <x:v>0</x:v>
      </x:c>
      <x:c r="Y24" s="60" t="str">
        <x:f>IF(OR(U24="OFFEN",V24="OFFEN",W24="OFFEN"),"OFFEN",IF(OR(U24="FAIL",V24="FAIL",W24="FAIL",X24&gt;=4),"FAIL",IF(OR(U24="WARN",V24="WARN",W24="WARN",X24&gt;=2),"WARN","OK")))</x:f>
        <x:v>OFFEN</x:v>
      </x:c>
      <x:c r="Z24" s="29" t="str"/>
    </x:row>
    <x:row r="25">
      <x:c r="A25" s="28" t="n">
        <x:v>23</x:v>
      </x:c>
      <x:c r="B25" s="126" t="n">
        <x:f>'01_Run_Config'!$B$4+A25</x:f>
        <x:v>46265</x:v>
      </x:c>
      <x:c r="C25" s="60" t="str">
        <x:f>VLOOKUP(A25,'02_Daily_Master'!$A$2:$AS$82,5,FALSE)</x:f>
        <x:v>Preflower-Watch</x:v>
      </x:c>
      <x:c r="D25" s="60"/>
      <x:c r="E25" s="60"/>
      <x:c r="F25" s="60"/>
      <x:c r="G25" s="60"/>
      <x:c r="H25" s="60"/>
      <x:c r="I25" s="60"/>
      <x:c r="J25" s="60"/>
      <x:c r="K25" s="60"/>
      <x:c r="L25" s="60"/>
      <x:c r="M25" s="60"/>
      <x:c r="N25" s="60"/>
      <x:c r="O25" s="60" t="str">
        <x:f>IF(OR(N25="",L25=""),"",N25-L25)</x:f>
      </x:c>
      <x:c r="P25" s="60"/>
      <x:c r="Q25" s="60"/>
      <x:c r="R25" s="60"/>
      <x:c r="S25" s="60"/>
      <x:c r="T25" s="60"/>
      <x:c r="U25" s="60" t="str">
        <x:v>OFFEN</x:v>
      </x:c>
      <x:c r="V25" s="60" t="str">
        <x:v>OFFEN</x:v>
      </x:c>
      <x:c r="W25" s="60" t="str">
        <x:v>OFFEN</x:v>
      </x:c>
      <x:c r="X25" s="60" t="n">
        <x:v>0</x:v>
      </x:c>
      <x:c r="Y25" s="60" t="str">
        <x:f>IF(OR(U25="OFFEN",V25="OFFEN",W25="OFFEN"),"OFFEN",IF(OR(U25="FAIL",V25="FAIL",W25="FAIL",X25&gt;=4),"FAIL",IF(OR(U25="WARN",V25="WARN",W25="WARN",X25&gt;=2),"WARN","OK")))</x:f>
        <x:v>OFFEN</x:v>
      </x:c>
      <x:c r="Z25" s="29" t="str"/>
    </x:row>
    <x:row r="26">
      <x:c r="A26" s="28" t="n">
        <x:v>24</x:v>
      </x:c>
      <x:c r="B26" s="126" t="n">
        <x:f>'01_Run_Config'!$B$4+A26</x:f>
        <x:v>46266</x:v>
      </x:c>
      <x:c r="C26" s="60" t="str">
        <x:f>VLOOKUP(A26,'02_Daily_Master'!$A$2:$AS$82,5,FALSE)</x:f>
        <x:v>Preflower-Watch</x:v>
      </x:c>
      <x:c r="D26" s="60"/>
      <x:c r="E26" s="60"/>
      <x:c r="F26" s="60"/>
      <x:c r="G26" s="60"/>
      <x:c r="H26" s="60"/>
      <x:c r="I26" s="60"/>
      <x:c r="J26" s="60"/>
      <x:c r="K26" s="60"/>
      <x:c r="L26" s="60"/>
      <x:c r="M26" s="60"/>
      <x:c r="N26" s="60"/>
      <x:c r="O26" s="60" t="str">
        <x:f>IF(OR(N26="",L26=""),"",N26-L26)</x:f>
      </x:c>
      <x:c r="P26" s="60"/>
      <x:c r="Q26" s="60"/>
      <x:c r="R26" s="60"/>
      <x:c r="S26" s="60"/>
      <x:c r="T26" s="60"/>
      <x:c r="U26" s="60" t="str">
        <x:v>OFFEN</x:v>
      </x:c>
      <x:c r="V26" s="60" t="str">
        <x:v>OFFEN</x:v>
      </x:c>
      <x:c r="W26" s="60" t="str">
        <x:v>OFFEN</x:v>
      </x:c>
      <x:c r="X26" s="60" t="n">
        <x:v>0</x:v>
      </x:c>
      <x:c r="Y26" s="60" t="str">
        <x:f>IF(OR(U26="OFFEN",V26="OFFEN",W26="OFFEN"),"OFFEN",IF(OR(U26="FAIL",V26="FAIL",W26="FAIL",X26&gt;=4),"FAIL",IF(OR(U26="WARN",V26="WARN",W26="WARN",X26&gt;=2),"WARN","OK")))</x:f>
        <x:v>OFFEN</x:v>
      </x:c>
      <x:c r="Z26" s="29" t="str"/>
    </x:row>
    <x:row r="27">
      <x:c r="A27" s="28" t="n">
        <x:v>25</x:v>
      </x:c>
      <x:c r="B27" s="126" t="n">
        <x:f>'01_Run_Config'!$B$4+A27</x:f>
        <x:v>46267</x:v>
      </x:c>
      <x:c r="C27" s="60" t="str">
        <x:f>VLOOKUP(A27,'02_Daily_Master'!$A$2:$AS$82,5,FALSE)</x:f>
        <x:v>Preflower-Watch</x:v>
      </x:c>
      <x:c r="D27" s="60"/>
      <x:c r="E27" s="60"/>
      <x:c r="F27" s="60"/>
      <x:c r="G27" s="60"/>
      <x:c r="H27" s="60"/>
      <x:c r="I27" s="60"/>
      <x:c r="J27" s="60"/>
      <x:c r="K27" s="60"/>
      <x:c r="L27" s="60"/>
      <x:c r="M27" s="60"/>
      <x:c r="N27" s="60"/>
      <x:c r="O27" s="60" t="str">
        <x:f>IF(OR(N27="",L27=""),"",N27-L27)</x:f>
      </x:c>
      <x:c r="P27" s="60"/>
      <x:c r="Q27" s="60"/>
      <x:c r="R27" s="60"/>
      <x:c r="S27" s="60"/>
      <x:c r="T27" s="60"/>
      <x:c r="U27" s="60" t="str">
        <x:v>OFFEN</x:v>
      </x:c>
      <x:c r="V27" s="60" t="str">
        <x:v>OFFEN</x:v>
      </x:c>
      <x:c r="W27" s="60" t="str">
        <x:v>OFFEN</x:v>
      </x:c>
      <x:c r="X27" s="60" t="n">
        <x:v>0</x:v>
      </x:c>
      <x:c r="Y27" s="60" t="str">
        <x:f>IF(OR(U27="OFFEN",V27="OFFEN",W27="OFFEN"),"OFFEN",IF(OR(U27="FAIL",V27="FAIL",W27="FAIL",X27&gt;=4),"FAIL",IF(OR(U27="WARN",V27="WARN",W27="WARN",X27&gt;=2),"WARN","OK")))</x:f>
        <x:v>OFFEN</x:v>
      </x:c>
      <x:c r="Z27" s="29" t="str"/>
    </x:row>
    <x:row r="28">
      <x:c r="A28" s="28" t="n">
        <x:v>26</x:v>
      </x:c>
      <x:c r="B28" s="126" t="n">
        <x:f>'01_Run_Config'!$B$4+A28</x:f>
        <x:v>46268</x:v>
      </x:c>
      <x:c r="C28" s="60" t="str">
        <x:f>VLOOKUP(A28,'02_Daily_Master'!$A$2:$AS$82,5,FALSE)</x:f>
        <x:v>Preflower-Watch</x:v>
      </x:c>
      <x:c r="D28" s="60"/>
      <x:c r="E28" s="60"/>
      <x:c r="F28" s="60"/>
      <x:c r="G28" s="60"/>
      <x:c r="H28" s="60"/>
      <x:c r="I28" s="60"/>
      <x:c r="J28" s="60"/>
      <x:c r="K28" s="60"/>
      <x:c r="L28" s="60"/>
      <x:c r="M28" s="60"/>
      <x:c r="N28" s="60"/>
      <x:c r="O28" s="60" t="str">
        <x:f>IF(OR(N28="",L28=""),"",N28-L28)</x:f>
      </x:c>
      <x:c r="P28" s="60"/>
      <x:c r="Q28" s="60"/>
      <x:c r="R28" s="60"/>
      <x:c r="S28" s="60"/>
      <x:c r="T28" s="60"/>
      <x:c r="U28" s="60" t="str">
        <x:v>OFFEN</x:v>
      </x:c>
      <x:c r="V28" s="60" t="str">
        <x:v>OFFEN</x:v>
      </x:c>
      <x:c r="W28" s="60" t="str">
        <x:v>OFFEN</x:v>
      </x:c>
      <x:c r="X28" s="60" t="n">
        <x:v>0</x:v>
      </x:c>
      <x:c r="Y28" s="60" t="str">
        <x:f>IF(OR(U28="OFFEN",V28="OFFEN",W28="OFFEN"),"OFFEN",IF(OR(U28="FAIL",V28="FAIL",W28="FAIL",X28&gt;=4),"FAIL",IF(OR(U28="WARN",V28="WARN",W28="WARN",X28&gt;=2),"WARN","OK")))</x:f>
        <x:v>OFFEN</x:v>
      </x:c>
      <x:c r="Z28" s="29" t="str"/>
    </x:row>
    <x:row r="29">
      <x:c r="A29" s="28" t="n">
        <x:v>27</x:v>
      </x:c>
      <x:c r="B29" s="126" t="n">
        <x:f>'01_Run_Config'!$B$4+A29</x:f>
        <x:v>46269</x:v>
      </x:c>
      <x:c r="C29" s="60" t="str">
        <x:f>VLOOKUP(A29,'02_Daily_Master'!$A$2:$AS$82,5,FALSE)</x:f>
        <x:v>Preflower-Watch</x:v>
      </x:c>
      <x:c r="D29" s="60"/>
      <x:c r="E29" s="60"/>
      <x:c r="F29" s="60"/>
      <x:c r="G29" s="60"/>
      <x:c r="H29" s="60"/>
      <x:c r="I29" s="60"/>
      <x:c r="J29" s="60"/>
      <x:c r="K29" s="60"/>
      <x:c r="L29" s="60"/>
      <x:c r="M29" s="60"/>
      <x:c r="N29" s="60"/>
      <x:c r="O29" s="60" t="str">
        <x:f>IF(OR(N29="",L29=""),"",N29-L29)</x:f>
      </x:c>
      <x:c r="P29" s="60"/>
      <x:c r="Q29" s="60"/>
      <x:c r="R29" s="60"/>
      <x:c r="S29" s="60"/>
      <x:c r="T29" s="60"/>
      <x:c r="U29" s="60" t="str">
        <x:v>OFFEN</x:v>
      </x:c>
      <x:c r="V29" s="60" t="str">
        <x:v>OFFEN</x:v>
      </x:c>
      <x:c r="W29" s="60" t="str">
        <x:v>OFFEN</x:v>
      </x:c>
      <x:c r="X29" s="60" t="n">
        <x:v>0</x:v>
      </x:c>
      <x:c r="Y29" s="60" t="str">
        <x:f>IF(OR(U29="OFFEN",V29="OFFEN",W29="OFFEN"),"OFFEN",IF(OR(U29="FAIL",V29="FAIL",W29="FAIL",X29&gt;=4),"FAIL",IF(OR(U29="WARN",V29="WARN",W29="WARN",X29&gt;=2),"WARN","OK")))</x:f>
        <x:v>OFFEN</x:v>
      </x:c>
      <x:c r="Z29" s="29" t="str"/>
    </x:row>
    <x:row r="30">
      <x:c r="A30" s="28" t="n">
        <x:v>28</x:v>
      </x:c>
      <x:c r="B30" s="126" t="n">
        <x:f>'01_Run_Config'!$B$4+A30</x:f>
        <x:v>46270</x:v>
      </x:c>
      <x:c r="C30" s="60" t="str">
        <x:f>VLOOKUP(A30,'02_Daily_Master'!$A$2:$AS$82,5,FALSE)</x:f>
        <x:v>Transition / Stretch (B1)</x:v>
      </x:c>
      <x:c r="D30" s="60"/>
      <x:c r="E30" s="60"/>
      <x:c r="F30" s="60"/>
      <x:c r="G30" s="60"/>
      <x:c r="H30" s="60"/>
      <x:c r="I30" s="60"/>
      <x:c r="J30" s="60"/>
      <x:c r="K30" s="60"/>
      <x:c r="L30" s="60"/>
      <x:c r="M30" s="60"/>
      <x:c r="N30" s="60"/>
      <x:c r="O30" s="60" t="str">
        <x:f>IF(OR(N30="",L30=""),"",N30-L30)</x:f>
      </x:c>
      <x:c r="P30" s="60"/>
      <x:c r="Q30" s="60"/>
      <x:c r="R30" s="60"/>
      <x:c r="S30" s="60"/>
      <x:c r="T30" s="60"/>
      <x:c r="U30" s="60" t="str">
        <x:v>OFFEN</x:v>
      </x:c>
      <x:c r="V30" s="60" t="str">
        <x:v>OFFEN</x:v>
      </x:c>
      <x:c r="W30" s="60" t="str">
        <x:v>OFFEN</x:v>
      </x:c>
      <x:c r="X30" s="60" t="n">
        <x:v>0</x:v>
      </x:c>
      <x:c r="Y30" s="60" t="str">
        <x:f>IF(OR(U30="OFFEN",V30="OFFEN",W30="OFFEN"),"OFFEN",IF(OR(U30="FAIL",V30="FAIL",W30="FAIL",X30&gt;=4),"FAIL",IF(OR(U30="WARN",V30="WARN",W30="WARN",X30&gt;=2),"WARN","OK")))</x:f>
        <x:v>OFFEN</x:v>
      </x:c>
      <x:c r="Z30" s="29" t="str"/>
    </x:row>
    <x:row r="31">
      <x:c r="A31" s="28" t="n">
        <x:v>29</x:v>
      </x:c>
      <x:c r="B31" s="126" t="n">
        <x:f>'01_Run_Config'!$B$4+A31</x:f>
        <x:v>46271</x:v>
      </x:c>
      <x:c r="C31" s="60" t="str">
        <x:f>VLOOKUP(A31,'02_Daily_Master'!$A$2:$AS$82,5,FALSE)</x:f>
        <x:v>Transition / Stretch (B1)</x:v>
      </x:c>
      <x:c r="D31" s="60"/>
      <x:c r="E31" s="60"/>
      <x:c r="F31" s="60"/>
      <x:c r="G31" s="60"/>
      <x:c r="H31" s="60"/>
      <x:c r="I31" s="60"/>
      <x:c r="J31" s="60"/>
      <x:c r="K31" s="60"/>
      <x:c r="L31" s="60"/>
      <x:c r="M31" s="60"/>
      <x:c r="N31" s="60"/>
      <x:c r="O31" s="60" t="str">
        <x:f>IF(OR(N31="",L31=""),"",N31-L31)</x:f>
      </x:c>
      <x:c r="P31" s="60"/>
      <x:c r="Q31" s="60"/>
      <x:c r="R31" s="60"/>
      <x:c r="S31" s="60"/>
      <x:c r="T31" s="60"/>
      <x:c r="U31" s="60" t="str">
        <x:v>OFFEN</x:v>
      </x:c>
      <x:c r="V31" s="60" t="str">
        <x:v>OFFEN</x:v>
      </x:c>
      <x:c r="W31" s="60" t="str">
        <x:v>OFFEN</x:v>
      </x:c>
      <x:c r="X31" s="60" t="n">
        <x:v>0</x:v>
      </x:c>
      <x:c r="Y31" s="60" t="str">
        <x:f>IF(OR(U31="OFFEN",V31="OFFEN",W31="OFFEN"),"OFFEN",IF(OR(U31="FAIL",V31="FAIL",W31="FAIL",X31&gt;=4),"FAIL",IF(OR(U31="WARN",V31="WARN",W31="WARN",X31&gt;=2),"WARN","OK")))</x:f>
        <x:v>OFFEN</x:v>
      </x:c>
      <x:c r="Z31" s="29" t="str"/>
    </x:row>
    <x:row r="32">
      <x:c r="A32" s="28" t="n">
        <x:v>30</x:v>
      </x:c>
      <x:c r="B32" s="126" t="n">
        <x:f>'01_Run_Config'!$B$4+A32</x:f>
        <x:v>46272</x:v>
      </x:c>
      <x:c r="C32" s="60" t="str">
        <x:f>VLOOKUP(A32,'02_Daily_Master'!$A$2:$AS$82,5,FALSE)</x:f>
        <x:v>Transition / Stretch (B1)</x:v>
      </x:c>
      <x:c r="D32" s="60"/>
      <x:c r="E32" s="60"/>
      <x:c r="F32" s="60"/>
      <x:c r="G32" s="60"/>
      <x:c r="H32" s="60"/>
      <x:c r="I32" s="60"/>
      <x:c r="J32" s="60"/>
      <x:c r="K32" s="60"/>
      <x:c r="L32" s="60"/>
      <x:c r="M32" s="60"/>
      <x:c r="N32" s="60"/>
      <x:c r="O32" s="60" t="str">
        <x:f>IF(OR(N32="",L32=""),"",N32-L32)</x:f>
      </x:c>
      <x:c r="P32" s="60"/>
      <x:c r="Q32" s="60"/>
      <x:c r="R32" s="60"/>
      <x:c r="S32" s="60"/>
      <x:c r="T32" s="60"/>
      <x:c r="U32" s="60" t="str">
        <x:v>OFFEN</x:v>
      </x:c>
      <x:c r="V32" s="60" t="str">
        <x:v>OFFEN</x:v>
      </x:c>
      <x:c r="W32" s="60" t="str">
        <x:v>OFFEN</x:v>
      </x:c>
      <x:c r="X32" s="60" t="n">
        <x:v>0</x:v>
      </x:c>
      <x:c r="Y32" s="60" t="str">
        <x:f>IF(OR(U32="OFFEN",V32="OFFEN",W32="OFFEN"),"OFFEN",IF(OR(U32="FAIL",V32="FAIL",W32="FAIL",X32&gt;=4),"FAIL",IF(OR(U32="WARN",V32="WARN",W32="WARN",X32&gt;=2),"WARN","OK")))</x:f>
        <x:v>OFFEN</x:v>
      </x:c>
      <x:c r="Z32" s="29" t="str"/>
    </x:row>
    <x:row r="33">
      <x:c r="A33" s="28" t="n">
        <x:v>31</x:v>
      </x:c>
      <x:c r="B33" s="126" t="n">
        <x:f>'01_Run_Config'!$B$4+A33</x:f>
        <x:v>46273</x:v>
      </x:c>
      <x:c r="C33" s="60" t="str">
        <x:f>VLOOKUP(A33,'02_Daily_Master'!$A$2:$AS$82,5,FALSE)</x:f>
        <x:v>Transition / Stretch (B1)</x:v>
      </x:c>
      <x:c r="D33" s="60"/>
      <x:c r="E33" s="60"/>
      <x:c r="F33" s="60"/>
      <x:c r="G33" s="60"/>
      <x:c r="H33" s="60"/>
      <x:c r="I33" s="60"/>
      <x:c r="J33" s="60"/>
      <x:c r="K33" s="60"/>
      <x:c r="L33" s="60"/>
      <x:c r="M33" s="60"/>
      <x:c r="N33" s="60"/>
      <x:c r="O33" s="60" t="str">
        <x:f>IF(OR(N33="",L33=""),"",N33-L33)</x:f>
      </x:c>
      <x:c r="P33" s="60"/>
      <x:c r="Q33" s="60"/>
      <x:c r="R33" s="60"/>
      <x:c r="S33" s="60"/>
      <x:c r="T33" s="60"/>
      <x:c r="U33" s="60" t="str">
        <x:v>OFFEN</x:v>
      </x:c>
      <x:c r="V33" s="60" t="str">
        <x:v>OFFEN</x:v>
      </x:c>
      <x:c r="W33" s="60" t="str">
        <x:v>OFFEN</x:v>
      </x:c>
      <x:c r="X33" s="60" t="n">
        <x:v>0</x:v>
      </x:c>
      <x:c r="Y33" s="60" t="str">
        <x:f>IF(OR(U33="OFFEN",V33="OFFEN",W33="OFFEN"),"OFFEN",IF(OR(U33="FAIL",V33="FAIL",W33="FAIL",X33&gt;=4),"FAIL",IF(OR(U33="WARN",V33="WARN",W33="WARN",X33&gt;=2),"WARN","OK")))</x:f>
        <x:v>OFFEN</x:v>
      </x:c>
      <x:c r="Z33" s="29" t="str"/>
    </x:row>
    <x:row r="34">
      <x:c r="A34" s="28" t="n">
        <x:v>32</x:v>
      </x:c>
      <x:c r="B34" s="126" t="n">
        <x:f>'01_Run_Config'!$B$4+A34</x:f>
        <x:v>46274</x:v>
      </x:c>
      <x:c r="C34" s="60" t="str">
        <x:f>VLOOKUP(A34,'02_Daily_Master'!$A$2:$AS$82,5,FALSE)</x:f>
        <x:v>Transition / Stretch (B1)</x:v>
      </x:c>
      <x:c r="D34" s="60"/>
      <x:c r="E34" s="60"/>
      <x:c r="F34" s="60"/>
      <x:c r="G34" s="60"/>
      <x:c r="H34" s="60"/>
      <x:c r="I34" s="60"/>
      <x:c r="J34" s="60"/>
      <x:c r="K34" s="60"/>
      <x:c r="L34" s="60"/>
      <x:c r="M34" s="60"/>
      <x:c r="N34" s="60"/>
      <x:c r="O34" s="60" t="str">
        <x:f>IF(OR(N34="",L34=""),"",N34-L34)</x:f>
      </x:c>
      <x:c r="P34" s="60"/>
      <x:c r="Q34" s="60"/>
      <x:c r="R34" s="60"/>
      <x:c r="S34" s="60"/>
      <x:c r="T34" s="60"/>
      <x:c r="U34" s="60" t="str">
        <x:v>OFFEN</x:v>
      </x:c>
      <x:c r="V34" s="60" t="str">
        <x:v>OFFEN</x:v>
      </x:c>
      <x:c r="W34" s="60" t="str">
        <x:v>OFFEN</x:v>
      </x:c>
      <x:c r="X34" s="60" t="n">
        <x:v>0</x:v>
      </x:c>
      <x:c r="Y34" s="60" t="str">
        <x:f>IF(OR(U34="OFFEN",V34="OFFEN",W34="OFFEN"),"OFFEN",IF(OR(U34="FAIL",V34="FAIL",W34="FAIL",X34&gt;=4),"FAIL",IF(OR(U34="WARN",V34="WARN",W34="WARN",X34&gt;=2),"WARN","OK")))</x:f>
        <x:v>OFFEN</x:v>
      </x:c>
      <x:c r="Z34" s="29" t="str"/>
    </x:row>
    <x:row r="35">
      <x:c r="A35" s="28" t="n">
        <x:v>33</x:v>
      </x:c>
      <x:c r="B35" s="126" t="n">
        <x:f>'01_Run_Config'!$B$4+A35</x:f>
        <x:v>46275</x:v>
      </x:c>
      <x:c r="C35" s="60" t="str">
        <x:f>VLOOKUP(A35,'02_Daily_Master'!$A$2:$AS$82,5,FALSE)</x:f>
        <x:v>Transition / Stretch (B1)</x:v>
      </x:c>
      <x:c r="D35" s="60"/>
      <x:c r="E35" s="60"/>
      <x:c r="F35" s="60"/>
      <x:c r="G35" s="60"/>
      <x:c r="H35" s="60"/>
      <x:c r="I35" s="60"/>
      <x:c r="J35" s="60"/>
      <x:c r="K35" s="60"/>
      <x:c r="L35" s="60"/>
      <x:c r="M35" s="60"/>
      <x:c r="N35" s="60"/>
      <x:c r="O35" s="60" t="str">
        <x:f>IF(OR(N35="",L35=""),"",N35-L35)</x:f>
      </x:c>
      <x:c r="P35" s="60"/>
      <x:c r="Q35" s="60"/>
      <x:c r="R35" s="60"/>
      <x:c r="S35" s="60"/>
      <x:c r="T35" s="60"/>
      <x:c r="U35" s="60" t="str">
        <x:v>OFFEN</x:v>
      </x:c>
      <x:c r="V35" s="60" t="str">
        <x:v>OFFEN</x:v>
      </x:c>
      <x:c r="W35" s="60" t="str">
        <x:v>OFFEN</x:v>
      </x:c>
      <x:c r="X35" s="60" t="n">
        <x:v>0</x:v>
      </x:c>
      <x:c r="Y35" s="60" t="str">
        <x:f>IF(OR(U35="OFFEN",V35="OFFEN",W35="OFFEN"),"OFFEN",IF(OR(U35="FAIL",V35="FAIL",W35="FAIL",X35&gt;=4),"FAIL",IF(OR(U35="WARN",V35="WARN",W35="WARN",X35&gt;=2),"WARN","OK")))</x:f>
        <x:v>OFFEN</x:v>
      </x:c>
      <x:c r="Z35" s="29" t="str"/>
    </x:row>
    <x:row r="36">
      <x:c r="A36" s="28" t="n">
        <x:v>34</x:v>
      </x:c>
      <x:c r="B36" s="126" t="n">
        <x:f>'01_Run_Config'!$B$4+A36</x:f>
        <x:v>46276</x:v>
      </x:c>
      <x:c r="C36" s="60" t="str">
        <x:f>VLOOKUP(A36,'02_Daily_Master'!$A$2:$AS$82,5,FALSE)</x:f>
        <x:v>Transition / Stretch (B1)</x:v>
      </x:c>
      <x:c r="D36" s="60"/>
      <x:c r="E36" s="60"/>
      <x:c r="F36" s="60"/>
      <x:c r="G36" s="60"/>
      <x:c r="H36" s="60"/>
      <x:c r="I36" s="60"/>
      <x:c r="J36" s="60"/>
      <x:c r="K36" s="60"/>
      <x:c r="L36" s="60"/>
      <x:c r="M36" s="60"/>
      <x:c r="N36" s="60"/>
      <x:c r="O36" s="60" t="str">
        <x:f>IF(OR(N36="",L36=""),"",N36-L36)</x:f>
      </x:c>
      <x:c r="P36" s="60"/>
      <x:c r="Q36" s="60"/>
      <x:c r="R36" s="60"/>
      <x:c r="S36" s="60"/>
      <x:c r="T36" s="60"/>
      <x:c r="U36" s="60" t="str">
        <x:v>OFFEN</x:v>
      </x:c>
      <x:c r="V36" s="60" t="str">
        <x:v>OFFEN</x:v>
      </x:c>
      <x:c r="W36" s="60" t="str">
        <x:v>OFFEN</x:v>
      </x:c>
      <x:c r="X36" s="60" t="n">
        <x:v>0</x:v>
      </x:c>
      <x:c r="Y36" s="60" t="str">
        <x:f>IF(OR(U36="OFFEN",V36="OFFEN",W36="OFFEN"),"OFFEN",IF(OR(U36="FAIL",V36="FAIL",W36="FAIL",X36&gt;=4),"FAIL",IF(OR(U36="WARN",V36="WARN",W36="WARN",X36&gt;=2),"WARN","OK")))</x:f>
        <x:v>OFFEN</x:v>
      </x:c>
      <x:c r="Z36" s="29" t="str"/>
    </x:row>
    <x:row r="37">
      <x:c r="A37" s="28" t="n">
        <x:v>35</x:v>
      </x:c>
      <x:c r="B37" s="126" t="n">
        <x:f>'01_Run_Config'!$B$4+A37</x:f>
        <x:v>46277</x:v>
      </x:c>
      <x:c r="C37" s="60" t="str">
        <x:f>VLOOKUP(A37,'02_Daily_Master'!$A$2:$AS$82,5,FALSE)</x:f>
        <x:v>Early Flower (B2)</x:v>
      </x:c>
      <x:c r="D37" s="60"/>
      <x:c r="E37" s="60"/>
      <x:c r="F37" s="60"/>
      <x:c r="G37" s="60"/>
      <x:c r="H37" s="60"/>
      <x:c r="I37" s="60"/>
      <x:c r="J37" s="60"/>
      <x:c r="K37" s="60"/>
      <x:c r="L37" s="60"/>
      <x:c r="M37" s="60"/>
      <x:c r="N37" s="60"/>
      <x:c r="O37" s="60" t="str">
        <x:f>IF(OR(N37="",L37=""),"",N37-L37)</x:f>
      </x:c>
      <x:c r="P37" s="60"/>
      <x:c r="Q37" s="60"/>
      <x:c r="R37" s="60"/>
      <x:c r="S37" s="60"/>
      <x:c r="T37" s="60"/>
      <x:c r="U37" s="60" t="str">
        <x:v>OFFEN</x:v>
      </x:c>
      <x:c r="V37" s="60" t="str">
        <x:v>OFFEN</x:v>
      </x:c>
      <x:c r="W37" s="60" t="str">
        <x:v>OFFEN</x:v>
      </x:c>
      <x:c r="X37" s="60" t="n">
        <x:v>0</x:v>
      </x:c>
      <x:c r="Y37" s="60" t="str">
        <x:f>IF(OR(U37="OFFEN",V37="OFFEN",W37="OFFEN"),"OFFEN",IF(OR(U37="FAIL",V37="FAIL",W37="FAIL",X37&gt;=4),"FAIL",IF(OR(U37="WARN",V37="WARN",W37="WARN",X37&gt;=2),"WARN","OK")))</x:f>
        <x:v>OFFEN</x:v>
      </x:c>
      <x:c r="Z37" s="29" t="str"/>
    </x:row>
    <x:row r="38">
      <x:c r="A38" s="28" t="n">
        <x:v>36</x:v>
      </x:c>
      <x:c r="B38" s="126" t="n">
        <x:f>'01_Run_Config'!$B$4+A38</x:f>
        <x:v>46278</x:v>
      </x:c>
      <x:c r="C38" s="60" t="str">
        <x:f>VLOOKUP(A38,'02_Daily_Master'!$A$2:$AS$82,5,FALSE)</x:f>
        <x:v>Early Flower (B2)</x:v>
      </x:c>
      <x:c r="D38" s="60"/>
      <x:c r="E38" s="60"/>
      <x:c r="F38" s="60"/>
      <x:c r="G38" s="60"/>
      <x:c r="H38" s="60"/>
      <x:c r="I38" s="60"/>
      <x:c r="J38" s="60"/>
      <x:c r="K38" s="60"/>
      <x:c r="L38" s="60"/>
      <x:c r="M38" s="60"/>
      <x:c r="N38" s="60"/>
      <x:c r="O38" s="60" t="str">
        <x:f>IF(OR(N38="",L38=""),"",N38-L38)</x:f>
      </x:c>
      <x:c r="P38" s="60"/>
      <x:c r="Q38" s="60"/>
      <x:c r="R38" s="60"/>
      <x:c r="S38" s="60"/>
      <x:c r="T38" s="60"/>
      <x:c r="U38" s="60" t="str">
        <x:v>OFFEN</x:v>
      </x:c>
      <x:c r="V38" s="60" t="str">
        <x:v>OFFEN</x:v>
      </x:c>
      <x:c r="W38" s="60" t="str">
        <x:v>OFFEN</x:v>
      </x:c>
      <x:c r="X38" s="60" t="n">
        <x:v>0</x:v>
      </x:c>
      <x:c r="Y38" s="60" t="str">
        <x:f>IF(OR(U38="OFFEN",V38="OFFEN",W38="OFFEN"),"OFFEN",IF(OR(U38="FAIL",V38="FAIL",W38="FAIL",X38&gt;=4),"FAIL",IF(OR(U38="WARN",V38="WARN",W38="WARN",X38&gt;=2),"WARN","OK")))</x:f>
        <x:v>OFFEN</x:v>
      </x:c>
      <x:c r="Z38" s="29" t="str"/>
    </x:row>
    <x:row r="39">
      <x:c r="A39" s="28" t="n">
        <x:v>37</x:v>
      </x:c>
      <x:c r="B39" s="126" t="n">
        <x:f>'01_Run_Config'!$B$4+A39</x:f>
        <x:v>46279</x:v>
      </x:c>
      <x:c r="C39" s="60" t="str">
        <x:f>VLOOKUP(A39,'02_Daily_Master'!$A$2:$AS$82,5,FALSE)</x:f>
        <x:v>Early Flower (B2)</x:v>
      </x:c>
      <x:c r="D39" s="60"/>
      <x:c r="E39" s="60"/>
      <x:c r="F39" s="60"/>
      <x:c r="G39" s="60"/>
      <x:c r="H39" s="60"/>
      <x:c r="I39" s="60"/>
      <x:c r="J39" s="60"/>
      <x:c r="K39" s="60"/>
      <x:c r="L39" s="60"/>
      <x:c r="M39" s="60"/>
      <x:c r="N39" s="60"/>
      <x:c r="O39" s="60" t="str">
        <x:f>IF(OR(N39="",L39=""),"",N39-L39)</x:f>
      </x:c>
      <x:c r="P39" s="60"/>
      <x:c r="Q39" s="60"/>
      <x:c r="R39" s="60"/>
      <x:c r="S39" s="60"/>
      <x:c r="T39" s="60"/>
      <x:c r="U39" s="60" t="str">
        <x:v>OFFEN</x:v>
      </x:c>
      <x:c r="V39" s="60" t="str">
        <x:v>OFFEN</x:v>
      </x:c>
      <x:c r="W39" s="60" t="str">
        <x:v>OFFEN</x:v>
      </x:c>
      <x:c r="X39" s="60" t="n">
        <x:v>0</x:v>
      </x:c>
      <x:c r="Y39" s="60" t="str">
        <x:f>IF(OR(U39="OFFEN",V39="OFFEN",W39="OFFEN"),"OFFEN",IF(OR(U39="FAIL",V39="FAIL",W39="FAIL",X39&gt;=4),"FAIL",IF(OR(U39="WARN",V39="WARN",W39="WARN",X39&gt;=2),"WARN","OK")))</x:f>
        <x:v>OFFEN</x:v>
      </x:c>
      <x:c r="Z39" s="29" t="str"/>
    </x:row>
    <x:row r="40">
      <x:c r="A40" s="28" t="n">
        <x:v>38</x:v>
      </x:c>
      <x:c r="B40" s="126" t="n">
        <x:f>'01_Run_Config'!$B$4+A40</x:f>
        <x:v>46280</x:v>
      </x:c>
      <x:c r="C40" s="60" t="str">
        <x:f>VLOOKUP(A40,'02_Daily_Master'!$A$2:$AS$82,5,FALSE)</x:f>
        <x:v>Early Flower (B2)</x:v>
      </x:c>
      <x:c r="D40" s="60"/>
      <x:c r="E40" s="60"/>
      <x:c r="F40" s="60"/>
      <x:c r="G40" s="60"/>
      <x:c r="H40" s="60"/>
      <x:c r="I40" s="60"/>
      <x:c r="J40" s="60"/>
      <x:c r="K40" s="60"/>
      <x:c r="L40" s="60"/>
      <x:c r="M40" s="60"/>
      <x:c r="N40" s="60"/>
      <x:c r="O40" s="60" t="str">
        <x:f>IF(OR(N40="",L40=""),"",N40-L40)</x:f>
      </x:c>
      <x:c r="P40" s="60"/>
      <x:c r="Q40" s="60"/>
      <x:c r="R40" s="60"/>
      <x:c r="S40" s="60"/>
      <x:c r="T40" s="60"/>
      <x:c r="U40" s="60" t="str">
        <x:v>OFFEN</x:v>
      </x:c>
      <x:c r="V40" s="60" t="str">
        <x:v>OFFEN</x:v>
      </x:c>
      <x:c r="W40" s="60" t="str">
        <x:v>OFFEN</x:v>
      </x:c>
      <x:c r="X40" s="60" t="n">
        <x:v>0</x:v>
      </x:c>
      <x:c r="Y40" s="60" t="str">
        <x:f>IF(OR(U40="OFFEN",V40="OFFEN",W40="OFFEN"),"OFFEN",IF(OR(U40="FAIL",V40="FAIL",W40="FAIL",X40&gt;=4),"FAIL",IF(OR(U40="WARN",V40="WARN",W40="WARN",X40&gt;=2),"WARN","OK")))</x:f>
        <x:v>OFFEN</x:v>
      </x:c>
      <x:c r="Z40" s="29" t="str"/>
    </x:row>
    <x:row r="41">
      <x:c r="A41" s="28" t="n">
        <x:v>39</x:v>
      </x:c>
      <x:c r="B41" s="126" t="n">
        <x:f>'01_Run_Config'!$B$4+A41</x:f>
        <x:v>46281</x:v>
      </x:c>
      <x:c r="C41" s="60" t="str">
        <x:f>VLOOKUP(A41,'02_Daily_Master'!$A$2:$AS$82,5,FALSE)</x:f>
        <x:v>Early Flower (B2)</x:v>
      </x:c>
      <x:c r="D41" s="60"/>
      <x:c r="E41" s="60"/>
      <x:c r="F41" s="60"/>
      <x:c r="G41" s="60"/>
      <x:c r="H41" s="60"/>
      <x:c r="I41" s="60"/>
      <x:c r="J41" s="60"/>
      <x:c r="K41" s="60"/>
      <x:c r="L41" s="60"/>
      <x:c r="M41" s="60"/>
      <x:c r="N41" s="60"/>
      <x:c r="O41" s="60" t="str">
        <x:f>IF(OR(N41="",L41=""),"",N41-L41)</x:f>
      </x:c>
      <x:c r="P41" s="60"/>
      <x:c r="Q41" s="60"/>
      <x:c r="R41" s="60"/>
      <x:c r="S41" s="60"/>
      <x:c r="T41" s="60"/>
      <x:c r="U41" s="60" t="str">
        <x:v>OFFEN</x:v>
      </x:c>
      <x:c r="V41" s="60" t="str">
        <x:v>OFFEN</x:v>
      </x:c>
      <x:c r="W41" s="60" t="str">
        <x:v>OFFEN</x:v>
      </x:c>
      <x:c r="X41" s="60" t="n">
        <x:v>0</x:v>
      </x:c>
      <x:c r="Y41" s="60" t="str">
        <x:f>IF(OR(U41="OFFEN",V41="OFFEN",W41="OFFEN"),"OFFEN",IF(OR(U41="FAIL",V41="FAIL",W41="FAIL",X41&gt;=4),"FAIL",IF(OR(U41="WARN",V41="WARN",W41="WARN",X41&gt;=2),"WARN","OK")))</x:f>
        <x:v>OFFEN</x:v>
      </x:c>
      <x:c r="Z41" s="29" t="str"/>
    </x:row>
    <x:row r="42">
      <x:c r="A42" s="28" t="n">
        <x:v>40</x:v>
      </x:c>
      <x:c r="B42" s="126" t="n">
        <x:f>'01_Run_Config'!$B$4+A42</x:f>
        <x:v>46282</x:v>
      </x:c>
      <x:c r="C42" s="60" t="str">
        <x:f>VLOOKUP(A42,'02_Daily_Master'!$A$2:$AS$82,5,FALSE)</x:f>
        <x:v>Early Flower (B2)</x:v>
      </x:c>
      <x:c r="D42" s="60"/>
      <x:c r="E42" s="60"/>
      <x:c r="F42" s="60"/>
      <x:c r="G42" s="60"/>
      <x:c r="H42" s="60"/>
      <x:c r="I42" s="60"/>
      <x:c r="J42" s="60"/>
      <x:c r="K42" s="60"/>
      <x:c r="L42" s="60"/>
      <x:c r="M42" s="60"/>
      <x:c r="N42" s="60"/>
      <x:c r="O42" s="60" t="str">
        <x:f>IF(OR(N42="",L42=""),"",N42-L42)</x:f>
      </x:c>
      <x:c r="P42" s="60"/>
      <x:c r="Q42" s="60"/>
      <x:c r="R42" s="60"/>
      <x:c r="S42" s="60"/>
      <x:c r="T42" s="60"/>
      <x:c r="U42" s="60" t="str">
        <x:v>OFFEN</x:v>
      </x:c>
      <x:c r="V42" s="60" t="str">
        <x:v>OFFEN</x:v>
      </x:c>
      <x:c r="W42" s="60" t="str">
        <x:v>OFFEN</x:v>
      </x:c>
      <x:c r="X42" s="60" t="n">
        <x:v>0</x:v>
      </x:c>
      <x:c r="Y42" s="60" t="str">
        <x:f>IF(OR(U42="OFFEN",V42="OFFEN",W42="OFFEN"),"OFFEN",IF(OR(U42="FAIL",V42="FAIL",W42="FAIL",X42&gt;=4),"FAIL",IF(OR(U42="WARN",V42="WARN",W42="WARN",X42&gt;=2),"WARN","OK")))</x:f>
        <x:v>OFFEN</x:v>
      </x:c>
      <x:c r="Z42" s="29" t="str"/>
    </x:row>
    <x:row r="43">
      <x:c r="A43" s="28" t="n">
        <x:v>41</x:v>
      </x:c>
      <x:c r="B43" s="126" t="n">
        <x:f>'01_Run_Config'!$B$4+A43</x:f>
        <x:v>46283</x:v>
      </x:c>
      <x:c r="C43" s="60" t="str">
        <x:f>VLOOKUP(A43,'02_Daily_Master'!$A$2:$AS$82,5,FALSE)</x:f>
        <x:v>Early Flower (B2)</x:v>
      </x:c>
      <x:c r="D43" s="60"/>
      <x:c r="E43" s="60"/>
      <x:c r="F43" s="60"/>
      <x:c r="G43" s="60"/>
      <x:c r="H43" s="60"/>
      <x:c r="I43" s="60"/>
      <x:c r="J43" s="60"/>
      <x:c r="K43" s="60"/>
      <x:c r="L43" s="60"/>
      <x:c r="M43" s="60"/>
      <x:c r="N43" s="60"/>
      <x:c r="O43" s="60" t="str">
        <x:f>IF(OR(N43="",L43=""),"",N43-L43)</x:f>
      </x:c>
      <x:c r="P43" s="60"/>
      <x:c r="Q43" s="60"/>
      <x:c r="R43" s="60"/>
      <x:c r="S43" s="60"/>
      <x:c r="T43" s="60"/>
      <x:c r="U43" s="60" t="str">
        <x:v>OFFEN</x:v>
      </x:c>
      <x:c r="V43" s="60" t="str">
        <x:v>OFFEN</x:v>
      </x:c>
      <x:c r="W43" s="60" t="str">
        <x:v>OFFEN</x:v>
      </x:c>
      <x:c r="X43" s="60" t="n">
        <x:v>0</x:v>
      </x:c>
      <x:c r="Y43" s="60" t="str">
        <x:f>IF(OR(U43="OFFEN",V43="OFFEN",W43="OFFEN"),"OFFEN",IF(OR(U43="FAIL",V43="FAIL",W43="FAIL",X43&gt;=4),"FAIL",IF(OR(U43="WARN",V43="WARN",W43="WARN",X43&gt;=2),"WARN","OK")))</x:f>
        <x:v>OFFEN</x:v>
      </x:c>
      <x:c r="Z43" s="29" t="str"/>
    </x:row>
    <x:row r="44">
      <x:c r="A44" s="28" t="n">
        <x:v>42</x:v>
      </x:c>
      <x:c r="B44" s="126" t="n">
        <x:f>'01_Run_Config'!$B$4+A44</x:f>
        <x:v>46284</x:v>
      </x:c>
      <x:c r="C44" s="60" t="str">
        <x:f>VLOOKUP(A44,'02_Daily_Master'!$A$2:$AS$82,5,FALSE)</x:f>
        <x:v>Flower I (B3)</x:v>
      </x:c>
      <x:c r="D44" s="60"/>
      <x:c r="E44" s="60"/>
      <x:c r="F44" s="60"/>
      <x:c r="G44" s="60"/>
      <x:c r="H44" s="60"/>
      <x:c r="I44" s="60"/>
      <x:c r="J44" s="60"/>
      <x:c r="K44" s="60"/>
      <x:c r="L44" s="60"/>
      <x:c r="M44" s="60"/>
      <x:c r="N44" s="60"/>
      <x:c r="O44" s="60" t="str">
        <x:f>IF(OR(N44="",L44=""),"",N44-L44)</x:f>
      </x:c>
      <x:c r="P44" s="60"/>
      <x:c r="Q44" s="60"/>
      <x:c r="R44" s="60"/>
      <x:c r="S44" s="60"/>
      <x:c r="T44" s="60"/>
      <x:c r="U44" s="60" t="str">
        <x:v>OFFEN</x:v>
      </x:c>
      <x:c r="V44" s="60" t="str">
        <x:v>OFFEN</x:v>
      </x:c>
      <x:c r="W44" s="60" t="str">
        <x:v>OFFEN</x:v>
      </x:c>
      <x:c r="X44" s="60" t="n">
        <x:v>0</x:v>
      </x:c>
      <x:c r="Y44" s="60" t="str">
        <x:f>IF(OR(U44="OFFEN",V44="OFFEN",W44="OFFEN"),"OFFEN",IF(OR(U44="FAIL",V44="FAIL",W44="FAIL",X44&gt;=4),"FAIL",IF(OR(U44="WARN",V44="WARN",W44="WARN",X44&gt;=2),"WARN","OK")))</x:f>
        <x:v>OFFEN</x:v>
      </x:c>
      <x:c r="Z44" s="29" t="str"/>
    </x:row>
    <x:row r="45">
      <x:c r="A45" s="28" t="n">
        <x:v>43</x:v>
      </x:c>
      <x:c r="B45" s="126" t="n">
        <x:f>'01_Run_Config'!$B$4+A45</x:f>
        <x:v>46285</x:v>
      </x:c>
      <x:c r="C45" s="60" t="str">
        <x:f>VLOOKUP(A45,'02_Daily_Master'!$A$2:$AS$82,5,FALSE)</x:f>
        <x:v>Flower I (B3)</x:v>
      </x:c>
      <x:c r="D45" s="60"/>
      <x:c r="E45" s="60"/>
      <x:c r="F45" s="60"/>
      <x:c r="G45" s="60"/>
      <x:c r="H45" s="60"/>
      <x:c r="I45" s="60"/>
      <x:c r="J45" s="60"/>
      <x:c r="K45" s="60"/>
      <x:c r="L45" s="60"/>
      <x:c r="M45" s="60"/>
      <x:c r="N45" s="60"/>
      <x:c r="O45" s="60" t="str">
        <x:f>IF(OR(N45="",L45=""),"",N45-L45)</x:f>
      </x:c>
      <x:c r="P45" s="60"/>
      <x:c r="Q45" s="60"/>
      <x:c r="R45" s="60"/>
      <x:c r="S45" s="60"/>
      <x:c r="T45" s="60"/>
      <x:c r="U45" s="60" t="str">
        <x:v>OFFEN</x:v>
      </x:c>
      <x:c r="V45" s="60" t="str">
        <x:v>OFFEN</x:v>
      </x:c>
      <x:c r="W45" s="60" t="str">
        <x:v>OFFEN</x:v>
      </x:c>
      <x:c r="X45" s="60" t="n">
        <x:v>0</x:v>
      </x:c>
      <x:c r="Y45" s="60" t="str">
        <x:f>IF(OR(U45="OFFEN",V45="OFFEN",W45="OFFEN"),"OFFEN",IF(OR(U45="FAIL",V45="FAIL",W45="FAIL",X45&gt;=4),"FAIL",IF(OR(U45="WARN",V45="WARN",W45="WARN",X45&gt;=2),"WARN","OK")))</x:f>
        <x:v>OFFEN</x:v>
      </x:c>
      <x:c r="Z45" s="29" t="str"/>
    </x:row>
    <x:row r="46">
      <x:c r="A46" s="28" t="n">
        <x:v>44</x:v>
      </x:c>
      <x:c r="B46" s="126" t="n">
        <x:f>'01_Run_Config'!$B$4+A46</x:f>
        <x:v>46286</x:v>
      </x:c>
      <x:c r="C46" s="60" t="str">
        <x:f>VLOOKUP(A46,'02_Daily_Master'!$A$2:$AS$82,5,FALSE)</x:f>
        <x:v>Flower I (B3)</x:v>
      </x:c>
      <x:c r="D46" s="60"/>
      <x:c r="E46" s="60"/>
      <x:c r="F46" s="60"/>
      <x:c r="G46" s="60"/>
      <x:c r="H46" s="60"/>
      <x:c r="I46" s="60"/>
      <x:c r="J46" s="60"/>
      <x:c r="K46" s="60"/>
      <x:c r="L46" s="60"/>
      <x:c r="M46" s="60"/>
      <x:c r="N46" s="60"/>
      <x:c r="O46" s="60" t="str">
        <x:f>IF(OR(N46="",L46=""),"",N46-L46)</x:f>
      </x:c>
      <x:c r="P46" s="60"/>
      <x:c r="Q46" s="60"/>
      <x:c r="R46" s="60"/>
      <x:c r="S46" s="60"/>
      <x:c r="T46" s="60"/>
      <x:c r="U46" s="60" t="str">
        <x:v>OFFEN</x:v>
      </x:c>
      <x:c r="V46" s="60" t="str">
        <x:v>OFFEN</x:v>
      </x:c>
      <x:c r="W46" s="60" t="str">
        <x:v>OFFEN</x:v>
      </x:c>
      <x:c r="X46" s="60" t="n">
        <x:v>0</x:v>
      </x:c>
      <x:c r="Y46" s="60" t="str">
        <x:f>IF(OR(U46="OFFEN",V46="OFFEN",W46="OFFEN"),"OFFEN",IF(OR(U46="FAIL",V46="FAIL",W46="FAIL",X46&gt;=4),"FAIL",IF(OR(U46="WARN",V46="WARN",W46="WARN",X46&gt;=2),"WARN","OK")))</x:f>
        <x:v>OFFEN</x:v>
      </x:c>
      <x:c r="Z46" s="29" t="str"/>
    </x:row>
    <x:row r="47">
      <x:c r="A47" s="28" t="n">
        <x:v>45</x:v>
      </x:c>
      <x:c r="B47" s="126" t="n">
        <x:f>'01_Run_Config'!$B$4+A47</x:f>
        <x:v>46287</x:v>
      </x:c>
      <x:c r="C47" s="60" t="str">
        <x:f>VLOOKUP(A47,'02_Daily_Master'!$A$2:$AS$82,5,FALSE)</x:f>
        <x:v>Flower I (B3)</x:v>
      </x:c>
      <x:c r="D47" s="60"/>
      <x:c r="E47" s="60"/>
      <x:c r="F47" s="60"/>
      <x:c r="G47" s="60"/>
      <x:c r="H47" s="60"/>
      <x:c r="I47" s="60"/>
      <x:c r="J47" s="60"/>
      <x:c r="K47" s="60"/>
      <x:c r="L47" s="60"/>
      <x:c r="M47" s="60"/>
      <x:c r="N47" s="60"/>
      <x:c r="O47" s="60" t="str">
        <x:f>IF(OR(N47="",L47=""),"",N47-L47)</x:f>
      </x:c>
      <x:c r="P47" s="60"/>
      <x:c r="Q47" s="60"/>
      <x:c r="R47" s="60"/>
      <x:c r="S47" s="60"/>
      <x:c r="T47" s="60"/>
      <x:c r="U47" s="60" t="str">
        <x:v>OFFEN</x:v>
      </x:c>
      <x:c r="V47" s="60" t="str">
        <x:v>OFFEN</x:v>
      </x:c>
      <x:c r="W47" s="60" t="str">
        <x:v>OFFEN</x:v>
      </x:c>
      <x:c r="X47" s="60" t="n">
        <x:v>0</x:v>
      </x:c>
      <x:c r="Y47" s="60" t="str">
        <x:f>IF(OR(U47="OFFEN",V47="OFFEN",W47="OFFEN"),"OFFEN",IF(OR(U47="FAIL",V47="FAIL",W47="FAIL",X47&gt;=4),"FAIL",IF(OR(U47="WARN",V47="WARN",W47="WARN",X47&gt;=2),"WARN","OK")))</x:f>
        <x:v>OFFEN</x:v>
      </x:c>
      <x:c r="Z47" s="29" t="str"/>
    </x:row>
    <x:row r="48">
      <x:c r="A48" s="28" t="n">
        <x:v>46</x:v>
      </x:c>
      <x:c r="B48" s="126" t="n">
        <x:f>'01_Run_Config'!$B$4+A48</x:f>
        <x:v>46288</x:v>
      </x:c>
      <x:c r="C48" s="60" t="str">
        <x:f>VLOOKUP(A48,'02_Daily_Master'!$A$2:$AS$82,5,FALSE)</x:f>
        <x:v>Flower I (B3)</x:v>
      </x:c>
      <x:c r="D48" s="60"/>
      <x:c r="E48" s="60"/>
      <x:c r="F48" s="60"/>
      <x:c r="G48" s="60"/>
      <x:c r="H48" s="60"/>
      <x:c r="I48" s="60"/>
      <x:c r="J48" s="60"/>
      <x:c r="K48" s="60"/>
      <x:c r="L48" s="60"/>
      <x:c r="M48" s="60"/>
      <x:c r="N48" s="60"/>
      <x:c r="O48" s="60" t="str">
        <x:f>IF(OR(N48="",L48=""),"",N48-L48)</x:f>
      </x:c>
      <x:c r="P48" s="60"/>
      <x:c r="Q48" s="60"/>
      <x:c r="R48" s="60"/>
      <x:c r="S48" s="60"/>
      <x:c r="T48" s="60"/>
      <x:c r="U48" s="60" t="str">
        <x:v>OFFEN</x:v>
      </x:c>
      <x:c r="V48" s="60" t="str">
        <x:v>OFFEN</x:v>
      </x:c>
      <x:c r="W48" s="60" t="str">
        <x:v>OFFEN</x:v>
      </x:c>
      <x:c r="X48" s="60" t="n">
        <x:v>0</x:v>
      </x:c>
      <x:c r="Y48" s="60" t="str">
        <x:f>IF(OR(U48="OFFEN",V48="OFFEN",W48="OFFEN"),"OFFEN",IF(OR(U48="FAIL",V48="FAIL",W48="FAIL",X48&gt;=4),"FAIL",IF(OR(U48="WARN",V48="WARN",W48="WARN",X48&gt;=2),"WARN","OK")))</x:f>
        <x:v>OFFEN</x:v>
      </x:c>
      <x:c r="Z48" s="29" t="str"/>
    </x:row>
    <x:row r="49">
      <x:c r="A49" s="28" t="n">
        <x:v>47</x:v>
      </x:c>
      <x:c r="B49" s="126" t="n">
        <x:f>'01_Run_Config'!$B$4+A49</x:f>
        <x:v>46289</x:v>
      </x:c>
      <x:c r="C49" s="60" t="str">
        <x:f>VLOOKUP(A49,'02_Daily_Master'!$A$2:$AS$82,5,FALSE)</x:f>
        <x:v>Flower I (B3)</x:v>
      </x:c>
      <x:c r="D49" s="60"/>
      <x:c r="E49" s="60"/>
      <x:c r="F49" s="60"/>
      <x:c r="G49" s="60"/>
      <x:c r="H49" s="60"/>
      <x:c r="I49" s="60"/>
      <x:c r="J49" s="60"/>
      <x:c r="K49" s="60"/>
      <x:c r="L49" s="60"/>
      <x:c r="M49" s="60"/>
      <x:c r="N49" s="60"/>
      <x:c r="O49" s="60" t="str">
        <x:f>IF(OR(N49="",L49=""),"",N49-L49)</x:f>
      </x:c>
      <x:c r="P49" s="60"/>
      <x:c r="Q49" s="60"/>
      <x:c r="R49" s="60"/>
      <x:c r="S49" s="60"/>
      <x:c r="T49" s="60"/>
      <x:c r="U49" s="60" t="str">
        <x:v>OFFEN</x:v>
      </x:c>
      <x:c r="V49" s="60" t="str">
        <x:v>OFFEN</x:v>
      </x:c>
      <x:c r="W49" s="60" t="str">
        <x:v>OFFEN</x:v>
      </x:c>
      <x:c r="X49" s="60" t="n">
        <x:v>0</x:v>
      </x:c>
      <x:c r="Y49" s="60" t="str">
        <x:f>IF(OR(U49="OFFEN",V49="OFFEN",W49="OFFEN"),"OFFEN",IF(OR(U49="FAIL",V49="FAIL",W49="FAIL",X49&gt;=4),"FAIL",IF(OR(U49="WARN",V49="WARN",W49="WARN",X49&gt;=2),"WARN","OK")))</x:f>
        <x:v>OFFEN</x:v>
      </x:c>
      <x:c r="Z49" s="29" t="str"/>
    </x:row>
    <x:row r="50">
      <x:c r="A50" s="28" t="n">
        <x:v>48</x:v>
      </x:c>
      <x:c r="B50" s="126" t="n">
        <x:f>'01_Run_Config'!$B$4+A50</x:f>
        <x:v>46290</x:v>
      </x:c>
      <x:c r="C50" s="60" t="str">
        <x:f>VLOOKUP(A50,'02_Daily_Master'!$A$2:$AS$82,5,FALSE)</x:f>
        <x:v>Flower I (B3)</x:v>
      </x:c>
      <x:c r="D50" s="60"/>
      <x:c r="E50" s="60"/>
      <x:c r="F50" s="60"/>
      <x:c r="G50" s="60"/>
      <x:c r="H50" s="60"/>
      <x:c r="I50" s="60"/>
      <x:c r="J50" s="60"/>
      <x:c r="K50" s="60"/>
      <x:c r="L50" s="60"/>
      <x:c r="M50" s="60"/>
      <x:c r="N50" s="60"/>
      <x:c r="O50" s="60" t="str">
        <x:f>IF(OR(N50="",L50=""),"",N50-L50)</x:f>
      </x:c>
      <x:c r="P50" s="60"/>
      <x:c r="Q50" s="60"/>
      <x:c r="R50" s="60"/>
      <x:c r="S50" s="60"/>
      <x:c r="T50" s="60"/>
      <x:c r="U50" s="60" t="str">
        <x:v>OFFEN</x:v>
      </x:c>
      <x:c r="V50" s="60" t="str">
        <x:v>OFFEN</x:v>
      </x:c>
      <x:c r="W50" s="60" t="str">
        <x:v>OFFEN</x:v>
      </x:c>
      <x:c r="X50" s="60" t="n">
        <x:v>0</x:v>
      </x:c>
      <x:c r="Y50" s="60" t="str">
        <x:f>IF(OR(U50="OFFEN",V50="OFFEN",W50="OFFEN"),"OFFEN",IF(OR(U50="FAIL",V50="FAIL",W50="FAIL",X50&gt;=4),"FAIL",IF(OR(U50="WARN",V50="WARN",W50="WARN",X50&gt;=2),"WARN","OK")))</x:f>
        <x:v>OFFEN</x:v>
      </x:c>
      <x:c r="Z50" s="29" t="str"/>
    </x:row>
    <x:row r="51">
      <x:c r="A51" s="28" t="n">
        <x:v>49</x:v>
      </x:c>
      <x:c r="B51" s="126" t="n">
        <x:f>'01_Run_Config'!$B$4+A51</x:f>
        <x:v>46291</x:v>
      </x:c>
      <x:c r="C51" s="60" t="str">
        <x:f>VLOOKUP(A51,'02_Daily_Master'!$A$2:$AS$82,5,FALSE)</x:f>
        <x:v>Peak Flower (B4)</x:v>
      </x:c>
      <x:c r="D51" s="60"/>
      <x:c r="E51" s="60"/>
      <x:c r="F51" s="60"/>
      <x:c r="G51" s="60"/>
      <x:c r="H51" s="60"/>
      <x:c r="I51" s="60"/>
      <x:c r="J51" s="60"/>
      <x:c r="K51" s="60"/>
      <x:c r="L51" s="60"/>
      <x:c r="M51" s="60"/>
      <x:c r="N51" s="60"/>
      <x:c r="O51" s="60" t="str">
        <x:f>IF(OR(N51="",L51=""),"",N51-L51)</x:f>
      </x:c>
      <x:c r="P51" s="60"/>
      <x:c r="Q51" s="60"/>
      <x:c r="R51" s="60"/>
      <x:c r="S51" s="60"/>
      <x:c r="T51" s="60"/>
      <x:c r="U51" s="60" t="str">
        <x:v>OFFEN</x:v>
      </x:c>
      <x:c r="V51" s="60" t="str">
        <x:v>OFFEN</x:v>
      </x:c>
      <x:c r="W51" s="60" t="str">
        <x:v>OFFEN</x:v>
      </x:c>
      <x:c r="X51" s="60" t="n">
        <x:v>0</x:v>
      </x:c>
      <x:c r="Y51" s="60" t="str">
        <x:f>IF(OR(U51="OFFEN",V51="OFFEN",W51="OFFEN"),"OFFEN",IF(OR(U51="FAIL",V51="FAIL",W51="FAIL",X51&gt;=4),"FAIL",IF(OR(U51="WARN",V51="WARN",W51="WARN",X51&gt;=2),"WARN","OK")))</x:f>
        <x:v>OFFEN</x:v>
      </x:c>
      <x:c r="Z51" s="29" t="str"/>
    </x:row>
    <x:row r="52">
      <x:c r="A52" s="28" t="n">
        <x:v>50</x:v>
      </x:c>
      <x:c r="B52" s="126" t="n">
        <x:f>'01_Run_Config'!$B$4+A52</x:f>
        <x:v>46292</x:v>
      </x:c>
      <x:c r="C52" s="60" t="str">
        <x:f>VLOOKUP(A52,'02_Daily_Master'!$A$2:$AS$82,5,FALSE)</x:f>
        <x:v>Peak Flower (B4)</x:v>
      </x:c>
      <x:c r="D52" s="60"/>
      <x:c r="E52" s="60"/>
      <x:c r="F52" s="60"/>
      <x:c r="G52" s="60"/>
      <x:c r="H52" s="60"/>
      <x:c r="I52" s="60"/>
      <x:c r="J52" s="60"/>
      <x:c r="K52" s="60"/>
      <x:c r="L52" s="60"/>
      <x:c r="M52" s="60"/>
      <x:c r="N52" s="60"/>
      <x:c r="O52" s="60" t="str">
        <x:f>IF(OR(N52="",L52=""),"",N52-L52)</x:f>
      </x:c>
      <x:c r="P52" s="60"/>
      <x:c r="Q52" s="60"/>
      <x:c r="R52" s="60"/>
      <x:c r="S52" s="60"/>
      <x:c r="T52" s="60"/>
      <x:c r="U52" s="60" t="str">
        <x:v>OFFEN</x:v>
      </x:c>
      <x:c r="V52" s="60" t="str">
        <x:v>OFFEN</x:v>
      </x:c>
      <x:c r="W52" s="60" t="str">
        <x:v>OFFEN</x:v>
      </x:c>
      <x:c r="X52" s="60" t="n">
        <x:v>0</x:v>
      </x:c>
      <x:c r="Y52" s="60" t="str">
        <x:f>IF(OR(U52="OFFEN",V52="OFFEN",W52="OFFEN"),"OFFEN",IF(OR(U52="FAIL",V52="FAIL",W52="FAIL",X52&gt;=4),"FAIL",IF(OR(U52="WARN",V52="WARN",W52="WARN",X52&gt;=2),"WARN","OK")))</x:f>
        <x:v>OFFEN</x:v>
      </x:c>
      <x:c r="Z52" s="29" t="str"/>
    </x:row>
    <x:row r="53">
      <x:c r="A53" s="28" t="n">
        <x:v>51</x:v>
      </x:c>
      <x:c r="B53" s="126" t="n">
        <x:f>'01_Run_Config'!$B$4+A53</x:f>
        <x:v>46293</x:v>
      </x:c>
      <x:c r="C53" s="60" t="str">
        <x:f>VLOOKUP(A53,'02_Daily_Master'!$A$2:$AS$82,5,FALSE)</x:f>
        <x:v>Peak Flower (B4)</x:v>
      </x:c>
      <x:c r="D53" s="60"/>
      <x:c r="E53" s="60"/>
      <x:c r="F53" s="60"/>
      <x:c r="G53" s="60"/>
      <x:c r="H53" s="60"/>
      <x:c r="I53" s="60"/>
      <x:c r="J53" s="60"/>
      <x:c r="K53" s="60"/>
      <x:c r="L53" s="60"/>
      <x:c r="M53" s="60"/>
      <x:c r="N53" s="60"/>
      <x:c r="O53" s="60" t="str">
        <x:f>IF(OR(N53="",L53=""),"",N53-L53)</x:f>
      </x:c>
      <x:c r="P53" s="60"/>
      <x:c r="Q53" s="60"/>
      <x:c r="R53" s="60"/>
      <x:c r="S53" s="60"/>
      <x:c r="T53" s="60"/>
      <x:c r="U53" s="60" t="str">
        <x:v>OFFEN</x:v>
      </x:c>
      <x:c r="V53" s="60" t="str">
        <x:v>OFFEN</x:v>
      </x:c>
      <x:c r="W53" s="60" t="str">
        <x:v>OFFEN</x:v>
      </x:c>
      <x:c r="X53" s="60" t="n">
        <x:v>0</x:v>
      </x:c>
      <x:c r="Y53" s="60" t="str">
        <x:f>IF(OR(U53="OFFEN",V53="OFFEN",W53="OFFEN"),"OFFEN",IF(OR(U53="FAIL",V53="FAIL",W53="FAIL",X53&gt;=4),"FAIL",IF(OR(U53="WARN",V53="WARN",W53="WARN",X53&gt;=2),"WARN","OK")))</x:f>
        <x:v>OFFEN</x:v>
      </x:c>
      <x:c r="Z53" s="29" t="str"/>
    </x:row>
    <x:row r="54">
      <x:c r="A54" s="28" t="n">
        <x:v>52</x:v>
      </x:c>
      <x:c r="B54" s="126" t="n">
        <x:f>'01_Run_Config'!$B$4+A54</x:f>
        <x:v>46294</x:v>
      </x:c>
      <x:c r="C54" s="60" t="str">
        <x:f>VLOOKUP(A54,'02_Daily_Master'!$A$2:$AS$82,5,FALSE)</x:f>
        <x:v>Peak Flower (B4)</x:v>
      </x:c>
      <x:c r="D54" s="60"/>
      <x:c r="E54" s="60"/>
      <x:c r="F54" s="60"/>
      <x:c r="G54" s="60"/>
      <x:c r="H54" s="60"/>
      <x:c r="I54" s="60"/>
      <x:c r="J54" s="60"/>
      <x:c r="K54" s="60"/>
      <x:c r="L54" s="60"/>
      <x:c r="M54" s="60"/>
      <x:c r="N54" s="60"/>
      <x:c r="O54" s="60" t="str">
        <x:f>IF(OR(N54="",L54=""),"",N54-L54)</x:f>
      </x:c>
      <x:c r="P54" s="60"/>
      <x:c r="Q54" s="60"/>
      <x:c r="R54" s="60"/>
      <x:c r="S54" s="60"/>
      <x:c r="T54" s="60"/>
      <x:c r="U54" s="60" t="str">
        <x:v>OFFEN</x:v>
      </x:c>
      <x:c r="V54" s="60" t="str">
        <x:v>OFFEN</x:v>
      </x:c>
      <x:c r="W54" s="60" t="str">
        <x:v>OFFEN</x:v>
      </x:c>
      <x:c r="X54" s="60" t="n">
        <x:v>0</x:v>
      </x:c>
      <x:c r="Y54" s="60" t="str">
        <x:f>IF(OR(U54="OFFEN",V54="OFFEN",W54="OFFEN"),"OFFEN",IF(OR(U54="FAIL",V54="FAIL",W54="FAIL",X54&gt;=4),"FAIL",IF(OR(U54="WARN",V54="WARN",W54="WARN",X54&gt;=2),"WARN","OK")))</x:f>
        <x:v>OFFEN</x:v>
      </x:c>
      <x:c r="Z54" s="29" t="str"/>
    </x:row>
    <x:row r="55">
      <x:c r="A55" s="28" t="n">
        <x:v>53</x:v>
      </x:c>
      <x:c r="B55" s="126" t="n">
        <x:f>'01_Run_Config'!$B$4+A55</x:f>
        <x:v>46295</x:v>
      </x:c>
      <x:c r="C55" s="60" t="str">
        <x:f>VLOOKUP(A55,'02_Daily_Master'!$A$2:$AS$82,5,FALSE)</x:f>
        <x:v>Peak Flower (B4)</x:v>
      </x:c>
      <x:c r="D55" s="60"/>
      <x:c r="E55" s="60"/>
      <x:c r="F55" s="60"/>
      <x:c r="G55" s="60"/>
      <x:c r="H55" s="60"/>
      <x:c r="I55" s="60"/>
      <x:c r="J55" s="60"/>
      <x:c r="K55" s="60"/>
      <x:c r="L55" s="60"/>
      <x:c r="M55" s="60"/>
      <x:c r="N55" s="60"/>
      <x:c r="O55" s="60" t="str">
        <x:f>IF(OR(N55="",L55=""),"",N55-L55)</x:f>
      </x:c>
      <x:c r="P55" s="60"/>
      <x:c r="Q55" s="60"/>
      <x:c r="R55" s="60"/>
      <x:c r="S55" s="60"/>
      <x:c r="T55" s="60"/>
      <x:c r="U55" s="60" t="str">
        <x:v>OFFEN</x:v>
      </x:c>
      <x:c r="V55" s="60" t="str">
        <x:v>OFFEN</x:v>
      </x:c>
      <x:c r="W55" s="60" t="str">
        <x:v>OFFEN</x:v>
      </x:c>
      <x:c r="X55" s="60" t="n">
        <x:v>0</x:v>
      </x:c>
      <x:c r="Y55" s="60" t="str">
        <x:f>IF(OR(U55="OFFEN",V55="OFFEN",W55="OFFEN"),"OFFEN",IF(OR(U55="FAIL",V55="FAIL",W55="FAIL",X55&gt;=4),"FAIL",IF(OR(U55="WARN",V55="WARN",W55="WARN",X55&gt;=2),"WARN","OK")))</x:f>
        <x:v>OFFEN</x:v>
      </x:c>
      <x:c r="Z55" s="29" t="str"/>
    </x:row>
    <x:row r="56">
      <x:c r="A56" s="28" t="n">
        <x:v>54</x:v>
      </x:c>
      <x:c r="B56" s="126" t="n">
        <x:f>'01_Run_Config'!$B$4+A56</x:f>
        <x:v>46296</x:v>
      </x:c>
      <x:c r="C56" s="60" t="str">
        <x:f>VLOOKUP(A56,'02_Daily_Master'!$A$2:$AS$82,5,FALSE)</x:f>
        <x:v>Peak Flower (B4)</x:v>
      </x:c>
      <x:c r="D56" s="60"/>
      <x:c r="E56" s="60"/>
      <x:c r="F56" s="60"/>
      <x:c r="G56" s="60"/>
      <x:c r="H56" s="60"/>
      <x:c r="I56" s="60"/>
      <x:c r="J56" s="60"/>
      <x:c r="K56" s="60"/>
      <x:c r="L56" s="60"/>
      <x:c r="M56" s="60"/>
      <x:c r="N56" s="60"/>
      <x:c r="O56" s="60" t="str">
        <x:f>IF(OR(N56="",L56=""),"",N56-L56)</x:f>
      </x:c>
      <x:c r="P56" s="60"/>
      <x:c r="Q56" s="60"/>
      <x:c r="R56" s="60"/>
      <x:c r="S56" s="60"/>
      <x:c r="T56" s="60"/>
      <x:c r="U56" s="60" t="str">
        <x:v>OFFEN</x:v>
      </x:c>
      <x:c r="V56" s="60" t="str">
        <x:v>OFFEN</x:v>
      </x:c>
      <x:c r="W56" s="60" t="str">
        <x:v>OFFEN</x:v>
      </x:c>
      <x:c r="X56" s="60" t="n">
        <x:v>0</x:v>
      </x:c>
      <x:c r="Y56" s="60" t="str">
        <x:f>IF(OR(U56="OFFEN",V56="OFFEN",W56="OFFEN"),"OFFEN",IF(OR(U56="FAIL",V56="FAIL",W56="FAIL",X56&gt;=4),"FAIL",IF(OR(U56="WARN",V56="WARN",W56="WARN",X56&gt;=2),"WARN","OK")))</x:f>
        <x:v>OFFEN</x:v>
      </x:c>
      <x:c r="Z56" s="29" t="str"/>
    </x:row>
    <x:row r="57">
      <x:c r="A57" s="28" t="n">
        <x:v>55</x:v>
      </x:c>
      <x:c r="B57" s="126" t="n">
        <x:f>'01_Run_Config'!$B$4+A57</x:f>
        <x:v>46297</x:v>
      </x:c>
      <x:c r="C57" s="60" t="str">
        <x:f>VLOOKUP(A57,'02_Daily_Master'!$A$2:$AS$82,5,FALSE)</x:f>
        <x:v>Peak Flower (B4)</x:v>
      </x:c>
      <x:c r="D57" s="60"/>
      <x:c r="E57" s="60"/>
      <x:c r="F57" s="60"/>
      <x:c r="G57" s="60"/>
      <x:c r="H57" s="60"/>
      <x:c r="I57" s="60"/>
      <x:c r="J57" s="60"/>
      <x:c r="K57" s="60"/>
      <x:c r="L57" s="60"/>
      <x:c r="M57" s="60"/>
      <x:c r="N57" s="60"/>
      <x:c r="O57" s="60" t="str">
        <x:f>IF(OR(N57="",L57=""),"",N57-L57)</x:f>
      </x:c>
      <x:c r="P57" s="60"/>
      <x:c r="Q57" s="60"/>
      <x:c r="R57" s="60"/>
      <x:c r="S57" s="60"/>
      <x:c r="T57" s="60"/>
      <x:c r="U57" s="60" t="str">
        <x:v>OFFEN</x:v>
      </x:c>
      <x:c r="V57" s="60" t="str">
        <x:v>OFFEN</x:v>
      </x:c>
      <x:c r="W57" s="60" t="str">
        <x:v>OFFEN</x:v>
      </x:c>
      <x:c r="X57" s="60" t="n">
        <x:v>0</x:v>
      </x:c>
      <x:c r="Y57" s="60" t="str">
        <x:f>IF(OR(U57="OFFEN",V57="OFFEN",W57="OFFEN"),"OFFEN",IF(OR(U57="FAIL",V57="FAIL",W57="FAIL",X57&gt;=4),"FAIL",IF(OR(U57="WARN",V57="WARN",W57="WARN",X57&gt;=2),"WARN","OK")))</x:f>
        <x:v>OFFEN</x:v>
      </x:c>
      <x:c r="Z57" s="29" t="str"/>
    </x:row>
    <x:row r="58">
      <x:c r="A58" s="28" t="n">
        <x:v>56</x:v>
      </x:c>
      <x:c r="B58" s="126" t="n">
        <x:f>'01_Run_Config'!$B$4+A58</x:f>
        <x:v>46298</x:v>
      </x:c>
      <x:c r="C58" s="60" t="str">
        <x:f>VLOOKUP(A58,'02_Daily_Master'!$A$2:$AS$82,5,FALSE)</x:f>
        <x:v>Peak Flower (B5)</x:v>
      </x:c>
      <x:c r="D58" s="60"/>
      <x:c r="E58" s="60"/>
      <x:c r="F58" s="60"/>
      <x:c r="G58" s="60"/>
      <x:c r="H58" s="60"/>
      <x:c r="I58" s="60"/>
      <x:c r="J58" s="60"/>
      <x:c r="K58" s="60"/>
      <x:c r="L58" s="60"/>
      <x:c r="M58" s="60"/>
      <x:c r="N58" s="60"/>
      <x:c r="O58" s="60" t="str">
        <x:f>IF(OR(N58="",L58=""),"",N58-L58)</x:f>
      </x:c>
      <x:c r="P58" s="60"/>
      <x:c r="Q58" s="60"/>
      <x:c r="R58" s="60"/>
      <x:c r="S58" s="60"/>
      <x:c r="T58" s="60"/>
      <x:c r="U58" s="60" t="str">
        <x:v>OFFEN</x:v>
      </x:c>
      <x:c r="V58" s="60" t="str">
        <x:v>OFFEN</x:v>
      </x:c>
      <x:c r="W58" s="60" t="str">
        <x:v>OFFEN</x:v>
      </x:c>
      <x:c r="X58" s="60" t="n">
        <x:v>0</x:v>
      </x:c>
      <x:c r="Y58" s="60" t="str">
        <x:f>IF(OR(U58="OFFEN",V58="OFFEN",W58="OFFEN"),"OFFEN",IF(OR(U58="FAIL",V58="FAIL",W58="FAIL",X58&gt;=4),"FAIL",IF(OR(U58="WARN",V58="WARN",W58="WARN",X58&gt;=2),"WARN","OK")))</x:f>
        <x:v>OFFEN</x:v>
      </x:c>
      <x:c r="Z58" s="29" t="str"/>
    </x:row>
    <x:row r="59">
      <x:c r="A59" s="28" t="n">
        <x:v>57</x:v>
      </x:c>
      <x:c r="B59" s="126" t="n">
        <x:f>'01_Run_Config'!$B$4+A59</x:f>
        <x:v>46299</x:v>
      </x:c>
      <x:c r="C59" s="60" t="str">
        <x:f>VLOOKUP(A59,'02_Daily_Master'!$A$2:$AS$82,5,FALSE)</x:f>
        <x:v>Peak Flower (B5)</x:v>
      </x:c>
      <x:c r="D59" s="60"/>
      <x:c r="E59" s="60"/>
      <x:c r="F59" s="60"/>
      <x:c r="G59" s="60"/>
      <x:c r="H59" s="60"/>
      <x:c r="I59" s="60"/>
      <x:c r="J59" s="60"/>
      <x:c r="K59" s="60"/>
      <x:c r="L59" s="60"/>
      <x:c r="M59" s="60"/>
      <x:c r="N59" s="60"/>
      <x:c r="O59" s="60" t="str">
        <x:f>IF(OR(N59="",L59=""),"",N59-L59)</x:f>
      </x:c>
      <x:c r="P59" s="60"/>
      <x:c r="Q59" s="60"/>
      <x:c r="R59" s="60"/>
      <x:c r="S59" s="60"/>
      <x:c r="T59" s="60"/>
      <x:c r="U59" s="60" t="str">
        <x:v>OFFEN</x:v>
      </x:c>
      <x:c r="V59" s="60" t="str">
        <x:v>OFFEN</x:v>
      </x:c>
      <x:c r="W59" s="60" t="str">
        <x:v>OFFEN</x:v>
      </x:c>
      <x:c r="X59" s="60" t="n">
        <x:v>0</x:v>
      </x:c>
      <x:c r="Y59" s="60" t="str">
        <x:f>IF(OR(U59="OFFEN",V59="OFFEN",W59="OFFEN"),"OFFEN",IF(OR(U59="FAIL",V59="FAIL",W59="FAIL",X59&gt;=4),"FAIL",IF(OR(U59="WARN",V59="WARN",W59="WARN",X59&gt;=2),"WARN","OK")))</x:f>
        <x:v>OFFEN</x:v>
      </x:c>
      <x:c r="Z59" s="29" t="str"/>
    </x:row>
    <x:row r="60">
      <x:c r="A60" s="28" t="n">
        <x:v>58</x:v>
      </x:c>
      <x:c r="B60" s="126" t="n">
        <x:f>'01_Run_Config'!$B$4+A60</x:f>
        <x:v>46300</x:v>
      </x:c>
      <x:c r="C60" s="60" t="str">
        <x:f>VLOOKUP(A60,'02_Daily_Master'!$A$2:$AS$82,5,FALSE)</x:f>
        <x:v>Peak Flower (B5)</x:v>
      </x:c>
      <x:c r="D60" s="60"/>
      <x:c r="E60" s="60"/>
      <x:c r="F60" s="60"/>
      <x:c r="G60" s="60"/>
      <x:c r="H60" s="60"/>
      <x:c r="I60" s="60"/>
      <x:c r="J60" s="60"/>
      <x:c r="K60" s="60"/>
      <x:c r="L60" s="60"/>
      <x:c r="M60" s="60"/>
      <x:c r="N60" s="60"/>
      <x:c r="O60" s="60" t="str">
        <x:f>IF(OR(N60="",L60=""),"",N60-L60)</x:f>
      </x:c>
      <x:c r="P60" s="60"/>
      <x:c r="Q60" s="60"/>
      <x:c r="R60" s="60"/>
      <x:c r="S60" s="60"/>
      <x:c r="T60" s="60"/>
      <x:c r="U60" s="60" t="str">
        <x:v>OFFEN</x:v>
      </x:c>
      <x:c r="V60" s="60" t="str">
        <x:v>OFFEN</x:v>
      </x:c>
      <x:c r="W60" s="60" t="str">
        <x:v>OFFEN</x:v>
      </x:c>
      <x:c r="X60" s="60" t="n">
        <x:v>0</x:v>
      </x:c>
      <x:c r="Y60" s="60" t="str">
        <x:f>IF(OR(U60="OFFEN",V60="OFFEN",W60="OFFEN"),"OFFEN",IF(OR(U60="FAIL",V60="FAIL",W60="FAIL",X60&gt;=4),"FAIL",IF(OR(U60="WARN",V60="WARN",W60="WARN",X60&gt;=2),"WARN","OK")))</x:f>
        <x:v>OFFEN</x:v>
      </x:c>
      <x:c r="Z60" s="29" t="str"/>
    </x:row>
    <x:row r="61">
      <x:c r="A61" s="28" t="n">
        <x:v>59</x:v>
      </x:c>
      <x:c r="B61" s="126" t="n">
        <x:f>'01_Run_Config'!$B$4+A61</x:f>
        <x:v>46301</x:v>
      </x:c>
      <x:c r="C61" s="60" t="str">
        <x:f>VLOOKUP(A61,'02_Daily_Master'!$A$2:$AS$82,5,FALSE)</x:f>
        <x:v>Peak Flower (B5)</x:v>
      </x:c>
      <x:c r="D61" s="60"/>
      <x:c r="E61" s="60"/>
      <x:c r="F61" s="60"/>
      <x:c r="G61" s="60"/>
      <x:c r="H61" s="60"/>
      <x:c r="I61" s="60"/>
      <x:c r="J61" s="60"/>
      <x:c r="K61" s="60"/>
      <x:c r="L61" s="60"/>
      <x:c r="M61" s="60"/>
      <x:c r="N61" s="60"/>
      <x:c r="O61" s="60" t="str">
        <x:f>IF(OR(N61="",L61=""),"",N61-L61)</x:f>
      </x:c>
      <x:c r="P61" s="60"/>
      <x:c r="Q61" s="60"/>
      <x:c r="R61" s="60"/>
      <x:c r="S61" s="60"/>
      <x:c r="T61" s="60"/>
      <x:c r="U61" s="60" t="str">
        <x:v>OFFEN</x:v>
      </x:c>
      <x:c r="V61" s="60" t="str">
        <x:v>OFFEN</x:v>
      </x:c>
      <x:c r="W61" s="60" t="str">
        <x:v>OFFEN</x:v>
      </x:c>
      <x:c r="X61" s="60" t="n">
        <x:v>0</x:v>
      </x:c>
      <x:c r="Y61" s="60" t="str">
        <x:f>IF(OR(U61="OFFEN",V61="OFFEN",W61="OFFEN"),"OFFEN",IF(OR(U61="FAIL",V61="FAIL",W61="FAIL",X61&gt;=4),"FAIL",IF(OR(U61="WARN",V61="WARN",W61="WARN",X61&gt;=2),"WARN","OK")))</x:f>
        <x:v>OFFEN</x:v>
      </x:c>
      <x:c r="Z61" s="29" t="str"/>
    </x:row>
    <x:row r="62">
      <x:c r="A62" s="28" t="n">
        <x:v>60</x:v>
      </x:c>
      <x:c r="B62" s="126" t="n">
        <x:f>'01_Run_Config'!$B$4+A62</x:f>
        <x:v>46302</x:v>
      </x:c>
      <x:c r="C62" s="60" t="str">
        <x:f>VLOOKUP(A62,'02_Daily_Master'!$A$2:$AS$82,5,FALSE)</x:f>
        <x:v>Peak Flower (B5)</x:v>
      </x:c>
      <x:c r="D62" s="60"/>
      <x:c r="E62" s="60"/>
      <x:c r="F62" s="60"/>
      <x:c r="G62" s="60"/>
      <x:c r="H62" s="60"/>
      <x:c r="I62" s="60"/>
      <x:c r="J62" s="60"/>
      <x:c r="K62" s="60"/>
      <x:c r="L62" s="60"/>
      <x:c r="M62" s="60"/>
      <x:c r="N62" s="60"/>
      <x:c r="O62" s="60" t="str">
        <x:f>IF(OR(N62="",L62=""),"",N62-L62)</x:f>
      </x:c>
      <x:c r="P62" s="60"/>
      <x:c r="Q62" s="60"/>
      <x:c r="R62" s="60"/>
      <x:c r="S62" s="60"/>
      <x:c r="T62" s="60"/>
      <x:c r="U62" s="60" t="str">
        <x:v>OFFEN</x:v>
      </x:c>
      <x:c r="V62" s="60" t="str">
        <x:v>OFFEN</x:v>
      </x:c>
      <x:c r="W62" s="60" t="str">
        <x:v>OFFEN</x:v>
      </x:c>
      <x:c r="X62" s="60" t="n">
        <x:v>0</x:v>
      </x:c>
      <x:c r="Y62" s="60" t="str">
        <x:f>IF(OR(U62="OFFEN",V62="OFFEN",W62="OFFEN"),"OFFEN",IF(OR(U62="FAIL",V62="FAIL",W62="FAIL",X62&gt;=4),"FAIL",IF(OR(U62="WARN",V62="WARN",W62="WARN",X62&gt;=2),"WARN","OK")))</x:f>
        <x:v>OFFEN</x:v>
      </x:c>
      <x:c r="Z62" s="29" t="str"/>
    </x:row>
    <x:row r="63">
      <x:c r="A63" s="28" t="n">
        <x:v>61</x:v>
      </x:c>
      <x:c r="B63" s="126" t="n">
        <x:f>'01_Run_Config'!$B$4+A63</x:f>
        <x:v>46303</x:v>
      </x:c>
      <x:c r="C63" s="60" t="str">
        <x:f>VLOOKUP(A63,'02_Daily_Master'!$A$2:$AS$82,5,FALSE)</x:f>
        <x:v>Peak Flower (B5)</x:v>
      </x:c>
      <x:c r="D63" s="60"/>
      <x:c r="E63" s="60"/>
      <x:c r="F63" s="60"/>
      <x:c r="G63" s="60"/>
      <x:c r="H63" s="60"/>
      <x:c r="I63" s="60"/>
      <x:c r="J63" s="60"/>
      <x:c r="K63" s="60"/>
      <x:c r="L63" s="60"/>
      <x:c r="M63" s="60"/>
      <x:c r="N63" s="60"/>
      <x:c r="O63" s="60" t="str">
        <x:f>IF(OR(N63="",L63=""),"",N63-L63)</x:f>
      </x:c>
      <x:c r="P63" s="60"/>
      <x:c r="Q63" s="60"/>
      <x:c r="R63" s="60"/>
      <x:c r="S63" s="60"/>
      <x:c r="T63" s="60"/>
      <x:c r="U63" s="60" t="str">
        <x:v>OFFEN</x:v>
      </x:c>
      <x:c r="V63" s="60" t="str">
        <x:v>OFFEN</x:v>
      </x:c>
      <x:c r="W63" s="60" t="str">
        <x:v>OFFEN</x:v>
      </x:c>
      <x:c r="X63" s="60" t="n">
        <x:v>0</x:v>
      </x:c>
      <x:c r="Y63" s="60" t="str">
        <x:f>IF(OR(U63="OFFEN",V63="OFFEN",W63="OFFEN"),"OFFEN",IF(OR(U63="FAIL",V63="FAIL",W63="FAIL",X63&gt;=4),"FAIL",IF(OR(U63="WARN",V63="WARN",W63="WARN",X63&gt;=2),"WARN","OK")))</x:f>
        <x:v>OFFEN</x:v>
      </x:c>
      <x:c r="Z63" s="29" t="str"/>
    </x:row>
    <x:row r="64">
      <x:c r="A64" s="28" t="n">
        <x:v>62</x:v>
      </x:c>
      <x:c r="B64" s="126" t="n">
        <x:f>'01_Run_Config'!$B$4+A64</x:f>
        <x:v>46304</x:v>
      </x:c>
      <x:c r="C64" s="60" t="str">
        <x:f>VLOOKUP(A64,'02_Daily_Master'!$A$2:$AS$82,5,FALSE)</x:f>
        <x:v>Peak Flower (B5)</x:v>
      </x:c>
      <x:c r="D64" s="60"/>
      <x:c r="E64" s="60"/>
      <x:c r="F64" s="60"/>
      <x:c r="G64" s="60"/>
      <x:c r="H64" s="60"/>
      <x:c r="I64" s="60"/>
      <x:c r="J64" s="60"/>
      <x:c r="K64" s="60"/>
      <x:c r="L64" s="60"/>
      <x:c r="M64" s="60"/>
      <x:c r="N64" s="60"/>
      <x:c r="O64" s="60" t="str">
        <x:f>IF(OR(N64="",L64=""),"",N64-L64)</x:f>
      </x:c>
      <x:c r="P64" s="60"/>
      <x:c r="Q64" s="60"/>
      <x:c r="R64" s="60"/>
      <x:c r="S64" s="60"/>
      <x:c r="T64" s="60"/>
      <x:c r="U64" s="60" t="str">
        <x:v>OFFEN</x:v>
      </x:c>
      <x:c r="V64" s="60" t="str">
        <x:v>OFFEN</x:v>
      </x:c>
      <x:c r="W64" s="60" t="str">
        <x:v>OFFEN</x:v>
      </x:c>
      <x:c r="X64" s="60" t="n">
        <x:v>0</x:v>
      </x:c>
      <x:c r="Y64" s="60" t="str">
        <x:f>IF(OR(U64="OFFEN",V64="OFFEN",W64="OFFEN"),"OFFEN",IF(OR(U64="FAIL",V64="FAIL",W64="FAIL",X64&gt;=4),"FAIL",IF(OR(U64="WARN",V64="WARN",W64="WARN",X64&gt;=2),"WARN","OK")))</x:f>
        <x:v>OFFEN</x:v>
      </x:c>
      <x:c r="Z64" s="29" t="str"/>
    </x:row>
    <x:row r="65">
      <x:c r="A65" s="28" t="n">
        <x:v>63</x:v>
      </x:c>
      <x:c r="B65" s="126" t="n">
        <x:f>'01_Run_Config'!$B$4+A65</x:f>
        <x:v>46305</x:v>
      </x:c>
      <x:c r="C65" s="60" t="str">
        <x:f>VLOOKUP(A65,'02_Daily_Master'!$A$2:$AS$82,5,FALSE)</x:f>
        <x:v>Late Flower (B6)</x:v>
      </x:c>
      <x:c r="D65" s="60"/>
      <x:c r="E65" s="60"/>
      <x:c r="F65" s="60"/>
      <x:c r="G65" s="60"/>
      <x:c r="H65" s="60"/>
      <x:c r="I65" s="60"/>
      <x:c r="J65" s="60"/>
      <x:c r="K65" s="60"/>
      <x:c r="L65" s="60"/>
      <x:c r="M65" s="60"/>
      <x:c r="N65" s="60"/>
      <x:c r="O65" s="60" t="str">
        <x:f>IF(OR(N65="",L65=""),"",N65-L65)</x:f>
      </x:c>
      <x:c r="P65" s="60"/>
      <x:c r="Q65" s="60"/>
      <x:c r="R65" s="60"/>
      <x:c r="S65" s="60"/>
      <x:c r="T65" s="60"/>
      <x:c r="U65" s="60" t="str">
        <x:v>OFFEN</x:v>
      </x:c>
      <x:c r="V65" s="60" t="str">
        <x:v>OFFEN</x:v>
      </x:c>
      <x:c r="W65" s="60" t="str">
        <x:v>OFFEN</x:v>
      </x:c>
      <x:c r="X65" s="60" t="n">
        <x:v>0</x:v>
      </x:c>
      <x:c r="Y65" s="60" t="str">
        <x:f>IF(OR(U65="OFFEN",V65="OFFEN",W65="OFFEN"),"OFFEN",IF(OR(U65="FAIL",V65="FAIL",W65="FAIL",X65&gt;=4),"FAIL",IF(OR(U65="WARN",V65="WARN",W65="WARN",X65&gt;=2),"WARN","OK")))</x:f>
        <x:v>OFFEN</x:v>
      </x:c>
      <x:c r="Z65" s="29" t="str"/>
    </x:row>
    <x:row r="66">
      <x:c r="A66" s="28" t="n">
        <x:v>64</x:v>
      </x:c>
      <x:c r="B66" s="126" t="n">
        <x:f>'01_Run_Config'!$B$4+A66</x:f>
        <x:v>46306</x:v>
      </x:c>
      <x:c r="C66" s="60" t="str">
        <x:f>VLOOKUP(A66,'02_Daily_Master'!$A$2:$AS$82,5,FALSE)</x:f>
        <x:v>Late Flower (B6)</x:v>
      </x:c>
      <x:c r="D66" s="60"/>
      <x:c r="E66" s="60"/>
      <x:c r="F66" s="60"/>
      <x:c r="G66" s="60"/>
      <x:c r="H66" s="60"/>
      <x:c r="I66" s="60"/>
      <x:c r="J66" s="60"/>
      <x:c r="K66" s="60"/>
      <x:c r="L66" s="60"/>
      <x:c r="M66" s="60"/>
      <x:c r="N66" s="60"/>
      <x:c r="O66" s="60" t="str">
        <x:f>IF(OR(N66="",L66=""),"",N66-L66)</x:f>
      </x:c>
      <x:c r="P66" s="60"/>
      <x:c r="Q66" s="60"/>
      <x:c r="R66" s="60"/>
      <x:c r="S66" s="60"/>
      <x:c r="T66" s="60"/>
      <x:c r="U66" s="60" t="str">
        <x:v>OFFEN</x:v>
      </x:c>
      <x:c r="V66" s="60" t="str">
        <x:v>OFFEN</x:v>
      </x:c>
      <x:c r="W66" s="60" t="str">
        <x:v>OFFEN</x:v>
      </x:c>
      <x:c r="X66" s="60" t="n">
        <x:v>0</x:v>
      </x:c>
      <x:c r="Y66" s="60" t="str">
        <x:f>IF(OR(U66="OFFEN",V66="OFFEN",W66="OFFEN"),"OFFEN",IF(OR(U66="FAIL",V66="FAIL",W66="FAIL",X66&gt;=4),"FAIL",IF(OR(U66="WARN",V66="WARN",W66="WARN",X66&gt;=2),"WARN","OK")))</x:f>
        <x:v>OFFEN</x:v>
      </x:c>
      <x:c r="Z66" s="29" t="str"/>
    </x:row>
    <x:row r="67">
      <x:c r="A67" s="28" t="n">
        <x:v>65</x:v>
      </x:c>
      <x:c r="B67" s="126" t="n">
        <x:f>'01_Run_Config'!$B$4+A67</x:f>
        <x:v>46307</x:v>
      </x:c>
      <x:c r="C67" s="60" t="str">
        <x:f>VLOOKUP(A67,'02_Daily_Master'!$A$2:$AS$82,5,FALSE)</x:f>
        <x:v>Late Flower (B6)</x:v>
      </x:c>
      <x:c r="D67" s="60"/>
      <x:c r="E67" s="60"/>
      <x:c r="F67" s="60"/>
      <x:c r="G67" s="60"/>
      <x:c r="H67" s="60"/>
      <x:c r="I67" s="60"/>
      <x:c r="J67" s="60"/>
      <x:c r="K67" s="60"/>
      <x:c r="L67" s="60"/>
      <x:c r="M67" s="60"/>
      <x:c r="N67" s="60"/>
      <x:c r="O67" s="60" t="str">
        <x:f>IF(OR(N67="",L67=""),"",N67-L67)</x:f>
      </x:c>
      <x:c r="P67" s="60"/>
      <x:c r="Q67" s="60"/>
      <x:c r="R67" s="60"/>
      <x:c r="S67" s="60"/>
      <x:c r="T67" s="60"/>
      <x:c r="U67" s="60" t="str">
        <x:v>OFFEN</x:v>
      </x:c>
      <x:c r="V67" s="60" t="str">
        <x:v>OFFEN</x:v>
      </x:c>
      <x:c r="W67" s="60" t="str">
        <x:v>OFFEN</x:v>
      </x:c>
      <x:c r="X67" s="60" t="n">
        <x:v>0</x:v>
      </x:c>
      <x:c r="Y67" s="60" t="str">
        <x:f>IF(OR(U67="OFFEN",V67="OFFEN",W67="OFFEN"),"OFFEN",IF(OR(U67="FAIL",V67="FAIL",W67="FAIL",X67&gt;=4),"FAIL",IF(OR(U67="WARN",V67="WARN",W67="WARN",X67&gt;=2),"WARN","OK")))</x:f>
        <x:v>OFFEN</x:v>
      </x:c>
      <x:c r="Z67" s="29" t="str"/>
    </x:row>
    <x:row r="68">
      <x:c r="A68" s="28" t="n">
        <x:v>66</x:v>
      </x:c>
      <x:c r="B68" s="126" t="n">
        <x:f>'01_Run_Config'!$B$4+A68</x:f>
        <x:v>46308</x:v>
      </x:c>
      <x:c r="C68" s="60" t="str">
        <x:f>VLOOKUP(A68,'02_Daily_Master'!$A$2:$AS$82,5,FALSE)</x:f>
        <x:v>Late Flower (B6)</x:v>
      </x:c>
      <x:c r="D68" s="60"/>
      <x:c r="E68" s="60"/>
      <x:c r="F68" s="60"/>
      <x:c r="G68" s="60"/>
      <x:c r="H68" s="60"/>
      <x:c r="I68" s="60"/>
      <x:c r="J68" s="60"/>
      <x:c r="K68" s="60"/>
      <x:c r="L68" s="60"/>
      <x:c r="M68" s="60"/>
      <x:c r="N68" s="60"/>
      <x:c r="O68" s="60" t="str">
        <x:f>IF(OR(N68="",L68=""),"",N68-L68)</x:f>
      </x:c>
      <x:c r="P68" s="60"/>
      <x:c r="Q68" s="60"/>
      <x:c r="R68" s="60"/>
      <x:c r="S68" s="60"/>
      <x:c r="T68" s="60"/>
      <x:c r="U68" s="60" t="str">
        <x:v>OFFEN</x:v>
      </x:c>
      <x:c r="V68" s="60" t="str">
        <x:v>OFFEN</x:v>
      </x:c>
      <x:c r="W68" s="60" t="str">
        <x:v>OFFEN</x:v>
      </x:c>
      <x:c r="X68" s="60" t="n">
        <x:v>0</x:v>
      </x:c>
      <x:c r="Y68" s="60" t="str">
        <x:f>IF(OR(U68="OFFEN",V68="OFFEN",W68="OFFEN"),"OFFEN",IF(OR(U68="FAIL",V68="FAIL",W68="FAIL",X68&gt;=4),"FAIL",IF(OR(U68="WARN",V68="WARN",W68="WARN",X68&gt;=2),"WARN","OK")))</x:f>
        <x:v>OFFEN</x:v>
      </x:c>
      <x:c r="Z68" s="29" t="str"/>
    </x:row>
    <x:row r="69">
      <x:c r="A69" s="28" t="n">
        <x:v>67</x:v>
      </x:c>
      <x:c r="B69" s="126" t="n">
        <x:f>'01_Run_Config'!$B$4+A69</x:f>
        <x:v>46309</x:v>
      </x:c>
      <x:c r="C69" s="60" t="str">
        <x:f>VLOOKUP(A69,'02_Daily_Master'!$A$2:$AS$82,5,FALSE)</x:f>
        <x:v>Late Flower (B6)</x:v>
      </x:c>
      <x:c r="D69" s="60"/>
      <x:c r="E69" s="60"/>
      <x:c r="F69" s="60"/>
      <x:c r="G69" s="60"/>
      <x:c r="H69" s="60"/>
      <x:c r="I69" s="60"/>
      <x:c r="J69" s="60"/>
      <x:c r="K69" s="60"/>
      <x:c r="L69" s="60"/>
      <x:c r="M69" s="60"/>
      <x:c r="N69" s="60"/>
      <x:c r="O69" s="60" t="str">
        <x:f>IF(OR(N69="",L69=""),"",N69-L69)</x:f>
      </x:c>
      <x:c r="P69" s="60"/>
      <x:c r="Q69" s="60"/>
      <x:c r="R69" s="60"/>
      <x:c r="S69" s="60"/>
      <x:c r="T69" s="60"/>
      <x:c r="U69" s="60" t="str">
        <x:v>OFFEN</x:v>
      </x:c>
      <x:c r="V69" s="60" t="str">
        <x:v>OFFEN</x:v>
      </x:c>
      <x:c r="W69" s="60" t="str">
        <x:v>OFFEN</x:v>
      </x:c>
      <x:c r="X69" s="60" t="n">
        <x:v>0</x:v>
      </x:c>
      <x:c r="Y69" s="60" t="str">
        <x:f>IF(OR(U69="OFFEN",V69="OFFEN",W69="OFFEN"),"OFFEN",IF(OR(U69="FAIL",V69="FAIL",W69="FAIL",X69&gt;=4),"FAIL",IF(OR(U69="WARN",V69="WARN",W69="WARN",X69&gt;=2),"WARN","OK")))</x:f>
        <x:v>OFFEN</x:v>
      </x:c>
      <x:c r="Z69" s="29" t="str"/>
    </x:row>
    <x:row r="70">
      <x:c r="A70" s="28" t="n">
        <x:v>68</x:v>
      </x:c>
      <x:c r="B70" s="126" t="n">
        <x:f>'01_Run_Config'!$B$4+A70</x:f>
        <x:v>46310</x:v>
      </x:c>
      <x:c r="C70" s="60" t="str">
        <x:f>VLOOKUP(A70,'02_Daily_Master'!$A$2:$AS$82,5,FALSE)</x:f>
        <x:v>Late Flower (B6)</x:v>
      </x:c>
      <x:c r="D70" s="60"/>
      <x:c r="E70" s="60"/>
      <x:c r="F70" s="60"/>
      <x:c r="G70" s="60"/>
      <x:c r="H70" s="60"/>
      <x:c r="I70" s="60"/>
      <x:c r="J70" s="60"/>
      <x:c r="K70" s="60"/>
      <x:c r="L70" s="60"/>
      <x:c r="M70" s="60"/>
      <x:c r="N70" s="60"/>
      <x:c r="O70" s="60" t="str">
        <x:f>IF(OR(N70="",L70=""),"",N70-L70)</x:f>
      </x:c>
      <x:c r="P70" s="60"/>
      <x:c r="Q70" s="60"/>
      <x:c r="R70" s="60"/>
      <x:c r="S70" s="60"/>
      <x:c r="T70" s="60"/>
      <x:c r="U70" s="60" t="str">
        <x:v>OFFEN</x:v>
      </x:c>
      <x:c r="V70" s="60" t="str">
        <x:v>OFFEN</x:v>
      </x:c>
      <x:c r="W70" s="60" t="str">
        <x:v>OFFEN</x:v>
      </x:c>
      <x:c r="X70" s="60" t="n">
        <x:v>0</x:v>
      </x:c>
      <x:c r="Y70" s="60" t="str">
        <x:f>IF(OR(U70="OFFEN",V70="OFFEN",W70="OFFEN"),"OFFEN",IF(OR(U70="FAIL",V70="FAIL",W70="FAIL",X70&gt;=4),"FAIL",IF(OR(U70="WARN",V70="WARN",W70="WARN",X70&gt;=2),"WARN","OK")))</x:f>
        <x:v>OFFEN</x:v>
      </x:c>
      <x:c r="Z70" s="29" t="str"/>
    </x:row>
    <x:row r="71">
      <x:c r="A71" s="28" t="n">
        <x:v>69</x:v>
      </x:c>
      <x:c r="B71" s="126" t="n">
        <x:f>'01_Run_Config'!$B$4+A71</x:f>
        <x:v>46311</x:v>
      </x:c>
      <x:c r="C71" s="60" t="str">
        <x:f>VLOOKUP(A71,'02_Daily_Master'!$A$2:$AS$82,5,FALSE)</x:f>
        <x:v>Late Flower (B6)</x:v>
      </x:c>
      <x:c r="D71" s="60"/>
      <x:c r="E71" s="60"/>
      <x:c r="F71" s="60"/>
      <x:c r="G71" s="60"/>
      <x:c r="H71" s="60"/>
      <x:c r="I71" s="60"/>
      <x:c r="J71" s="60"/>
      <x:c r="K71" s="60"/>
      <x:c r="L71" s="60"/>
      <x:c r="M71" s="60"/>
      <x:c r="N71" s="60"/>
      <x:c r="O71" s="60" t="str">
        <x:f>IF(OR(N71="",L71=""),"",N71-L71)</x:f>
      </x:c>
      <x:c r="P71" s="60"/>
      <x:c r="Q71" s="60"/>
      <x:c r="R71" s="60"/>
      <x:c r="S71" s="60"/>
      <x:c r="T71" s="60"/>
      <x:c r="U71" s="60" t="str">
        <x:v>OFFEN</x:v>
      </x:c>
      <x:c r="V71" s="60" t="str">
        <x:v>OFFEN</x:v>
      </x:c>
      <x:c r="W71" s="60" t="str">
        <x:v>OFFEN</x:v>
      </x:c>
      <x:c r="X71" s="60" t="n">
        <x:v>0</x:v>
      </x:c>
      <x:c r="Y71" s="60" t="str">
        <x:f>IF(OR(U71="OFFEN",V71="OFFEN",W71="OFFEN"),"OFFEN",IF(OR(U71="FAIL",V71="FAIL",W71="FAIL",X71&gt;=4),"FAIL",IF(OR(U71="WARN",V71="WARN",W71="WARN",X71&gt;=2),"WARN","OK")))</x:f>
        <x:v>OFFEN</x:v>
      </x:c>
      <x:c r="Z71" s="29" t="str"/>
    </x:row>
    <x:row r="72">
      <x:c r="A72" s="28" t="n">
        <x:v>70</x:v>
      </x:c>
      <x:c r="B72" s="126" t="n">
        <x:f>'01_Run_Config'!$B$4+A72</x:f>
        <x:v>46312</x:v>
      </x:c>
      <x:c r="C72" s="60" t="str">
        <x:f>VLOOKUP(A72,'02_Daily_Master'!$A$2:$AS$82,5,FALSE)</x:f>
        <x:v>Ripening (B7)</x:v>
      </x:c>
      <x:c r="D72" s="60"/>
      <x:c r="E72" s="60"/>
      <x:c r="F72" s="60"/>
      <x:c r="G72" s="60"/>
      <x:c r="H72" s="60"/>
      <x:c r="I72" s="60"/>
      <x:c r="J72" s="60"/>
      <x:c r="K72" s="60"/>
      <x:c r="L72" s="60"/>
      <x:c r="M72" s="60"/>
      <x:c r="N72" s="60"/>
      <x:c r="O72" s="60" t="str">
        <x:f>IF(OR(N72="",L72=""),"",N72-L72)</x:f>
      </x:c>
      <x:c r="P72" s="60"/>
      <x:c r="Q72" s="60"/>
      <x:c r="R72" s="60"/>
      <x:c r="S72" s="60"/>
      <x:c r="T72" s="60"/>
      <x:c r="U72" s="60" t="str">
        <x:v>OFFEN</x:v>
      </x:c>
      <x:c r="V72" s="60" t="str">
        <x:v>OFFEN</x:v>
      </x:c>
      <x:c r="W72" s="60" t="str">
        <x:v>OFFEN</x:v>
      </x:c>
      <x:c r="X72" s="60" t="n">
        <x:v>0</x:v>
      </x:c>
      <x:c r="Y72" s="60" t="str">
        <x:f>IF(OR(U72="OFFEN",V72="OFFEN",W72="OFFEN"),"OFFEN",IF(OR(U72="FAIL",V72="FAIL",W72="FAIL",X72&gt;=4),"FAIL",IF(OR(U72="WARN",V72="WARN",W72="WARN",X72&gt;=2),"WARN","OK")))</x:f>
        <x:v>OFFEN</x:v>
      </x:c>
      <x:c r="Z72" s="29" t="str"/>
    </x:row>
    <x:row r="73">
      <x:c r="A73" s="28" t="n">
        <x:v>71</x:v>
      </x:c>
      <x:c r="B73" s="126" t="n">
        <x:f>'01_Run_Config'!$B$4+A73</x:f>
        <x:v>46313</x:v>
      </x:c>
      <x:c r="C73" s="60" t="str">
        <x:f>VLOOKUP(A73,'02_Daily_Master'!$A$2:$AS$82,5,FALSE)</x:f>
        <x:v>Ripening (B7)</x:v>
      </x:c>
      <x:c r="D73" s="60"/>
      <x:c r="E73" s="60"/>
      <x:c r="F73" s="60"/>
      <x:c r="G73" s="60"/>
      <x:c r="H73" s="60"/>
      <x:c r="I73" s="60"/>
      <x:c r="J73" s="60"/>
      <x:c r="K73" s="60"/>
      <x:c r="L73" s="60"/>
      <x:c r="M73" s="60"/>
      <x:c r="N73" s="60"/>
      <x:c r="O73" s="60" t="str">
        <x:f>IF(OR(N73="",L73=""),"",N73-L73)</x:f>
      </x:c>
      <x:c r="P73" s="60"/>
      <x:c r="Q73" s="60"/>
      <x:c r="R73" s="60"/>
      <x:c r="S73" s="60"/>
      <x:c r="T73" s="60"/>
      <x:c r="U73" s="60" t="str">
        <x:v>OFFEN</x:v>
      </x:c>
      <x:c r="V73" s="60" t="str">
        <x:v>OFFEN</x:v>
      </x:c>
      <x:c r="W73" s="60" t="str">
        <x:v>OFFEN</x:v>
      </x:c>
      <x:c r="X73" s="60" t="n">
        <x:v>0</x:v>
      </x:c>
      <x:c r="Y73" s="60" t="str">
        <x:f>IF(OR(U73="OFFEN",V73="OFFEN",W73="OFFEN"),"OFFEN",IF(OR(U73="FAIL",V73="FAIL",W73="FAIL",X73&gt;=4),"FAIL",IF(OR(U73="WARN",V73="WARN",W73="WARN",X73&gt;=2),"WARN","OK")))</x:f>
        <x:v>OFFEN</x:v>
      </x:c>
      <x:c r="Z73" s="29" t="str"/>
    </x:row>
    <x:row r="74">
      <x:c r="A74" s="28" t="n">
        <x:v>72</x:v>
      </x:c>
      <x:c r="B74" s="126" t="n">
        <x:f>'01_Run_Config'!$B$4+A74</x:f>
        <x:v>46314</x:v>
      </x:c>
      <x:c r="C74" s="60" t="str">
        <x:f>VLOOKUP(A74,'02_Daily_Master'!$A$2:$AS$82,5,FALSE)</x:f>
        <x:v>Ripening (B7)</x:v>
      </x:c>
      <x:c r="D74" s="60"/>
      <x:c r="E74" s="60"/>
      <x:c r="F74" s="60"/>
      <x:c r="G74" s="60"/>
      <x:c r="H74" s="60"/>
      <x:c r="I74" s="60"/>
      <x:c r="J74" s="60"/>
      <x:c r="K74" s="60"/>
      <x:c r="L74" s="60"/>
      <x:c r="M74" s="60"/>
      <x:c r="N74" s="60"/>
      <x:c r="O74" s="60" t="str">
        <x:f>IF(OR(N74="",L74=""),"",N74-L74)</x:f>
      </x:c>
      <x:c r="P74" s="60"/>
      <x:c r="Q74" s="60"/>
      <x:c r="R74" s="60"/>
      <x:c r="S74" s="60"/>
      <x:c r="T74" s="60"/>
      <x:c r="U74" s="60" t="str">
        <x:v>OFFEN</x:v>
      </x:c>
      <x:c r="V74" s="60" t="str">
        <x:v>OFFEN</x:v>
      </x:c>
      <x:c r="W74" s="60" t="str">
        <x:v>OFFEN</x:v>
      </x:c>
      <x:c r="X74" s="60" t="n">
        <x:v>0</x:v>
      </x:c>
      <x:c r="Y74" s="60" t="str">
        <x:f>IF(OR(U74="OFFEN",V74="OFFEN",W74="OFFEN"),"OFFEN",IF(OR(U74="FAIL",V74="FAIL",W74="FAIL",X74&gt;=4),"FAIL",IF(OR(U74="WARN",V74="WARN",W74="WARN",X74&gt;=2),"WARN","OK")))</x:f>
        <x:v>OFFEN</x:v>
      </x:c>
      <x:c r="Z74" s="29" t="str"/>
    </x:row>
    <x:row r="75">
      <x:c r="A75" s="28" t="n">
        <x:v>73</x:v>
      </x:c>
      <x:c r="B75" s="126" t="n">
        <x:f>'01_Run_Config'!$B$4+A75</x:f>
        <x:v>46315</x:v>
      </x:c>
      <x:c r="C75" s="60" t="str">
        <x:f>VLOOKUP(A75,'02_Daily_Master'!$A$2:$AS$82,5,FALSE)</x:f>
        <x:v>Ripening (B7)</x:v>
      </x:c>
      <x:c r="D75" s="60"/>
      <x:c r="E75" s="60"/>
      <x:c r="F75" s="60"/>
      <x:c r="G75" s="60"/>
      <x:c r="H75" s="60"/>
      <x:c r="I75" s="60"/>
      <x:c r="J75" s="60"/>
      <x:c r="K75" s="60"/>
      <x:c r="L75" s="60"/>
      <x:c r="M75" s="60"/>
      <x:c r="N75" s="60"/>
      <x:c r="O75" s="60" t="str">
        <x:f>IF(OR(N75="",L75=""),"",N75-L75)</x:f>
      </x:c>
      <x:c r="P75" s="60"/>
      <x:c r="Q75" s="60"/>
      <x:c r="R75" s="60"/>
      <x:c r="S75" s="60"/>
      <x:c r="T75" s="60"/>
      <x:c r="U75" s="60" t="str">
        <x:v>OFFEN</x:v>
      </x:c>
      <x:c r="V75" s="60" t="str">
        <x:v>OFFEN</x:v>
      </x:c>
      <x:c r="W75" s="60" t="str">
        <x:v>OFFEN</x:v>
      </x:c>
      <x:c r="X75" s="60" t="n">
        <x:v>0</x:v>
      </x:c>
      <x:c r="Y75" s="60" t="str">
        <x:f>IF(OR(U75="OFFEN",V75="OFFEN",W75="OFFEN"),"OFFEN",IF(OR(U75="FAIL",V75="FAIL",W75="FAIL",X75&gt;=4),"FAIL",IF(OR(U75="WARN",V75="WARN",W75="WARN",X75&gt;=2),"WARN","OK")))</x:f>
        <x:v>OFFEN</x:v>
      </x:c>
      <x:c r="Z75" s="29" t="str"/>
    </x:row>
    <x:row r="76">
      <x:c r="A76" s="28" t="n">
        <x:v>74</x:v>
      </x:c>
      <x:c r="B76" s="126" t="n">
        <x:f>'01_Run_Config'!$B$4+A76</x:f>
        <x:v>46316</x:v>
      </x:c>
      <x:c r="C76" s="60" t="str">
        <x:f>VLOOKUP(A76,'02_Daily_Master'!$A$2:$AS$82,5,FALSE)</x:f>
        <x:v>Ripening (B7)</x:v>
      </x:c>
      <x:c r="D76" s="60"/>
      <x:c r="E76" s="60"/>
      <x:c r="F76" s="60"/>
      <x:c r="G76" s="60"/>
      <x:c r="H76" s="60"/>
      <x:c r="I76" s="60"/>
      <x:c r="J76" s="60"/>
      <x:c r="K76" s="60"/>
      <x:c r="L76" s="60"/>
      <x:c r="M76" s="60"/>
      <x:c r="N76" s="60"/>
      <x:c r="O76" s="60" t="str">
        <x:f>IF(OR(N76="",L76=""),"",N76-L76)</x:f>
      </x:c>
      <x:c r="P76" s="60"/>
      <x:c r="Q76" s="60"/>
      <x:c r="R76" s="60"/>
      <x:c r="S76" s="60"/>
      <x:c r="T76" s="60"/>
      <x:c r="U76" s="60" t="str">
        <x:v>OFFEN</x:v>
      </x:c>
      <x:c r="V76" s="60" t="str">
        <x:v>OFFEN</x:v>
      </x:c>
      <x:c r="W76" s="60" t="str">
        <x:v>OFFEN</x:v>
      </x:c>
      <x:c r="X76" s="60" t="n">
        <x:v>0</x:v>
      </x:c>
      <x:c r="Y76" s="60" t="str">
        <x:f>IF(OR(U76="OFFEN",V76="OFFEN",W76="OFFEN"),"OFFEN",IF(OR(U76="FAIL",V76="FAIL",W76="FAIL",X76&gt;=4),"FAIL",IF(OR(U76="WARN",V76="WARN",W76="WARN",X76&gt;=2),"WARN","OK")))</x:f>
        <x:v>OFFEN</x:v>
      </x:c>
      <x:c r="Z76" s="29" t="str"/>
    </x:row>
    <x:row r="77">
      <x:c r="A77" s="28" t="n">
        <x:v>75</x:v>
      </x:c>
      <x:c r="B77" s="126" t="n">
        <x:f>'01_Run_Config'!$B$4+A77</x:f>
        <x:v>46317</x:v>
      </x:c>
      <x:c r="C77" s="60" t="str">
        <x:f>VLOOKUP(A77,'02_Daily_Master'!$A$2:$AS$82,5,FALSE)</x:f>
        <x:v>Ripening (B7)</x:v>
      </x:c>
      <x:c r="D77" s="60"/>
      <x:c r="E77" s="60"/>
      <x:c r="F77" s="60"/>
      <x:c r="G77" s="60"/>
      <x:c r="H77" s="60"/>
      <x:c r="I77" s="60"/>
      <x:c r="J77" s="60"/>
      <x:c r="K77" s="60"/>
      <x:c r="L77" s="60"/>
      <x:c r="M77" s="60"/>
      <x:c r="N77" s="60"/>
      <x:c r="O77" s="60" t="str">
        <x:f>IF(OR(N77="",L77=""),"",N77-L77)</x:f>
      </x:c>
      <x:c r="P77" s="60"/>
      <x:c r="Q77" s="60"/>
      <x:c r="R77" s="60"/>
      <x:c r="S77" s="60"/>
      <x:c r="T77" s="60"/>
      <x:c r="U77" s="60" t="str">
        <x:v>OFFEN</x:v>
      </x:c>
      <x:c r="V77" s="60" t="str">
        <x:v>OFFEN</x:v>
      </x:c>
      <x:c r="W77" s="60" t="str">
        <x:v>OFFEN</x:v>
      </x:c>
      <x:c r="X77" s="60" t="n">
        <x:v>0</x:v>
      </x:c>
      <x:c r="Y77" s="60" t="str">
        <x:f>IF(OR(U77="OFFEN",V77="OFFEN",W77="OFFEN"),"OFFEN",IF(OR(U77="FAIL",V77="FAIL",W77="FAIL",X77&gt;=4),"FAIL",IF(OR(U77="WARN",V77="WARN",W77="WARN",X77&gt;=2),"WARN","OK")))</x:f>
        <x:v>OFFEN</x:v>
      </x:c>
      <x:c r="Z77" s="29" t="str"/>
    </x:row>
    <x:row r="78">
      <x:c r="A78" s="28" t="n">
        <x:v>76</x:v>
      </x:c>
      <x:c r="B78" s="126" t="n">
        <x:f>'01_Run_Config'!$B$4+A78</x:f>
        <x:v>46318</x:v>
      </x:c>
      <x:c r="C78" s="60" t="str">
        <x:f>VLOOKUP(A78,'02_Daily_Master'!$A$2:$AS$82,5,FALSE)</x:f>
        <x:v>Ripening (B7)</x:v>
      </x:c>
      <x:c r="D78" s="60"/>
      <x:c r="E78" s="60"/>
      <x:c r="F78" s="60"/>
      <x:c r="G78" s="60"/>
      <x:c r="H78" s="60"/>
      <x:c r="I78" s="60"/>
      <x:c r="J78" s="60"/>
      <x:c r="K78" s="60"/>
      <x:c r="L78" s="60"/>
      <x:c r="M78" s="60"/>
      <x:c r="N78" s="60"/>
      <x:c r="O78" s="60" t="str">
        <x:f>IF(OR(N78="",L78=""),"",N78-L78)</x:f>
      </x:c>
      <x:c r="P78" s="60"/>
      <x:c r="Q78" s="60"/>
      <x:c r="R78" s="60"/>
      <x:c r="S78" s="60"/>
      <x:c r="T78" s="60"/>
      <x:c r="U78" s="60" t="str">
        <x:v>OFFEN</x:v>
      </x:c>
      <x:c r="V78" s="60" t="str">
        <x:v>OFFEN</x:v>
      </x:c>
      <x:c r="W78" s="60" t="str">
        <x:v>OFFEN</x:v>
      </x:c>
      <x:c r="X78" s="60" t="n">
        <x:v>0</x:v>
      </x:c>
      <x:c r="Y78" s="60" t="str">
        <x:f>IF(OR(U78="OFFEN",V78="OFFEN",W78="OFFEN"),"OFFEN",IF(OR(U78="FAIL",V78="FAIL",W78="FAIL",X78&gt;=4),"FAIL",IF(OR(U78="WARN",V78="WARN",W78="WARN",X78&gt;=2),"WARN","OK")))</x:f>
        <x:v>OFFEN</x:v>
      </x:c>
      <x:c r="Z78" s="29" t="str"/>
    </x:row>
    <x:row r="79">
      <x:c r="A79" s="28" t="n">
        <x:v>77</x:v>
      </x:c>
      <x:c r="B79" s="126" t="n">
        <x:f>'01_Run_Config'!$B$4+A79</x:f>
        <x:v>46319</x:v>
      </x:c>
      <x:c r="C79" s="60" t="str">
        <x:f>VLOOKUP(A79,'02_Daily_Master'!$A$2:$AS$82,5,FALSE)</x:f>
        <x:v>Harvest / Extension (B7+)</x:v>
      </x:c>
      <x:c r="D79" s="60"/>
      <x:c r="E79" s="60"/>
      <x:c r="F79" s="60"/>
      <x:c r="G79" s="60"/>
      <x:c r="H79" s="60"/>
      <x:c r="I79" s="60"/>
      <x:c r="J79" s="60"/>
      <x:c r="K79" s="60"/>
      <x:c r="L79" s="60"/>
      <x:c r="M79" s="60"/>
      <x:c r="N79" s="60"/>
      <x:c r="O79" s="60" t="str">
        <x:f>IF(OR(N79="",L79=""),"",N79-L79)</x:f>
      </x:c>
      <x:c r="P79" s="60"/>
      <x:c r="Q79" s="60"/>
      <x:c r="R79" s="60"/>
      <x:c r="S79" s="60"/>
      <x:c r="T79" s="60"/>
      <x:c r="U79" s="60" t="str">
        <x:v>OFFEN</x:v>
      </x:c>
      <x:c r="V79" s="60" t="str">
        <x:v>OFFEN</x:v>
      </x:c>
      <x:c r="W79" s="60" t="str">
        <x:v>OFFEN</x:v>
      </x:c>
      <x:c r="X79" s="60" t="n">
        <x:v>0</x:v>
      </x:c>
      <x:c r="Y79" s="60" t="str">
        <x:f>IF(OR(U79="OFFEN",V79="OFFEN",W79="OFFEN"),"OFFEN",IF(OR(U79="FAIL",V79="FAIL",W79="FAIL",X79&gt;=4),"FAIL",IF(OR(U79="WARN",V79="WARN",W79="WARN",X79&gt;=2),"WARN","OK")))</x:f>
        <x:v>OFFEN</x:v>
      </x:c>
      <x:c r="Z79" s="29" t="str"/>
    </x:row>
    <x:row r="80">
      <x:c r="A80" s="28" t="n">
        <x:v>78</x:v>
      </x:c>
      <x:c r="B80" s="126" t="n">
        <x:f>'01_Run_Config'!$B$4+A80</x:f>
        <x:v>46320</x:v>
      </x:c>
      <x:c r="C80" s="60" t="str">
        <x:f>VLOOKUP(A80,'02_Daily_Master'!$A$2:$AS$82,5,FALSE)</x:f>
        <x:v>Harvest / Extension (B7+)</x:v>
      </x:c>
      <x:c r="D80" s="60"/>
      <x:c r="E80" s="60"/>
      <x:c r="F80" s="60"/>
      <x:c r="G80" s="60"/>
      <x:c r="H80" s="60"/>
      <x:c r="I80" s="60"/>
      <x:c r="J80" s="60"/>
      <x:c r="K80" s="60"/>
      <x:c r="L80" s="60"/>
      <x:c r="M80" s="60"/>
      <x:c r="N80" s="60"/>
      <x:c r="O80" s="60" t="str">
        <x:f>IF(OR(N80="",L80=""),"",N80-L80)</x:f>
      </x:c>
      <x:c r="P80" s="60"/>
      <x:c r="Q80" s="60"/>
      <x:c r="R80" s="60"/>
      <x:c r="S80" s="60"/>
      <x:c r="T80" s="60"/>
      <x:c r="U80" s="60" t="str">
        <x:v>OFFEN</x:v>
      </x:c>
      <x:c r="V80" s="60" t="str">
        <x:v>OFFEN</x:v>
      </x:c>
      <x:c r="W80" s="60" t="str">
        <x:v>OFFEN</x:v>
      </x:c>
      <x:c r="X80" s="60" t="n">
        <x:v>0</x:v>
      </x:c>
      <x:c r="Y80" s="60" t="str">
        <x:f>IF(OR(U80="OFFEN",V80="OFFEN",W80="OFFEN"),"OFFEN",IF(OR(U80="FAIL",V80="FAIL",W80="FAIL",X80&gt;=4),"FAIL",IF(OR(U80="WARN",V80="WARN",W80="WARN",X80&gt;=2),"WARN","OK")))</x:f>
        <x:v>OFFEN</x:v>
      </x:c>
      <x:c r="Z80" s="29" t="str"/>
    </x:row>
    <x:row r="81">
      <x:c r="A81" s="28" t="n">
        <x:v>79</x:v>
      </x:c>
      <x:c r="B81" s="126" t="n">
        <x:f>'01_Run_Config'!$B$4+A81</x:f>
        <x:v>46321</x:v>
      </x:c>
      <x:c r="C81" s="60" t="str">
        <x:f>VLOOKUP(A81,'02_Daily_Master'!$A$2:$AS$82,5,FALSE)</x:f>
        <x:v>Harvest / Extension (B7+)</x:v>
      </x:c>
      <x:c r="D81" s="60"/>
      <x:c r="E81" s="60"/>
      <x:c r="F81" s="60"/>
      <x:c r="G81" s="60"/>
      <x:c r="H81" s="60"/>
      <x:c r="I81" s="60"/>
      <x:c r="J81" s="60"/>
      <x:c r="K81" s="60"/>
      <x:c r="L81" s="60"/>
      <x:c r="M81" s="60"/>
      <x:c r="N81" s="60"/>
      <x:c r="O81" s="60" t="str">
        <x:f>IF(OR(N81="",L81=""),"",N81-L81)</x:f>
      </x:c>
      <x:c r="P81" s="60"/>
      <x:c r="Q81" s="60"/>
      <x:c r="R81" s="60"/>
      <x:c r="S81" s="60"/>
      <x:c r="T81" s="60"/>
      <x:c r="U81" s="60" t="str">
        <x:v>OFFEN</x:v>
      </x:c>
      <x:c r="V81" s="60" t="str">
        <x:v>OFFEN</x:v>
      </x:c>
      <x:c r="W81" s="60" t="str">
        <x:v>OFFEN</x:v>
      </x:c>
      <x:c r="X81" s="60" t="n">
        <x:v>0</x:v>
      </x:c>
      <x:c r="Y81" s="60" t="str">
        <x:f>IF(OR(U81="OFFEN",V81="OFFEN",W81="OFFEN"),"OFFEN",IF(OR(U81="FAIL",V81="FAIL",W81="FAIL",X81&gt;=4),"FAIL",IF(OR(U81="WARN",V81="WARN",W81="WARN",X81&gt;=2),"WARN","OK")))</x:f>
        <x:v>OFFEN</x:v>
      </x:c>
      <x:c r="Z81" s="29" t="str"/>
    </x:row>
    <x:row r="82">
      <x:c r="A82" s="30" t="n">
        <x:v>80</x:v>
      </x:c>
      <x:c r="B82" s="127" t="n">
        <x:f>'01_Run_Config'!$B$4+A82</x:f>
        <x:v>46322</x:v>
      </x:c>
      <x:c r="C82" s="61" t="str">
        <x:f>VLOOKUP(A82,'02_Daily_Master'!$A$2:$AS$82,5,FALSE)</x:f>
        <x:v>Harvest / Extension (B7+)</x:v>
      </x:c>
      <x:c r="D82" s="61"/>
      <x:c r="E82" s="61"/>
      <x:c r="F82" s="61"/>
      <x:c r="G82" s="61"/>
      <x:c r="H82" s="61"/>
      <x:c r="I82" s="61"/>
      <x:c r="J82" s="61"/>
      <x:c r="K82" s="61"/>
      <x:c r="L82" s="61"/>
      <x:c r="M82" s="61"/>
      <x:c r="N82" s="61"/>
      <x:c r="O82" s="61" t="str">
        <x:f>IF(OR(N82="",L82=""),"",N82-L82)</x:f>
      </x:c>
      <x:c r="P82" s="61"/>
      <x:c r="Q82" s="61"/>
      <x:c r="R82" s="61"/>
      <x:c r="S82" s="61"/>
      <x:c r="T82" s="61"/>
      <x:c r="U82" s="61" t="str">
        <x:v>OFFEN</x:v>
      </x:c>
      <x:c r="V82" s="61" t="str">
        <x:v>OFFEN</x:v>
      </x:c>
      <x:c r="W82" s="61" t="str">
        <x:v>OFFEN</x:v>
      </x:c>
      <x:c r="X82" s="61" t="n">
        <x:v>0</x:v>
      </x:c>
      <x:c r="Y82" s="61" t="str">
        <x:f>IF(OR(U82="OFFEN",V82="OFFEN",W82="OFFEN"),"OFFEN",IF(OR(U82="FAIL",V82="FAIL",W82="FAIL",X82&gt;=4),"FAIL",IF(OR(U82="WARN",V82="WARN",W82="WARN",X82&gt;=2),"WARN","OK")))</x:f>
        <x:v>OFFEN</x:v>
      </x:c>
      <x:c r="Z82" s="31" t="str"/>
    </x:row>
  </x:sheetData>
  <x:conditionalFormatting sqref="O2:O82">
    <x:cfRule type="expression" dxfId="8" priority="1">
      <x:formula>O2&gt;0.4</x:formula>
    </x:cfRule>
  </x:conditionalFormatting>
  <x:conditionalFormatting sqref="X2:X82">
    <x:cfRule type="colorScale" priority="2">
      <x:colorScale>
        <x:cfvo type="min"/>
        <x:cfvo type="percentile" val="50"/>
        <x:cfvo type="max"/>
        <x:color rgb="FFD9EAD3"/>
        <x:color rgb="FFFFF2CC"/>
        <x:color rgb="FFF4CCCC"/>
      </x:colorScale>
    </x:cfRule>
  </x:conditionalFormatting>
  <x:conditionalFormatting sqref="A2:Z82">
    <x:cfRule type="expression" dxfId="52" priority="6">
      <x:formula>$A2='01_Run_Config'!$B$5</x:formula>
    </x:cfRule>
  </x:conditionalFormatting>
  <x:conditionalFormatting sqref="Y2:Y82">
    <x:cfRule type="expression" dxfId="64" priority="7">
      <x:formula>Y2="OFFEN"</x:formula>
    </x:cfRule>
    <x:cfRule type="expression" dxfId="65" priority="8">
      <x:formula>Y2="OK"</x:formula>
    </x:cfRule>
    <x:cfRule type="expression" dxfId="66" priority="9">
      <x:formula>Y2="WARN"</x:formula>
    </x:cfRule>
    <x:cfRule type="expression" dxfId="67" priority="10">
      <x:formula>Y2="FAIL"</x:formula>
    </x:cfRule>
  </x:conditionalFormatting>
  <x:dataValidations count="5">
    <x:dataValidation type="list" sqref="U2:U82">
      <x:formula1>"OFFEN,OK,WARN,FAIL,N/A"</x:formula1>
    </x:dataValidation>
    <x:dataValidation type="list" sqref="V2:V82">
      <x:formula1>"OFFEN,OK,WARN,FAIL,N/A"</x:formula1>
    </x:dataValidation>
    <x:dataValidation type="list" sqref="W2:W82">
      <x:formula1>"OFFEN,OK,WARN,FAIL,N/A"</x:formula1>
    </x:dataValidation>
    <x:dataValidation type="list" sqref="Y2:Y82">
      <x:formula1>"OK,WARN,FAIL,N/A"</x:formula1>
    </x:dataValidation>
    <x:dataValidation operator="between" sqref="X2:X82">
      <x:formula1>0</x:formula1>
      <x:formula2>5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554accb01ade4c59"/>
  </x:tableParts>
</x:worksheet>
</file>

<file path=xl/worksheets/sheet1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2" hidden="0" customWidth="1"/>
    <x:col min="3" max="3" width="42" hidden="0" customWidth="1"/>
    <x:col min="4" max="4" width="42" hidden="0" customWidth="1"/>
    <x:col min="5" max="5" width="42" hidden="0" customWidth="1"/>
    <x:col min="6" max="6" width="42" hidden="0" customWidth="1"/>
    <x:col min="7" max="7" width="42" hidden="0" customWidth="1"/>
    <x:col min="8" max="8" width="42" hidden="0" customWidth="1"/>
  </x:cols>
  <x:sheetData>
    <x:row r="1">
      <x:c r="A1" s="1522" t="str">
        <x:v>Symptom</x:v>
      </x:c>
      <x:c r="B1" s="1523" t="str">
        <x:v>Zuerst messen</x:v>
      </x:c>
      <x:c r="C1" s="1523" t="str">
        <x:v>Häufige Systemursache</x:v>
      </x:c>
      <x:c r="D1" s="1523" t="str">
        <x:v>NICHT sofort</x:v>
      </x:c>
      <x:c r="E1" s="1523" t="str">
        <x:v>Eingriff 1</x:v>
      </x:c>
      <x:c r="F1" s="1523" t="str">
        <x:v>Eingriff 2</x:v>
      </x:c>
      <x:c r="G1" s="1523" t="str">
        <x:v>Escalation</x:v>
      </x:c>
      <x:c r="H1" s="1524" t="str">
        <x:v>Kommentar</x:v>
      </x:c>
    </x:row>
    <x:row r="2">
      <x:c r="A2" s="1191" t="str">
        <x:v>Spitzenbrand</x:v>
      </x:c>
      <x:c r="B2" s="62" t="str">
        <x:v>EC in/out, pH, PPFD</x:v>
      </x:c>
      <x:c r="C2" s="62" t="str">
        <x:v>zu hohe Gesamtstärke/PK, Lichtstress</x:v>
      </x:c>
      <x:c r="D2" s="62" t="str">
        <x:v>mehr CalMag/Booster</x:v>
      </x:c>
      <x:c r="E2" s="62" t="str">
        <x:v>Feed 10–20% senken</x:v>
      </x:c>
      <x:c r="F2" s="62" t="str">
        <x:v>Diagnose-Drain</x:v>
      </x:c>
      <x:c r="G2" s="62" t="str">
        <x:v>bei Fortschritt Rootzone prüfen</x:v>
      </x:c>
      <x:c r="H2" s="1192" t="str">
        <x:v>EC_out &gt; in+0.3–0.4 ernst nehmen</x:v>
      </x:c>
    </x:row>
    <x:row r="3">
      <x:c r="A3" s="1156" t="str">
        <x:v>Rostflecken</x:v>
      </x:c>
      <x:c r="B3" s="201" t="str">
        <x:v>pH, Wasser-Ca/Mg, EC, Blattposition</x:v>
      </x:c>
      <x:c r="C3" s="201" t="str">
        <x:v>pH/Antagonismus statt echter Ca/Mg-Armut</x:v>
      </x:c>
      <x:c r="D3" s="201" t="str">
        <x:v>blind CalMag stapeln</x:v>
      </x:c>
      <x:c r="E3" s="201" t="str">
        <x:v>Wasserwerte prüfen</x:v>
      </x:c>
      <x:c r="F3" s="201" t="str">
        <x:v>K/PK-Last prüfen</x:v>
      </x:c>
      <x:c r="G3" s="201" t="str">
        <x:v>gezielte CalMag-Korrektur</x:v>
      </x:c>
      <x:c r="H3" s="1193" t="str">
        <x:v>Mg-Überversorgung kann Ca/K hemmen</x:v>
      </x:c>
    </x:row>
    <x:row r="4">
      <x:c r="A4" s="1156" t="str">
        <x:v>Interveinale Chlorose</x:v>
      </x:c>
      <x:c r="B4" s="201" t="str">
        <x:v>Mg, K/PK, pH</x:v>
      </x:c>
      <x:c r="C4" s="201" t="str">
        <x:v>K/P-induzierter Mg-Shift möglich</x:v>
      </x:c>
      <x:c r="D4" s="201" t="str">
        <x:v>PK weiter erhöhen</x:v>
      </x:c>
      <x:c r="E4" s="201" t="str">
        <x:v>Nährstoffstack vereinfachen</x:v>
      </x:c>
      <x:c r="F4" s="201" t="str">
        <x:v>Wasser/Mg prüfen</x:v>
      </x:c>
      <x:c r="G4" s="201" t="str">
        <x:v>gezielt korrigieren</x:v>
      </x:c>
      <x:c r="H4" s="1193" t="str">
        <x:v>Symptomkontext entscheidend</x:v>
      </x:c>
    </x:row>
    <x:row r="5">
      <x:c r="A5" s="1156" t="str">
        <x:v>Taco/aufgerollt</x:v>
      </x:c>
      <x:c r="B5" s="201" t="str">
        <x:v>Blatttemp, PPFD, VPD</x:v>
      </x:c>
      <x:c r="C5" s="201" t="str">
        <x:v>Licht/Hitze/trockene Luft</x:v>
      </x:c>
      <x:c r="D5" s="201" t="str">
        <x:v>Nährstoffe ändern</x:v>
      </x:c>
      <x:c r="E5" s="201" t="str">
        <x:v>PPFD oder Temp senken</x:v>
      </x:c>
      <x:c r="F5" s="201" t="str">
        <x:v>LF/VPD korrigieren</x:v>
      </x:c>
      <x:c r="G5" s="201" t="str">
        <x:v>48h beobachten</x:v>
      </x:c>
      <x:c r="H5" s="1193" t="str">
        <x:v>erst Umwelt, dann Feed</x:v>
      </x:c>
    </x:row>
    <x:row r="6">
      <x:c r="A6" s="1156" t="str">
        <x:v>Hängend + nasser Topf</x:v>
      </x:c>
      <x:c r="B6" s="201" t="str">
        <x:v>Topfgewicht/Feuchte, Bewässerungsmodus, Temp</x:v>
      </x:c>
      <x:c r="C6" s="201" t="str">
        <x:v>Überbewässerung/geringe Transpiration</x:v>
      </x:c>
      <x:c r="D6" s="201" t="str">
        <x:v>mehr Wasser</x:v>
      </x:c>
      <x:c r="E6" s="201" t="str">
        <x:v>Bewässerung reduzieren</x:v>
      </x:c>
      <x:c r="F6" s="201" t="str">
        <x:v>Luft/Temp prüfen</x:v>
      </x:c>
      <x:c r="G6" s="201" t="str">
        <x:v>Wurzeln kontrollieren</x:v>
      </x:c>
      <x:c r="H6" s="1193" t="str">
        <x:v>Wurzel Complex ist kein Ersatz für Bewässerungsfehler</x:v>
      </x:c>
    </x:row>
    <x:row r="7">
      <x:c r="A7" s="1156" t="str">
        <x:v>Hängend + leichter Topf</x:v>
      </x:c>
      <x:c r="B7" s="201" t="str">
        <x:v>Wasserquelle/Leitung/Topfgewicht</x:v>
      </x:c>
      <x:c r="C7" s="201" t="str">
        <x:v>Unterversorgung/Automationsfehler</x:v>
      </x:c>
      <x:c r="D7" s="201" t="str">
        <x:v>Dünger erhöhen</x:v>
      </x:c>
      <x:c r="E7" s="201" t="str">
        <x:v>Wasserzufuhr herstellen</x:v>
      </x:c>
      <x:c r="F7" s="201" t="str">
        <x:v>Sensor neu befüllen/einstellen</x:v>
      </x:c>
      <x:c r="G7" s="201" t="str">
        <x:v>Leck-/Tankcheck</x:v>
      </x:c>
      <x:c r="H7" s="1193" t="str">
        <x:v>bei Automationssystem Hersteller-SOP verwenden</x:v>
      </x:c>
    </x:row>
    <x:row r="8">
      <x:c r="A8" s="1156" t="str">
        <x:v>pH drift stark</x:v>
      </x:c>
      <x:c r="B8" s="201" t="str">
        <x:v>Kalibrierung, Wasseralkalinität, Additivstack</x:v>
      </x:c>
      <x:c r="C8" s="201" t="str">
        <x:v>Fremdprodukte/Reservoirbiologie</x:v>
      </x:c>
      <x:c r="D8" s="201" t="str">
        <x:v>Up/Down ping-pong</x:v>
      </x:c>
      <x:c r="E8" s="201" t="str">
        <x:v>frische Lösung minimaler Stack</x:v>
      </x:c>
      <x:c r="F8" s="201" t="str">
        <x:v>Messgerät kalibrieren</x:v>
      </x:c>
      <x:c r="G8" s="201" t="str">
        <x:v>System isolieren</x:v>
      </x:c>
      <x:c r="H8" s="1193" t="str">
        <x:v>pH Perfect bei Fremdprodukten nicht garantiert; Alkalinität/HCO3 prüfen</x:v>
      </x:c>
    </x:row>
    <x:row r="9">
      <x:c r="A9" s="1156" t="str">
        <x:v>Schleim/Geruch Tank</x:v>
      </x:c>
      <x:c r="B9" s="201" t="str">
        <x:v>Tanktemp, Mikroben/Carbos</x:v>
      </x:c>
      <x:c r="C9" s="201" t="str">
        <x:v>stagnierende biologische Lösung</x:v>
      </x:c>
      <x:c r="D9" s="201" t="str">
        <x:v>mehr Enzyme</x:v>
      </x:c>
      <x:c r="E9" s="201" t="str">
        <x:v>Tank leeren/reinigen</x:v>
      </x:c>
      <x:c r="F9" s="201" t="str">
        <x:v>Mikroben separat frisch</x:v>
      </x:c>
      <x:c r="G9" s="201" t="str">
        <x:v>Leitungen reinigen</x:v>
      </x:c>
      <x:c r="H9" s="1193" t="str">
        <x:v>besonders bei komplexer automatisierter Reservoirfütterung</x:v>
      </x:c>
    </x:row>
    <x:row r="10">
      <x:c r="A10" s="1156" t="str">
        <x:v>LF Nacht &gt;60%</x:v>
      </x:c>
      <x:c r="B10" s="201" t="str">
        <x:v>Lung-room LF, Abluft, stehendes Wasser</x:v>
      </x:c>
      <x:c r="C10" s="201" t="str">
        <x:v>Transpiration + Tempabfall</x:v>
      </x:c>
      <x:c r="D10" s="201" t="str">
        <x:v>Massenentlaubung zuerst</x:v>
      </x:c>
      <x:c r="E10" s="201" t="str">
        <x:v>Abluft/Lung-room trocknen</x:v>
      </x:c>
      <x:c r="F10" s="201" t="str">
        <x:v>Drain entfernen</x:v>
      </x:c>
      <x:c r="G10" s="201" t="str">
        <x:v>Colas prüfen</x:v>
      </x:c>
      <x:c r="H10" s="1193" t="str">
        <x:v>Schimmelrisiko-Ereignis</x:v>
      </x:c>
    </x:row>
    <x:row r="11">
      <x:c r="A11" s="1158" t="str">
        <x:v>Bleaching</x:v>
      </x:c>
      <x:c r="B11" s="1194" t="str">
        <x:v>PPFD, Lampenabstand, Temp</x:v>
      </x:c>
      <x:c r="C11" s="1194" t="str">
        <x:v>zu hohe Photonenlast</x:v>
      </x:c>
      <x:c r="D11" s="1194" t="str">
        <x:v>EC erhöhen</x:v>
      </x:c>
      <x:c r="E11" s="1194" t="str">
        <x:v>Dimmer/Abstand korrigieren</x:v>
      </x:c>
      <x:c r="F11" s="1194" t="str">
        <x:v>24–48h beobachten</x:v>
      </x:c>
      <x:c r="G11" s="1194" t="str">
        <x:v>Canopy map</x:v>
      </x:c>
      <x:c r="H11" s="1195" t="str">
        <x:v>Watt ist nicht Zielgröße</x:v>
      </x:c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43" hidden="0" customWidth="1"/>
    <x:col min="3" max="3" width="43" hidden="0" customWidth="1"/>
    <x:col min="4" max="4" width="18" hidden="0" customWidth="1"/>
    <x:col min="5" max="5" width="18" hidden="0" customWidth="1"/>
    <x:col min="6" max="6" width="18" hidden="0" customWidth="1"/>
    <x:col min="7" max="7" width="39" hidden="0" customWidth="1"/>
    <x:col min="8" max="8" width="39" hidden="0" customWidth="1"/>
    <x:col min="9" max="9" width="45" hidden="0" customWidth="1"/>
    <x:col min="10" max="10" width="31" hidden="0" customWidth="1"/>
    <x:col min="12" max="12" width="20" hidden="0" customWidth="1"/>
    <x:col min="13" max="13" width="16" hidden="0" customWidth="1"/>
    <x:col min="14" max="14" width="43" hidden="0" customWidth="1"/>
  </x:cols>
  <x:sheetData>
    <x:row r="1">
      <x:c r="A1" s="14" t="str">
        <x:v>Phase</x:v>
      </x:c>
      <x:c r="B1" s="14" t="str">
        <x:v>Trigger</x:v>
      </x:c>
      <x:c r="C1" s="14" t="str">
        <x:v>Ziel</x:v>
      </x:c>
      <x:c r="D1" s="14" t="str">
        <x:v>Temp</x:v>
      </x:c>
      <x:c r="E1" s="14" t="str">
        <x:v>LF</x:v>
      </x:c>
      <x:c r="F1" s="14" t="str">
        <x:v>Luft</x:v>
      </x:c>
      <x:c r="G1" s="14" t="str">
        <x:v>Messung</x:v>
      </x:c>
      <x:c r="H1" s="14" t="str">
        <x:v>Stop-Regel</x:v>
      </x:c>
      <x:c r="I1" t="str">
        <x:v>aw / Feuchte</x:v>
      </x:c>
      <x:c r="J1" t="str">
        <x:v>Evidenzstatus</x:v>
      </x:c>
      <x:c r="L1" s="1688" t="str">
        <x:v>RUN KPI</x:v>
      </x:c>
      <x:c r="M1" s="1688" t="str">
        <x:v>Wert</x:v>
      </x:c>
      <x:c r="N1" s="1688" t="str">
        <x:v>Hinweis</x:v>
      </x:c>
    </x:row>
    <x:row r="2">
      <x:c r="A2" s="1154" t="str">
        <x:v>Ernteentscheidung</x:v>
      </x:c>
      <x:c r="B2" s="1204" t="str">
        <x:v>Double Grape 70–80 d breeder watch-window + Calyx-/Trichomreife + Gesamtpflanze; nicht nur Pistillen</x:v>
      </x:c>
      <x:c r="C2" s="1204" t="str">
        <x:v>gewünschter Reifegrad</x:v>
      </x:c>
      <x:c r="D2" s="1204" t="str">
        <x:v>22–24°C vor Ernte</x:v>
      </x:c>
      <x:c r="E2" s="1204" t="str">
        <x:v>40–47%</x:v>
      </x:c>
      <x:c r="F2" s="1204" t="str">
        <x:v>normal</x:v>
      </x:c>
      <x:c r="G2" s="1204" t="str">
        <x:v>Makro an Calyxen</x:v>
      </x:c>
      <x:c r="H2" s="1485" t="str">
        <x:v>Breeder-Tage sind Readiness-Watch, kein Trigger; bei Unreife Run verlängern</x:v>
      </x:c>
      <x:c r="I2" s="1204" t="str">
        <x:v>—</x:v>
      </x:c>
      <x:c r="J2" s="1205" t="str">
        <x:v>UKD Praxisrahmen</x:v>
      </x:c>
      <x:c r="L2" s="1154" t="str">
        <x:v>Trockenmasse g</x:v>
      </x:c>
      <x:c r="M2" s="1692" t="n">
        <x:v>0</x:v>
      </x:c>
      <x:c r="N2" s="1205" t="str">
        <x:v>Benutzereingabe nach vollständiger Trocknung</x:v>
      </x:c>
    </x:row>
    <x:row r="3">
      <x:c r="A3" s="1156" t="str">
        <x:v>Vorbereitung</x:v>
      </x:c>
      <x:c r="B3" s="201" t="str">
        <x:v>24–48 h vor Schnitt</x:v>
      </x:c>
      <x:c r="C3" s="201" t="str">
        <x:v>Dry-Room stabil</x:v>
      </x:c>
      <x:c r="D3" s="201" t="str">
        <x:v>18–20°C</x:v>
      </x:c>
      <x:c r="E3" s="201" t="str">
        <x:v>55–60%</x:v>
      </x:c>
      <x:c r="F3" s="201" t="str">
        <x:v>indirekt</x:v>
      </x:c>
      <x:c r="G3" s="201" t="str">
        <x:v>Logger 24 h testen</x:v>
      </x:c>
      <x:c r="H3" s="35" t="str">
        <x:v>kein improvisierter heißer Raum</x:v>
      </x:c>
      <x:c r="I3" s="201" t="str">
        <x:v>—</x:v>
      </x:c>
      <x:c r="J3" s="1193" t="str">
        <x:v>konservativer Praxisbereich, kein universelles Optimum</x:v>
      </x:c>
      <x:c r="L3" s="1156" t="str">
        <x:v>Lichtenergie kWh</x:v>
      </x:c>
      <x:c r="M3" s="201" t="n">
        <x:f>VLOOKUP('01_Run_Config'!$B$7,'02_Daily_Master'!$A$2:$AP$82,42,FALSE)</x:f>
        <x:v>150.1199999999999</x:v>
      </x:c>
      <x:c r="N3" s="1193" t="str">
        <x:v>aus 02_Daily_Master bis Plan-Endtag</x:v>
      </x:c>
    </x:row>
    <x:row r="4">
      <x:c r="A4" s="1156" t="str">
        <x:v>Trocknung</x:v>
      </x:c>
      <x:c r="B4" s="201" t="str">
        <x:v>nach Schnitt</x:v>
      </x:c>
      <x:c r="C4" s="201" t="str">
        <x:v>langsame, gleichmäßige Wasserabgabe</x:v>
      </x:c>
      <x:c r="D4" s="201" t="str">
        <x:v>18–20°C</x:v>
      </x:c>
      <x:c r="E4" s="201" t="str">
        <x:v>55–60%</x:v>
      </x:c>
      <x:c r="F4" s="201" t="str">
        <x:v>keine direkte Luft auf Blüten</x:v>
      </x:c>
      <x:c r="G4" s="201" t="str">
        <x:v>Klima + Masse/Feuchte</x:v>
      </x:c>
      <x:c r="H4" s="35" t="str">
        <x:v>kein Schnellheizen</x:v>
      </x:c>
      <x:c r="I4" s="201" t="str">
        <x:v>aw bevorzugt messen; Zielbereich etwa 0.55–0.65 als Qualitäts-/Sicherheitsrahmen</x:v>
      </x:c>
      <x:c r="J4" s="1193" t="str">
        <x:v>Literatur-/Praxisrahmen; cultivarabhängig</x:v>
      </x:c>
      <x:c r="L4" s="1156" t="str">
        <x:v>g/kWh Licht</x:v>
      </x:c>
      <x:c r="M4" s="201" t="str">
        <x:f>IF(OR(M2&lt;=0,M3&lt;=0),"",M2/M3)</x:f>
      </x:c>
      <x:c r="N4" s="1193" t="str">
        <x:v>bevorzugte Licht-Effizienzkennzahl</x:v>
      </x:c>
    </x:row>
    <x:row r="5">
      <x:c r="A5" s="1156" t="str">
        <x:v>Dry QA</x:v>
      </x:c>
      <x:c r="B5" s="201" t="str">
        <x:v>täglich</x:v>
      </x:c>
      <x:c r="C5" s="201" t="str">
        <x:v>kein Schimmel/Ammoniak/Fehlgeruch</x:v>
      </x:c>
      <x:c r="D5" s="201" t="str">
        <x:v>stabil</x:v>
      </x:c>
      <x:c r="E5" s="201" t="str">
        <x:v>stabil</x:v>
      </x:c>
      <x:c r="F5" s="201" t="str">
        <x:v>sanft</x:v>
      </x:c>
      <x:c r="G5" s="201" t="str">
        <x:v>Geruch + Oberfläche + ggf. aw</x:v>
      </x:c>
      <x:c r="H5" s="35" t="str">
        <x:v>bei Schimmel isolieren</x:v>
      </x:c>
      <x:c r="I5" s="201" t="str">
        <x:v>aw &gt;0.65 = erhöhte Aufmerksamkeit / weiter trocknen</x:v>
      </x:c>
      <x:c r="J5" s="1193" t="str">
        <x:v>mikrobiologische Sicherheitslogik</x:v>
      </x:c>
      <x:c r="L5" s="1156" t="str">
        <x:v>g/W max</x:v>
      </x:c>
      <x:c r="M5" s="201" t="str">
        <x:f>IF(M2&lt;=0,"",M2/'01_Run_Config'!$B$11)</x:f>
      </x:c>
      <x:c r="N5" s="1193" t="str">
        <x:v>nur grobe Legacy-Kennzahl; nicht primär</x:v>
      </x:c>
    </x:row>
    <x:row r="6">
      <x:c r="A6" s="1156" t="str">
        <x:v>Cure Start</x:v>
      </x:c>
      <x:c r="B6" s="201" t="str">
        <x:v>Gleichgewicht erreicht</x:v>
      </x:c>
      <x:c r="C6" s="201" t="str">
        <x:v>langsame Homogenisierung</x:v>
      </x:c>
      <x:c r="D6" s="201" t="str">
        <x:v>18–21°C</x:v>
      </x:c>
      <x:c r="E6" s="201" t="str">
        <x:v>Behälter-RH überwachen</x:v>
      </x:c>
      <x:c r="F6" s="201" t="str">
        <x:v>kein Fan</x:v>
      </x:c>
      <x:c r="G6" s="201" t="str">
        <x:v>aw bzw. stabile Behälter-RH</x:v>
      </x:c>
      <x:c r="H6" s="35" t="str">
        <x:v>nicht nur 'Stem snap' verwenden</x:v>
      </x:c>
      <x:c r="I6" s="201" t="str">
        <x:v>aw ca. 0.55–0.65; keine starre cultivarunabhängige Endpunktgarantie</x:v>
      </x:c>
      <x:c r="J6" s="1193" t="str">
        <x:v>wissenschaftlich noch nicht standardisiert</x:v>
      </x:c>
      <x:c r="L6" s="1156" t="str">
        <x:v>Lichtkosten €</x:v>
      </x:c>
      <x:c r="M6" s="201" t="str">
        <x:f>IF('01_Run_Config'!$B$39&lt;=0,"",M3*'01_Run_Config'!$B$39)</x:f>
      </x:c>
      <x:c r="N6" s="1193" t="str">
        <x:v>nur wenn Strompreis in Config &gt;0</x:v>
      </x:c>
    </x:row>
    <x:row r="7">
      <x:c r="A7" s="1158" t="str">
        <x:v>Dokumentation</x:v>
      </x:c>
      <x:c r="B7" s="1194" t="str">
        <x:v>nach Endgewicht</x:v>
      </x:c>
      <x:c r="C7" s="1194" t="str">
        <x:v>Runvergleich</x:v>
      </x:c>
      <x:c r="D7" s="1194" t="str">
        <x:v>—</x:v>
      </x:c>
      <x:c r="E7" s="1194" t="str">
        <x:v>—</x:v>
      </x:c>
      <x:c r="F7" s="1194" t="str">
        <x:v>—</x:v>
      </x:c>
      <x:c r="G7" s="1194" t="str">
        <x:v>trockenes Gewicht + Licht-kWh + g/kWh + Fotos</x:v>
      </x:c>
      <x:c r="H7" s="1486" t="str">
        <x:v>gesetzlichen Bestand berücksichtigen</x:v>
      </x:c>
      <x:c r="I7" s="1194" t="str">
        <x:v>Endgewicht dokumentieren</x:v>
      </x:c>
      <x:c r="J7" s="1195" t="str">
        <x:v>Mess-/Rechts-Parameter</x:v>
      </x:c>
      <x:c r="L7" s="1158" t="str">
        <x:v>Legal QA</x:v>
      </x:c>
      <x:c r="M7" s="1194" t="str">
        <x:v>Bestand prüfen</x:v>
      </x:c>
      <x:c r="N7" s="1195" t="str">
        <x:v>Trockengewicht ≠ automatisch zulässiger Lagerbestand</x:v>
      </x:c>
    </x:row>
  </x:sheetData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39" hidden="0" customWidth="1"/>
    <x:col min="8" max="8" width="39" hidden="0" customWidth="1"/>
    <x:col min="9" max="9" width="39" hidden="0" customWidth="1"/>
    <x:col min="10" max="10" width="55" hidden="0" customWidth="1"/>
  </x:cols>
  <x:sheetData>
    <x:row r="1">
      <x:c r="A1" s="14" t="str">
        <x:v>Genetik</x:v>
      </x:c>
      <x:c r="B1" s="14" t="str">
        <x:v>Typ</x:v>
      </x:c>
      <x:c r="C1" s="14" t="str">
        <x:v>Breeder-Zyklus</x:v>
      </x:c>
      <x:c r="D1" s="14" t="str">
        <x:v>Breeder-Höhe</x:v>
      </x:c>
      <x:c r="E1" s="14" t="str">
        <x:v>Training</x:v>
      </x:c>
      <x:c r="F1" s="14" t="str">
        <x:v>UKD-Fit</x:v>
      </x:c>
      <x:c r="G1" s="14" t="str">
        <x:v>Hauptstärke</x:v>
      </x:c>
      <x:c r="H1" s="14" t="str">
        <x:v>Risiko</x:v>
      </x:c>
      <x:c r="I1" s="14" t="str">
        <x:v>Plananpassung</x:v>
      </x:c>
      <x:c r="J1" s="14" t="str">
        <x:v>Quelle</x:v>
      </x:c>
    </x:row>
    <x:row r="2">
      <x:c r="A2" s="1154" t="str">
        <x:v>Double Grape — Mephisto</x:v>
      </x:c>
      <x:c r="B2" s="1204" t="str">
        <x:v>Auto F7</x:v>
      </x:c>
      <x:c r="C2" s="1204" t="str">
        <x:v>70–80 d ab Sprout</x:v>
      </x:c>
      <x:c r="D2" s="1204" t="str">
        <x:v>55–80 cm</x:v>
      </x:c>
      <x:c r="E2" s="1204" t="str">
        <x:v>LST gut</x:v>
      </x:c>
      <x:c r="F2" s="1204" t="str">
        <x:v>95/100</x:v>
      </x:c>
      <x:c r="G2" s="1204" t="str">
        <x:v>kompakt, harzig, dokumentierte F7</x:v>
      </x:c>
      <x:c r="H2" s="1204" t="str">
        <x:v>hohe Potenz; Samenvariabilität bleibt</x:v>
      </x:c>
      <x:c r="I2" s="1204" t="str">
        <x:v>Masterplan Default</x:v>
      </x:c>
      <x:c r="J2" s="1205" t="str">
        <x:v>https://eu.mephistogenetics.com/products/double-grape</x:v>
      </x:c>
    </x:row>
    <x:row r="3">
      <x:c r="A3" s="1156" t="str">
        <x:v>Auto Night Queen — Dutch Passion</x:v>
      </x:c>
      <x:c r="B3" s="201" t="str">
        <x:v>Auto</x:v>
      </x:c>
      <x:c r="C3" s="201" t="str">
        <x:v>~10–11 Wochen</x:v>
      </x:c>
      <x:c r="D3" s="201" t="str">
        <x:v>meist 50–70 cm; &lt;100 cm</x:v>
      </x:c>
      <x:c r="E3" s="201" t="str">
        <x:v>wenig Training nötig</x:v>
      </x:c>
      <x:c r="F3" s="201" t="str">
        <x:v>92/100</x:v>
      </x:c>
      <x:c r="G3" s="201" t="str">
        <x:v>kompakt/robust</x:v>
      </x:c>
      <x:c r="H3" s="201" t="str">
        <x:v>dichte Colas</x:v>
      </x:c>
      <x:c r="I3" s="201" t="str">
        <x:v>LF spät streng überwachen</x:v>
      </x:c>
      <x:c r="J3" s="1193" t="str">
        <x:v>https://dutch-passion.com/de/hanfsamen/auto-night-queen</x:v>
      </x:c>
    </x:row>
    <x:row r="4">
      <x:c r="A4" s="1156" t="str">
        <x:v>Auto Cinderella Jack — Dutch Passion</x:v>
      </x:c>
      <x:c r="B4" s="201" t="str">
        <x:v>Auto</x:v>
      </x:c>
      <x:c r="C4" s="201" t="str">
        <x:v>~10–11 Wochen</x:v>
      </x:c>
      <x:c r="D4" s="201" t="str">
        <x:v>typ. etwa 75–100 cm; Variation möglich</x:v>
      </x:c>
      <x:c r="E4" s="201" t="str">
        <x:v>vorsichtig; Scrog nicht Anfängerfokus</x:v>
      </x:c>
      <x:c r="F4" s="201" t="str">
        <x:v>88/100</x:v>
      </x:c>
      <x:c r="G4" s="201" t="str">
        <x:v>starke Performance-Dokumentation</x:v>
      </x:c>
      <x:c r="H4" s="201" t="str">
        <x:v>Potenz/Volumen; Training anspruchsvoller</x:v>
      </x:c>
      <x:c r="I4" s="201" t="str">
        <x:v>Training konservativer</x:v>
      </x:c>
      <x:c r="J4" s="1193" t="str">
        <x:v>https://dutch-passion.com/de/hanfsamen/auto-cinderella-jack</x:v>
      </x:c>
    </x:row>
    <x:row r="5">
      <x:c r="A5" s="1156" t="str">
        <x:v>Sour Stomper — Mephisto</x:v>
      </x:c>
      <x:c r="B5" s="201" t="str">
        <x:v>Auto F7</x:v>
      </x:c>
      <x:c r="C5" s="201" t="str">
        <x:v>65–75 d</x:v>
      </x:c>
      <x:c r="D5" s="201" t="str">
        <x:v>60–100 cm</x:v>
      </x:c>
      <x:c r="E5" s="201" t="str">
        <x:v>LST</x:v>
      </x:c>
      <x:c r="F5" s="201" t="str">
        <x:v>89/100</x:v>
      </x:c>
      <x:c r="G5" s="201" t="str">
        <x:v>Aroma/Homogenität</x:v>
      </x:c>
      <x:c r="H5" s="201" t="str">
        <x:v>Stretch/Geruch</x:v>
      </x:c>
      <x:c r="I5" s="201" t="str">
        <x:v>früheres Canopy-Management</x:v>
      </x:c>
      <x:c r="J5" s="1193" t="str">
        <x:v>https://eu.mephistogenetics.com/products/sour-stomper</x:v>
      </x:c>
    </x:row>
    <x:row r="6">
      <x:c r="A6" s="1233" t="str">
        <x:v>Banana Purple Punch Auto RF3 — Fast Buds</x:v>
      </x:c>
      <x:c r="B6" s="64" t="str">
        <x:v>Auto RF3</x:v>
      </x:c>
      <x:c r="C6" s="64" t="str">
        <x:v>8–9 Wochen</x:v>
      </x:c>
      <x:c r="D6" s="64" t="str">
        <x:v>80–150 cm</x:v>
      </x:c>
      <x:c r="E6" s="64" t="str">
        <x:v>LST vorsichtig</x:v>
      </x:c>
      <x:c r="F6" s="64" t="str">
        <x:v>82/100</x:v>
      </x:c>
      <x:c r="G6" s="64" t="str">
        <x:v>moderne Harz-/Dessertqualität</x:v>
      </x:c>
      <x:c r="H6" s="64" t="str">
        <x:v>bis 150 cm: deutlich höheres Zelt-/Stretchrisiko</x:v>
      </x:c>
      <x:c r="I6" s="64" t="str">
        <x:v>früh trainieren; Höhe eng beobachten</x:v>
      </x:c>
      <x:c r="J6" s="1234" t="str">
        <x:v>https://2fast4buds.com/de/seeds/banana-purple-punch-auto</x:v>
      </x:c>
    </x:row>
    <x:row r="7">
      <x:c r="A7" s="1158" t="str">
        <x:v>24 Carat — Mephisto</x:v>
      </x:c>
      <x:c r="B7" s="1194" t="str">
        <x:v>Auto F7</x:v>
      </x:c>
      <x:c r="C7" s="1194" t="str">
        <x:v>65–75 d</x:v>
      </x:c>
      <x:c r="D7" s="1194" t="str">
        <x:v>40–60 cm</x:v>
      </x:c>
      <x:c r="E7" s="1194" t="str">
        <x:v>minimal/moderat</x:v>
      </x:c>
      <x:c r="F7" s="1194" t="str">
        <x:v>93/100</x:v>
      </x:c>
      <x:c r="G7" s="1194" t="str">
        <x:v>extrem kompakter Kontrollkandidat</x:v>
      </x:c>
      <x:c r="H7" s="1194" t="str">
        <x:v>weniger Canopy-Füllung möglich</x:v>
      </x:c>
      <x:c r="I7" s="1194" t="str">
        <x:v>sehr interessant für 60×60 Low-maintenance Vergleich</x:v>
      </x:c>
      <x:c r="J7" s="1195" t="str">
        <x:v>https://eu.mephistogenetics.com/products/24-carat</x:v>
      </x:c>
    </x:row>
  </x:sheetData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5.5" hidden="0" customWidth="1"/>
    <x:col min="3" max="3" width="5.5" hidden="0" customWidth="1"/>
    <x:col min="4" max="4" width="5.5" hidden="0" customWidth="1"/>
    <x:col min="5" max="5" width="5.5" hidden="0" customWidth="1"/>
    <x:col min="6" max="6" width="5.5" hidden="0" customWidth="1"/>
    <x:col min="7" max="7" width="5.5" hidden="0" customWidth="1"/>
    <x:col min="8" max="8" width="5.5" hidden="0" customWidth="1"/>
    <x:col min="9" max="9" width="5.5" hidden="0" customWidth="1"/>
    <x:col min="10" max="10" width="5.5" hidden="0" customWidth="1"/>
    <x:col min="11" max="11" width="5.5" hidden="0" customWidth="1"/>
    <x:col min="12" max="12" width="5.5" hidden="0" customWidth="1"/>
    <x:col min="13" max="13" width="5.5" hidden="0" customWidth="1"/>
    <x:col min="14" max="14" width="5.5" hidden="0" customWidth="1"/>
    <x:col min="15" max="15" width="5.5" hidden="0" customWidth="1"/>
    <x:col min="16" max="16" width="5.5" hidden="0" customWidth="1"/>
    <x:col min="17" max="17" width="5.5" hidden="0" customWidth="1"/>
    <x:col min="18" max="18" width="5.5" hidden="0" customWidth="1"/>
    <x:col min="19" max="19" width="5.5" hidden="0" customWidth="1"/>
    <x:col min="20" max="20" width="5.5" hidden="0" customWidth="1"/>
    <x:col min="21" max="21" width="5.5" hidden="0" customWidth="1"/>
    <x:col min="22" max="22" width="5.5" hidden="0" customWidth="1"/>
    <x:col min="23" max="23" width="5.5" hidden="0" customWidth="1"/>
    <x:col min="24" max="24" width="5.5" hidden="0" customWidth="1"/>
    <x:col min="25" max="25" width="5.5" hidden="0" customWidth="1"/>
    <x:col min="26" max="26" width="5.5" hidden="0" customWidth="1"/>
    <x:col min="27" max="27" width="5.5" hidden="0" customWidth="1"/>
    <x:col min="28" max="28" width="5.5" hidden="0" customWidth="1"/>
    <x:col min="29" max="29" width="5.5" hidden="0" customWidth="1"/>
  </x:cols>
  <x:sheetData>
    <x:row r="1">
      <x:c r="A1" s="1292" t="str">
        <x:v>UKD Produkt×Produkt-Kompatibilitätsmatrix (Reference-Logik, nicht bloße Hersteller-Mischbarkeit)</x:v>
      </x:c>
      <x:c r="B1" s="1293"/>
      <x:c r="C1" s="1293"/>
      <x:c r="D1" s="1293"/>
      <x:c r="E1" s="1293"/>
      <x:c r="F1" s="1293"/>
      <x:c r="G1" s="1293"/>
      <x:c r="H1" s="1293"/>
      <x:c r="I1" s="1293"/>
      <x:c r="J1" s="1293"/>
      <x:c r="K1" s="1293"/>
      <x:c r="L1" s="1293"/>
      <x:c r="M1" s="1293"/>
      <x:c r="N1" s="1293"/>
      <x:c r="O1" s="1293"/>
      <x:c r="P1" s="1293"/>
      <x:c r="Q1" s="1293"/>
      <x:c r="R1" s="1293"/>
      <x:c r="S1" s="1293"/>
      <x:c r="T1" s="1293"/>
      <x:c r="U1" s="1293"/>
      <x:c r="V1" s="1293"/>
      <x:c r="W1" s="1293"/>
      <x:c r="X1" s="1293"/>
      <x:c r="Y1" s="1293"/>
      <x:c r="Z1" s="1293"/>
      <x:c r="AA1" s="1293"/>
      <x:c r="AB1" s="1294"/>
      <x:c r="AC1" s="1297"/>
    </x:row>
    <x:row r="2">
      <x:c r="A2" s="28"/>
      <x:c r="B2" s="60"/>
      <x:c r="C2" s="60"/>
      <x:c r="D2" s="60"/>
      <x:c r="E2" s="60"/>
      <x:c r="F2" s="60"/>
      <x:c r="G2" s="60"/>
      <x:c r="H2" s="60"/>
      <x:c r="I2" s="60"/>
      <x:c r="J2" s="60"/>
      <x:c r="K2" s="60"/>
      <x:c r="L2" s="60"/>
      <x:c r="M2" s="60"/>
      <x:c r="N2" s="60"/>
      <x:c r="O2" s="60"/>
      <x:c r="P2" s="60"/>
      <x:c r="Q2" s="60"/>
      <x:c r="R2" s="60"/>
      <x:c r="S2" s="60"/>
      <x:c r="T2" s="60"/>
      <x:c r="U2" s="60"/>
      <x:c r="V2" s="60"/>
      <x:c r="W2" s="60"/>
      <x:c r="X2" s="60"/>
      <x:c r="Y2" s="60"/>
      <x:c r="Z2" s="60"/>
      <x:c r="AA2" s="60"/>
      <x:c r="AB2" s="29"/>
    </x:row>
    <x:row r="3">
      <x:c r="A3" s="789" t="str">
        <x:v>Produkt</x:v>
      </x:c>
      <x:c r="B3" s="790" t="str">
        <x:v>UGro Rhiza</x:v>
      </x:c>
      <x:c r="C3" s="790" t="str">
        <x:v>HESI TNT</x:v>
      </x:c>
      <x:c r="D3" s="790" t="str">
        <x:v>HESI Coco</x:v>
      </x:c>
      <x:c r="E3" s="790" t="str">
        <x:v>Wurzel Complex</x:v>
      </x:c>
      <x:c r="F3" s="790" t="str">
        <x:v>PowerZyme</x:v>
      </x:c>
      <x:c r="G3" s="790" t="str">
        <x:v>SuperVit</x:v>
      </x:c>
      <x:c r="H3" s="790" t="str">
        <x:v>HESI Boost</x:v>
      </x:c>
      <x:c r="I3" s="790" t="str">
        <x:v>PK 13/14</x:v>
      </x:c>
      <x:c r="J3" s="790" t="str">
        <x:v>HESI CalMag</x:v>
      </x:c>
      <x:c r="K3" s="790" t="str">
        <x:v>Hesilicio</x:v>
      </x:c>
      <x:c r="L3" s="790" t="str">
        <x:v>pH Perfect Sensi Coco</x:v>
      </x:c>
      <x:c r="M3" s="790" t="str">
        <x:v>Voodoo</x:v>
      </x:c>
      <x:c r="N3" s="790" t="str">
        <x:v>Piranha</x:v>
      </x:c>
      <x:c r="O3" s="790" t="str">
        <x:v>Tarantula</x:v>
      </x:c>
      <x:c r="P3" s="790" t="str">
        <x:v>B-52</x:v>
      </x:c>
      <x:c r="Q3" s="790" t="str">
        <x:v>Rhino Skin</x:v>
      </x:c>
      <x:c r="R3" s="790" t="str">
        <x:v>Sensizym</x:v>
      </x:c>
      <x:c r="S3" s="790" t="str">
        <x:v>Big Bud</x:v>
      </x:c>
      <x:c r="T3" s="790" t="str">
        <x:v>Big Bud Coco</x:v>
      </x:c>
      <x:c r="U3" s="790" t="str">
        <x:v>Bud Ignitor</x:v>
      </x:c>
      <x:c r="V3" s="790" t="str">
        <x:v>Overdrive</x:v>
      </x:c>
      <x:c r="W3" s="790" t="str">
        <x:v>Bud Candy</x:v>
      </x:c>
      <x:c r="X3" s="790" t="str">
        <x:v>CarboLoad</x:v>
      </x:c>
      <x:c r="Y3" s="790" t="str">
        <x:v>Sensi CalMag Xtra</x:v>
      </x:c>
      <x:c r="Z3" s="790" t="str">
        <x:v>Flo &amp; Gro</x:v>
      </x:c>
      <x:c r="AA3" s="790" t="str">
        <x:v>pH Up</x:v>
      </x:c>
      <x:c r="AB3" s="795" t="str">
        <x:v>pH Down</x:v>
      </x:c>
      <x:c r="AC3" s="790" t="str">
        <x:v>Athena Balance</x:v>
      </x:c>
    </x:row>
    <x:row r="4">
      <x:c r="A4" s="789" t="str">
        <x:v>UGro Rhiza</x:v>
      </x:c>
      <x:c r="B4" s="60" t="str">
        <x:v>—</x:v>
      </x:c>
      <x:c r="C4" s="60" t="str">
        <x:v>✅</x:v>
      </x:c>
      <x:c r="D4" s="60" t="str">
        <x:v>✅</x:v>
      </x:c>
      <x:c r="E4" s="60" t="str">
        <x:v>✅</x:v>
      </x:c>
      <x:c r="F4" s="60" t="str">
        <x:v>✅</x:v>
      </x:c>
      <x:c r="G4" s="60" t="str">
        <x:v>✅</x:v>
      </x:c>
      <x:c r="H4" s="60" t="str">
        <x:v>✅</x:v>
      </x:c>
      <x:c r="I4" s="60" t="str">
        <x:v>✅</x:v>
      </x:c>
      <x:c r="J4" s="60" t="str">
        <x:v>✅</x:v>
      </x:c>
      <x:c r="K4" s="60" t="str">
        <x:v>✅</x:v>
      </x:c>
      <x:c r="L4" s="60" t="str">
        <x:v>✅</x:v>
      </x:c>
      <x:c r="M4" s="60" t="str">
        <x:v>🧪</x:v>
      </x:c>
      <x:c r="N4" s="60" t="str">
        <x:v>R</x:v>
      </x:c>
      <x:c r="O4" s="60" t="str">
        <x:v>🧪</x:v>
      </x:c>
      <x:c r="P4" s="60" t="str">
        <x:v>✅</x:v>
      </x:c>
      <x:c r="Q4" s="60" t="str">
        <x:v>✅</x:v>
      </x:c>
      <x:c r="R4" s="60" t="str">
        <x:v>✅</x:v>
      </x:c>
      <x:c r="S4" s="60" t="str">
        <x:v>✅</x:v>
      </x:c>
      <x:c r="T4" s="60" t="str">
        <x:v>✅</x:v>
      </x:c>
      <x:c r="U4" s="60" t="str">
        <x:v>✅</x:v>
      </x:c>
      <x:c r="V4" s="60" t="str">
        <x:v>✅</x:v>
      </x:c>
      <x:c r="W4" s="60" t="str">
        <x:v>✅</x:v>
      </x:c>
      <x:c r="X4" s="60" t="str">
        <x:v>✅</x:v>
      </x:c>
      <x:c r="Y4" s="60" t="str">
        <x:v>✅</x:v>
      </x:c>
      <x:c r="Z4" s="60" t="str">
        <x:v>⚠</x:v>
      </x:c>
      <x:c r="AA4" s="60" t="str">
        <x:v>◐</x:v>
      </x:c>
      <x:c r="AB4" s="29" t="str">
        <x:v>◐</x:v>
      </x:c>
      <x:c r="AC4" s="278" t="str">
        <x:v>◐</x:v>
      </x:c>
    </x:row>
    <x:row r="5">
      <x:c r="A5" s="789" t="str">
        <x:v>HESI TNT</x:v>
      </x:c>
      <x:c r="B5" s="60" t="str">
        <x:v>✅</x:v>
      </x:c>
      <x:c r="C5" s="60" t="str">
        <x:v>—</x:v>
      </x:c>
      <x:c r="D5" s="60" t="str">
        <x:v>↔</x:v>
      </x:c>
      <x:c r="E5" s="60" t="str">
        <x:v>✅</x:v>
      </x:c>
      <x:c r="F5" s="60" t="str">
        <x:v>✅</x:v>
      </x:c>
      <x:c r="G5" s="60" t="str">
        <x:v>✅</x:v>
      </x:c>
      <x:c r="H5" s="60" t="str">
        <x:v>✅</x:v>
      </x:c>
      <x:c r="I5" s="60" t="str">
        <x:v>✅</x:v>
      </x:c>
      <x:c r="J5" s="60" t="str">
        <x:v>✅</x:v>
      </x:c>
      <x:c r="K5" s="60" t="str">
        <x:v>✅</x:v>
      </x:c>
      <x:c r="L5" s="60" t="str">
        <x:v>✖</x:v>
      </x:c>
      <x:c r="M5" s="60" t="str">
        <x:v>✅</x:v>
      </x:c>
      <x:c r="N5" s="60" t="str">
        <x:v>✅</x:v>
      </x:c>
      <x:c r="O5" s="60" t="str">
        <x:v>✅</x:v>
      </x:c>
      <x:c r="P5" s="60" t="str">
        <x:v>✅</x:v>
      </x:c>
      <x:c r="Q5" s="60" t="str">
        <x:v>✅</x:v>
      </x:c>
      <x:c r="R5" s="60" t="str">
        <x:v>✅</x:v>
      </x:c>
      <x:c r="S5" s="60" t="str">
        <x:v>✅</x:v>
      </x:c>
      <x:c r="T5" s="60" t="str">
        <x:v>✅</x:v>
      </x:c>
      <x:c r="U5" s="60" t="str">
        <x:v>✅</x:v>
      </x:c>
      <x:c r="V5" s="60" t="str">
        <x:v>✅</x:v>
      </x:c>
      <x:c r="W5" s="60" t="str">
        <x:v>✅</x:v>
      </x:c>
      <x:c r="X5" s="60" t="str">
        <x:v>✅</x:v>
      </x:c>
      <x:c r="Y5" s="60" t="str">
        <x:v>✅</x:v>
      </x:c>
      <x:c r="Z5" s="60" t="str">
        <x:v>✅</x:v>
      </x:c>
      <x:c r="AA5" s="60" t="str">
        <x:v>◐</x:v>
      </x:c>
      <x:c r="AB5" s="29" t="str">
        <x:v>◐</x:v>
      </x:c>
      <x:c r="AC5" s="279" t="str">
        <x:v>◐</x:v>
      </x:c>
    </x:row>
    <x:row r="6">
      <x:c r="A6" s="789" t="str">
        <x:v>HESI Coco</x:v>
      </x:c>
      <x:c r="B6" s="60" t="str">
        <x:v>✅</x:v>
      </x:c>
      <x:c r="C6" s="60" t="str">
        <x:v>↔</x:v>
      </x:c>
      <x:c r="D6" s="60" t="str">
        <x:v>—</x:v>
      </x:c>
      <x:c r="E6" s="60" t="str">
        <x:v>✅</x:v>
      </x:c>
      <x:c r="F6" s="60" t="str">
        <x:v>✅</x:v>
      </x:c>
      <x:c r="G6" s="60" t="str">
        <x:v>✅</x:v>
      </x:c>
      <x:c r="H6" s="60" t="str">
        <x:v>✅</x:v>
      </x:c>
      <x:c r="I6" s="60" t="str">
        <x:v>✅</x:v>
      </x:c>
      <x:c r="J6" s="60" t="str">
        <x:v>◐</x:v>
      </x:c>
      <x:c r="K6" s="60" t="str">
        <x:v>✅</x:v>
      </x:c>
      <x:c r="L6" s="60" t="str">
        <x:v>✖</x:v>
      </x:c>
      <x:c r="M6" s="60" t="str">
        <x:v>✅</x:v>
      </x:c>
      <x:c r="N6" s="60" t="str">
        <x:v>✅</x:v>
      </x:c>
      <x:c r="O6" s="60" t="str">
        <x:v>✅</x:v>
      </x:c>
      <x:c r="P6" s="60" t="str">
        <x:v>✅</x:v>
      </x:c>
      <x:c r="Q6" s="60" t="str">
        <x:v>✅</x:v>
      </x:c>
      <x:c r="R6" s="60" t="str">
        <x:v>✅</x:v>
      </x:c>
      <x:c r="S6" s="60" t="str">
        <x:v>✅</x:v>
      </x:c>
      <x:c r="T6" s="60" t="str">
        <x:v>⚠</x:v>
      </x:c>
      <x:c r="U6" s="60" t="str">
        <x:v>✅</x:v>
      </x:c>
      <x:c r="V6" s="60" t="str">
        <x:v>✅</x:v>
      </x:c>
      <x:c r="W6" s="60" t="str">
        <x:v>✅</x:v>
      </x:c>
      <x:c r="X6" s="60" t="str">
        <x:v>✅</x:v>
      </x:c>
      <x:c r="Y6" s="60" t="str">
        <x:v>⚠</x:v>
      </x:c>
      <x:c r="Z6" s="60" t="str">
        <x:v>✅</x:v>
      </x:c>
      <x:c r="AA6" s="60" t="str">
        <x:v>◐</x:v>
      </x:c>
      <x:c r="AB6" s="29" t="str">
        <x:v>◐</x:v>
      </x:c>
      <x:c r="AC6" s="279" t="str">
        <x:v>◐</x:v>
      </x:c>
    </x:row>
    <x:row r="7">
      <x:c r="A7" s="789" t="str">
        <x:v>Wurzel Complex</x:v>
      </x:c>
      <x:c r="B7" s="60" t="str">
        <x:v>✅</x:v>
      </x:c>
      <x:c r="C7" s="60" t="str">
        <x:v>✅</x:v>
      </x:c>
      <x:c r="D7" s="60" t="str">
        <x:v>✅</x:v>
      </x:c>
      <x:c r="E7" s="60" t="str">
        <x:v>—</x:v>
      </x:c>
      <x:c r="F7" s="60" t="str">
        <x:v>✅</x:v>
      </x:c>
      <x:c r="G7" s="60" t="str">
        <x:v>✅</x:v>
      </x:c>
      <x:c r="H7" s="60" t="str">
        <x:v>✅</x:v>
      </x:c>
      <x:c r="I7" s="60" t="str">
        <x:v>✅</x:v>
      </x:c>
      <x:c r="J7" s="60" t="str">
        <x:v>✅</x:v>
      </x:c>
      <x:c r="K7" s="60" t="str">
        <x:v>✅</x:v>
      </x:c>
      <x:c r="L7" s="60" t="str">
        <x:v>⚠</x:v>
      </x:c>
      <x:c r="M7" s="60" t="str">
        <x:v>🧪</x:v>
      </x:c>
      <x:c r="N7" s="60" t="str">
        <x:v>🧪</x:v>
      </x:c>
      <x:c r="O7" s="60" t="str">
        <x:v>🧪</x:v>
      </x:c>
      <x:c r="P7" s="60" t="str">
        <x:v>✅</x:v>
      </x:c>
      <x:c r="Q7" s="60" t="str">
        <x:v>✅</x:v>
      </x:c>
      <x:c r="R7" s="60" t="str">
        <x:v>✅</x:v>
      </x:c>
      <x:c r="S7" s="60" t="str">
        <x:v>✅</x:v>
      </x:c>
      <x:c r="T7" s="60" t="str">
        <x:v>✅</x:v>
      </x:c>
      <x:c r="U7" s="60" t="str">
        <x:v>✅</x:v>
      </x:c>
      <x:c r="V7" s="60" t="str">
        <x:v>✅</x:v>
      </x:c>
      <x:c r="W7" s="60" t="str">
        <x:v>✅</x:v>
      </x:c>
      <x:c r="X7" s="60" t="str">
        <x:v>✅</x:v>
      </x:c>
      <x:c r="Y7" s="60" t="str">
        <x:v>✅</x:v>
      </x:c>
      <x:c r="Z7" s="60" t="str">
        <x:v>✅</x:v>
      </x:c>
      <x:c r="AA7" s="60" t="str">
        <x:v>◐</x:v>
      </x:c>
      <x:c r="AB7" s="29" t="str">
        <x:v>◐</x:v>
      </x:c>
      <x:c r="AC7" s="279" t="str">
        <x:v>◐</x:v>
      </x:c>
    </x:row>
    <x:row r="8">
      <x:c r="A8" s="789" t="str">
        <x:v>PowerZyme</x:v>
      </x:c>
      <x:c r="B8" s="60" t="str">
        <x:v>✅</x:v>
      </x:c>
      <x:c r="C8" s="60" t="str">
        <x:v>✅</x:v>
      </x:c>
      <x:c r="D8" s="60" t="str">
        <x:v>✅</x:v>
      </x:c>
      <x:c r="E8" s="60" t="str">
        <x:v>✅</x:v>
      </x:c>
      <x:c r="F8" s="60" t="str">
        <x:v>—</x:v>
      </x:c>
      <x:c r="G8" s="60" t="str">
        <x:v>✅</x:v>
      </x:c>
      <x:c r="H8" s="60" t="str">
        <x:v>✅</x:v>
      </x:c>
      <x:c r="I8" s="60" t="str">
        <x:v>✅</x:v>
      </x:c>
      <x:c r="J8" s="60" t="str">
        <x:v>✅</x:v>
      </x:c>
      <x:c r="K8" s="60" t="str">
        <x:v>✅</x:v>
      </x:c>
      <x:c r="L8" s="60" t="str">
        <x:v>⚠</x:v>
      </x:c>
      <x:c r="M8" s="60" t="str">
        <x:v>✅</x:v>
      </x:c>
      <x:c r="N8" s="60" t="str">
        <x:v>✅</x:v>
      </x:c>
      <x:c r="O8" s="60" t="str">
        <x:v>✅</x:v>
      </x:c>
      <x:c r="P8" s="60" t="str">
        <x:v>✅</x:v>
      </x:c>
      <x:c r="Q8" s="60" t="str">
        <x:v>✅</x:v>
      </x:c>
      <x:c r="R8" s="60" t="str">
        <x:v>R</x:v>
      </x:c>
      <x:c r="S8" s="60" t="str">
        <x:v>✅</x:v>
      </x:c>
      <x:c r="T8" s="60" t="str">
        <x:v>✅</x:v>
      </x:c>
      <x:c r="U8" s="60" t="str">
        <x:v>✅</x:v>
      </x:c>
      <x:c r="V8" s="60" t="str">
        <x:v>✅</x:v>
      </x:c>
      <x:c r="W8" s="60" t="str">
        <x:v>✅</x:v>
      </x:c>
      <x:c r="X8" s="60" t="str">
        <x:v>✅</x:v>
      </x:c>
      <x:c r="Y8" s="60" t="str">
        <x:v>✅</x:v>
      </x:c>
      <x:c r="Z8" s="60" t="str">
        <x:v>✅</x:v>
      </x:c>
      <x:c r="AA8" s="60" t="str">
        <x:v>◐</x:v>
      </x:c>
      <x:c r="AB8" s="29" t="str">
        <x:v>◐</x:v>
      </x:c>
      <x:c r="AC8" s="279" t="str">
        <x:v>◐</x:v>
      </x:c>
    </x:row>
    <x:row r="9">
      <x:c r="A9" s="789" t="str">
        <x:v>SuperVit</x:v>
      </x:c>
      <x:c r="B9" s="60" t="str">
        <x:v>✅</x:v>
      </x:c>
      <x:c r="C9" s="60" t="str">
        <x:v>✅</x:v>
      </x:c>
      <x:c r="D9" s="60" t="str">
        <x:v>✅</x:v>
      </x:c>
      <x:c r="E9" s="60" t="str">
        <x:v>✅</x:v>
      </x:c>
      <x:c r="F9" s="60" t="str">
        <x:v>✅</x:v>
      </x:c>
      <x:c r="G9" s="60" t="str">
        <x:v>—</x:v>
      </x:c>
      <x:c r="H9" s="60" t="str">
        <x:v>✅</x:v>
      </x:c>
      <x:c r="I9" s="60" t="str">
        <x:v>✅</x:v>
      </x:c>
      <x:c r="J9" s="60" t="str">
        <x:v>✅</x:v>
      </x:c>
      <x:c r="K9" s="60" t="str">
        <x:v>✅</x:v>
      </x:c>
      <x:c r="L9" s="60" t="str">
        <x:v>⚠</x:v>
      </x:c>
      <x:c r="M9" s="60" t="str">
        <x:v>✅</x:v>
      </x:c>
      <x:c r="N9" s="60" t="str">
        <x:v>✅</x:v>
      </x:c>
      <x:c r="O9" s="60" t="str">
        <x:v>✅</x:v>
      </x:c>
      <x:c r="P9" s="60" t="str">
        <x:v>✅</x:v>
      </x:c>
      <x:c r="Q9" s="60" t="str">
        <x:v>✅</x:v>
      </x:c>
      <x:c r="R9" s="60" t="str">
        <x:v>✅</x:v>
      </x:c>
      <x:c r="S9" s="60" t="str">
        <x:v>✅</x:v>
      </x:c>
      <x:c r="T9" s="60" t="str">
        <x:v>✅</x:v>
      </x:c>
      <x:c r="U9" s="60" t="str">
        <x:v>✅</x:v>
      </x:c>
      <x:c r="V9" s="60" t="str">
        <x:v>✅</x:v>
      </x:c>
      <x:c r="W9" s="60" t="str">
        <x:v>✅</x:v>
      </x:c>
      <x:c r="X9" s="60" t="str">
        <x:v>✅</x:v>
      </x:c>
      <x:c r="Y9" s="60" t="str">
        <x:v>✅</x:v>
      </x:c>
      <x:c r="Z9" s="60" t="str">
        <x:v>✅</x:v>
      </x:c>
      <x:c r="AA9" s="60" t="str">
        <x:v>◐</x:v>
      </x:c>
      <x:c r="AB9" s="29" t="str">
        <x:v>◐</x:v>
      </x:c>
      <x:c r="AC9" s="279" t="str">
        <x:v>◐</x:v>
      </x:c>
    </x:row>
    <x:row r="10">
      <x:c r="A10" s="789" t="str">
        <x:v>HESI Boost</x:v>
      </x:c>
      <x:c r="B10" s="60" t="str">
        <x:v>✅</x:v>
      </x:c>
      <x:c r="C10" s="60" t="str">
        <x:v>✅</x:v>
      </x:c>
      <x:c r="D10" s="60" t="str">
        <x:v>✅</x:v>
      </x:c>
      <x:c r="E10" s="60" t="str">
        <x:v>✅</x:v>
      </x:c>
      <x:c r="F10" s="60" t="str">
        <x:v>✅</x:v>
      </x:c>
      <x:c r="G10" s="60" t="str">
        <x:v>✅</x:v>
      </x:c>
      <x:c r="H10" s="60" t="str">
        <x:v>—</x:v>
      </x:c>
      <x:c r="I10" s="60" t="str">
        <x:v>✅</x:v>
      </x:c>
      <x:c r="J10" s="60" t="str">
        <x:v>✅</x:v>
      </x:c>
      <x:c r="K10" s="60" t="str">
        <x:v>✅</x:v>
      </x:c>
      <x:c r="L10" s="60" t="str">
        <x:v>⚠</x:v>
      </x:c>
      <x:c r="M10" s="60" t="str">
        <x:v>T</x:v>
      </x:c>
      <x:c r="N10" s="60" t="str">
        <x:v>T</x:v>
      </x:c>
      <x:c r="O10" s="60" t="str">
        <x:v>T</x:v>
      </x:c>
      <x:c r="P10" s="60" t="str">
        <x:v>✅</x:v>
      </x:c>
      <x:c r="Q10" s="60" t="str">
        <x:v>✅</x:v>
      </x:c>
      <x:c r="R10" s="60" t="str">
        <x:v>✅</x:v>
      </x:c>
      <x:c r="S10" s="60" t="str">
        <x:v>✅</x:v>
      </x:c>
      <x:c r="T10" s="60" t="str">
        <x:v>✅</x:v>
      </x:c>
      <x:c r="U10" s="60" t="str">
        <x:v>✅</x:v>
      </x:c>
      <x:c r="V10" s="60" t="str">
        <x:v>✅</x:v>
      </x:c>
      <x:c r="W10" s="60" t="str">
        <x:v>R</x:v>
      </x:c>
      <x:c r="X10" s="60" t="str">
        <x:v>R</x:v>
      </x:c>
      <x:c r="Y10" s="60" t="str">
        <x:v>✅</x:v>
      </x:c>
      <x:c r="Z10" s="60" t="str">
        <x:v>✅</x:v>
      </x:c>
      <x:c r="AA10" s="60" t="str">
        <x:v>◐</x:v>
      </x:c>
      <x:c r="AB10" s="29" t="str">
        <x:v>◐</x:v>
      </x:c>
      <x:c r="AC10" s="279" t="str">
        <x:v>◐</x:v>
      </x:c>
    </x:row>
    <x:row r="11">
      <x:c r="A11" s="789" t="str">
        <x:v>PK 13/14</x:v>
      </x:c>
      <x:c r="B11" s="60" t="str">
        <x:v>✅</x:v>
      </x:c>
      <x:c r="C11" s="60" t="str">
        <x:v>✅</x:v>
      </x:c>
      <x:c r="D11" s="60" t="str">
        <x:v>✅</x:v>
      </x:c>
      <x:c r="E11" s="60" t="str">
        <x:v>✅</x:v>
      </x:c>
      <x:c r="F11" s="60" t="str">
        <x:v>✅</x:v>
      </x:c>
      <x:c r="G11" s="60" t="str">
        <x:v>✅</x:v>
      </x:c>
      <x:c r="H11" s="60" t="str">
        <x:v>✅</x:v>
      </x:c>
      <x:c r="I11" s="60" t="str">
        <x:v>—</x:v>
      </x:c>
      <x:c r="J11" s="60" t="str">
        <x:v>✅</x:v>
      </x:c>
      <x:c r="K11" s="60" t="str">
        <x:v>✅</x:v>
      </x:c>
      <x:c r="L11" s="60" t="str">
        <x:v>⚠</x:v>
      </x:c>
      <x:c r="M11" s="60" t="str">
        <x:v>✅</x:v>
      </x:c>
      <x:c r="N11" s="60" t="str">
        <x:v>✅</x:v>
      </x:c>
      <x:c r="O11" s="60" t="str">
        <x:v>✅</x:v>
      </x:c>
      <x:c r="P11" s="60" t="str">
        <x:v>✅</x:v>
      </x:c>
      <x:c r="Q11" s="60" t="str">
        <x:v>✅</x:v>
      </x:c>
      <x:c r="R11" s="60" t="str">
        <x:v>✅</x:v>
      </x:c>
      <x:c r="S11" s="60" t="str">
        <x:v>⚠</x:v>
      </x:c>
      <x:c r="T11" s="60" t="str">
        <x:v>⚠</x:v>
      </x:c>
      <x:c r="U11" s="60" t="str">
        <x:v>⚠</x:v>
      </x:c>
      <x:c r="V11" s="60" t="str">
        <x:v>⚠</x:v>
      </x:c>
      <x:c r="W11" s="60" t="str">
        <x:v>✅</x:v>
      </x:c>
      <x:c r="X11" s="60" t="str">
        <x:v>✅</x:v>
      </x:c>
      <x:c r="Y11" s="60" t="str">
        <x:v>✅</x:v>
      </x:c>
      <x:c r="Z11" s="60" t="str">
        <x:v>✅</x:v>
      </x:c>
      <x:c r="AA11" s="60" t="str">
        <x:v>◐</x:v>
      </x:c>
      <x:c r="AB11" s="29" t="str">
        <x:v>◐</x:v>
      </x:c>
      <x:c r="AC11" s="279" t="str">
        <x:v>⚠</x:v>
      </x:c>
    </x:row>
    <x:row r="12">
      <x:c r="A12" s="789" t="str">
        <x:v>HESI CalMag</x:v>
      </x:c>
      <x:c r="B12" s="60" t="str">
        <x:v>✅</x:v>
      </x:c>
      <x:c r="C12" s="60" t="str">
        <x:v>✅</x:v>
      </x:c>
      <x:c r="D12" s="60" t="str">
        <x:v>◐</x:v>
      </x:c>
      <x:c r="E12" s="60" t="str">
        <x:v>✅</x:v>
      </x:c>
      <x:c r="F12" s="60" t="str">
        <x:v>✅</x:v>
      </x:c>
      <x:c r="G12" s="60" t="str">
        <x:v>✅</x:v>
      </x:c>
      <x:c r="H12" s="60" t="str">
        <x:v>✅</x:v>
      </x:c>
      <x:c r="I12" s="60" t="str">
        <x:v>✅</x:v>
      </x:c>
      <x:c r="J12" s="60" t="str">
        <x:v>—</x:v>
      </x:c>
      <x:c r="K12" s="60" t="str">
        <x:v>✅</x:v>
      </x:c>
      <x:c r="L12" s="60" t="str">
        <x:v>⚠</x:v>
      </x:c>
      <x:c r="M12" s="60" t="str">
        <x:v>✅</x:v>
      </x:c>
      <x:c r="N12" s="60" t="str">
        <x:v>✅</x:v>
      </x:c>
      <x:c r="O12" s="60" t="str">
        <x:v>✅</x:v>
      </x:c>
      <x:c r="P12" s="60" t="str">
        <x:v>✅</x:v>
      </x:c>
      <x:c r="Q12" s="60" t="str">
        <x:v>✅</x:v>
      </x:c>
      <x:c r="R12" s="60" t="str">
        <x:v>✅</x:v>
      </x:c>
      <x:c r="S12" s="60" t="str">
        <x:v>✅</x:v>
      </x:c>
      <x:c r="T12" s="60" t="str">
        <x:v>✅</x:v>
      </x:c>
      <x:c r="U12" s="60" t="str">
        <x:v>✅</x:v>
      </x:c>
      <x:c r="V12" s="60" t="str">
        <x:v>✅</x:v>
      </x:c>
      <x:c r="W12" s="60" t="str">
        <x:v>✅</x:v>
      </x:c>
      <x:c r="X12" s="60" t="str">
        <x:v>✅</x:v>
      </x:c>
      <x:c r="Y12" s="60" t="str">
        <x:v>R</x:v>
      </x:c>
      <x:c r="Z12" s="60" t="str">
        <x:v>✅</x:v>
      </x:c>
      <x:c r="AA12" s="60" t="str">
        <x:v>◐</x:v>
      </x:c>
      <x:c r="AB12" s="29" t="str">
        <x:v>◐</x:v>
      </x:c>
      <x:c r="AC12" s="279" t="str">
        <x:v>◐</x:v>
      </x:c>
    </x:row>
    <x:row r="13">
      <x:c r="A13" s="789" t="str">
        <x:v>Hesilicio</x:v>
      </x:c>
      <x:c r="B13" s="60" t="str">
        <x:v>✅</x:v>
      </x:c>
      <x:c r="C13" s="60" t="str">
        <x:v>✅</x:v>
      </x:c>
      <x:c r="D13" s="60" t="str">
        <x:v>✅</x:v>
      </x:c>
      <x:c r="E13" s="60" t="str">
        <x:v>✅</x:v>
      </x:c>
      <x:c r="F13" s="60" t="str">
        <x:v>✅</x:v>
      </x:c>
      <x:c r="G13" s="60" t="str">
        <x:v>✅</x:v>
      </x:c>
      <x:c r="H13" s="60" t="str">
        <x:v>✅</x:v>
      </x:c>
      <x:c r="I13" s="60" t="str">
        <x:v>✅</x:v>
      </x:c>
      <x:c r="J13" s="60" t="str">
        <x:v>✅</x:v>
      </x:c>
      <x:c r="K13" s="60" t="str">
        <x:v>—</x:v>
      </x:c>
      <x:c r="L13" s="60" t="str">
        <x:v>⚠</x:v>
      </x:c>
      <x:c r="M13" s="60" t="str">
        <x:v>✅</x:v>
      </x:c>
      <x:c r="N13" s="60" t="str">
        <x:v>✅</x:v>
      </x:c>
      <x:c r="O13" s="60" t="str">
        <x:v>✅</x:v>
      </x:c>
      <x:c r="P13" s="60" t="str">
        <x:v>✅</x:v>
      </x:c>
      <x:c r="Q13" s="60" t="str">
        <x:v>R</x:v>
      </x:c>
      <x:c r="R13" s="60" t="str">
        <x:v>✅</x:v>
      </x:c>
      <x:c r="S13" s="60" t="str">
        <x:v>✅</x:v>
      </x:c>
      <x:c r="T13" s="60" t="str">
        <x:v>✅</x:v>
      </x:c>
      <x:c r="U13" s="60" t="str">
        <x:v>✅</x:v>
      </x:c>
      <x:c r="V13" s="60" t="str">
        <x:v>✅</x:v>
      </x:c>
      <x:c r="W13" s="60" t="str">
        <x:v>✅</x:v>
      </x:c>
      <x:c r="X13" s="60" t="str">
        <x:v>✅</x:v>
      </x:c>
      <x:c r="Y13" s="60" t="str">
        <x:v>✅</x:v>
      </x:c>
      <x:c r="Z13" s="60" t="str">
        <x:v>✅</x:v>
      </x:c>
      <x:c r="AA13" s="60" t="str">
        <x:v>◐</x:v>
      </x:c>
      <x:c r="AB13" s="29" t="str">
        <x:v>◐</x:v>
      </x:c>
      <x:c r="AC13" s="279" t="str">
        <x:v>R</x:v>
      </x:c>
    </x:row>
    <x:row r="14">
      <x:c r="A14" s="789" t="str">
        <x:v>pH Perfect Sensi Coco</x:v>
      </x:c>
      <x:c r="B14" s="60" t="str">
        <x:v>✅</x:v>
      </x:c>
      <x:c r="C14" s="60" t="str">
        <x:v>✖</x:v>
      </x:c>
      <x:c r="D14" s="60" t="str">
        <x:v>✖</x:v>
      </x:c>
      <x:c r="E14" s="60" t="str">
        <x:v>⚠</x:v>
      </x:c>
      <x:c r="F14" s="60" t="str">
        <x:v>⚠</x:v>
      </x:c>
      <x:c r="G14" s="60" t="str">
        <x:v>⚠</x:v>
      </x:c>
      <x:c r="H14" s="60" t="str">
        <x:v>⚠</x:v>
      </x:c>
      <x:c r="I14" s="60" t="str">
        <x:v>⚠</x:v>
      </x:c>
      <x:c r="J14" s="60" t="str">
        <x:v>⚠</x:v>
      </x:c>
      <x:c r="K14" s="60" t="str">
        <x:v>⚠</x:v>
      </x:c>
      <x:c r="L14" s="60" t="str">
        <x:v>—</x:v>
      </x:c>
      <x:c r="M14" s="60" t="str">
        <x:v>✅</x:v>
      </x:c>
      <x:c r="N14" s="60" t="str">
        <x:v>✅</x:v>
      </x:c>
      <x:c r="O14" s="60" t="str">
        <x:v>✅</x:v>
      </x:c>
      <x:c r="P14" s="60" t="str">
        <x:v>✅</x:v>
      </x:c>
      <x:c r="Q14" s="60" t="str">
        <x:v>✅</x:v>
      </x:c>
      <x:c r="R14" s="60" t="str">
        <x:v>✅</x:v>
      </x:c>
      <x:c r="S14" s="60" t="str">
        <x:v>✅</x:v>
      </x:c>
      <x:c r="T14" s="60" t="str">
        <x:v>✅</x:v>
      </x:c>
      <x:c r="U14" s="60" t="str">
        <x:v>✅</x:v>
      </x:c>
      <x:c r="V14" s="60" t="str">
        <x:v>✅</x:v>
      </x:c>
      <x:c r="W14" s="60" t="str">
        <x:v>✅</x:v>
      </x:c>
      <x:c r="X14" s="60" t="str">
        <x:v>✅</x:v>
      </x:c>
      <x:c r="Y14" s="60" t="str">
        <x:v>✅</x:v>
      </x:c>
      <x:c r="Z14" s="60" t="str">
        <x:v>✅</x:v>
      </x:c>
      <x:c r="AA14" s="60" t="str">
        <x:v>⚠</x:v>
      </x:c>
      <x:c r="AB14" s="29" t="str">
        <x:v>⚠</x:v>
      </x:c>
      <x:c r="AC14" s="279" t="str">
        <x:v>⚠</x:v>
      </x:c>
    </x:row>
    <x:row r="15">
      <x:c r="A15" s="789" t="str">
        <x:v>Voodoo</x:v>
      </x:c>
      <x:c r="B15" s="60" t="str">
        <x:v>🧪</x:v>
      </x:c>
      <x:c r="C15" s="60" t="str">
        <x:v>✅</x:v>
      </x:c>
      <x:c r="D15" s="60" t="str">
        <x:v>✅</x:v>
      </x:c>
      <x:c r="E15" s="60" t="str">
        <x:v>🧪</x:v>
      </x:c>
      <x:c r="F15" s="60" t="str">
        <x:v>✅</x:v>
      </x:c>
      <x:c r="G15" s="60" t="str">
        <x:v>✅</x:v>
      </x:c>
      <x:c r="H15" s="60" t="str">
        <x:v>T</x:v>
      </x:c>
      <x:c r="I15" s="60" t="str">
        <x:v>✅</x:v>
      </x:c>
      <x:c r="J15" s="60" t="str">
        <x:v>✅</x:v>
      </x:c>
      <x:c r="K15" s="60" t="str">
        <x:v>✅</x:v>
      </x:c>
      <x:c r="L15" s="60" t="str">
        <x:v>✅</x:v>
      </x:c>
      <x:c r="M15" s="60" t="str">
        <x:v>—</x:v>
      </x:c>
      <x:c r="N15" s="60" t="str">
        <x:v>🧪</x:v>
      </x:c>
      <x:c r="O15" s="60" t="str">
        <x:v>🧪</x:v>
      </x:c>
      <x:c r="P15" s="60" t="str">
        <x:v>✅</x:v>
      </x:c>
      <x:c r="Q15" s="60" t="str">
        <x:v>✅</x:v>
      </x:c>
      <x:c r="R15" s="60" t="str">
        <x:v>✅</x:v>
      </x:c>
      <x:c r="S15" s="60" t="str">
        <x:v>✅</x:v>
      </x:c>
      <x:c r="T15" s="60" t="str">
        <x:v>✅</x:v>
      </x:c>
      <x:c r="U15" s="60" t="str">
        <x:v>✅</x:v>
      </x:c>
      <x:c r="V15" s="60" t="str">
        <x:v>✅</x:v>
      </x:c>
      <x:c r="W15" s="60" t="str">
        <x:v>T</x:v>
      </x:c>
      <x:c r="X15" s="60" t="str">
        <x:v>T</x:v>
      </x:c>
      <x:c r="Y15" s="60" t="str">
        <x:v>✅</x:v>
      </x:c>
      <x:c r="Z15" s="60" t="str">
        <x:v>✖</x:v>
      </x:c>
      <x:c r="AA15" s="60" t="str">
        <x:v>◐</x:v>
      </x:c>
      <x:c r="AB15" s="29" t="str">
        <x:v>◐</x:v>
      </x:c>
      <x:c r="AC15" s="279" t="str">
        <x:v>◐</x:v>
      </x:c>
    </x:row>
    <x:row r="16">
      <x:c r="A16" s="789" t="str">
        <x:v>Piranha</x:v>
      </x:c>
      <x:c r="B16" s="60" t="str">
        <x:v>R</x:v>
      </x:c>
      <x:c r="C16" s="60" t="str">
        <x:v>✅</x:v>
      </x:c>
      <x:c r="D16" s="60" t="str">
        <x:v>✅</x:v>
      </x:c>
      <x:c r="E16" s="60" t="str">
        <x:v>🧪</x:v>
      </x:c>
      <x:c r="F16" s="60" t="str">
        <x:v>✅</x:v>
      </x:c>
      <x:c r="G16" s="60" t="str">
        <x:v>✅</x:v>
      </x:c>
      <x:c r="H16" s="60" t="str">
        <x:v>T</x:v>
      </x:c>
      <x:c r="I16" s="60" t="str">
        <x:v>✅</x:v>
      </x:c>
      <x:c r="J16" s="60" t="str">
        <x:v>✅</x:v>
      </x:c>
      <x:c r="K16" s="60" t="str">
        <x:v>✅</x:v>
      </x:c>
      <x:c r="L16" s="60" t="str">
        <x:v>✅</x:v>
      </x:c>
      <x:c r="M16" s="60" t="str">
        <x:v>🧪</x:v>
      </x:c>
      <x:c r="N16" s="60" t="str">
        <x:v>—</x:v>
      </x:c>
      <x:c r="O16" s="60" t="str">
        <x:v>🧪</x:v>
      </x:c>
      <x:c r="P16" s="60" t="str">
        <x:v>✅</x:v>
      </x:c>
      <x:c r="Q16" s="60" t="str">
        <x:v>✅</x:v>
      </x:c>
      <x:c r="R16" s="60" t="str">
        <x:v>✅</x:v>
      </x:c>
      <x:c r="S16" s="60" t="str">
        <x:v>✅</x:v>
      </x:c>
      <x:c r="T16" s="60" t="str">
        <x:v>✅</x:v>
      </x:c>
      <x:c r="U16" s="60" t="str">
        <x:v>✅</x:v>
      </x:c>
      <x:c r="V16" s="60" t="str">
        <x:v>✅</x:v>
      </x:c>
      <x:c r="W16" s="60" t="str">
        <x:v>T</x:v>
      </x:c>
      <x:c r="X16" s="60" t="str">
        <x:v>T</x:v>
      </x:c>
      <x:c r="Y16" s="60" t="str">
        <x:v>✅</x:v>
      </x:c>
      <x:c r="Z16" s="60" t="str">
        <x:v>✖</x:v>
      </x:c>
      <x:c r="AA16" s="60" t="str">
        <x:v>◐</x:v>
      </x:c>
      <x:c r="AB16" s="29" t="str">
        <x:v>◐</x:v>
      </x:c>
      <x:c r="AC16" s="279" t="str">
        <x:v>◐</x:v>
      </x:c>
    </x:row>
    <x:row r="17">
      <x:c r="A17" s="789" t="str">
        <x:v>Tarantula</x:v>
      </x:c>
      <x:c r="B17" s="60" t="str">
        <x:v>🧪</x:v>
      </x:c>
      <x:c r="C17" s="60" t="str">
        <x:v>✅</x:v>
      </x:c>
      <x:c r="D17" s="60" t="str">
        <x:v>✅</x:v>
      </x:c>
      <x:c r="E17" s="60" t="str">
        <x:v>🧪</x:v>
      </x:c>
      <x:c r="F17" s="60" t="str">
        <x:v>✅</x:v>
      </x:c>
      <x:c r="G17" s="60" t="str">
        <x:v>✅</x:v>
      </x:c>
      <x:c r="H17" s="60" t="str">
        <x:v>T</x:v>
      </x:c>
      <x:c r="I17" s="60" t="str">
        <x:v>✅</x:v>
      </x:c>
      <x:c r="J17" s="60" t="str">
        <x:v>✅</x:v>
      </x:c>
      <x:c r="K17" s="60" t="str">
        <x:v>✅</x:v>
      </x:c>
      <x:c r="L17" s="60" t="str">
        <x:v>✅</x:v>
      </x:c>
      <x:c r="M17" s="60" t="str">
        <x:v>🧪</x:v>
      </x:c>
      <x:c r="N17" s="60" t="str">
        <x:v>🧪</x:v>
      </x:c>
      <x:c r="O17" s="60" t="str">
        <x:v>—</x:v>
      </x:c>
      <x:c r="P17" s="60" t="str">
        <x:v>✅</x:v>
      </x:c>
      <x:c r="Q17" s="60" t="str">
        <x:v>✅</x:v>
      </x:c>
      <x:c r="R17" s="60" t="str">
        <x:v>✅</x:v>
      </x:c>
      <x:c r="S17" s="60" t="str">
        <x:v>✅</x:v>
      </x:c>
      <x:c r="T17" s="60" t="str">
        <x:v>✅</x:v>
      </x:c>
      <x:c r="U17" s="60" t="str">
        <x:v>✅</x:v>
      </x:c>
      <x:c r="V17" s="60" t="str">
        <x:v>✅</x:v>
      </x:c>
      <x:c r="W17" s="60" t="str">
        <x:v>T</x:v>
      </x:c>
      <x:c r="X17" s="60" t="str">
        <x:v>T</x:v>
      </x:c>
      <x:c r="Y17" s="60" t="str">
        <x:v>✅</x:v>
      </x:c>
      <x:c r="Z17" s="60" t="str">
        <x:v>✖</x:v>
      </x:c>
      <x:c r="AA17" s="60" t="str">
        <x:v>◐</x:v>
      </x:c>
      <x:c r="AB17" s="29" t="str">
        <x:v>◐</x:v>
      </x:c>
      <x:c r="AC17" s="279" t="str">
        <x:v>◐</x:v>
      </x:c>
    </x:row>
    <x:row r="18">
      <x:c r="A18" s="789" t="str">
        <x:v>B-52</x:v>
      </x:c>
      <x:c r="B18" s="60" t="str">
        <x:v>✅</x:v>
      </x:c>
      <x:c r="C18" s="60" t="str">
        <x:v>✅</x:v>
      </x:c>
      <x:c r="D18" s="60" t="str">
        <x:v>✅</x:v>
      </x:c>
      <x:c r="E18" s="60" t="str">
        <x:v>✅</x:v>
      </x:c>
      <x:c r="F18" s="60" t="str">
        <x:v>✅</x:v>
      </x:c>
      <x:c r="G18" s="60" t="str">
        <x:v>✅</x:v>
      </x:c>
      <x:c r="H18" s="60" t="str">
        <x:v>✅</x:v>
      </x:c>
      <x:c r="I18" s="60" t="str">
        <x:v>✅</x:v>
      </x:c>
      <x:c r="J18" s="60" t="str">
        <x:v>✅</x:v>
      </x:c>
      <x:c r="K18" s="60" t="str">
        <x:v>✅</x:v>
      </x:c>
      <x:c r="L18" s="60" t="str">
        <x:v>✅</x:v>
      </x:c>
      <x:c r="M18" s="60" t="str">
        <x:v>✅</x:v>
      </x:c>
      <x:c r="N18" s="60" t="str">
        <x:v>✅</x:v>
      </x:c>
      <x:c r="O18" s="60" t="str">
        <x:v>✅</x:v>
      </x:c>
      <x:c r="P18" s="60" t="str">
        <x:v>—</x:v>
      </x:c>
      <x:c r="Q18" s="60" t="str">
        <x:v>✅</x:v>
      </x:c>
      <x:c r="R18" s="60" t="str">
        <x:v>✅</x:v>
      </x:c>
      <x:c r="S18" s="60" t="str">
        <x:v>✅</x:v>
      </x:c>
      <x:c r="T18" s="60" t="str">
        <x:v>✅</x:v>
      </x:c>
      <x:c r="U18" s="60" t="str">
        <x:v>✅</x:v>
      </x:c>
      <x:c r="V18" s="60" t="str">
        <x:v>✅</x:v>
      </x:c>
      <x:c r="W18" s="60" t="str">
        <x:v>✅</x:v>
      </x:c>
      <x:c r="X18" s="60" t="str">
        <x:v>✅</x:v>
      </x:c>
      <x:c r="Y18" s="60" t="str">
        <x:v>✅</x:v>
      </x:c>
      <x:c r="Z18" s="60" t="str">
        <x:v>✅</x:v>
      </x:c>
      <x:c r="AA18" s="60" t="str">
        <x:v>◐</x:v>
      </x:c>
      <x:c r="AB18" s="29" t="str">
        <x:v>◐</x:v>
      </x:c>
      <x:c r="AC18" s="279" t="str">
        <x:v>◐</x:v>
      </x:c>
    </x:row>
    <x:row r="19">
      <x:c r="A19" s="789" t="str">
        <x:v>Rhino Skin</x:v>
      </x:c>
      <x:c r="B19" s="60" t="str">
        <x:v>✅</x:v>
      </x:c>
      <x:c r="C19" s="60" t="str">
        <x:v>✅</x:v>
      </x:c>
      <x:c r="D19" s="60" t="str">
        <x:v>✅</x:v>
      </x:c>
      <x:c r="E19" s="60" t="str">
        <x:v>✅</x:v>
      </x:c>
      <x:c r="F19" s="60" t="str">
        <x:v>✅</x:v>
      </x:c>
      <x:c r="G19" s="60" t="str">
        <x:v>✅</x:v>
      </x:c>
      <x:c r="H19" s="60" t="str">
        <x:v>✅</x:v>
      </x:c>
      <x:c r="I19" s="60" t="str">
        <x:v>✅</x:v>
      </x:c>
      <x:c r="J19" s="60" t="str">
        <x:v>✅</x:v>
      </x:c>
      <x:c r="K19" s="60" t="str">
        <x:v>R</x:v>
      </x:c>
      <x:c r="L19" s="60" t="str">
        <x:v>✅</x:v>
      </x:c>
      <x:c r="M19" s="60" t="str">
        <x:v>✅</x:v>
      </x:c>
      <x:c r="N19" s="60" t="str">
        <x:v>✅</x:v>
      </x:c>
      <x:c r="O19" s="60" t="str">
        <x:v>✅</x:v>
      </x:c>
      <x:c r="P19" s="60" t="str">
        <x:v>✅</x:v>
      </x:c>
      <x:c r="Q19" s="60" t="str">
        <x:v>—</x:v>
      </x:c>
      <x:c r="R19" s="60" t="str">
        <x:v>✅</x:v>
      </x:c>
      <x:c r="S19" s="60" t="str">
        <x:v>✅</x:v>
      </x:c>
      <x:c r="T19" s="60" t="str">
        <x:v>✅</x:v>
      </x:c>
      <x:c r="U19" s="60" t="str">
        <x:v>✅</x:v>
      </x:c>
      <x:c r="V19" s="60" t="str">
        <x:v>✅</x:v>
      </x:c>
      <x:c r="W19" s="60" t="str">
        <x:v>✅</x:v>
      </x:c>
      <x:c r="X19" s="60" t="str">
        <x:v>✅</x:v>
      </x:c>
      <x:c r="Y19" s="60" t="str">
        <x:v>✅</x:v>
      </x:c>
      <x:c r="Z19" s="60" t="str">
        <x:v>✅</x:v>
      </x:c>
      <x:c r="AA19" s="60" t="str">
        <x:v>◐</x:v>
      </x:c>
      <x:c r="AB19" s="29" t="str">
        <x:v>◐</x:v>
      </x:c>
      <x:c r="AC19" s="279" t="str">
        <x:v>R</x:v>
      </x:c>
    </x:row>
    <x:row r="20">
      <x:c r="A20" s="789" t="str">
        <x:v>Sensizym</x:v>
      </x:c>
      <x:c r="B20" s="60" t="str">
        <x:v>✅</x:v>
      </x:c>
      <x:c r="C20" s="60" t="str">
        <x:v>✅</x:v>
      </x:c>
      <x:c r="D20" s="60" t="str">
        <x:v>✅</x:v>
      </x:c>
      <x:c r="E20" s="60" t="str">
        <x:v>✅</x:v>
      </x:c>
      <x:c r="F20" s="60" t="str">
        <x:v>R</x:v>
      </x:c>
      <x:c r="G20" s="60" t="str">
        <x:v>✅</x:v>
      </x:c>
      <x:c r="H20" s="60" t="str">
        <x:v>✅</x:v>
      </x:c>
      <x:c r="I20" s="60" t="str">
        <x:v>✅</x:v>
      </x:c>
      <x:c r="J20" s="60" t="str">
        <x:v>✅</x:v>
      </x:c>
      <x:c r="K20" s="60" t="str">
        <x:v>✅</x:v>
      </x:c>
      <x:c r="L20" s="60" t="str">
        <x:v>✅</x:v>
      </x:c>
      <x:c r="M20" s="60" t="str">
        <x:v>✅</x:v>
      </x:c>
      <x:c r="N20" s="60" t="str">
        <x:v>✅</x:v>
      </x:c>
      <x:c r="O20" s="60" t="str">
        <x:v>✅</x:v>
      </x:c>
      <x:c r="P20" s="60" t="str">
        <x:v>✅</x:v>
      </x:c>
      <x:c r="Q20" s="60" t="str">
        <x:v>✅</x:v>
      </x:c>
      <x:c r="R20" s="60" t="str">
        <x:v>—</x:v>
      </x:c>
      <x:c r="S20" s="60" t="str">
        <x:v>✅</x:v>
      </x:c>
      <x:c r="T20" s="60" t="str">
        <x:v>✅</x:v>
      </x:c>
      <x:c r="U20" s="60" t="str">
        <x:v>✅</x:v>
      </x:c>
      <x:c r="V20" s="60" t="str">
        <x:v>✅</x:v>
      </x:c>
      <x:c r="W20" s="60" t="str">
        <x:v>✅</x:v>
      </x:c>
      <x:c r="X20" s="60" t="str">
        <x:v>✅</x:v>
      </x:c>
      <x:c r="Y20" s="60" t="str">
        <x:v>✅</x:v>
      </x:c>
      <x:c r="Z20" s="60" t="str">
        <x:v>✅</x:v>
      </x:c>
      <x:c r="AA20" s="60" t="str">
        <x:v>◐</x:v>
      </x:c>
      <x:c r="AB20" s="29" t="str">
        <x:v>◐</x:v>
      </x:c>
      <x:c r="AC20" s="279" t="str">
        <x:v>◐</x:v>
      </x:c>
    </x:row>
    <x:row r="21">
      <x:c r="A21" s="789" t="str">
        <x:v>Big Bud</x:v>
      </x:c>
      <x:c r="B21" s="60" t="str">
        <x:v>✅</x:v>
      </x:c>
      <x:c r="C21" s="60" t="str">
        <x:v>✅</x:v>
      </x:c>
      <x:c r="D21" s="60" t="str">
        <x:v>✅</x:v>
      </x:c>
      <x:c r="E21" s="60" t="str">
        <x:v>✅</x:v>
      </x:c>
      <x:c r="F21" s="60" t="str">
        <x:v>✅</x:v>
      </x:c>
      <x:c r="G21" s="60" t="str">
        <x:v>✅</x:v>
      </x:c>
      <x:c r="H21" s="60" t="str">
        <x:v>✅</x:v>
      </x:c>
      <x:c r="I21" s="60" t="str">
        <x:v>⚠</x:v>
      </x:c>
      <x:c r="J21" s="60" t="str">
        <x:v>✅</x:v>
      </x:c>
      <x:c r="K21" s="60" t="str">
        <x:v>✅</x:v>
      </x:c>
      <x:c r="L21" s="60" t="str">
        <x:v>✅</x:v>
      </x:c>
      <x:c r="M21" s="60" t="str">
        <x:v>✅</x:v>
      </x:c>
      <x:c r="N21" s="60" t="str">
        <x:v>✅</x:v>
      </x:c>
      <x:c r="O21" s="60" t="str">
        <x:v>✅</x:v>
      </x:c>
      <x:c r="P21" s="60" t="str">
        <x:v>✅</x:v>
      </x:c>
      <x:c r="Q21" s="60" t="str">
        <x:v>✅</x:v>
      </x:c>
      <x:c r="R21" s="60" t="str">
        <x:v>✅</x:v>
      </x:c>
      <x:c r="S21" s="60" t="str">
        <x:v>—</x:v>
      </x:c>
      <x:c r="T21" s="60" t="str">
        <x:v>⚠</x:v>
      </x:c>
      <x:c r="U21" s="60" t="str">
        <x:v>↔</x:v>
      </x:c>
      <x:c r="V21" s="60" t="str">
        <x:v>↔</x:v>
      </x:c>
      <x:c r="W21" s="60" t="str">
        <x:v>✅</x:v>
      </x:c>
      <x:c r="X21" s="60" t="str">
        <x:v>✅</x:v>
      </x:c>
      <x:c r="Y21" s="60" t="str">
        <x:v>✅</x:v>
      </x:c>
      <x:c r="Z21" s="60" t="str">
        <x:v>✅</x:v>
      </x:c>
      <x:c r="AA21" s="60" t="str">
        <x:v>◐</x:v>
      </x:c>
      <x:c r="AB21" s="29" t="str">
        <x:v>◐</x:v>
      </x:c>
      <x:c r="AC21" s="279" t="str">
        <x:v>⚠</x:v>
      </x:c>
    </x:row>
    <x:row r="22">
      <x:c r="A22" s="789" t="str">
        <x:v>Big Bud Coco</x:v>
      </x:c>
      <x:c r="B22" s="60" t="str">
        <x:v>✅</x:v>
      </x:c>
      <x:c r="C22" s="60" t="str">
        <x:v>✅</x:v>
      </x:c>
      <x:c r="D22" s="60" t="str">
        <x:v>⚠</x:v>
      </x:c>
      <x:c r="E22" s="60" t="str">
        <x:v>✅</x:v>
      </x:c>
      <x:c r="F22" s="60" t="str">
        <x:v>✅</x:v>
      </x:c>
      <x:c r="G22" s="60" t="str">
        <x:v>✅</x:v>
      </x:c>
      <x:c r="H22" s="60" t="str">
        <x:v>✅</x:v>
      </x:c>
      <x:c r="I22" s="60" t="str">
        <x:v>⚠</x:v>
      </x:c>
      <x:c r="J22" s="60" t="str">
        <x:v>✅</x:v>
      </x:c>
      <x:c r="K22" s="60" t="str">
        <x:v>✅</x:v>
      </x:c>
      <x:c r="L22" s="60" t="str">
        <x:v>✅</x:v>
      </x:c>
      <x:c r="M22" s="60" t="str">
        <x:v>✅</x:v>
      </x:c>
      <x:c r="N22" s="60" t="str">
        <x:v>✅</x:v>
      </x:c>
      <x:c r="O22" s="60" t="str">
        <x:v>✅</x:v>
      </x:c>
      <x:c r="P22" s="60" t="str">
        <x:v>✅</x:v>
      </x:c>
      <x:c r="Q22" s="60" t="str">
        <x:v>✅</x:v>
      </x:c>
      <x:c r="R22" s="60" t="str">
        <x:v>✅</x:v>
      </x:c>
      <x:c r="S22" s="60" t="str">
        <x:v>⚠</x:v>
      </x:c>
      <x:c r="T22" s="60" t="str">
        <x:v>—</x:v>
      </x:c>
      <x:c r="U22" s="60" t="str">
        <x:v>↔</x:v>
      </x:c>
      <x:c r="V22" s="60" t="str">
        <x:v>↔</x:v>
      </x:c>
      <x:c r="W22" s="60" t="str">
        <x:v>✅</x:v>
      </x:c>
      <x:c r="X22" s="60" t="str">
        <x:v>✅</x:v>
      </x:c>
      <x:c r="Y22" s="60" t="str">
        <x:v>✅</x:v>
      </x:c>
      <x:c r="Z22" s="60" t="str">
        <x:v>✅</x:v>
      </x:c>
      <x:c r="AA22" s="60" t="str">
        <x:v>◐</x:v>
      </x:c>
      <x:c r="AB22" s="29" t="str">
        <x:v>◐</x:v>
      </x:c>
      <x:c r="AC22" s="279" t="str">
        <x:v>⚠</x:v>
      </x:c>
    </x:row>
    <x:row r="23">
      <x:c r="A23" s="789" t="str">
        <x:v>Bud Ignitor</x:v>
      </x:c>
      <x:c r="B23" s="60" t="str">
        <x:v>✅</x:v>
      </x:c>
      <x:c r="C23" s="60" t="str">
        <x:v>✅</x:v>
      </x:c>
      <x:c r="D23" s="60" t="str">
        <x:v>✅</x:v>
      </x:c>
      <x:c r="E23" s="60" t="str">
        <x:v>✅</x:v>
      </x:c>
      <x:c r="F23" s="60" t="str">
        <x:v>✅</x:v>
      </x:c>
      <x:c r="G23" s="60" t="str">
        <x:v>✅</x:v>
      </x:c>
      <x:c r="H23" s="60" t="str">
        <x:v>✅</x:v>
      </x:c>
      <x:c r="I23" s="60" t="str">
        <x:v>⚠</x:v>
      </x:c>
      <x:c r="J23" s="60" t="str">
        <x:v>✅</x:v>
      </x:c>
      <x:c r="K23" s="60" t="str">
        <x:v>✅</x:v>
      </x:c>
      <x:c r="L23" s="60" t="str">
        <x:v>✅</x:v>
      </x:c>
      <x:c r="M23" s="60" t="str">
        <x:v>✅</x:v>
      </x:c>
      <x:c r="N23" s="60" t="str">
        <x:v>✅</x:v>
      </x:c>
      <x:c r="O23" s="60" t="str">
        <x:v>✅</x:v>
      </x:c>
      <x:c r="P23" s="60" t="str">
        <x:v>✅</x:v>
      </x:c>
      <x:c r="Q23" s="60" t="str">
        <x:v>✅</x:v>
      </x:c>
      <x:c r="R23" s="60" t="str">
        <x:v>✅</x:v>
      </x:c>
      <x:c r="S23" s="60" t="str">
        <x:v>↔</x:v>
      </x:c>
      <x:c r="T23" s="60" t="str">
        <x:v>↔</x:v>
      </x:c>
      <x:c r="U23" s="60" t="str">
        <x:v>—</x:v>
      </x:c>
      <x:c r="V23" s="60" t="str">
        <x:v>⚠</x:v>
      </x:c>
      <x:c r="W23" s="60" t="str">
        <x:v>✅</x:v>
      </x:c>
      <x:c r="X23" s="60" t="str">
        <x:v>✅</x:v>
      </x:c>
      <x:c r="Y23" s="60" t="str">
        <x:v>✅</x:v>
      </x:c>
      <x:c r="Z23" s="60" t="str">
        <x:v>✅</x:v>
      </x:c>
      <x:c r="AA23" s="60" t="str">
        <x:v>◐</x:v>
      </x:c>
      <x:c r="AB23" s="29" t="str">
        <x:v>◐</x:v>
      </x:c>
      <x:c r="AC23" s="279" t="str">
        <x:v>⚠</x:v>
      </x:c>
    </x:row>
    <x:row r="24">
      <x:c r="A24" s="789" t="str">
        <x:v>Overdrive</x:v>
      </x:c>
      <x:c r="B24" s="60" t="str">
        <x:v>✅</x:v>
      </x:c>
      <x:c r="C24" s="60" t="str">
        <x:v>✅</x:v>
      </x:c>
      <x:c r="D24" s="60" t="str">
        <x:v>✅</x:v>
      </x:c>
      <x:c r="E24" s="60" t="str">
        <x:v>✅</x:v>
      </x:c>
      <x:c r="F24" s="60" t="str">
        <x:v>✅</x:v>
      </x:c>
      <x:c r="G24" s="60" t="str">
        <x:v>✅</x:v>
      </x:c>
      <x:c r="H24" s="60" t="str">
        <x:v>✅</x:v>
      </x:c>
      <x:c r="I24" s="60" t="str">
        <x:v>⚠</x:v>
      </x:c>
      <x:c r="J24" s="60" t="str">
        <x:v>✅</x:v>
      </x:c>
      <x:c r="K24" s="60" t="str">
        <x:v>✅</x:v>
      </x:c>
      <x:c r="L24" s="60" t="str">
        <x:v>✅</x:v>
      </x:c>
      <x:c r="M24" s="60" t="str">
        <x:v>✅</x:v>
      </x:c>
      <x:c r="N24" s="60" t="str">
        <x:v>✅</x:v>
      </x:c>
      <x:c r="O24" s="60" t="str">
        <x:v>✅</x:v>
      </x:c>
      <x:c r="P24" s="60" t="str">
        <x:v>✅</x:v>
      </x:c>
      <x:c r="Q24" s="60" t="str">
        <x:v>✅</x:v>
      </x:c>
      <x:c r="R24" s="60" t="str">
        <x:v>✅</x:v>
      </x:c>
      <x:c r="S24" s="60" t="str">
        <x:v>↔</x:v>
      </x:c>
      <x:c r="T24" s="60" t="str">
        <x:v>↔</x:v>
      </x:c>
      <x:c r="U24" s="60" t="str">
        <x:v>⚠</x:v>
      </x:c>
      <x:c r="V24" s="60" t="str">
        <x:v>—</x:v>
      </x:c>
      <x:c r="W24" s="60" t="str">
        <x:v>✅</x:v>
      </x:c>
      <x:c r="X24" s="60" t="str">
        <x:v>✅</x:v>
      </x:c>
      <x:c r="Y24" s="60" t="str">
        <x:v>✅</x:v>
      </x:c>
      <x:c r="Z24" s="60" t="str">
        <x:v>✅</x:v>
      </x:c>
      <x:c r="AA24" s="60" t="str">
        <x:v>◐</x:v>
      </x:c>
      <x:c r="AB24" s="29" t="str">
        <x:v>◐</x:v>
      </x:c>
      <x:c r="AC24" s="279" t="str">
        <x:v>⚠</x:v>
      </x:c>
    </x:row>
    <x:row r="25">
      <x:c r="A25" s="789" t="str">
        <x:v>Bud Candy</x:v>
      </x:c>
      <x:c r="B25" s="60" t="str">
        <x:v>✅</x:v>
      </x:c>
      <x:c r="C25" s="60" t="str">
        <x:v>✅</x:v>
      </x:c>
      <x:c r="D25" s="60" t="str">
        <x:v>✅</x:v>
      </x:c>
      <x:c r="E25" s="60" t="str">
        <x:v>✅</x:v>
      </x:c>
      <x:c r="F25" s="60" t="str">
        <x:v>✅</x:v>
      </x:c>
      <x:c r="G25" s="60" t="str">
        <x:v>✅</x:v>
      </x:c>
      <x:c r="H25" s="60" t="str">
        <x:v>R</x:v>
      </x:c>
      <x:c r="I25" s="60" t="str">
        <x:v>✅</x:v>
      </x:c>
      <x:c r="J25" s="60" t="str">
        <x:v>✅</x:v>
      </x:c>
      <x:c r="K25" s="60" t="str">
        <x:v>✅</x:v>
      </x:c>
      <x:c r="L25" s="60" t="str">
        <x:v>✅</x:v>
      </x:c>
      <x:c r="M25" s="60" t="str">
        <x:v>T</x:v>
      </x:c>
      <x:c r="N25" s="60" t="str">
        <x:v>T</x:v>
      </x:c>
      <x:c r="O25" s="60" t="str">
        <x:v>T</x:v>
      </x:c>
      <x:c r="P25" s="60" t="str">
        <x:v>✅</x:v>
      </x:c>
      <x:c r="Q25" s="60" t="str">
        <x:v>✅</x:v>
      </x:c>
      <x:c r="R25" s="60" t="str">
        <x:v>✅</x:v>
      </x:c>
      <x:c r="S25" s="60" t="str">
        <x:v>✅</x:v>
      </x:c>
      <x:c r="T25" s="60" t="str">
        <x:v>✅</x:v>
      </x:c>
      <x:c r="U25" s="60" t="str">
        <x:v>✅</x:v>
      </x:c>
      <x:c r="V25" s="60" t="str">
        <x:v>✅</x:v>
      </x:c>
      <x:c r="W25" s="60" t="str">
        <x:v>—</x:v>
      </x:c>
      <x:c r="X25" s="60" t="str">
        <x:v>R</x:v>
      </x:c>
      <x:c r="Y25" s="60" t="str">
        <x:v>✅</x:v>
      </x:c>
      <x:c r="Z25" s="60" t="str">
        <x:v>✅</x:v>
      </x:c>
      <x:c r="AA25" s="60" t="str">
        <x:v>◐</x:v>
      </x:c>
      <x:c r="AB25" s="29" t="str">
        <x:v>◐</x:v>
      </x:c>
      <x:c r="AC25" s="279" t="str">
        <x:v>◐</x:v>
      </x:c>
    </x:row>
    <x:row r="26">
      <x:c r="A26" s="789" t="str">
        <x:v>CarboLoad</x:v>
      </x:c>
      <x:c r="B26" s="60" t="str">
        <x:v>✅</x:v>
      </x:c>
      <x:c r="C26" s="60" t="str">
        <x:v>✅</x:v>
      </x:c>
      <x:c r="D26" s="60" t="str">
        <x:v>✅</x:v>
      </x:c>
      <x:c r="E26" s="60" t="str">
        <x:v>✅</x:v>
      </x:c>
      <x:c r="F26" s="60" t="str">
        <x:v>✅</x:v>
      </x:c>
      <x:c r="G26" s="60" t="str">
        <x:v>✅</x:v>
      </x:c>
      <x:c r="H26" s="60" t="str">
        <x:v>R</x:v>
      </x:c>
      <x:c r="I26" s="60" t="str">
        <x:v>✅</x:v>
      </x:c>
      <x:c r="J26" s="60" t="str">
        <x:v>✅</x:v>
      </x:c>
      <x:c r="K26" s="60" t="str">
        <x:v>✅</x:v>
      </x:c>
      <x:c r="L26" s="60" t="str">
        <x:v>✅</x:v>
      </x:c>
      <x:c r="M26" s="60" t="str">
        <x:v>T</x:v>
      </x:c>
      <x:c r="N26" s="60" t="str">
        <x:v>T</x:v>
      </x:c>
      <x:c r="O26" s="60" t="str">
        <x:v>T</x:v>
      </x:c>
      <x:c r="P26" s="60" t="str">
        <x:v>✅</x:v>
      </x:c>
      <x:c r="Q26" s="60" t="str">
        <x:v>✅</x:v>
      </x:c>
      <x:c r="R26" s="60" t="str">
        <x:v>✅</x:v>
      </x:c>
      <x:c r="S26" s="60" t="str">
        <x:v>✅</x:v>
      </x:c>
      <x:c r="T26" s="60" t="str">
        <x:v>✅</x:v>
      </x:c>
      <x:c r="U26" s="60" t="str">
        <x:v>✅</x:v>
      </x:c>
      <x:c r="V26" s="60" t="str">
        <x:v>✅</x:v>
      </x:c>
      <x:c r="W26" s="60" t="str">
        <x:v>R</x:v>
      </x:c>
      <x:c r="X26" s="60" t="str">
        <x:v>—</x:v>
      </x:c>
      <x:c r="Y26" s="60" t="str">
        <x:v>✅</x:v>
      </x:c>
      <x:c r="Z26" s="60" t="str">
        <x:v>✅</x:v>
      </x:c>
      <x:c r="AA26" s="60" t="str">
        <x:v>◐</x:v>
      </x:c>
      <x:c r="AB26" s="29" t="str">
        <x:v>◐</x:v>
      </x:c>
      <x:c r="AC26" s="279" t="str">
        <x:v>◐</x:v>
      </x:c>
    </x:row>
    <x:row r="27">
      <x:c r="A27" s="789" t="str">
        <x:v>Sensi CalMag Xtra</x:v>
      </x:c>
      <x:c r="B27" s="60" t="str">
        <x:v>✅</x:v>
      </x:c>
      <x:c r="C27" s="60" t="str">
        <x:v>✅</x:v>
      </x:c>
      <x:c r="D27" s="60" t="str">
        <x:v>⚠</x:v>
      </x:c>
      <x:c r="E27" s="60" t="str">
        <x:v>✅</x:v>
      </x:c>
      <x:c r="F27" s="60" t="str">
        <x:v>✅</x:v>
      </x:c>
      <x:c r="G27" s="60" t="str">
        <x:v>✅</x:v>
      </x:c>
      <x:c r="H27" s="60" t="str">
        <x:v>✅</x:v>
      </x:c>
      <x:c r="I27" s="60" t="str">
        <x:v>✅</x:v>
      </x:c>
      <x:c r="J27" s="60" t="str">
        <x:v>R</x:v>
      </x:c>
      <x:c r="K27" s="60" t="str">
        <x:v>✅</x:v>
      </x:c>
      <x:c r="L27" s="60" t="str">
        <x:v>✅</x:v>
      </x:c>
      <x:c r="M27" s="60" t="str">
        <x:v>✅</x:v>
      </x:c>
      <x:c r="N27" s="60" t="str">
        <x:v>✅</x:v>
      </x:c>
      <x:c r="O27" s="60" t="str">
        <x:v>✅</x:v>
      </x:c>
      <x:c r="P27" s="60" t="str">
        <x:v>✅</x:v>
      </x:c>
      <x:c r="Q27" s="60" t="str">
        <x:v>✅</x:v>
      </x:c>
      <x:c r="R27" s="60" t="str">
        <x:v>✅</x:v>
      </x:c>
      <x:c r="S27" s="60" t="str">
        <x:v>✅</x:v>
      </x:c>
      <x:c r="T27" s="60" t="str">
        <x:v>✅</x:v>
      </x:c>
      <x:c r="U27" s="60" t="str">
        <x:v>✅</x:v>
      </x:c>
      <x:c r="V27" s="60" t="str">
        <x:v>✅</x:v>
      </x:c>
      <x:c r="W27" s="60" t="str">
        <x:v>✅</x:v>
      </x:c>
      <x:c r="X27" s="60" t="str">
        <x:v>✅</x:v>
      </x:c>
      <x:c r="Y27" s="60" t="str">
        <x:v>—</x:v>
      </x:c>
      <x:c r="Z27" s="60" t="str">
        <x:v>✅</x:v>
      </x:c>
      <x:c r="AA27" s="60" t="str">
        <x:v>◐</x:v>
      </x:c>
      <x:c r="AB27" s="29" t="str">
        <x:v>◐</x:v>
      </x:c>
      <x:c r="AC27" s="279" t="str">
        <x:v>◐</x:v>
      </x:c>
    </x:row>
    <x:row r="28">
      <x:c r="A28" s="789" t="str">
        <x:v>Flo &amp; Gro</x:v>
      </x:c>
      <x:c r="B28" s="60" t="str">
        <x:v>⚠</x:v>
      </x:c>
      <x:c r="C28" s="60" t="str">
        <x:v>✅</x:v>
      </x:c>
      <x:c r="D28" s="60" t="str">
        <x:v>✅</x:v>
      </x:c>
      <x:c r="E28" s="60" t="str">
        <x:v>✅</x:v>
      </x:c>
      <x:c r="F28" s="60" t="str">
        <x:v>✅</x:v>
      </x:c>
      <x:c r="G28" s="60" t="str">
        <x:v>✅</x:v>
      </x:c>
      <x:c r="H28" s="60" t="str">
        <x:v>✅</x:v>
      </x:c>
      <x:c r="I28" s="60" t="str">
        <x:v>✅</x:v>
      </x:c>
      <x:c r="J28" s="60" t="str">
        <x:v>✅</x:v>
      </x:c>
      <x:c r="K28" s="60" t="str">
        <x:v>✅</x:v>
      </x:c>
      <x:c r="L28" s="60" t="str">
        <x:v>✅</x:v>
      </x:c>
      <x:c r="M28" s="60" t="str">
        <x:v>✖</x:v>
      </x:c>
      <x:c r="N28" s="60" t="str">
        <x:v>✖</x:v>
      </x:c>
      <x:c r="O28" s="60" t="str">
        <x:v>✖</x:v>
      </x:c>
      <x:c r="P28" s="60" t="str">
        <x:v>✅</x:v>
      </x:c>
      <x:c r="Q28" s="60" t="str">
        <x:v>✅</x:v>
      </x:c>
      <x:c r="R28" s="60" t="str">
        <x:v>✅</x:v>
      </x:c>
      <x:c r="S28" s="60" t="str">
        <x:v>✅</x:v>
      </x:c>
      <x:c r="T28" s="60" t="str">
        <x:v>✅</x:v>
      </x:c>
      <x:c r="U28" s="60" t="str">
        <x:v>✅</x:v>
      </x:c>
      <x:c r="V28" s="60" t="str">
        <x:v>✅</x:v>
      </x:c>
      <x:c r="W28" s="60" t="str">
        <x:v>✅</x:v>
      </x:c>
      <x:c r="X28" s="60" t="str">
        <x:v>✅</x:v>
      </x:c>
      <x:c r="Y28" s="60" t="str">
        <x:v>✅</x:v>
      </x:c>
      <x:c r="Z28" s="60" t="str">
        <x:v>—</x:v>
      </x:c>
      <x:c r="AA28" s="60" t="str">
        <x:v>◐</x:v>
      </x:c>
      <x:c r="AB28" s="29" t="str">
        <x:v>◐</x:v>
      </x:c>
      <x:c r="AC28" s="279" t="str">
        <x:v>◐</x:v>
      </x:c>
    </x:row>
    <x:row r="29">
      <x:c r="A29" s="789" t="str">
        <x:v>pH Up</x:v>
      </x:c>
      <x:c r="B29" s="60" t="str">
        <x:v>◐</x:v>
      </x:c>
      <x:c r="C29" s="60" t="str">
        <x:v>◐</x:v>
      </x:c>
      <x:c r="D29" s="60" t="str">
        <x:v>◐</x:v>
      </x:c>
      <x:c r="E29" s="60" t="str">
        <x:v>◐</x:v>
      </x:c>
      <x:c r="F29" s="60" t="str">
        <x:v>◐</x:v>
      </x:c>
      <x:c r="G29" s="60" t="str">
        <x:v>◐</x:v>
      </x:c>
      <x:c r="H29" s="60" t="str">
        <x:v>◐</x:v>
      </x:c>
      <x:c r="I29" s="60" t="str">
        <x:v>◐</x:v>
      </x:c>
      <x:c r="J29" s="60" t="str">
        <x:v>◐</x:v>
      </x:c>
      <x:c r="K29" s="60" t="str">
        <x:v>◐</x:v>
      </x:c>
      <x:c r="L29" s="60" t="str">
        <x:v>⚠</x:v>
      </x:c>
      <x:c r="M29" s="60" t="str">
        <x:v>◐</x:v>
      </x:c>
      <x:c r="N29" s="60" t="str">
        <x:v>◐</x:v>
      </x:c>
      <x:c r="O29" s="60" t="str">
        <x:v>◐</x:v>
      </x:c>
      <x:c r="P29" s="60" t="str">
        <x:v>◐</x:v>
      </x:c>
      <x:c r="Q29" s="60" t="str">
        <x:v>◐</x:v>
      </x:c>
      <x:c r="R29" s="60" t="str">
        <x:v>◐</x:v>
      </x:c>
      <x:c r="S29" s="60" t="str">
        <x:v>◐</x:v>
      </x:c>
      <x:c r="T29" s="60" t="str">
        <x:v>◐</x:v>
      </x:c>
      <x:c r="U29" s="60" t="str">
        <x:v>◐</x:v>
      </x:c>
      <x:c r="V29" s="60" t="str">
        <x:v>◐</x:v>
      </x:c>
      <x:c r="W29" s="60" t="str">
        <x:v>◐</x:v>
      </x:c>
      <x:c r="X29" s="60" t="str">
        <x:v>◐</x:v>
      </x:c>
      <x:c r="Y29" s="60" t="str">
        <x:v>◐</x:v>
      </x:c>
      <x:c r="Z29" s="60" t="str">
        <x:v>◐</x:v>
      </x:c>
      <x:c r="AA29" s="60" t="str">
        <x:v>—</x:v>
      </x:c>
      <x:c r="AB29" s="29" t="str">
        <x:v>✖</x:v>
      </x:c>
      <x:c r="AC29" s="279" t="str">
        <x:v>R</x:v>
      </x:c>
    </x:row>
    <x:row r="30">
      <x:c r="A30" s="789" t="str">
        <x:v>pH Down</x:v>
      </x:c>
      <x:c r="B30" s="60" t="str">
        <x:v>◐</x:v>
      </x:c>
      <x:c r="C30" s="60" t="str">
        <x:v>◐</x:v>
      </x:c>
      <x:c r="D30" s="60" t="str">
        <x:v>◐</x:v>
      </x:c>
      <x:c r="E30" s="60" t="str">
        <x:v>◐</x:v>
      </x:c>
      <x:c r="F30" s="60" t="str">
        <x:v>◐</x:v>
      </x:c>
      <x:c r="G30" s="60" t="str">
        <x:v>◐</x:v>
      </x:c>
      <x:c r="H30" s="60" t="str">
        <x:v>◐</x:v>
      </x:c>
      <x:c r="I30" s="60" t="str">
        <x:v>◐</x:v>
      </x:c>
      <x:c r="J30" s="60" t="str">
        <x:v>◐</x:v>
      </x:c>
      <x:c r="K30" s="60" t="str">
        <x:v>◐</x:v>
      </x:c>
      <x:c r="L30" s="60" t="str">
        <x:v>⚠</x:v>
      </x:c>
      <x:c r="M30" s="60" t="str">
        <x:v>◐</x:v>
      </x:c>
      <x:c r="N30" s="60" t="str">
        <x:v>◐</x:v>
      </x:c>
      <x:c r="O30" s="60" t="str">
        <x:v>◐</x:v>
      </x:c>
      <x:c r="P30" s="60" t="str">
        <x:v>◐</x:v>
      </x:c>
      <x:c r="Q30" s="60" t="str">
        <x:v>◐</x:v>
      </x:c>
      <x:c r="R30" s="60" t="str">
        <x:v>◐</x:v>
      </x:c>
      <x:c r="S30" s="60" t="str">
        <x:v>◐</x:v>
      </x:c>
      <x:c r="T30" s="60" t="str">
        <x:v>◐</x:v>
      </x:c>
      <x:c r="U30" s="60" t="str">
        <x:v>◐</x:v>
      </x:c>
      <x:c r="V30" s="60" t="str">
        <x:v>◐</x:v>
      </x:c>
      <x:c r="W30" s="60" t="str">
        <x:v>◐</x:v>
      </x:c>
      <x:c r="X30" s="60" t="str">
        <x:v>◐</x:v>
      </x:c>
      <x:c r="Y30" s="60" t="str">
        <x:v>◐</x:v>
      </x:c>
      <x:c r="Z30" s="60" t="str">
        <x:v>◐</x:v>
      </x:c>
      <x:c r="AA30" s="60" t="str">
        <x:v>✖</x:v>
      </x:c>
      <x:c r="AB30" s="29" t="str">
        <x:v>—</x:v>
      </x:c>
      <x:c r="AC30" s="279" t="str">
        <x:v>↔</x:v>
      </x:c>
    </x:row>
    <x:row r="31">
      <x:c r="A31" s="789" t="str">
        <x:v>Athena Balance</x:v>
      </x:c>
      <x:c r="B31" s="288" t="str">
        <x:v>◐</x:v>
      </x:c>
      <x:c r="C31" s="289" t="str">
        <x:v>◐</x:v>
      </x:c>
      <x:c r="D31" s="289" t="str">
        <x:v>◐</x:v>
      </x:c>
      <x:c r="E31" s="289" t="str">
        <x:v>◐</x:v>
      </x:c>
      <x:c r="F31" s="289" t="str">
        <x:v>◐</x:v>
      </x:c>
      <x:c r="G31" s="289" t="str">
        <x:v>◐</x:v>
      </x:c>
      <x:c r="H31" s="289" t="str">
        <x:v>◐</x:v>
      </x:c>
      <x:c r="I31" s="289" t="str">
        <x:v>⚠</x:v>
      </x:c>
      <x:c r="J31" s="289" t="str">
        <x:v>◐</x:v>
      </x:c>
      <x:c r="K31" s="289" t="str">
        <x:v>R</x:v>
      </x:c>
      <x:c r="L31" s="289" t="str">
        <x:v>⚠</x:v>
      </x:c>
      <x:c r="M31" s="289" t="str">
        <x:v>◐</x:v>
      </x:c>
      <x:c r="N31" s="289" t="str">
        <x:v>◐</x:v>
      </x:c>
      <x:c r="O31" s="289" t="str">
        <x:v>◐</x:v>
      </x:c>
      <x:c r="P31" s="289" t="str">
        <x:v>◐</x:v>
      </x:c>
      <x:c r="Q31" s="289" t="str">
        <x:v>R</x:v>
      </x:c>
      <x:c r="R31" s="289" t="str">
        <x:v>◐</x:v>
      </x:c>
      <x:c r="S31" s="289" t="str">
        <x:v>⚠</x:v>
      </x:c>
      <x:c r="T31" s="289" t="str">
        <x:v>⚠</x:v>
      </x:c>
      <x:c r="U31" s="289" t="str">
        <x:v>⚠</x:v>
      </x:c>
      <x:c r="V31" s="289" t="str">
        <x:v>⚠</x:v>
      </x:c>
      <x:c r="W31" s="289" t="str">
        <x:v>◐</x:v>
      </x:c>
      <x:c r="X31" s="289" t="str">
        <x:v>◐</x:v>
      </x:c>
      <x:c r="Y31" s="289" t="str">
        <x:v>◐</x:v>
      </x:c>
      <x:c r="Z31" s="289" t="str">
        <x:v>◐</x:v>
      </x:c>
      <x:c r="AA31" s="289" t="str">
        <x:v>R</x:v>
      </x:c>
      <x:c r="AB31" s="290" t="str">
        <x:v>↔</x:v>
      </x:c>
      <x:c r="AC31" s="284" t="str">
        <x:v>—</x:v>
      </x:c>
    </x:row>
    <x:row r="32">
      <x:c r="A32" s="28" t="str">
        <x:v>Legende</x:v>
      </x:c>
      <x:c r="B32" s="60"/>
      <x:c r="C32" s="60"/>
      <x:c r="D32" s="60"/>
      <x:c r="E32" s="60"/>
      <x:c r="F32" s="60"/>
      <x:c r="G32" s="60"/>
      <x:c r="H32" s="60"/>
      <x:c r="I32" s="60"/>
      <x:c r="J32" s="60"/>
      <x:c r="K32" s="60"/>
      <x:c r="L32" s="60"/>
      <x:c r="M32" s="60"/>
      <x:c r="N32" s="60"/>
      <x:c r="O32" s="60"/>
      <x:c r="P32" s="60"/>
      <x:c r="Q32" s="60"/>
      <x:c r="R32" s="60"/>
      <x:c r="S32" s="60"/>
      <x:c r="T32" s="60"/>
      <x:c r="U32" s="60"/>
      <x:c r="V32" s="60"/>
      <x:c r="W32" s="60"/>
      <x:c r="X32" s="60"/>
      <x:c r="Y32" s="60"/>
      <x:c r="Z32" s="60"/>
      <x:c r="AA32" s="60"/>
      <x:c r="AB32" s="29"/>
    </x:row>
    <x:row r="33">
      <x:c r="A33" s="28" t="str">
        <x:v>✅</x:v>
      </x:c>
      <x:c r="B33" s="60" t="str">
        <x:v>empfohlen / orthogonal</x:v>
      </x:c>
      <x:c r="C33" s="60"/>
      <x:c r="D33" s="60"/>
      <x:c r="E33" s="60"/>
      <x:c r="F33" s="60"/>
      <x:c r="G33" s="60"/>
      <x:c r="H33" s="60"/>
      <x:c r="I33" s="60"/>
      <x:c r="J33" s="60"/>
      <x:c r="K33" s="60"/>
      <x:c r="L33" s="60"/>
      <x:c r="M33" s="60"/>
      <x:c r="N33" s="60"/>
      <x:c r="O33" s="60"/>
      <x:c r="P33" s="60"/>
      <x:c r="Q33" s="60"/>
      <x:c r="R33" s="60"/>
      <x:c r="S33" s="60"/>
      <x:c r="T33" s="60"/>
      <x:c r="U33" s="60"/>
      <x:c r="V33" s="60"/>
      <x:c r="W33" s="60"/>
      <x:c r="X33" s="60"/>
      <x:c r="Y33" s="60"/>
      <x:c r="Z33" s="60"/>
      <x:c r="AA33" s="60"/>
      <x:c r="AB33" s="29"/>
    </x:row>
    <x:row r="34">
      <x:c r="A34" s="28" t="str">
        <x:v>◐</x:v>
      </x:c>
      <x:c r="B34" s="60" t="str">
        <x:v>kompatibel, aber nur bei Bedarf</x:v>
      </x:c>
      <x:c r="C34" s="60"/>
      <x:c r="D34" s="60"/>
      <x:c r="E34" s="60"/>
      <x:c r="F34" s="60"/>
      <x:c r="G34" s="60"/>
      <x:c r="H34" s="60"/>
      <x:c r="I34" s="60"/>
      <x:c r="J34" s="60"/>
      <x:c r="K34" s="60"/>
      <x:c r="L34" s="60"/>
      <x:c r="M34" s="60"/>
      <x:c r="N34" s="60"/>
      <x:c r="O34" s="60"/>
      <x:c r="P34" s="60"/>
      <x:c r="Q34" s="60"/>
      <x:c r="R34" s="60"/>
      <x:c r="S34" s="60"/>
      <x:c r="T34" s="60"/>
      <x:c r="U34" s="60"/>
      <x:c r="V34" s="60"/>
      <x:c r="W34" s="60"/>
      <x:c r="X34" s="60"/>
      <x:c r="Y34" s="60"/>
      <x:c r="Z34" s="60"/>
      <x:c r="AA34" s="60"/>
      <x:c r="AB34" s="29"/>
    </x:row>
    <x:row r="35">
      <x:c r="A35" s="28" t="str">
        <x:v>🧪</x:v>
      </x:c>
      <x:c r="B35" s="60" t="str">
        <x:v>nur kontrollierter A/B-Test</x:v>
      </x:c>
      <x:c r="C35" s="60"/>
      <x:c r="D35" s="60"/>
      <x:c r="E35" s="60"/>
      <x:c r="F35" s="60"/>
      <x:c r="G35" s="60"/>
      <x:c r="H35" s="60"/>
      <x:c r="I35" s="60"/>
      <x:c r="J35" s="60"/>
      <x:c r="K35" s="60"/>
      <x:c r="L35" s="60"/>
      <x:c r="M35" s="60"/>
      <x:c r="N35" s="60"/>
      <x:c r="O35" s="60"/>
      <x:c r="P35" s="60"/>
      <x:c r="Q35" s="60"/>
      <x:c r="R35" s="60"/>
      <x:c r="S35" s="60"/>
      <x:c r="T35" s="60"/>
      <x:c r="U35" s="60"/>
      <x:c r="V35" s="60"/>
      <x:c r="W35" s="60"/>
      <x:c r="X35" s="60"/>
      <x:c r="Y35" s="60"/>
      <x:c r="Z35" s="60"/>
      <x:c r="AA35" s="60"/>
      <x:c r="AB35" s="29"/>
    </x:row>
    <x:row r="36">
      <x:c r="A36" s="28" t="str">
        <x:v>↔</x:v>
      </x:c>
      <x:c r="B36" s="60" t="str">
        <x:v>Alternative / phasengetrennt</x:v>
      </x:c>
      <x:c r="C36" s="60"/>
      <x:c r="D36" s="60"/>
      <x:c r="E36" s="60"/>
      <x:c r="F36" s="60"/>
      <x:c r="G36" s="60"/>
      <x:c r="H36" s="60"/>
      <x:c r="I36" s="60"/>
      <x:c r="J36" s="60"/>
      <x:c r="K36" s="60"/>
      <x:c r="L36" s="60"/>
      <x:c r="M36" s="60"/>
      <x:c r="N36" s="60"/>
      <x:c r="O36" s="60"/>
      <x:c r="P36" s="60"/>
      <x:c r="Q36" s="60"/>
      <x:c r="R36" s="60"/>
      <x:c r="S36" s="60"/>
      <x:c r="T36" s="60"/>
      <x:c r="U36" s="60"/>
      <x:c r="V36" s="60"/>
      <x:c r="W36" s="60"/>
      <x:c r="X36" s="60"/>
      <x:c r="Y36" s="60"/>
      <x:c r="Z36" s="60"/>
      <x:c r="AA36" s="60"/>
      <x:c r="AB36" s="29"/>
    </x:row>
    <x:row r="37">
      <x:c r="A37" s="28" t="str">
        <x:v>R</x:v>
      </x:c>
      <x:c r="B37" s="60" t="str">
        <x:v>redundant: eins wählen</x:v>
      </x:c>
      <x:c r="C37" s="60"/>
      <x:c r="D37" s="60"/>
      <x:c r="E37" s="60"/>
      <x:c r="F37" s="60"/>
      <x:c r="G37" s="60"/>
      <x:c r="H37" s="60"/>
      <x:c r="I37" s="60"/>
      <x:c r="J37" s="60"/>
      <x:c r="K37" s="60"/>
      <x:c r="L37" s="60"/>
      <x:c r="M37" s="60"/>
      <x:c r="N37" s="60"/>
      <x:c r="O37" s="60"/>
      <x:c r="P37" s="60"/>
      <x:c r="Q37" s="60"/>
      <x:c r="R37" s="60"/>
      <x:c r="S37" s="60"/>
      <x:c r="T37" s="60"/>
      <x:c r="U37" s="60"/>
      <x:c r="V37" s="60"/>
      <x:c r="W37" s="60"/>
      <x:c r="X37" s="60"/>
      <x:c r="Y37" s="60"/>
      <x:c r="Z37" s="60"/>
      <x:c r="AA37" s="60"/>
      <x:c r="AB37" s="29"/>
    </x:row>
    <x:row r="38">
      <x:c r="A38" s="28" t="str">
        <x:v>⚠</x:v>
      </x:c>
      <x:c r="B38" s="60" t="str">
        <x:v>Risiko/Überlappung/EC-pH beachten</x:v>
      </x:c>
      <x:c r="C38" s="60"/>
      <x:c r="D38" s="60"/>
      <x:c r="E38" s="60"/>
      <x:c r="F38" s="60"/>
      <x:c r="G38" s="60"/>
      <x:c r="H38" s="60"/>
      <x:c r="I38" s="60"/>
      <x:c r="J38" s="60"/>
      <x:c r="K38" s="60"/>
      <x:c r="L38" s="60"/>
      <x:c r="M38" s="60"/>
      <x:c r="N38" s="60"/>
      <x:c r="O38" s="60"/>
      <x:c r="P38" s="60"/>
      <x:c r="Q38" s="60"/>
      <x:c r="R38" s="60"/>
      <x:c r="S38" s="60"/>
      <x:c r="T38" s="60"/>
      <x:c r="U38" s="60"/>
      <x:c r="V38" s="60"/>
      <x:c r="W38" s="60"/>
      <x:c r="X38" s="60"/>
      <x:c r="Y38" s="60"/>
      <x:c r="Z38" s="60"/>
      <x:c r="AA38" s="60"/>
      <x:c r="AB38" s="29"/>
    </x:row>
    <x:row r="39">
      <x:c r="A39" s="28" t="str">
        <x:v>✖</x:v>
      </x:c>
      <x:c r="B39" s="60" t="str">
        <x:v>im UKD Reference nicht gleichzeitig</x:v>
      </x:c>
      <x:c r="C39" s="60"/>
      <x:c r="D39" s="60"/>
      <x:c r="E39" s="60"/>
      <x:c r="F39" s="60"/>
      <x:c r="G39" s="60"/>
      <x:c r="H39" s="60"/>
      <x:c r="I39" s="60"/>
      <x:c r="J39" s="60"/>
      <x:c r="K39" s="60"/>
      <x:c r="L39" s="60"/>
      <x:c r="M39" s="60"/>
      <x:c r="N39" s="60"/>
      <x:c r="O39" s="60"/>
      <x:c r="P39" s="60"/>
      <x:c r="Q39" s="60"/>
      <x:c r="R39" s="60"/>
      <x:c r="S39" s="60"/>
      <x:c r="T39" s="60"/>
      <x:c r="U39" s="60"/>
      <x:c r="V39" s="60"/>
      <x:c r="W39" s="60"/>
      <x:c r="X39" s="60"/>
      <x:c r="Y39" s="60"/>
      <x:c r="Z39" s="60"/>
      <x:c r="AA39" s="60"/>
      <x:c r="AB39" s="29"/>
    </x:row>
    <x:row r="40">
      <x:c r="A40" s="30" t="str">
        <x:v>T</x:v>
      </x:c>
      <x:c r="B40" s="61" t="str">
        <x:v>Tankwarnung: frisch/manuell bevorzugen</x:v>
      </x:c>
      <x:c r="C40" s="61"/>
      <x:c r="D40" s="61"/>
      <x:c r="E40" s="61"/>
      <x:c r="F40" s="61"/>
      <x:c r="G40" s="61"/>
      <x:c r="H40" s="61"/>
      <x:c r="I40" s="61"/>
      <x:c r="J40" s="61"/>
      <x:c r="K40" s="61"/>
      <x:c r="L40" s="61"/>
      <x:c r="M40" s="61"/>
      <x:c r="N40" s="61"/>
      <x:c r="O40" s="61"/>
      <x:c r="P40" s="61"/>
      <x:c r="Q40" s="61"/>
      <x:c r="R40" s="61"/>
      <x:c r="S40" s="61"/>
      <x:c r="T40" s="61"/>
      <x:c r="U40" s="61"/>
      <x:c r="V40" s="61"/>
      <x:c r="W40" s="61"/>
      <x:c r="X40" s="61"/>
      <x:c r="Y40" s="61"/>
      <x:c r="Z40" s="61"/>
      <x:c r="AA40" s="61"/>
      <x:c r="AB40" s="31"/>
    </x:row>
  </x:sheetData>
  <x:conditionalFormatting sqref="B4:AB30">
    <x:cfRule type="expression" dxfId="12" priority="1">
      <x:formula>B4="✅"</x:formula>
    </x:cfRule>
    <x:cfRule type="expression" dxfId="13" priority="2">
      <x:formula>B4="◐"</x:formula>
    </x:cfRule>
    <x:cfRule type="expression" dxfId="14" priority="3">
      <x:formula>B4="🧪"</x:formula>
    </x:cfRule>
    <x:cfRule type="expression" dxfId="15" priority="4">
      <x:formula>B4="↔"</x:formula>
    </x:cfRule>
    <x:cfRule type="expression" dxfId="16" priority="5">
      <x:formula>B4="R"</x:formula>
    </x:cfRule>
    <x:cfRule type="expression" dxfId="17" priority="6">
      <x:formula>B4="⚠"</x:formula>
    </x:cfRule>
    <x:cfRule type="expression" dxfId="18" priority="7">
      <x:formula>B4="✖"</x:formula>
    </x:cfRule>
    <x:cfRule type="expression" dxfId="19" priority="8">
      <x:formula>B4="T"</x:formula>
    </x:cfRule>
  </x:conditionalFormatting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1" hidden="0" customWidth="1"/>
    <x:col min="3" max="3" width="18" hidden="0" customWidth="1"/>
    <x:col min="4" max="4" width="24" hidden="0" customWidth="1"/>
    <x:col min="5" max="5" width="18" hidden="0" customWidth="1"/>
    <x:col min="6" max="6" width="15" hidden="0" customWidth="1"/>
    <x:col min="7" max="7" width="29" hidden="0" customWidth="1"/>
    <x:col min="8" max="8" width="18" hidden="0" customWidth="1"/>
    <x:col min="9" max="9" width="18" hidden="0" customWidth="1"/>
    <x:col min="10" max="10" width="48" hidden="0" customWidth="1"/>
    <x:col min="11" max="11" width="48" hidden="0" customWidth="1"/>
    <x:col min="12" max="12" width="58" hidden="0" customWidth="1"/>
  </x:cols>
  <x:sheetData>
    <x:row r="1">
      <x:c r="A1" s="790" t="str">
        <x:v>Hersteller</x:v>
      </x:c>
      <x:c r="B1" s="790" t="str">
        <x:v>Produkt</x:v>
      </x:c>
      <x:c r="C1" s="790" t="str">
        <x:v>Kategorie</x:v>
      </x:c>
      <x:c r="D1" s="790" t="str">
        <x:v>Funktion</x:v>
      </x:c>
      <x:c r="E1" s="790" t="str">
        <x:v>Phase</x:v>
      </x:c>
      <x:c r="F1" s="790" t="str">
        <x:v>Medium</x:v>
      </x:c>
      <x:c r="G1" s="790" t="str">
        <x:v>Offizielle Dosis / Einsatz</x:v>
      </x:c>
      <x:c r="H1" s="790" t="str">
        <x:v>UKD-Status</x:v>
      </x:c>
      <x:c r="I1" s="790" t="str">
        <x:v>UKD Reservoir-/Automationsbewertung</x:v>
      </x:c>
      <x:c r="J1" s="790" t="str">
        <x:v>Chemische/Funktionale Hinweise</x:v>
      </x:c>
      <x:c r="K1" s="790" t="str">
        <x:v>UKD-Kompatibilitätsurteil</x:v>
      </x:c>
      <x:c r="L1" s="790" t="str">
        <x:v>Quelle</x:v>
      </x:c>
    </x:row>
    <x:row r="2">
      <x:c r="A2" s="32" t="str">
        <x:v>HESI</x:v>
      </x:c>
      <x:c r="B2" s="62" t="str">
        <x:v>Wurzel Complex</x:v>
      </x:c>
      <x:c r="C2" s="62" t="str">
        <x:v>Booster</x:v>
      </x:c>
      <x:c r="D2" s="62" t="str">
        <x:v>Root/Stress</x:v>
      </x:c>
      <x:c r="E2" s="62" t="str">
        <x:v>Baby/Veg</x:v>
      </x:c>
      <x:c r="F2" s="62" t="str">
        <x:v>Coco: ja</x:v>
      </x:c>
      <x:c r="G2" s="62" t="str">
        <x:v>5 ml/L; 2.5 ml/L bei häufig/länger</x:v>
      </x:c>
      <x:c r="H2" s="62" t="str">
        <x:v>CORE</x:v>
      </x:c>
      <x:c r="I2" s="62" t="str">
        <x:v>Bedingt</x:v>
      </x:c>
      <x:c r="J2" s="62" t="str">
        <x:v>Mikronährstoffe/Vitamine/Aminosäuren; kein Basisdünger</x:v>
      </x:c>
      <x:c r="K2" s="62" t="str">
        <x:v>Mit HESI offiziell kombinierbar; Hybrid mit Voodoo nur definiert testen</x:v>
      </x:c>
      <x:c r="L2" s="33" t="str">
        <x:v>https://hesi.nl/de/Wurzel-Complex</x:v>
      </x:c>
    </x:row>
    <x:row r="3">
      <x:c r="A3" s="34" t="str">
        <x:v>HESI</x:v>
      </x:c>
      <x:c r="B3" s="63" t="str">
        <x:v>SuperVit</x:v>
      </x:c>
      <x:c r="C3" s="63" t="str">
        <x:v>Booster</x:v>
      </x:c>
      <x:c r="D3" s="63" t="str">
        <x:v>Vitamine/Aminosäuren</x:v>
      </x:c>
      <x:c r="E3" s="63" t="str">
        <x:v>Baby/Veg/Blüte</x:v>
      </x:c>
      <x:c r="F3" s="63" t="str">
        <x:v>Coco: ja</x:v>
      </x:c>
      <x:c r="G3" s="63" t="str">
        <x:v>1 ml/65 L (Mikrodosis)</x:v>
      </x:c>
      <x:c r="H3" s="63" t="str">
        <x:v>CORE</x:v>
      </x:c>
      <x:c r="I3" s="63" t="str">
        <x:v>Ja</x:v>
      </x:c>
      <x:c r="J3" s="63" t="str">
        <x:v>Sehr geringe Dosis; kein relevanter EC-Treiber</x:v>
      </x:c>
      <x:c r="K3" s="63" t="str">
        <x:v>Mit B-52 funktionell teilweise redundant</x:v>
      </x:c>
      <x:c r="L3" s="35" t="str">
        <x:v>https://hesi.nl/SUPERVIT</x:v>
      </x:c>
    </x:row>
    <x:row r="4">
      <x:c r="A4" s="34" t="str">
        <x:v>HESI</x:v>
      </x:c>
      <x:c r="B4" s="63" t="str">
        <x:v>Boost</x:v>
      </x:c>
      <x:c r="C4" s="63" t="str">
        <x:v>Booster</x:v>
      </x:c>
      <x:c r="D4" s="63" t="str">
        <x:v>Blütestimulation/Zucker/PK</x:v>
      </x:c>
      <x:c r="E4" s="63" t="str">
        <x:v>Ende Veg/Blüte</x:v>
      </x:c>
      <x:c r="F4" s="63" t="str">
        <x:v>Coco: ja</x:v>
      </x:c>
      <x:c r="G4" s="63" t="str">
        <x:v>2 ml/L</x:v>
      </x:c>
      <x:c r="H4" s="63" t="str">
        <x:v>OPTION</x:v>
      </x:c>
      <x:c r="I4" s="63" t="str">
        <x:v>Bedingt</x:v>
      </x:c>
      <x:c r="J4" s="63" t="str">
        <x:v>Organisch + PK; Zucker/Extrakte</x:v>
      </x:c>
      <x:c r="K4" s="63" t="str">
        <x:v>Nicht blind mit Big Bud/Bud Candy/CarboLoad/PK maximieren</x:v>
      </x:c>
      <x:c r="L4" s="35" t="str">
        <x:v>https://hesi.nl/de/Boost</x:v>
      </x:c>
    </x:row>
    <x:row r="5">
      <x:c r="A5" s="34" t="str">
        <x:v>HESI</x:v>
      </x:c>
      <x:c r="B5" s="63" t="str">
        <x:v>PowerZyme</x:v>
      </x:c>
      <x:c r="C5" s="63" t="str">
        <x:v>Booster</x:v>
      </x:c>
      <x:c r="D5" s="63" t="str">
        <x:v>Enzyme/Medium</x:v>
      </x:c>
      <x:c r="E5" s="63" t="str">
        <x:v>gesamter Zyklus</x:v>
      </x:c>
      <x:c r="F5" s="63" t="str">
        <x:v>Coco: ja</x:v>
      </x:c>
      <x:c r="G5" s="63" t="str">
        <x:v>2 ml/L</x:v>
      </x:c>
      <x:c r="H5" s="63" t="str">
        <x:v>CORE</x:v>
      </x:c>
      <x:c r="I5" s="63" t="str">
        <x:v>Ja</x:v>
      </x:c>
      <x:c r="J5" s="63" t="str">
        <x:v>Enzymextrakt aus Trichoderma; zelluloseabbauend</x:v>
      </x:c>
      <x:c r="K5" s="63" t="str">
        <x:v>Mit Sensizym funktionell redundant: eins wählen</x:v>
      </x:c>
      <x:c r="L5" s="35" t="str">
        <x:v>https://hesi.nl/de/PowerZyme</x:v>
      </x:c>
    </x:row>
    <x:row r="6">
      <x:c r="A6" s="34" t="str">
        <x:v>HESI</x:v>
      </x:c>
      <x:c r="B6" s="63" t="str">
        <x:v>Hesilicio</x:v>
      </x:c>
      <x:c r="C6" s="63" t="str">
        <x:v>Booster</x:v>
      </x:c>
      <x:c r="D6" s="63" t="str">
        <x:v>Silizium</x:v>
      </x:c>
      <x:c r="E6" s="63" t="str">
        <x:v>gesamter Zyklus</x:v>
      </x:c>
      <x:c r="F6" s="63" t="str">
        <x:v>Coco: ja</x:v>
      </x:c>
      <x:c r="G6" s="63" t="str">
        <x:v>max. 0.5 ml/L, ca. 1×/Woche</x:v>
      </x:c>
      <x:c r="H6" s="63" t="str">
        <x:v>OPTION</x:v>
      </x:c>
      <x:c r="I6" s="63" t="str">
        <x:v>Ja</x:v>
      </x:c>
      <x:c r="J6" s="63" t="str">
        <x:v>3% Orthokieselsäure</x:v>
      </x:c>
      <x:c r="K6" s="63" t="str">
        <x:v>Nicht zusätzlich Rhino Skin im Reference Stack</x:v>
      </x:c>
      <x:c r="L6" s="35" t="str">
        <x:v>https://hesi.nl/de/Hesilicio</x:v>
      </x:c>
    </x:row>
    <x:row r="7">
      <x:c r="A7" s="34" t="str">
        <x:v>HESI</x:v>
      </x:c>
      <x:c r="B7" s="63" t="str">
        <x:v>CalMag</x:v>
      </x:c>
      <x:c r="C7" s="63" t="str">
        <x:v>Booster/Nährstoff</x:v>
      </x:c>
      <x:c r="D7" s="63" t="str">
        <x:v>Ca/Mg/Fe</x:v>
      </x:c>
      <x:c r="E7" s="63" t="str">
        <x:v>nach Wasserbedarf</x:v>
      </x:c>
      <x:c r="F7" s="63" t="str">
        <x:v>Coco: ja</x:v>
      </x:c>
      <x:c r="G7" s="63" t="str">
        <x:v>bis Wasser-EC ca. 0.4–0.5; RO typ. 3–4 ml/5L</x:v>
      </x:c>
      <x:c r="H7" s="63" t="str">
        <x:v>CONDITIONAL</x:v>
      </x:c>
      <x:c r="I7" s="63" t="str">
        <x:v>Ja</x:v>
      </x:c>
      <x:c r="J7" s="63" t="str">
        <x:v>NPK 5-0-0; Ca/Mg plus Fe/Mo</x:v>
      </x:c>
      <x:c r="K7" s="63" t="str">
        <x:v>Nicht pauschal mit Sensi Cal Mag Xtra/Revive addieren</x:v>
      </x:c>
      <x:c r="L7" s="35" t="str">
        <x:v>https://hesi.nl/de/CalMag</x:v>
      </x:c>
    </x:row>
    <x:row r="8">
      <x:c r="A8" s="34" t="str">
        <x:v>HESI</x:v>
      </x:c>
      <x:c r="B8" s="63" t="str">
        <x:v>TNT Complex</x:v>
      </x:c>
      <x:c r="C8" s="63" t="str">
        <x:v>Basisdünger</x:v>
      </x:c>
      <x:c r="D8" s="63" t="str">
        <x:v>Wachstum</x:v>
      </x:c>
      <x:c r="E8" s="63" t="str">
        <x:v>Veg</x:v>
      </x:c>
      <x:c r="F8" s="63" t="str">
        <x:v>Coco: ja</x:v>
      </x:c>
      <x:c r="G8" s="63" t="str">
        <x:v>5 ml/L; 2.5 ml/L jung/kontinuierlich</x:v>
      </x:c>
      <x:c r="H8" s="63" t="str">
        <x:v>CORE</x:v>
      </x:c>
      <x:c r="I8" s="63" t="str">
        <x:v>Ja</x:v>
      </x:c>
      <x:c r="J8" s="63" t="str">
        <x:v>NPK 3-2-3; organisch gebundener N-Anteil -&gt; EC allein unterschätzt Nährstoffgabe</x:v>
      </x:c>
      <x:c r="K8" s="63" t="str">
        <x:v>Sequenziell vor HESI Coco, nicht zwei Vollbasen parallel</x:v>
      </x:c>
      <x:c r="L8" s="35" t="str">
        <x:v>https://hesi.nl/de/TNT-COMPLEX</x:v>
      </x:c>
    </x:row>
    <x:row r="9">
      <x:c r="A9" s="34" t="str">
        <x:v>HESI</x:v>
      </x:c>
      <x:c r="B9" s="63" t="str">
        <x:v>Coco</x:v>
      </x:c>
      <x:c r="C9" s="63" t="str">
        <x:v>Basisdünger</x:v>
      </x:c>
      <x:c r="D9" s="63" t="str">
        <x:v>Coco Blüte</x:v>
      </x:c>
      <x:c r="E9" s="63" t="str">
        <x:v>Blüte</x:v>
      </x:c>
      <x:c r="F9" s="63" t="str">
        <x:v>Coco: ja</x:v>
      </x:c>
      <x:c r="G9" s="63" t="str">
        <x:v>5 ml/L bei jedem Gießen laut Hersteller</x:v>
      </x:c>
      <x:c r="H9" s="63" t="str">
        <x:v>CORE</x:v>
      </x:c>
      <x:c r="I9" s="63" t="str">
        <x:v>Ja</x:v>
      </x:c>
      <x:c r="J9" s="63" t="str">
        <x:v>NPK 3-4-5 + Ca/Mg + Spurenelemente</x:v>
      </x:c>
      <x:c r="K9" s="63" t="str">
        <x:v>UKD-Hauptbasis in Blüte; pH danach messen/korrigieren</x:v>
      </x:c>
      <x:c r="L9" s="35" t="str">
        <x:v>https://hesi.nl/de/COCO</x:v>
      </x:c>
    </x:row>
    <x:row r="10">
      <x:c r="A10" s="34" t="str">
        <x:v>HESI</x:v>
      </x:c>
      <x:c r="B10" s="63" t="str">
        <x:v>PK 13/14</x:v>
      </x:c>
      <x:c r="C10" s="63" t="str">
        <x:v>PK-Dünger</x:v>
      </x:c>
      <x:c r="D10" s="63" t="str">
        <x:v>PK-Boost</x:v>
      </x:c>
      <x:c r="E10" s="63" t="str">
        <x:v>2. Hälfte Blüte</x:v>
      </x:c>
      <x:c r="F10" s="63" t="str">
        <x:v>Coco: ja</x:v>
      </x:c>
      <x:c r="G10" s="63" t="str">
        <x:v>0.25–1.5 ml/L</x:v>
      </x:c>
      <x:c r="H10" s="63" t="str">
        <x:v>OPTION</x:v>
      </x:c>
      <x:c r="I10" s="63" t="str">
        <x:v>Ja</x:v>
      </x:c>
      <x:c r="J10" s="63" t="str">
        <x:v>PK-Dünger; K-Überschuss kann Ca/Mg-Mangel provozieren</x:v>
      </x:c>
      <x:c r="K10" s="63" t="str">
        <x:v>Alternative zu AN-PK-Bulkern, nicht blind kombinieren</x:v>
      </x:c>
      <x:c r="L10" s="35" t="str">
        <x:v>https://hesi.nl/de/PK-13-14</x:v>
      </x:c>
    </x:row>
    <x:row r="11">
      <x:c r="A11" s="34" t="str">
        <x:v>HESI</x:v>
      </x:c>
      <x:c r="B11" s="63" t="str">
        <x:v>Hydro Wuchs</x:v>
      </x:c>
      <x:c r="C11" s="63" t="str">
        <x:v>Basisdünger</x:v>
      </x:c>
      <x:c r="D11" s="63" t="str">
        <x:v>Hydro Wachstum</x:v>
      </x:c>
      <x:c r="E11" s="63" t="str">
        <x:v>Veg</x:v>
      </x:c>
      <x:c r="F11" s="63" t="str">
        <x:v>Hydro</x:v>
      </x:c>
      <x:c r="G11" s="63" t="str">
        <x:v>Herstellerschema</x:v>
      </x:c>
      <x:c r="H11" s="63" t="str">
        <x:v>EXCLUDE</x:v>
      </x:c>
      <x:c r="I11" s="63" t="str">
        <x:v>n/a</x:v>
      </x:c>
      <x:c r="J11" s="63" t="str">
        <x:v>Für Hydro, nicht UKD-Coco</x:v>
      </x:c>
      <x:c r="K11" s="63" t="str">
        <x:v>Nicht zusätzlich zu TNT/Coco</x:v>
      </x:c>
      <x:c r="L11" s="35" t="str">
        <x:v>https://hesi.nl/de/PRODUKTE</x:v>
      </x:c>
    </x:row>
    <x:row r="12">
      <x:c r="A12" s="34" t="str">
        <x:v>HESI</x:v>
      </x:c>
      <x:c r="B12" s="63" t="str">
        <x:v>Hydro Blüte</x:v>
      </x:c>
      <x:c r="C12" s="63" t="str">
        <x:v>Basisdünger</x:v>
      </x:c>
      <x:c r="D12" s="63" t="str">
        <x:v>Hydro Blüte</x:v>
      </x:c>
      <x:c r="E12" s="63" t="str">
        <x:v>Blüte</x:v>
      </x:c>
      <x:c r="F12" s="63" t="str">
        <x:v>Hydro</x:v>
      </x:c>
      <x:c r="G12" s="63" t="str">
        <x:v>Herstellerschema</x:v>
      </x:c>
      <x:c r="H12" s="63" t="str">
        <x:v>EXCLUDE</x:v>
      </x:c>
      <x:c r="I12" s="63" t="str">
        <x:v>n/a</x:v>
      </x:c>
      <x:c r="J12" s="63" t="str">
        <x:v>Für Hydro, nicht UKD-Coco</x:v>
      </x:c>
      <x:c r="K12" s="63" t="str">
        <x:v>Nicht zusätzlich zu Coco</x:v>
      </x:c>
      <x:c r="L12" s="35" t="str">
        <x:v>https://hesi.nl/de/PRODUKTE</x:v>
      </x:c>
    </x:row>
    <x:row r="13">
      <x:c r="A13" s="34" t="str">
        <x:v>HESI</x:v>
      </x:c>
      <x:c r="B13" s="63" t="str">
        <x:v>Blüh Complex</x:v>
      </x:c>
      <x:c r="C13" s="63" t="str">
        <x:v>Basisdünger</x:v>
      </x:c>
      <x:c r="D13" s="63" t="str">
        <x:v>Erde Blüte</x:v>
      </x:c>
      <x:c r="E13" s="63" t="str">
        <x:v>Blüte</x:v>
      </x:c>
      <x:c r="F13" s="63" t="str">
        <x:v>Erde</x:v>
      </x:c>
      <x:c r="G13" s="63" t="str">
        <x:v>Herstellerschema</x:v>
      </x:c>
      <x:c r="H13" s="63" t="str">
        <x:v>EXCLUDE</x:v>
      </x:c>
      <x:c r="I13" s="63" t="str">
        <x:v>n/a</x:v>
      </x:c>
      <x:c r="J13" s="63" t="str">
        <x:v>Erde-spezifisch</x:v>
      </x:c>
      <x:c r="K13" s="63" t="str">
        <x:v>Für UKD-Coco HESI Coco vorziehen</x:v>
      </x:c>
      <x:c r="L13" s="35" t="str">
        <x:v>https://hesi.nl/de/PRODUKTE</x:v>
      </x:c>
    </x:row>
    <x:row r="14">
      <x:c r="A14" s="34" t="str">
        <x:v>HESI</x:v>
      </x:c>
      <x:c r="B14" s="63" t="str">
        <x:v>Phosphor Plus</x:v>
      </x:c>
      <x:c r="C14" s="63" t="str">
        <x:v>PK-Dünger</x:v>
      </x:c>
      <x:c r="D14" s="63" t="str">
        <x:v>Erde PK</x:v>
      </x:c>
      <x:c r="E14" s="63" t="str">
        <x:v>Blüte</x:v>
      </x:c>
      <x:c r="F14" s="63" t="str">
        <x:v>Erde</x:v>
      </x:c>
      <x:c r="G14" s="63" t="str">
        <x:v>Herstellerschema</x:v>
      </x:c>
      <x:c r="H14" s="63" t="str">
        <x:v>EXCLUDE</x:v>
      </x:c>
      <x:c r="I14" s="63" t="str">
        <x:v>n/a</x:v>
      </x:c>
      <x:c r="J14" s="63" t="str">
        <x:v>Erde-spezifische PK-Ergänzung</x:v>
      </x:c>
      <x:c r="K14" s="63" t="str">
        <x:v>In Coco PK 13/14 verwenden, nicht beides</x:v>
      </x:c>
      <x:c r="L14" s="35" t="str">
        <x:v>https://hesi.nl/de/PRODUKTE</x:v>
      </x:c>
    </x:row>
    <x:row r="15">
      <x:c r="A15" s="34" t="str">
        <x:v>HESI</x:v>
      </x:c>
      <x:c r="B15" s="63" t="str">
        <x:v>Bio Grow</x:v>
      </x:c>
      <x:c r="C15" s="63" t="str">
        <x:v>Bio-Basis</x:v>
      </x:c>
      <x:c r="D15" s="63" t="str">
        <x:v>Organisches Wachstum</x:v>
      </x:c>
      <x:c r="E15" s="63" t="str">
        <x:v>Veg</x:v>
      </x:c>
      <x:c r="F15" s="63" t="str">
        <x:v>Erde/Coco laut Katalog</x:v>
      </x:c>
      <x:c r="G15" s="63" t="str">
        <x:v>Herstellerschema</x:v>
      </x:c>
      <x:c r="H15" s="63" t="str">
        <x:v>EXCLUDE</x:v>
      </x:c>
      <x:c r="I15" s="63" t="str">
        <x:v>UKD Reference: vermeiden / organische Reservoirkomplexität</x:v>
      </x:c>
      <x:c r="J15" s="63" t="str">
        <x:v>Organische Extrakte</x:v>
      </x:c>
      <x:c r="K15" s="63" t="str">
        <x:v>Nicht im mineralischen UKD-Reference-Stack; organischer Systemwechsel</x:v>
      </x:c>
      <x:c r="L15" s="35" t="str">
        <x:v>https://hesi.nl/de/PRODUKTE</x:v>
      </x:c>
    </x:row>
    <x:row r="16">
      <x:c r="A16" s="34" t="str">
        <x:v>HESI</x:v>
      </x:c>
      <x:c r="B16" s="63" t="str">
        <x:v>Bio Bloom</x:v>
      </x:c>
      <x:c r="C16" s="63" t="str">
        <x:v>Bio-Basis</x:v>
      </x:c>
      <x:c r="D16" s="63" t="str">
        <x:v>Organische Blüte</x:v>
      </x:c>
      <x:c r="E16" s="63" t="str">
        <x:v>Blüte</x:v>
      </x:c>
      <x:c r="F16" s="63" t="str">
        <x:v>Erde/Coco laut Katalog</x:v>
      </x:c>
      <x:c r="G16" s="63" t="str">
        <x:v>Herstellerschema</x:v>
      </x:c>
      <x:c r="H16" s="63" t="str">
        <x:v>EXCLUDE</x:v>
      </x:c>
      <x:c r="I16" s="63" t="str">
        <x:v>UKD Reference: vermeiden / organische Reservoirkomplexität</x:v>
      </x:c>
      <x:c r="J16" s="63" t="str">
        <x:v>Organische Extrakte</x:v>
      </x:c>
      <x:c r="K16" s="63" t="str">
        <x:v>Nicht mit HESI Coco als zweite Basis</x:v>
      </x:c>
      <x:c r="L16" s="35" t="str">
        <x:v>https://hesi.nl/de/PRODUKTE</x:v>
      </x:c>
    </x:row>
    <x:row r="17">
      <x:c r="A17" s="34" t="str">
        <x:v>HESI</x:v>
      </x:c>
      <x:c r="B17" s="63" t="str">
        <x:v>HousePlant Elixir</x:v>
      </x:c>
      <x:c r="C17" s="63" t="str">
        <x:v>Komplettdünger</x:v>
      </x:c>
      <x:c r="D17" s="63" t="str">
        <x:v>Zimmerpflanzen</x:v>
      </x:c>
      <x:c r="E17" s="63" t="str">
        <x:v>gesamter Zyklus</x:v>
      </x:c>
      <x:c r="F17" s="63" t="str">
        <x:v>Coco möglich</x:v>
      </x:c>
      <x:c r="G17" s="63" t="str">
        <x:v>Herstellerschema</x:v>
      </x:c>
      <x:c r="H17" s="63" t="str">
        <x:v>EXCLUDE</x:v>
      </x:c>
      <x:c r="I17" s="63" t="str">
        <x:v>Bedingt</x:v>
      </x:c>
      <x:c r="J17" s="63" t="str">
        <x:v>Enthält Funktionen aus TNT+Wurzel+SuperVit</x:v>
      </x:c>
      <x:c r="K17" s="63" t="str">
        <x:v>Nicht für UKD; mit Wurzel/SuperVit redundant</x:v>
      </x:c>
      <x:c r="L17" s="35" t="str">
        <x:v>https://hesi.nl/de/PRODUKTE</x:v>
      </x:c>
    </x:row>
    <x:row r="18">
      <x:c r="A18" s="34" t="str">
        <x:v>HESI</x:v>
      </x:c>
      <x:c r="B18" s="63" t="str">
        <x:v>OrchiVit</x:v>
      </x:c>
      <x:c r="C18" s="63" t="str">
        <x:v>Komplettdünger</x:v>
      </x:c>
      <x:c r="D18" s="63" t="str">
        <x:v>Orchideen</x:v>
      </x:c>
      <x:c r="E18" s="63" t="str">
        <x:v>gesamter Zyklus</x:v>
      </x:c>
      <x:c r="F18" s="63" t="str">
        <x:v>Coco möglich</x:v>
      </x:c>
      <x:c r="G18" s="63" t="str">
        <x:v>Herstellerschema</x:v>
      </x:c>
      <x:c r="H18" s="63" t="str">
        <x:v>EXCLUDE</x:v>
      </x:c>
      <x:c r="I18" s="63" t="str">
        <x:v>Bedingt</x:v>
      </x:c>
      <x:c r="J18" s="63" t="str">
        <x:v>Orchideen-spezifisch</x:v>
      </x:c>
      <x:c r="K18" s="63" t="str">
        <x:v>Nicht für UKD</x:v>
      </x:c>
      <x:c r="L18" s="35" t="str">
        <x:v>https://hesi.nl/de/PRODUKTE</x:v>
      </x:c>
    </x:row>
    <x:row r="19">
      <x:c r="A19" s="34" t="str">
        <x:v>HESI</x:v>
      </x:c>
      <x:c r="B19" s="63" t="str">
        <x:v>Balkon Blüten Elixir</x:v>
      </x:c>
      <x:c r="C19" s="63" t="str">
        <x:v>Komplettdünger</x:v>
      </x:c>
      <x:c r="D19" s="63" t="str">
        <x:v>Zierpflanzen</x:v>
      </x:c>
      <x:c r="E19" s="63" t="str">
        <x:v>Blüte</x:v>
      </x:c>
      <x:c r="F19" s="63" t="str">
        <x:v>Erde</x:v>
      </x:c>
      <x:c r="G19" s="63" t="str">
        <x:v>Herstellerschema</x:v>
      </x:c>
      <x:c r="H19" s="63" t="str">
        <x:v>EXCLUDE</x:v>
      </x:c>
      <x:c r="I19" s="63" t="str">
        <x:v>n/a</x:v>
      </x:c>
      <x:c r="J19" s="63" t="str">
        <x:v>Zierpflanzen</x:v>
      </x:c>
      <x:c r="K19" s="63" t="str">
        <x:v>Nicht für UKD</x:v>
      </x:c>
      <x:c r="L19" s="35" t="str">
        <x:v>https://hesi.nl/de/PRODUKTE</x:v>
      </x:c>
    </x:row>
    <x:row r="20">
      <x:c r="A20" s="34" t="str">
        <x:v>HESI</x:v>
      </x:c>
      <x:c r="B20" s="63" t="str">
        <x:v>StarterBox Coco</x:v>
      </x:c>
      <x:c r="C20" s="63" t="str">
        <x:v>Pack</x:v>
      </x:c>
      <x:c r="D20" s="63" t="str">
        <x:v>Systempack</x:v>
      </x:c>
      <x:c r="E20" s="63" t="str">
        <x:v>gesamter Zyklus</x:v>
      </x:c>
      <x:c r="F20" s="63" t="str">
        <x:v>Coco</x:v>
      </x:c>
      <x:c r="G20" s="63" t="str">
        <x:v>enthält Einzeldosierungen</x:v>
      </x:c>
      <x:c r="H20" s="63" t="str">
        <x:v>REFERENCE</x:v>
      </x:c>
      <x:c r="I20" s="63" t="str">
        <x:v>n/a</x:v>
      </x:c>
      <x:c r="J20" s="63" t="str">
        <x:v>Wurzel, SuperVit, PowerZyme, TNT, Coco, PK, Boost</x:v>
      </x:c>
      <x:c r="K20" s="63" t="str">
        <x:v>Offizielle Bestätigung der HESI-Reference-Architektur</x:v>
      </x:c>
      <x:c r="L20" s="35" t="str">
        <x:v>https://hesi.nl/de/StarterBox</x:v>
      </x:c>
    </x:row>
    <x:row r="21">
      <x:c r="A21" s="34" t="str">
        <x:v>HESI</x:v>
      </x:c>
      <x:c r="B21" s="63" t="str">
        <x:v>Hesi Pack</x:v>
      </x:c>
      <x:c r="C21" s="63" t="str">
        <x:v>Pack</x:v>
      </x:c>
      <x:c r="D21" s="63" t="str">
        <x:v>Systempack</x:v>
      </x:c>
      <x:c r="E21" s="63" t="str">
        <x:v>gesamter Zyklus</x:v>
      </x:c>
      <x:c r="F21" s="63" t="str">
        <x:v>primär Erde</x:v>
      </x:c>
      <x:c r="G21" s="63" t="str">
        <x:v>Pack</x:v>
      </x:c>
      <x:c r="H21" s="63" t="str">
        <x:v>EXCLUDE</x:v>
      </x:c>
      <x:c r="I21" s="63" t="str">
        <x:v>n/a</x:v>
      </x:c>
      <x:c r="J21" s="63" t="str">
        <x:v>TNT/Blüh/Phosphor Plus/Boost</x:v>
      </x:c>
      <x:c r="K21" s="63" t="str">
        <x:v>Nicht Coco-spezifisch</x:v>
      </x:c>
      <x:c r="L21" s="35" t="str">
        <x:v>https://hesi.nl/de/Hesi-Pack</x:v>
      </x:c>
    </x:row>
    <x:row r="22">
      <x:c r="A22" s="34" t="str">
        <x:v>Advanced Nutrients</x:v>
      </x:c>
      <x:c r="B22" s="63" t="str">
        <x:v>pH Perfect Sensi Coco Grow &amp; Bloom</x:v>
      </x:c>
      <x:c r="C22" s="63" t="str">
        <x:v>pH Perfect Basis</x:v>
      </x:c>
      <x:c r="D22" s="63" t="str">
        <x:v>Coco Vollbasis</x:v>
      </x:c>
      <x:c r="E22" s="63" t="str">
        <x:v>Veg/Blüte</x:v>
      </x:c>
      <x:c r="F22" s="63" t="str">
        <x:v>Coco: ja</x:v>
      </x:c>
      <x:c r="G22" s="63" t="str">
        <x:v>Grow A+B: 1→4 ml/L; Bloom A+B typ. 4 ml/L</x:v>
      </x:c>
      <x:c r="H22" s="63" t="str">
        <x:v>ALTERNATIVE BASE</x:v>
      </x:c>
      <x:c r="I22" s="63" t="str">
        <x:v>Ja</x:v>
      </x:c>
      <x:c r="J22" s="63" t="str">
        <x:v>Ca/Mg/Fe chelatiert; pH Perfect</x:v>
      </x:c>
      <x:c r="K22" s="63" t="str">
        <x:v>Alternative zum HESI-Basisweg; nicht parallel mit HESI TNT/Coco</x:v>
      </x:c>
      <x:c r="L22" s="35" t="str">
        <x:v>https://www.advancednutrients.com/de/products/ph-perfect-sensi-coco-grow-bloom/</x:v>
      </x:c>
    </x:row>
    <x:row r="23">
      <x:c r="A23" s="34" t="str">
        <x:v>Advanced Nutrients</x:v>
      </x:c>
      <x:c r="B23" s="63" t="str">
        <x:v>pH Perfect Sensi Grow &amp; Bloom</x:v>
      </x:c>
      <x:c r="C23" s="63" t="str">
        <x:v>pH Perfect Basis</x:v>
      </x:c>
      <x:c r="D23" s="63" t="str">
        <x:v>Vollbasis</x:v>
      </x:c>
      <x:c r="E23" s="63" t="str">
        <x:v>Veg/Blüte</x:v>
      </x:c>
      <x:c r="F23" s="63" t="str">
        <x:v>Hydro/soilless</x:v>
      </x:c>
      <x:c r="G23" s="63" t="str">
        <x:v>Herstellerschema</x:v>
      </x:c>
      <x:c r="H23" s="63" t="str">
        <x:v>ALT BASE</x:v>
      </x:c>
      <x:c r="I23" s="63" t="str">
        <x:v>Ja</x:v>
      </x:c>
      <x:c r="J23" s="63" t="str">
        <x:v>2-Komponenten, pH Perfect</x:v>
      </x:c>
      <x:c r="K23" s="63" t="str">
        <x:v>Sensi Coco ist für UKD-Coco passender</x:v>
      </x:c>
      <x:c r="L23" s="35" t="str">
        <x:v>https://www.advancednutrients.com/de/products/ph-perfect-sensi-grow-bloom/</x:v>
      </x:c>
    </x:row>
    <x:row r="24">
      <x:c r="A24" s="34" t="str">
        <x:v>Advanced Nutrients</x:v>
      </x:c>
      <x:c r="B24" s="63" t="str">
        <x:v>pH Perfect Grow Micro Bloom</x:v>
      </x:c>
      <x:c r="C24" s="63" t="str">
        <x:v>pH Perfect Basis</x:v>
      </x:c>
      <x:c r="D24" s="63" t="str">
        <x:v>3-Part Vollbasis</x:v>
      </x:c>
      <x:c r="E24" s="63" t="str">
        <x:v>Veg/Blüte</x:v>
      </x:c>
      <x:c r="F24" s="63" t="str">
        <x:v>Hydro/Coco</x:v>
      </x:c>
      <x:c r="G24" s="63" t="str">
        <x:v>1→4 ml/L je Teil; Blüte typ. 4 ml/L je Teil</x:v>
      </x:c>
      <x:c r="H24" s="63" t="str">
        <x:v>ALT BASE</x:v>
      </x:c>
      <x:c r="I24" s="63" t="str">
        <x:v>Ja</x:v>
      </x:c>
      <x:c r="J24" s="63" t="str">
        <x:v>3-Komponenten, pH Perfect</x:v>
      </x:c>
      <x:c r="K24" s="63" t="str">
        <x:v>Nicht zusammen mit HESI-Basen</x:v>
      </x:c>
      <x:c r="L24" s="35" t="str">
        <x:v>https://www.advancednutrients.com/de/products/ph-perfect-grow-micro-bloom/</x:v>
      </x:c>
    </x:row>
    <x:row r="25">
      <x:c r="A25" s="34" t="str">
        <x:v>Advanced Nutrients</x:v>
      </x:c>
      <x:c r="B25" s="63" t="str">
        <x:v>pH Perfect Connoisseur Grow &amp; Bloom</x:v>
      </x:c>
      <x:c r="C25" s="63" t="str">
        <x:v>pH Perfect Basis</x:v>
      </x:c>
      <x:c r="D25" s="63" t="str">
        <x:v>Premium Vollbasis</x:v>
      </x:c>
      <x:c r="E25" s="63" t="str">
        <x:v>Veg/Blüte</x:v>
      </x:c>
      <x:c r="F25" s="63" t="str">
        <x:v>Hydro/soilless</x:v>
      </x:c>
      <x:c r="G25" s="63" t="str">
        <x:v>Herstellerschema</x:v>
      </x:c>
      <x:c r="H25" s="63" t="str">
        <x:v>ALT BASE</x:v>
      </x:c>
      <x:c r="I25" s="63" t="str">
        <x:v>Ja</x:v>
      </x:c>
      <x:c r="J25" s="63" t="str">
        <x:v>Premium 2-Part, pH Perfect</x:v>
      </x:c>
      <x:c r="K25" s="63" t="str">
        <x:v>Für UKD kein Vorteil gegenüber Coco-spezifischer Basis nachgewiesen</x:v>
      </x:c>
      <x:c r="L25" s="35" t="str">
        <x:v>https://www.advancednutrients.com/products/</x:v>
      </x:c>
    </x:row>
    <x:row r="26">
      <x:c r="A26" s="34" t="str">
        <x:v>Advanced Nutrients</x:v>
      </x:c>
      <x:c r="B26" s="63" t="str">
        <x:v>Jungle Juice Grow/Micro/Bloom</x:v>
      </x:c>
      <x:c r="C26" s="63" t="str">
        <x:v>Basis</x:v>
      </x:c>
      <x:c r="D26" s="63" t="str">
        <x:v>3-Part Vollbasis</x:v>
      </x:c>
      <x:c r="E26" s="63" t="str">
        <x:v>Veg/Blüte</x:v>
      </x:c>
      <x:c r="F26" s="63" t="str">
        <x:v>Hydro/Coco</x:v>
      </x:c>
      <x:c r="G26" s="63" t="str">
        <x:v>Herstellerschema</x:v>
      </x:c>
      <x:c r="H26" s="63" t="str">
        <x:v>EXCLUDE</x:v>
      </x:c>
      <x:c r="I26" s="63" t="str">
        <x:v>Ja</x:v>
      </x:c>
      <x:c r="J26" s="63" t="str">
        <x:v>anpassbare 3-Part Basis</x:v>
      </x:c>
      <x:c r="K26" s="63" t="str">
        <x:v>Nicht zusätzlich zu HESI</x:v>
      </x:c>
      <x:c r="L26" s="35" t="str">
        <x:v>https://www.advancednutrients.com/products/</x:v>
      </x:c>
    </x:row>
    <x:row r="27">
      <x:c r="A27" s="34" t="str">
        <x:v>Advanced Nutrients</x:v>
      </x:c>
      <x:c r="B27" s="63" t="str">
        <x:v>Sensi Terra Series</x:v>
      </x:c>
      <x:c r="C27" s="63" t="str">
        <x:v>Basis</x:v>
      </x:c>
      <x:c r="D27" s="63" t="str">
        <x:v>Soil/soilless Basis</x:v>
      </x:c>
      <x:c r="E27" s="63" t="str">
        <x:v>Veg/Blüte</x:v>
      </x:c>
      <x:c r="F27" s="63" t="str">
        <x:v>Erde/soilless</x:v>
      </x:c>
      <x:c r="G27" s="63" t="str">
        <x:v>Herstellerschema</x:v>
      </x:c>
      <x:c r="H27" s="63" t="str">
        <x:v>EXCLUDE</x:v>
      </x:c>
      <x:c r="I27" s="63" t="str">
        <x:v>Bedingt</x:v>
      </x:c>
      <x:c r="J27" s="63" t="str">
        <x:v>Terra-Basis</x:v>
      </x:c>
      <x:c r="K27" s="63" t="str">
        <x:v>Nicht UKD-Coco priorisiert</x:v>
      </x:c>
      <x:c r="L27" s="35" t="str">
        <x:v>https://www.advancednutrients.com/products/</x:v>
      </x:c>
    </x:row>
    <x:row r="28">
      <x:c r="A28" s="34" t="str">
        <x:v>Advanced Nutrients</x:v>
      </x:c>
      <x:c r="B28" s="63" t="str">
        <x:v>Heavy Harvest</x:v>
      </x:c>
      <x:c r="C28" s="63" t="str">
        <x:v>Granular Basis</x:v>
      </x:c>
      <x:c r="D28" s="63" t="str">
        <x:v>Outdoor Topdress</x:v>
      </x:c>
      <x:c r="E28" s="63" t="str">
        <x:v>Veg/Blüte</x:v>
      </x:c>
      <x:c r="F28" s="63" t="str">
        <x:v>Outdoor</x:v>
      </x:c>
      <x:c r="G28" s="63" t="str">
        <x:v>Topdress 1–2×/Monat</x:v>
      </x:c>
      <x:c r="H28" s="63" t="str">
        <x:v>EXCLUDE</x:v>
      </x:c>
      <x:c r="I28" s="63" t="str">
        <x:v>Nein</x:v>
      </x:c>
      <x:c r="J28" s="63" t="str">
        <x:v>Granulat</x:v>
      </x:c>
      <x:c r="K28" s="63" t="str">
        <x:v>Nicht für den UKD-Coco-Reference-Run</x:v>
      </x:c>
      <x:c r="L28" s="35" t="str">
        <x:v>https://www.advancednutrients.com/products/</x:v>
      </x:c>
    </x:row>
    <x:row r="29">
      <x:c r="A29" s="34" t="str">
        <x:v>Advanced Nutrients</x:v>
      </x:c>
      <x:c r="B29" s="63" t="str">
        <x:v>Cultivator Series</x:v>
      </x:c>
      <x:c r="C29" s="63" t="str">
        <x:v>Pulver Basis</x:v>
      </x:c>
      <x:c r="D29" s="63" t="str">
        <x:v>Commercial salts</x:v>
      </x:c>
      <x:c r="E29" s="63" t="str">
        <x:v>Veg/Blüte</x:v>
      </x:c>
      <x:c r="F29" s="63" t="str">
        <x:v>Hydro/Coco</x:v>
      </x:c>
      <x:c r="G29" s="63" t="str">
        <x:v>Herstellerschema</x:v>
      </x:c>
      <x:c r="H29" s="63" t="str">
        <x:v>EXPERIMENTAL</x:v>
      </x:c>
      <x:c r="I29" s="63" t="str">
        <x:v>Ja</x:v>
      </x:c>
      <x:c r="J29" s="63" t="str">
        <x:v>wasserlösliche Salze</x:v>
      </x:c>
      <x:c r="K29" s="63" t="str">
        <x:v>Professionelle Alternative, nicht Reference</x:v>
      </x:c>
      <x:c r="L29" s="35" t="str">
        <x:v>https://www.advancednutrients.com/products/</x:v>
      </x:c>
    </x:row>
    <x:row r="30">
      <x:c r="A30" s="34" t="str">
        <x:v>Advanced Nutrients</x:v>
      </x:c>
      <x:c r="B30" s="63" t="str">
        <x:v>OG Organics Iguana Juice Grow &amp; Bloom</x:v>
      </x:c>
      <x:c r="C30" s="63" t="str">
        <x:v>Bio-Basis</x:v>
      </x:c>
      <x:c r="D30" s="63" t="str">
        <x:v>organische Vollbasis</x:v>
      </x:c>
      <x:c r="E30" s="63" t="str">
        <x:v>Veg/Blüte</x:v>
      </x:c>
      <x:c r="F30" s="63" t="str">
        <x:v>Bio/Soil</x:v>
      </x:c>
      <x:c r="G30" s="63" t="str">
        <x:v>Herstellerschema</x:v>
      </x:c>
      <x:c r="H30" s="63" t="str">
        <x:v>EXCLUDE</x:v>
      </x:c>
      <x:c r="I30" s="63" t="str">
        <x:v>UKD Reference: vermeiden / organische Reservoirkomplexität</x:v>
      </x:c>
      <x:c r="J30" s="63" t="str">
        <x:v>organische Inputs</x:v>
      </x:c>
      <x:c r="K30" s="63" t="str">
        <x:v>Reservoir-/Biofilmkomplexität und Systemwechsel</x:v>
      </x:c>
      <x:c r="L30" s="35" t="str">
        <x:v>https://www.advancednutrients.com/products/</x:v>
      </x:c>
    </x:row>
    <x:row r="31">
      <x:c r="A31" s="34" t="str">
        <x:v>Advanced Nutrients</x:v>
      </x:c>
      <x:c r="B31" s="63" t="str">
        <x:v>Voodoo Juice</x:v>
      </x:c>
      <x:c r="C31" s="63" t="str">
        <x:v>Root Microbes</x:v>
      </x:c>
      <x:c r="D31" s="63" t="str">
        <x:v>Bacillus-Inokulum</x:v>
      </x:c>
      <x:c r="E31" s="63" t="str">
        <x:v>Veg W1-2; Blüte W1-2</x:v>
      </x:c>
      <x:c r="F31" s="63" t="str">
        <x:v>Coco: ja</x:v>
      </x:c>
      <x:c r="G31" s="63" t="str">
        <x:v>2 ml/L</x:v>
      </x:c>
      <x:c r="H31" s="63" t="str">
        <x:v>CORE HYBRID</x:v>
      </x:c>
      <x:c r="I31" s="63" t="str">
        <x:v>Manual/fresh</x:v>
      </x:c>
      <x:c r="J31" s="63" t="str">
        <x:v>4 Bacillus-Stämme; 0-0-0</x:v>
      </x:c>
      <x:c r="K31" s="63" t="str">
        <x:v>Mit HESI technisch kompatibel; kurz und frisch statt Dauertank</x:v>
      </x:c>
      <x:c r="L31" s="35" t="str">
        <x:v>https://www.advancednutrients.com/de/products/voodoo-juice/</x:v>
      </x:c>
    </x:row>
    <x:row r="32">
      <x:c r="A32" s="34" t="str">
        <x:v>Advanced Nutrients</x:v>
      </x:c>
      <x:c r="B32" s="63" t="str">
        <x:v>Voodoo Juice Plus</x:v>
      </x:c>
      <x:c r="C32" s="63" t="str">
        <x:v>Root Microbes</x:v>
      </x:c>
      <x:c r="D32" s="63" t="str">
        <x:v>3-in-1 Mikroben</x:v>
      </x:c>
      <x:c r="E32" s="63" t="str">
        <x:v>frühe Veg/Blüte</x:v>
      </x:c>
      <x:c r="F32" s="63" t="str">
        <x:v>Coco: ja</x:v>
      </x:c>
      <x:c r="G32" s="63" t="str">
        <x:v>Produktchart, Tabletten</x:v>
      </x:c>
      <x:c r="H32" s="63" t="str">
        <x:v>A/B ONLY</x:v>
      </x:c>
      <x:c r="I32" s="63" t="str">
        <x:v>Manual/fresh</x:v>
      </x:c>
      <x:c r="J32" s="63" t="str">
        <x:v>kombiniert mehrere Mikrobenstämme</x:v>
      </x:c>
      <x:c r="K32" s="63" t="str">
        <x:v>Ersetzt Voodoo+Piranha+Tarantula, nicht zusätzlich dazu</x:v>
      </x:c>
      <x:c r="L32" s="35" t="str">
        <x:v>https://www.advancednutrients.com/de/products/voodoo-juice-plus/</x:v>
      </x:c>
    </x:row>
    <x:row r="33">
      <x:c r="A33" s="34" t="str">
        <x:v>Advanced Nutrients</x:v>
      </x:c>
      <x:c r="B33" s="63" t="str">
        <x:v>Piranha</x:v>
      </x:c>
      <x:c r="C33" s="63" t="str">
        <x:v>Root Microbes</x:v>
      </x:c>
      <x:c r="D33" s="63" t="str">
        <x:v>Pilze/Mykorrhiza</x:v>
      </x:c>
      <x:c r="E33" s="63" t="str">
        <x:v>Veg W1-2; Blüte W1-2</x:v>
      </x:c>
      <x:c r="F33" s="63" t="str">
        <x:v>Coco: ja</x:v>
      </x:c>
      <x:c r="G33" s="63" t="str">
        <x:v>2 ml/L</x:v>
      </x:c>
      <x:c r="H33" s="63" t="str">
        <x:v>A/B ONLY</x:v>
      </x:c>
      <x:c r="I33" s="63" t="str">
        <x:v>Manual/fresh</x:v>
      </x:c>
      <x:c r="J33" s="63" t="str">
        <x:v>nützliche Pilze</x:v>
      </x:c>
      <x:c r="K33" s="63" t="str">
        <x:v>UGro Rhiza enthält bereits Pilzkomponente -&gt; hohe Redundanz</x:v>
      </x:c>
      <x:c r="L33" s="35" t="str">
        <x:v>https://www.advancednutrients.com/de/products/piranha/</x:v>
      </x:c>
    </x:row>
    <x:row r="34">
      <x:c r="A34" s="34" t="str">
        <x:v>Advanced Nutrients</x:v>
      </x:c>
      <x:c r="B34" s="63" t="str">
        <x:v>Tarantula</x:v>
      </x:c>
      <x:c r="C34" s="63" t="str">
        <x:v>Root Microbes</x:v>
      </x:c>
      <x:c r="D34" s="63" t="str">
        <x:v>Bakterien</x:v>
      </x:c>
      <x:c r="E34" s="63" t="str">
        <x:v>Veg W1-2; Blüte W1-2</x:v>
      </x:c>
      <x:c r="F34" s="63" t="str">
        <x:v>Coco: ja</x:v>
      </x:c>
      <x:c r="G34" s="63" t="str">
        <x:v>2 ml/L</x:v>
      </x:c>
      <x:c r="H34" s="63" t="str">
        <x:v>A/B ONLY</x:v>
      </x:c>
      <x:c r="I34" s="63" t="str">
        <x:v>Manual/fresh</x:v>
      </x:c>
      <x:c r="J34" s="63" t="str">
        <x:v>zusätzliche Bakterien</x:v>
      </x:c>
      <x:c r="K34" s="63" t="str">
        <x:v>Mit Voodoo möglich, aber im UKD Reference unnötige Variable</x:v>
      </x:c>
      <x:c r="L34" s="35" t="str">
        <x:v>https://www.advancednutrients.com/de/products/tarantula/</x:v>
      </x:c>
    </x:row>
    <x:row r="35">
      <x:c r="A35" s="34" t="str">
        <x:v>Advanced Nutrients</x:v>
      </x:c>
      <x:c r="B35" s="63" t="str">
        <x:v>B-52</x:v>
      </x:c>
      <x:c r="C35" s="63" t="str">
        <x:v>Biostimulant</x:v>
      </x:c>
      <x:c r="D35" s="63" t="str">
        <x:v>B-Vitamine/Kelp/Humin</x:v>
      </x:c>
      <x:c r="E35" s="63" t="str">
        <x:v>Veg W1-4; Blüte W3-7</x:v>
      </x:c>
      <x:c r="F35" s="63" t="str">
        <x:v>Coco: ja</x:v>
      </x:c>
      <x:c r="G35" s="63" t="str">
        <x:v>2 ml/L</x:v>
      </x:c>
      <x:c r="H35" s="63" t="str">
        <x:v>OPTION/A-B</x:v>
      </x:c>
      <x:c r="I35" s="63" t="str">
        <x:v>Bedingt</x:v>
      </x:c>
      <x:c r="J35" s="63" t="str">
        <x:v>B-Vitamine, Kelp, Huminsäure</x:v>
      </x:c>
      <x:c r="K35" s="63" t="str">
        <x:v>Teilweise redundant zu SuperVit/Wurzel/Boost; nicht Reference nötig</x:v>
      </x:c>
      <x:c r="L35" s="35" t="str">
        <x:v>https://www.advancednutrients.com/de/products/b-52/</x:v>
      </x:c>
    </x:row>
    <x:row r="36">
      <x:c r="A36" s="34" t="str">
        <x:v>Advanced Nutrients</x:v>
      </x:c>
      <x:c r="B36" s="63" t="str">
        <x:v>Rhino Skin</x:v>
      </x:c>
      <x:c r="C36" s="63" t="str">
        <x:v>Silica</x:v>
      </x:c>
      <x:c r="D36" s="63" t="str">
        <x:v>Kaliumsilikat</x:v>
      </x:c>
      <x:c r="E36" s="63" t="str">
        <x:v>Veg + Blüte</x:v>
      </x:c>
      <x:c r="F36" s="63" t="str">
        <x:v>Coco: ja</x:v>
      </x:c>
      <x:c r="G36" s="63" t="str">
        <x:v>2 ml/L</x:v>
      </x:c>
      <x:c r="H36" s="63" t="str">
        <x:v>A/B ONLY</x:v>
      </x:c>
      <x:c r="I36" s="63" t="str">
        <x:v>Ja</x:v>
      </x:c>
      <x:c r="J36" s="63" t="str">
        <x:v>K-Silikat; 0-0-0.4</x:v>
      </x:c>
      <x:c r="K36" s="63" t="str">
        <x:v>Alternative zu Hesilicio; nicht beide</x:v>
      </x:c>
      <x:c r="L36" s="35" t="str">
        <x:v>https://www.advancednutrients.com/de/products/rhino-skin/</x:v>
      </x:c>
    </x:row>
    <x:row r="37">
      <x:c r="A37" s="34" t="str">
        <x:v>Advanced Nutrients</x:v>
      </x:c>
      <x:c r="B37" s="63" t="str">
        <x:v>Sensizym</x:v>
      </x:c>
      <x:c r="C37" s="63" t="str">
        <x:v>Enzyme</x:v>
      </x:c>
      <x:c r="D37" s="63" t="str">
        <x:v>Enzym-Conditioner</x:v>
      </x:c>
      <x:c r="E37" s="63" t="str">
        <x:v>Veg + Blüte</x:v>
      </x:c>
      <x:c r="F37" s="63" t="str">
        <x:v>Coco: ja</x:v>
      </x:c>
      <x:c r="G37" s="63" t="str">
        <x:v>2 ml/L</x:v>
      </x:c>
      <x:c r="H37" s="63" t="str">
        <x:v>A/B ONLY</x:v>
      </x:c>
      <x:c r="I37" s="63" t="str">
        <x:v>Ja</x:v>
      </x:c>
      <x:c r="J37" s="63" t="str">
        <x:v>Xylanase/Cellulase/Beta-Glucanase</x:v>
      </x:c>
      <x:c r="K37" s="63" t="str">
        <x:v>Alternative zu PowerZyme; nicht beide im Reference</x:v>
      </x:c>
      <x:c r="L37" s="35" t="str">
        <x:v>https://www.advancednutrients.com/de/products/sensizym/</x:v>
      </x:c>
    </x:row>
    <x:row r="38">
      <x:c r="A38" s="34" t="str">
        <x:v>Advanced Nutrients</x:v>
      </x:c>
      <x:c r="B38" s="63" t="str">
        <x:v>Big Bud</x:v>
      </x:c>
      <x:c r="C38" s="63" t="str">
        <x:v>Bloom Booster</x:v>
      </x:c>
      <x:c r="D38" s="63" t="str">
        <x:v>PK-Bulker</x:v>
      </x:c>
      <x:c r="E38" s="63" t="str">
        <x:v>Blüte W2-5</x:v>
      </x:c>
      <x:c r="F38" s="63" t="str">
        <x:v>Coco: ja</x:v>
      </x:c>
      <x:c r="G38" s="63" t="str">
        <x:v>2 ml/L</x:v>
      </x:c>
      <x:c r="H38" s="63" t="str">
        <x:v>A/B BLOOM</x:v>
      </x:c>
      <x:c r="I38" s="63" t="str">
        <x:v>Ja</x:v>
      </x:c>
      <x:c r="J38" s="63" t="str">
        <x:v>PK-lastig</x:v>
      </x:c>
      <x:c r="K38" s="63" t="str">
        <x:v>Alternative zu HESI PK; nicht blind stacken</x:v>
      </x:c>
      <x:c r="L38" s="35" t="str">
        <x:v>https://www.advancednutrients.com/products/big-bud/</x:v>
      </x:c>
    </x:row>
    <x:row r="39">
      <x:c r="A39" s="34" t="str">
        <x:v>Advanced Nutrients</x:v>
      </x:c>
      <x:c r="B39" s="63" t="str">
        <x:v>Big Bud Coco</x:v>
      </x:c>
      <x:c r="C39" s="63" t="str">
        <x:v>Coco Bloom Booster</x:v>
      </x:c>
      <x:c r="D39" s="63" t="str">
        <x:v>PK + Ca/Mg/Fe</x:v>
      </x:c>
      <x:c r="E39" s="63" t="str">
        <x:v>Blüte W2-5</x:v>
      </x:c>
      <x:c r="F39" s="63" t="str">
        <x:v>Coco: ja</x:v>
      </x:c>
      <x:c r="G39" s="63" t="str">
        <x:v>2 ml/L</x:v>
      </x:c>
      <x:c r="H39" s="63" t="str">
        <x:v>A/B BLOOM</x:v>
      </x:c>
      <x:c r="I39" s="63" t="str">
        <x:v>Bedingt</x:v>
      </x:c>
      <x:c r="J39" s="63" t="str">
        <x:v>PK 0-4-4 + Ca/Mg/Fe</x:v>
      </x:c>
      <x:c r="K39" s="63" t="str">
        <x:v>Stärker redundant mit HESI Coco/CalMag/PK; Reserve für AN-Coco-Test</x:v>
      </x:c>
      <x:c r="L39" s="35" t="str">
        <x:v>https://www.advancednutrients.com/de/products/big-bud-coco/</x:v>
      </x:c>
    </x:row>
    <x:row r="40">
      <x:c r="A40" s="34" t="str">
        <x:v>Advanced Nutrients</x:v>
      </x:c>
      <x:c r="B40" s="63" t="str">
        <x:v>Bud Ignitor</x:v>
      </x:c>
      <x:c r="C40" s="63" t="str">
        <x:v>Bloom Booster</x:v>
      </x:c>
      <x:c r="D40" s="63" t="str">
        <x:v>Early PK/Kelp</x:v>
      </x:c>
      <x:c r="E40" s="63" t="str">
        <x:v>Blüte W1-2</x:v>
      </x:c>
      <x:c r="F40" s="63" t="str">
        <x:v>Coco: ja</x:v>
      </x:c>
      <x:c r="G40" s="63" t="str">
        <x:v>2 ml/L</x:v>
      </x:c>
      <x:c r="H40" s="63" t="str">
        <x:v>A/B ONLY</x:v>
      </x:c>
      <x:c r="I40" s="63" t="str">
        <x:v>Ja</x:v>
      </x:c>
      <x:c r="J40" s="63" t="str">
        <x:v>Frühblüte-PK + Kelp</x:v>
      </x:c>
      <x:c r="K40" s="63" t="str">
        <x:v>Nicht parallel mit frühem HESI PK/mehreren PK-Bulkern</x:v>
      </x:c>
      <x:c r="L40" s="35" t="str">
        <x:v>https://www.advancednutrients.com/de/products/bud-ignitor/</x:v>
      </x:c>
    </x:row>
    <x:row r="41">
      <x:c r="A41" s="34" t="str">
        <x:v>Advanced Nutrients</x:v>
      </x:c>
      <x:c r="B41" s="63" t="str">
        <x:v>Overdrive</x:v>
      </x:c>
      <x:c r="C41" s="63" t="str">
        <x:v>Bloom Finisher</x:v>
      </x:c>
      <x:c r="D41" s="63" t="str">
        <x:v>PK/Mg</x:v>
      </x:c>
      <x:c r="E41" s="63" t="str">
        <x:v>Blüte W6-7</x:v>
      </x:c>
      <x:c r="F41" s="63" t="str">
        <x:v>Coco: ja</x:v>
      </x:c>
      <x:c r="G41" s="63" t="str">
        <x:v>2 ml/L</x:v>
      </x:c>
      <x:c r="H41" s="63" t="str">
        <x:v>A/B ONLY</x:v>
      </x:c>
      <x:c r="I41" s="63" t="str">
        <x:v>Ja</x:v>
      </x:c>
      <x:c r="J41" s="63" t="str">
        <x:v>NPK 1-5-4, Mg</x:v>
      </x:c>
      <x:c r="K41" s="63" t="str">
        <x:v>Späte Alternative; nicht zusätzlich zu hohem HESI PK</x:v>
      </x:c>
      <x:c r="L41" s="35" t="str">
        <x:v>https://www.advancednutrients.com/de/products/overdrive/</x:v>
      </x:c>
    </x:row>
    <x:row r="42">
      <x:c r="A42" s="34" t="str">
        <x:v>Advanced Nutrients</x:v>
      </x:c>
      <x:c r="B42" s="63" t="str">
        <x:v>Hammerhead</x:v>
      </x:c>
      <x:c r="C42" s="63" t="str">
        <x:v>Bloom Booster</x:v>
      </x:c>
      <x:c r="D42" s="63" t="str">
        <x:v>PK</x:v>
      </x:c>
      <x:c r="E42" s="63" t="str">
        <x:v>Blüte</x:v>
      </x:c>
      <x:c r="F42" s="63" t="str">
        <x:v>Coco: ja</x:v>
      </x:c>
      <x:c r="G42" s="63" t="str">
        <x:v>Herstellerschema</x:v>
      </x:c>
      <x:c r="H42" s="63" t="str">
        <x:v>EXCLUDE/A-B</x:v>
      </x:c>
      <x:c r="I42" s="63" t="str">
        <x:v>Ja</x:v>
      </x:c>
      <x:c r="J42" s="63" t="str">
        <x:v>PK-Verhältnis 1:3 laut Hersteller</x:v>
      </x:c>
      <x:c r="K42" s="63" t="str">
        <x:v>Noch ein PK-Bulker; kein Bedarf neben PK/Big Bud</x:v>
      </x:c>
      <x:c r="L42" s="35" t="str">
        <x:v>https://www.advancednutrients.com/products/</x:v>
      </x:c>
    </x:row>
    <x:row r="43">
      <x:c r="A43" s="34" t="str">
        <x:v>Advanced Nutrients</x:v>
      </x:c>
      <x:c r="B43" s="63" t="str">
        <x:v>Bud Candy</x:v>
      </x:c>
      <x:c r="C43" s="63" t="str">
        <x:v>Carbohydrate</x:v>
      </x:c>
      <x:c r="D43" s="63" t="str">
        <x:v>Kohlenhydrate + Mg</x:v>
      </x:c>
      <x:c r="E43" s="63" t="str">
        <x:v>Veg/Blüte lt. Chart</x:v>
      </x:c>
      <x:c r="F43" s="63" t="str">
        <x:v>Coco: ja</x:v>
      </x:c>
      <x:c r="G43" s="63" t="str">
        <x:v>2 ml/L</x:v>
      </x:c>
      <x:c r="H43" s="63" t="str">
        <x:v>A/B ONLY</x:v>
      </x:c>
      <x:c r="I43" s="63" t="str">
        <x:v>Avoid tank</x:v>
      </x:c>
      <x:c r="J43" s="63" t="str">
        <x:v>Kohlenhydrate + Mg</x:v>
      </x:c>
      <x:c r="K43" s="63" t="str">
        <x:v>Mit HESI Boost/CarboLoad funktionell redundant; Mikroben/Biofilm beachten</x:v>
      </x:c>
      <x:c r="L43" s="35" t="str">
        <x:v>https://www.advancednutrients.com/products/</x:v>
      </x:c>
    </x:row>
    <x:row r="44">
      <x:c r="A44" s="34" t="str">
        <x:v>Advanced Nutrients</x:v>
      </x:c>
      <x:c r="B44" s="63" t="str">
        <x:v>CarboLoad</x:v>
      </x:c>
      <x:c r="C44" s="63" t="str">
        <x:v>Carbohydrate</x:v>
      </x:c>
      <x:c r="D44" s="63" t="str">
        <x:v>Kohlenhydrate</x:v>
      </x:c>
      <x:c r="E44" s="63" t="str">
        <x:v>Veg W1-4; Blüte W1-7</x:v>
      </x:c>
      <x:c r="F44" s="63" t="str">
        <x:v>Coco: ja</x:v>
      </x:c>
      <x:c r="G44" s="63" t="str">
        <x:v>2 ml/L</x:v>
      </x:c>
      <x:c r="H44" s="63" t="str">
        <x:v>EXCLUDE/A-B</x:v>
      </x:c>
      <x:c r="I44" s="63" t="str">
        <x:v>Avoid tank</x:v>
      </x:c>
      <x:c r="J44" s="63" t="str">
        <x:v>Glukose/Xylose, 0-0-0</x:v>
      </x:c>
      <x:c r="K44" s="63" t="str">
        <x:v>Bud Candy/HESI Boost ähnlich; keine 3 Zuckerprodukte</x:v>
      </x:c>
      <x:c r="L44" s="35" t="str">
        <x:v>https://www.advancednutrients.com/de/secret-menu/carboload/</x:v>
      </x:c>
    </x:row>
    <x:row r="45">
      <x:c r="A45" s="34" t="str">
        <x:v>Advanced Nutrients</x:v>
      </x:c>
      <x:c r="B45" s="63" t="str">
        <x:v>Flawless Finish</x:v>
      </x:c>
      <x:c r="C45" s="63" t="str">
        <x:v>Finish</x:v>
      </x:c>
      <x:c r="D45" s="63" t="str">
        <x:v>Chelat-/Finishlösung</x:v>
      </x:c>
      <x:c r="E45" s="63" t="str">
        <x:v>Flush</x:v>
      </x:c>
      <x:c r="F45" s="63" t="str">
        <x:v>Coco: ja</x:v>
      </x:c>
      <x:c r="G45" s="63" t="str">
        <x:v>2 ml/L</x:v>
      </x:c>
      <x:c r="H45" s="63" t="str">
        <x:v>A/B ONLY</x:v>
      </x:c>
      <x:c r="I45" s="63" t="str">
        <x:v>Ja</x:v>
      </x:c>
      <x:c r="J45" s="63" t="str">
        <x:v>Finishlösung, Mg-Sulfat/Chelate laut Hersteller</x:v>
      </x:c>
      <x:c r="K45" s="63" t="str">
        <x:v>Wissenschaftlicher Zusatznutzen ggü. sauberem Endregime nicht belegt</x:v>
      </x:c>
      <x:c r="L45" s="35" t="str">
        <x:v>https://www.advancednutrients.com/de/products/flawless-finish/</x:v>
      </x:c>
    </x:row>
    <x:row r="46">
      <x:c r="A46" s="34" t="str">
        <x:v>Advanced Nutrients</x:v>
      </x:c>
      <x:c r="B46" s="63" t="str">
        <x:v>Sensi Cal Mag Xtra</x:v>
      </x:c>
      <x:c r="C46" s="63" t="str">
        <x:v>CalMag</x:v>
      </x:c>
      <x:c r="D46" s="63" t="str">
        <x:v>Ca/Mg/Fe/Mn/Zn</x:v>
      </x:c>
      <x:c r="E46" s="63" t="str">
        <x:v>bei Mangel/Bedarf</x:v>
      </x:c>
      <x:c r="F46" s="63" t="str">
        <x:v>Coco: ja</x:v>
      </x:c>
      <x:c r="G46" s="63" t="str">
        <x:v>2 ml/L; ggf. nach 1 Woche</x:v>
      </x:c>
      <x:c r="H46" s="63" t="str">
        <x:v>CONDITIONAL ALT</x:v>
      </x:c>
      <x:c r="I46" s="63" t="str">
        <x:v>Ja</x:v>
      </x:c>
      <x:c r="J46" s="63" t="str">
        <x:v>NPK 4-0-0 + Chelate</x:v>
      </x:c>
      <x:c r="K46" s="63" t="str">
        <x:v>Alternative zu HESI CalMag, nicht zusammen standardmäßig</x:v>
      </x:c>
      <x:c r="L46" s="35" t="str">
        <x:v>https://www.advancednutrients.com/products/sensi-cal-mag-xtra/</x:v>
      </x:c>
    </x:row>
    <x:row r="47">
      <x:c r="A47" s="34" t="str">
        <x:v>Advanced Nutrients</x:v>
      </x:c>
      <x:c r="B47" s="63" t="str">
        <x:v>Revive</x:v>
      </x:c>
      <x:c r="C47" s="63" t="str">
        <x:v>First aid</x:v>
      </x:c>
      <x:c r="D47" s="63" t="str">
        <x:v>Ca/Mg/Fe + N</x:v>
      </x:c>
      <x:c r="E47" s="63" t="str">
        <x:v>Stress/Mangel</x:v>
      </x:c>
      <x:c r="F47" s="63" t="str">
        <x:v>Coco: ja</x:v>
      </x:c>
      <x:c r="G47" s="63" t="str">
        <x:v>Herstellerschema</x:v>
      </x:c>
      <x:c r="H47" s="63" t="str">
        <x:v>RESCUE ONLY</x:v>
      </x:c>
      <x:c r="I47" s="63" t="str">
        <x:v>Bedingt</x:v>
      </x:c>
      <x:c r="J47" s="63" t="str">
        <x:v>Ca/Mg/Fe + Urea-N</x:v>
      </x:c>
      <x:c r="K47" s="63" t="str">
        <x:v>Nicht prophylaktisch zusätzlich zu CalMag</x:v>
      </x:c>
      <x:c r="L47" s="35" t="str">
        <x:v>https://www.advancednutrients.com/products/</x:v>
      </x:c>
    </x:row>
    <x:row r="48">
      <x:c r="A48" s="34" t="str">
        <x:v>Advanced Nutrients</x:v>
      </x:c>
      <x:c r="B48" s="63" t="str">
        <x:v>Tasty Terpenes</x:v>
      </x:c>
      <x:c r="C48" s="63" t="str">
        <x:v>Biostimulant</x:v>
      </x:c>
      <x:c r="D48" s="63" t="str">
        <x:v>K/Kelp/Alfalfa</x:v>
      </x:c>
      <x:c r="E48" s="63" t="str">
        <x:v>Veg/Blüte</x:v>
      </x:c>
      <x:c r="F48" s="63" t="str">
        <x:v>Coco: ja</x:v>
      </x:c>
      <x:c r="G48" s="63" t="str">
        <x:v>Herstellerschema</x:v>
      </x:c>
      <x:c r="H48" s="63" t="str">
        <x:v>EXCLUDE/A-B</x:v>
      </x:c>
      <x:c r="I48" s="63" t="str">
        <x:v>Bedingt</x:v>
      </x:c>
      <x:c r="J48" s="63" t="str">
        <x:v>zusätzliche K- und organische Inputs</x:v>
      </x:c>
      <x:c r="K48" s="63" t="str">
        <x:v>Überlappt K/Boost/Carbo-Produkte</x:v>
      </x:c>
      <x:c r="L48" s="35" t="str">
        <x:v>https://www.advancednutrients.com/products/</x:v>
      </x:c>
    </x:row>
    <x:row r="49">
      <x:c r="A49" s="34" t="str">
        <x:v>Advanced Nutrients</x:v>
      </x:c>
      <x:c r="B49" s="63" t="str">
        <x:v>Bud Factor X</x:v>
      </x:c>
      <x:c r="C49" s="63" t="str">
        <x:v>Biostimulant</x:v>
      </x:c>
      <x:c r="D49" s="63" t="str">
        <x:v>Potency/Stress claims</x:v>
      </x:c>
      <x:c r="E49" s="63" t="str">
        <x:v>Blüte</x:v>
      </x:c>
      <x:c r="F49" s="63" t="str">
        <x:v>Coco: ja</x:v>
      </x:c>
      <x:c r="G49" s="63" t="str">
        <x:v>Herstellerschema</x:v>
      </x:c>
      <x:c r="H49" s="63" t="str">
        <x:v>EXCLUDE/A-B</x:v>
      </x:c>
      <x:c r="I49" s="63" t="str">
        <x:v>Bedingt</x:v>
      </x:c>
      <x:c r="J49" s="63" t="str">
        <x:v>Marketing-/Biostimulant-Funktion</x:v>
      </x:c>
      <x:c r="K49" s="63" t="str">
        <x:v>Keine Kernnotwendigkeit für reproduzierbares Reference-System</x:v>
      </x:c>
      <x:c r="L49" s="35" t="str">
        <x:v>https://www.advancednutrients.com/products/</x:v>
      </x:c>
    </x:row>
    <x:row r="50">
      <x:c r="A50" s="34" t="str">
        <x:v>Advanced Nutrients</x:v>
      </x:c>
      <x:c r="B50" s="63" t="str">
        <x:v>Flo &amp; Gro</x:v>
      </x:c>
      <x:c r="C50" s="63" t="str">
        <x:v>Sanitizer/Descaler</x:v>
      </x:c>
      <x:c r="D50" s="63" t="str">
        <x:v>Hypochlorous acid</x:v>
      </x:c>
      <x:c r="E50" s="63" t="str">
        <x:v>Systemreinigung</x:v>
      </x:c>
      <x:c r="F50" s="63" t="str">
        <x:v>Hydro/Coco-System</x:v>
      </x:c>
      <x:c r="G50" s="63" t="str">
        <x:v>nach Hersteller</x:v>
      </x:c>
      <x:c r="H50" s="63" t="str">
        <x:v>REGIONAL / CLEANING ONLY</x:v>
      </x:c>
      <x:c r="I50" s="63" t="str">
        <x:v>Separate Sanitizing-Phase; nicht mit lebenden Inokulanten</x:v>
      </x:c>
      <x:c r="J50" s="63" t="str">
        <x:v>HOCl-Reiniger</x:v>
      </x:c>
      <x:c r="K50" s="63" t="str">
        <x:v>HOCl-Reiniger; aktuell laut AN nur USA/Kanada. Nicht gleichzeitig mit lebenden Mikroben; Re-Inokulation zeitlich trennen.</x:v>
      </x:c>
      <x:c r="L50" s="35" t="str">
        <x:v>https://www.advancednutrients.com/de/products/flo-gro/</x:v>
      </x:c>
    </x:row>
    <x:row r="51">
      <x:c r="A51" s="34" t="str">
        <x:v>Advanced Nutrients</x:v>
      </x:c>
      <x:c r="B51" s="63" t="str">
        <x:v>Big Bud Powder</x:v>
      </x:c>
      <x:c r="C51" s="63" t="str">
        <x:v>Powder PK</x:v>
      </x:c>
      <x:c r="D51" s="63" t="str">
        <x:v>Bloom powder</x:v>
      </x:c>
      <x:c r="E51" s="63" t="str">
        <x:v>Blüte</x:v>
      </x:c>
      <x:c r="F51" s="63" t="str">
        <x:v>Hydro/Coco</x:v>
      </x:c>
      <x:c r="G51" s="63" t="str">
        <x:v>Herstellerschema</x:v>
      </x:c>
      <x:c r="H51" s="63" t="str">
        <x:v>EXCLUDE</x:v>
      </x:c>
      <x:c r="I51" s="63" t="str">
        <x:v>Ja</x:v>
      </x:c>
      <x:c r="J51" s="63" t="str">
        <x:v>PK-Pulver</x:v>
      </x:c>
      <x:c r="K51" s="63" t="str">
        <x:v>Alternative, nicht zusätzlich zu flüssigem Big Bud/PK</x:v>
      </x:c>
      <x:c r="L51" s="35" t="str">
        <x:v>https://www.advancednutrients.com/products/</x:v>
      </x:c>
    </x:row>
    <x:row r="52">
      <x:c r="A52" s="34" t="str">
        <x:v>Advanced Nutrients</x:v>
      </x:c>
      <x:c r="B52" s="63" t="str">
        <x:v>Bud Blood Powder</x:v>
      </x:c>
      <x:c r="C52" s="63" t="str">
        <x:v>Powder PK</x:v>
      </x:c>
      <x:c r="D52" s="63" t="str">
        <x:v>Early bloom powder</x:v>
      </x:c>
      <x:c r="E52" s="63" t="str">
        <x:v>Frühblüte</x:v>
      </x:c>
      <x:c r="F52" s="63" t="str">
        <x:v>Hydro/Coco</x:v>
      </x:c>
      <x:c r="G52" s="63" t="str">
        <x:v>Herstellerschema</x:v>
      </x:c>
      <x:c r="H52" s="63" t="str">
        <x:v>EXCLUDE</x:v>
      </x:c>
      <x:c r="I52" s="63" t="str">
        <x:v>Ja</x:v>
      </x:c>
      <x:c r="J52" s="63" t="str">
        <x:v>P/K-Pulver</x:v>
      </x:c>
      <x:c r="K52" s="63" t="str">
        <x:v>Alternative zu Bud Ignitor</x:v>
      </x:c>
      <x:c r="L52" s="35" t="str">
        <x:v>https://www.advancednutrients.com/products/</x:v>
      </x:c>
    </x:row>
    <x:row r="53">
      <x:c r="A53" s="34" t="str">
        <x:v>Advanced Nutrients</x:v>
      </x:c>
      <x:c r="B53" s="63" t="str">
        <x:v>OG Organics Ancient Earth</x:v>
      </x:c>
      <x:c r="C53" s="63" t="str">
        <x:v>Organic additive</x:v>
      </x:c>
      <x:c r="D53" s="63" t="str">
        <x:v>Huminsäuren</x:v>
      </x:c>
      <x:c r="E53" s="63" t="str">
        <x:v>Veg/Blüte</x:v>
      </x:c>
      <x:c r="F53" s="63" t="str">
        <x:v>Bio</x:v>
      </x:c>
      <x:c r="G53" s="63" t="str">
        <x:v>Herstellerschema</x:v>
      </x:c>
      <x:c r="H53" s="63" t="str">
        <x:v>EXCLUDE</x:v>
      </x:c>
      <x:c r="I53" s="63" t="str">
        <x:v>UKD Reference: vermeiden / organische Reservoirkomplexität</x:v>
      </x:c>
      <x:c r="J53" s="63" t="str">
        <x:v>Leonardit/Huminsäuren</x:v>
      </x:c>
      <x:c r="K53" s="63" t="str">
        <x:v>Nicht Reference; zusätzliche organische Last</x:v>
      </x:c>
      <x:c r="L53" s="35" t="str">
        <x:v>https://www.advancednutrients.com/products/</x:v>
      </x:c>
    </x:row>
    <x:row r="54">
      <x:c r="A54" s="34" t="str">
        <x:v>Advanced Nutrients</x:v>
      </x:c>
      <x:c r="B54" s="63" t="str">
        <x:v>OG Organics Big Bud</x:v>
      </x:c>
      <x:c r="C54" s="63" t="str">
        <x:v>Organic bloom</x:v>
      </x:c>
      <x:c r="D54" s="63" t="str">
        <x:v>organischer PK/Bloom</x:v>
      </x:c>
      <x:c r="E54" s="63" t="str">
        <x:v>Blüte</x:v>
      </x:c>
      <x:c r="F54" s="63" t="str">
        <x:v>Bio</x:v>
      </x:c>
      <x:c r="G54" s="63" t="str">
        <x:v>Herstellerschema</x:v>
      </x:c>
      <x:c r="H54" s="63" t="str">
        <x:v>EXCLUDE</x:v>
      </x:c>
      <x:c r="I54" s="63" t="str">
        <x:v>UKD Reference: vermeiden / organische Reservoirkomplexität</x:v>
      </x:c>
      <x:c r="J54" s="63" t="str">
        <x:v>Fischhydrolysat + PK + Ca/Mg/Fe/S</x:v>
      </x:c>
      <x:c r="K54" s="63" t="str">
        <x:v>Nicht im mineralischen UKD-Reference-Stack</x:v>
      </x:c>
      <x:c r="L54" s="35" t="str">
        <x:v>https://www.advancednutrients.com/products/</x:v>
      </x:c>
    </x:row>
    <x:row r="55">
      <x:c r="A55" s="34" t="str">
        <x:v>Advanced Nutrients</x:v>
      </x:c>
      <x:c r="B55" s="63" t="str">
        <x:v>Grandma Enggy's F-1</x:v>
      </x:c>
      <x:c r="C55" s="63" t="str">
        <x:v>Organic additive</x:v>
      </x:c>
      <x:c r="D55" s="63" t="str">
        <x:v>Huminsäuren</x:v>
      </x:c>
      <x:c r="E55" s="63" t="str">
        <x:v>Veg/Blüte</x:v>
      </x:c>
      <x:c r="F55" s="63" t="str">
        <x:v>Bio</x:v>
      </x:c>
      <x:c r="G55" s="63" t="str">
        <x:v>Herstellerschema</x:v>
      </x:c>
      <x:c r="H55" s="63" t="str">
        <x:v>EXCLUDE</x:v>
      </x:c>
      <x:c r="I55" s="63" t="str">
        <x:v>UKD Reference: vermeiden / organische Reservoirkomplexität</x:v>
      </x:c>
      <x:c r="J55" s="63" t="str">
        <x:v>Leonardit/Huminsäuren</x:v>
      </x:c>
      <x:c r="K55" s="63" t="str">
        <x:v>Nicht Reference</x:v>
      </x:c>
      <x:c r="L55" s="35" t="str">
        <x:v>https://www.advancednutrients.com/products/</x:v>
      </x:c>
    </x:row>
    <x:row r="56">
      <x:c r="A56" s="34" t="str">
        <x:v>Advanced Nutrients</x:v>
      </x:c>
      <x:c r="B56" s="63" t="str">
        <x:v>BigMike's OG Tea</x:v>
      </x:c>
      <x:c r="C56" s="63" t="str">
        <x:v>Organic additive</x:v>
      </x:c>
      <x:c r="D56" s="63" t="str">
        <x:v>Komposttee</x:v>
      </x:c>
      <x:c r="E56" s="63" t="str">
        <x:v>Veg/Blüte</x:v>
      </x:c>
      <x:c r="F56" s="63" t="str">
        <x:v>Bio</x:v>
      </x:c>
      <x:c r="G56" s="63" t="str">
        <x:v>Herstellerschema</x:v>
      </x:c>
      <x:c r="H56" s="63" t="str">
        <x:v>EXCLUDE</x:v>
      </x:c>
      <x:c r="I56" s="63" t="str">
        <x:v>UKD Reference: vermeiden / organische Reservoirkomplexität</x:v>
      </x:c>
      <x:c r="J56" s="63" t="str">
        <x:v>Alfalfa/Fisch/Wurm/Bat guano</x:v>
      </x:c>
      <x:c r="K56" s="63" t="str">
        <x:v>Hohes Biofilm-/Verstopfungsrisiko im UKD-Tank</x:v>
      </x:c>
      <x:c r="L56" s="35" t="str">
        <x:v>https://www.advancednutrients.com/products/</x:v>
      </x:c>
    </x:row>
    <x:row r="57">
      <x:c r="A57" s="34" t="str">
        <x:v>Advanced Nutrients</x:v>
      </x:c>
      <x:c r="B57" s="63" t="str">
        <x:v>Kushie Kush</x:v>
      </x:c>
      <x:c r="C57" s="63" t="str">
        <x:v>Secret PK</x:v>
      </x:c>
      <x:c r="D57" s="63" t="str">
        <x:v>Kush-spezifischer PK</x:v>
      </x:c>
      <x:c r="E57" s="63" t="str">
        <x:v>Blüte</x:v>
      </x:c>
      <x:c r="F57" s="63" t="str">
        <x:v>Coco: ja</x:v>
      </x:c>
      <x:c r="G57" s="63" t="str">
        <x:v>Herstellerschema</x:v>
      </x:c>
      <x:c r="H57" s="63" t="str">
        <x:v>EXCLUDE</x:v>
      </x:c>
      <x:c r="I57" s="63" t="str">
        <x:v>Ja</x:v>
      </x:c>
      <x:c r="J57" s="63" t="str">
        <x:v>PK Booster</x:v>
      </x:c>
      <x:c r="K57" s="63" t="str">
        <x:v>Nicht relevant für Double Grape/UKD Reference</x:v>
      </x:c>
      <x:c r="L57" s="35" t="str">
        <x:v>https://www.advancednutrients.com/de/secret-menu/</x:v>
      </x:c>
    </x:row>
    <x:row r="58">
      <x:c r="A58" s="34" t="str">
        <x:v>Advanced Nutrients</x:v>
      </x:c>
      <x:c r="B58" s="63" t="str">
        <x:v>pH Up</x:v>
      </x:c>
      <x:c r="C58" s="63" t="str">
        <x:v>pH-Regler</x:v>
      </x:c>
      <x:c r="D58" s="63" t="str">
        <x:v>KOH</x:v>
      </x:c>
      <x:c r="E58" s="63" t="str">
        <x:v>bei Bedarf</x:v>
      </x:c>
      <x:c r="F58" s="63" t="str">
        <x:v>Hydro/Coco</x:v>
      </x:c>
      <x:c r="G58" s="63" t="str">
        <x:v>kleine Mengen nach Messung</x:v>
      </x:c>
      <x:c r="H58" s="63" t="str">
        <x:v>TOOL</x:v>
      </x:c>
      <x:c r="I58" s="63" t="str">
        <x:v>Ja</x:v>
      </x:c>
      <x:c r="J58" s="63" t="str">
        <x:v>starke K-Basis; in Europa aktuell nicht verfügbar laut Hersteller</x:v>
      </x:c>
      <x:c r="K58" s="63" t="str">
        <x:v>Nur nach vollständigem Mischen; nicht mit pH Down hin-und-her titrieren</x:v>
      </x:c>
      <x:c r="L58" s="35" t="str">
        <x:v>https://www.advancednutrients.com/de/secret-menu/ph-up-ph-down/</x:v>
      </x:c>
    </x:row>
    <x:row r="59">
      <x:c r="A59" s="34" t="str">
        <x:v>Advanced Nutrients</x:v>
      </x:c>
      <x:c r="B59" s="63" t="str">
        <x:v>pH Down</x:v>
      </x:c>
      <x:c r="C59" s="63" t="str">
        <x:v>pH-Regler</x:v>
      </x:c>
      <x:c r="D59" s="63" t="str">
        <x:v>Phosphorsäure</x:v>
      </x:c>
      <x:c r="E59" s="63" t="str">
        <x:v>bei Bedarf</x:v>
      </x:c>
      <x:c r="F59" s="63" t="str">
        <x:v>Hydro/Coco</x:v>
      </x:c>
      <x:c r="G59" s="63" t="str">
        <x:v>kleine Mengen nach Messung</x:v>
      </x:c>
      <x:c r="H59" s="63" t="str">
        <x:v>TOOL</x:v>
      </x:c>
      <x:c r="I59" s="63" t="str">
        <x:v>Ja</x:v>
      </x:c>
      <x:c r="J59" s="63" t="str">
        <x:v>Phosphorsäure; in Europa aktuell nicht verfügbar laut Hersteller</x:v>
      </x:c>
      <x:c r="K59" s="63" t="str">
        <x:v>Nur nach vollständigem Mischen; trägt P bei</x:v>
      </x:c>
      <x:c r="L59" s="35" t="str">
        <x:v>https://www.advancednutrients.com/de/secret-menu/ph-up-ph-down/</x:v>
      </x:c>
    </x:row>
    <x:row r="60">
      <x:c r="A60" s="34" t="str">
        <x:v>Advanced Nutrients</x:v>
      </x:c>
      <x:c r="B60" s="63" t="str">
        <x:v>Power Up Grow &amp; Bloom</x:v>
      </x:c>
      <x:c r="C60" s="63" t="str">
        <x:v>Secret/Surfactant</x:v>
      </x:c>
      <x:c r="D60" s="63" t="str">
        <x:v>Surfactant für Pulversalze</x:v>
      </x:c>
      <x:c r="E60" s="63" t="str">
        <x:v>Veg/Blüte</x:v>
      </x:c>
      <x:c r="F60" s="63" t="str">
        <x:v>Hydro</x:v>
      </x:c>
      <x:c r="G60" s="63" t="str">
        <x:v>Herstellerschema</x:v>
      </x:c>
      <x:c r="H60" s="63" t="str">
        <x:v>EXCLUDE</x:v>
      </x:c>
      <x:c r="I60" s="63" t="str">
        <x:v>Ja</x:v>
      </x:c>
      <x:c r="J60" s="63" t="str">
        <x:v>für Powder-Salts</x:v>
      </x:c>
      <x:c r="K60" s="63" t="str">
        <x:v>Nicht im UKD HESI Conservative Plan</x:v>
      </x:c>
      <x:c r="L60" s="35" t="str">
        <x:v>https://www.advancednutrients.com/secret-menu/</x:v>
      </x:c>
    </x:row>
    <x:row r="61">
      <x:c r="A61" s="34" t="str">
        <x:v>Advanced Nutrients</x:v>
      </x:c>
      <x:c r="B61" s="63" t="str">
        <x:v>Coco Cultivator</x:v>
      </x:c>
      <x:c r="C61" s="63" t="str">
        <x:v>Substrat</x:v>
      </x:c>
      <x:c r="D61" s="63" t="str">
        <x:v>Coco-Medium</x:v>
      </x:c>
      <x:c r="E61" s="63" t="str">
        <x:v>gesamter Zyklus</x:v>
      </x:c>
      <x:c r="F61" s="63" t="str">
        <x:v>Coco</x:v>
      </x:c>
      <x:c r="G61" s="63" t="str">
        <x:v>n/a</x:v>
      </x:c>
      <x:c r="H61" s="63" t="str">
        <x:v>ALT MEDIUM</x:v>
      </x:c>
      <x:c r="I61" s="63" t="str">
        <x:v>n/a</x:v>
      </x:c>
      <x:c r="J61" s="63" t="str">
        <x:v>AN Coco; UK/Ireland laut Hersteller</x:v>
      </x:c>
      <x:c r="K61" s="63" t="str">
        <x:v>UGro Rhiza bleibt UKD-Reference</x:v>
      </x:c>
      <x:c r="L61" s="35" t="str">
        <x:v>https://www.advancednutrients.com/products/</x:v>
      </x:c>
    </x:row>
    <x:row r="62">
      <x:c r="A62" s="34" t="str">
        <x:v>Advanced Nutrients</x:v>
      </x:c>
      <x:c r="B62" s="63" t="str">
        <x:v>8th Gen CS2 Prime &amp; Push</x:v>
      </x:c>
      <x:c r="C62" s="63" t="str">
        <x:v>Commercial base</x:v>
      </x:c>
      <x:c r="D62" s="63" t="str">
        <x:v>Pulver-Vollbasis</x:v>
      </x:c>
      <x:c r="E62" s="63" t="str">
        <x:v>Veg/Blüte</x:v>
      </x:c>
      <x:c r="F62" s="63" t="str">
        <x:v>Hydro/Coco</x:v>
      </x:c>
      <x:c r="G62" s="63" t="str">
        <x:v>commercial feeding guide</x:v>
      </x:c>
      <x:c r="H62" s="63" t="str">
        <x:v>NOT DE REFERENCE</x:v>
      </x:c>
      <x:c r="I62" s="63" t="str">
        <x:v>Ja</x:v>
      </x:c>
      <x:c r="J62" s="63" t="str">
        <x:v>Prime 13-0-0; Push 0-11-24</x:v>
      </x:c>
      <x:c r="K62" s="63" t="str">
        <x:v>2026 kommerziell/US zuerst; nicht mit HESI als zweite Basis</x:v>
      </x:c>
      <x:c r="L62" s="35" t="str">
        <x:v>https://8thgeneration.advancednutrients.com/products/cs2/</x:v>
      </x:c>
    </x:row>
    <x:row r="63">
      <x:c r="A63" s="34" t="str">
        <x:v>Advanced Nutrients</x:v>
      </x:c>
      <x:c r="B63" s="63" t="str">
        <x:v>8th Gen BGR</x:v>
      </x:c>
      <x:c r="C63" s="63" t="str">
        <x:v>Commercial bloom</x:v>
      </x:c>
      <x:c r="D63" s="63" t="str">
        <x:v>Bloom booster</x:v>
      </x:c>
      <x:c r="E63" s="63" t="str">
        <x:v>Blüte</x:v>
      </x:c>
      <x:c r="F63" s="63" t="str">
        <x:v>Hydro/Coco</x:v>
      </x:c>
      <x:c r="G63" s="63" t="str">
        <x:v>commercial guide</x:v>
      </x:c>
      <x:c r="H63" s="63" t="str">
        <x:v>WATCHLIST</x:v>
      </x:c>
      <x:c r="I63" s="63" t="str">
        <x:v>Ja</x:v>
      </x:c>
      <x:c r="J63" s="63" t="str">
        <x:v>0-1-3; NanoCarb claim</x:v>
      </x:c>
      <x:c r="K63" s="63" t="str">
        <x:v>Neue Commercial-Line; nicht Reference ohne DE-Verfügbarkeit/A-B</x:v>
      </x:c>
      <x:c r="L63" s="35" t="str">
        <x:v>https://8thgeneration.advancednutrients.com/products/bgr/</x:v>
      </x:c>
    </x:row>
    <x:row r="64">
      <x:c r="A64" s="34" t="str">
        <x:v>Advanced Nutrients</x:v>
      </x:c>
      <x:c r="B64" s="63" t="str">
        <x:v>8th Gen RSA</x:v>
      </x:c>
      <x:c r="C64" s="63" t="str">
        <x:v>Commercial silica</x:v>
      </x:c>
      <x:c r="D64" s="63" t="str">
        <x:v>stabilisierte Silicic Acid</x:v>
      </x:c>
      <x:c r="E64" s="63" t="str">
        <x:v>Veg/Blüte</x:v>
      </x:c>
      <x:c r="F64" s="63" t="str">
        <x:v>Hydro/Coco</x:v>
      </x:c>
      <x:c r="G64" s="63" t="str">
        <x:v>commercial guide</x:v>
      </x:c>
      <x:c r="H64" s="63" t="str">
        <x:v>WATCHLIST</x:v>
      </x:c>
      <x:c r="I64" s="63" t="str">
        <x:v>Ja</x:v>
      </x:c>
      <x:c r="J64" s="63" t="str">
        <x:v>Silicic acid</x:v>
      </x:c>
      <x:c r="K64" s="63" t="str">
        <x:v>Alternative zu Hesilicio/Rhino, nicht zusätzlich</x:v>
      </x:c>
      <x:c r="L64" s="35" t="str">
        <x:v>https://8thgeneration.advancednutrients.com/products/rsa/</x:v>
      </x:c>
    </x:row>
    <x:row r="65">
      <x:c r="A65" s="34" t="str">
        <x:v>Advanced Nutrients</x:v>
      </x:c>
      <x:c r="B65" s="63" t="str">
        <x:v>8th Gen BFX</x:v>
      </x:c>
      <x:c r="C65" s="63" t="str">
        <x:v>Commercial biostim</x:v>
      </x:c>
      <x:c r="D65" s="63" t="str">
        <x:v>Mg + plant extract</x:v>
      </x:c>
      <x:c r="E65" s="63" t="str">
        <x:v>Veg/Blüte</x:v>
      </x:c>
      <x:c r="F65" s="63" t="str">
        <x:v>Hydro/Coco</x:v>
      </x:c>
      <x:c r="G65" s="63" t="str">
        <x:v>weekly, guide</x:v>
      </x:c>
      <x:c r="H65" s="63" t="str">
        <x:v>WATCHLIST</x:v>
      </x:c>
      <x:c r="I65" s="63" t="str">
        <x:v>Bedingt</x:v>
      </x:c>
      <x:c r="J65" s="63" t="str">
        <x:v>Mg + proprietärer Extrakt</x:v>
      </x:c>
      <x:c r="K65" s="63" t="str">
        <x:v>Neue Variable, vorerst nicht Reference</x:v>
      </x:c>
      <x:c r="L65" s="35" t="str">
        <x:v>https://8thgeneration.advancednutrients.com/products/bfx/</x:v>
      </x:c>
    </x:row>
    <x:row r="66">
      <x:c r="A66" s="34" t="str">
        <x:v>Advanced Nutrients</x:v>
      </x:c>
      <x:c r="B66" s="63" t="str">
        <x:v>8th Gen SB1</x:v>
      </x:c>
      <x:c r="C66" s="63" t="str">
        <x:v>Commercial flower</x:v>
      </x:c>
      <x:c r="D66" s="63" t="str">
        <x:v>fermentierter Zuckerrohr-Extrakt</x:v>
      </x:c>
      <x:c r="E66" s="63" t="str">
        <x:v>Blüte</x:v>
      </x:c>
      <x:c r="F66" s="63" t="str">
        <x:v>Hydro</x:v>
      </x:c>
      <x:c r="G66" s="63" t="str">
        <x:v>commercial guide</x:v>
      </x:c>
      <x:c r="H66" s="63" t="str">
        <x:v>WATCHLIST</x:v>
      </x:c>
      <x:c r="I66" s="63" t="str">
        <x:v>Bedingt</x:v>
      </x:c>
      <x:c r="J66" s="63" t="str">
        <x:v>NanoCarb/Phyto-Sacchara claims</x:v>
      </x:c>
      <x:c r="K66" s="63" t="str">
        <x:v>Überlappt Carbo/Boost-Funktion; nicht Reference</x:v>
      </x:c>
      <x:c r="L66" s="35" t="str">
        <x:v>https://8thgeneration.advancednutrients.com/products/sb1/</x:v>
      </x:c>
    </x:row>
    <x:row r="67">
      <x:c r="A67" s="34" t="str">
        <x:v>Advanced Nutrients</x:v>
      </x:c>
      <x:c r="B67" s="63" t="str">
        <x:v>pH Perfect Connoisseur Coco Grow &amp; Bloom</x:v>
      </x:c>
      <x:c r="C67" s="63" t="str">
        <x:v>pH Perfect Basis</x:v>
      </x:c>
      <x:c r="D67" s="63" t="str">
        <x:v>Premium Coco Vollbasis</x:v>
      </x:c>
      <x:c r="E67" s="63" t="str">
        <x:v>Veg/Blüte</x:v>
      </x:c>
      <x:c r="F67" s="63" t="str">
        <x:v>Coco: ja</x:v>
      </x:c>
      <x:c r="G67" s="63" t="str">
        <x:v>Grow A+B 1→4 ml/L; Bloom A+B 4 ml/L</x:v>
      </x:c>
      <x:c r="H67" s="63" t="str">
        <x:v>DISCONTINUED/ALT</x:v>
      </x:c>
      <x:c r="I67" s="63" t="str">
        <x:v>Ja</x:v>
      </x:c>
      <x:c r="J67" s="63" t="str">
        <x:v>Ca/Mg/Fe + Chelate; pH Perfect; 2026 regional nur Restbestand</x:v>
      </x:c>
      <x:c r="K67" s="63" t="str">
        <x:v>Nicht neu als UKD-Reference wählen; Sensi Coco oder HESI bevorzugen</x:v>
      </x:c>
      <x:c r="L67" s="35" t="str">
        <x:v>https://www.advancednutrients.com/de/products/ph-perfect-connoisseur-coco-grow-bloom/</x:v>
      </x:c>
    </x:row>
    <x:row r="68">
      <x:c r="A68" s="34" t="str">
        <x:v>Advanced Nutrients</x:v>
      </x:c>
      <x:c r="B68" s="63" t="str">
        <x:v>Sensi Professional Series WSP</x:v>
      </x:c>
      <x:c r="C68" s="63" t="str">
        <x:v>Commercial powder base</x:v>
      </x:c>
      <x:c r="D68" s="63" t="str">
        <x:v>4-Part Pulver-Vollbasis</x:v>
      </x:c>
      <x:c r="E68" s="63" t="str">
        <x:v>Veg/Blüte</x:v>
      </x:c>
      <x:c r="F68" s="63" t="str">
        <x:v>Hydro/Coco</x:v>
      </x:c>
      <x:c r="G68" s="63" t="str">
        <x:v>ehem. Herstellerschema</x:v>
      </x:c>
      <x:c r="H68" s="63" t="str">
        <x:v>DISCONTINUED 2026</x:v>
      </x:c>
      <x:c r="I68" s="63" t="str">
        <x:v>Ja</x:v>
      </x:c>
      <x:c r="J68" s="63" t="str">
        <x:v>April 2026 weltweit eingestellt</x:v>
      </x:c>
      <x:c r="K68" s="63" t="str">
        <x:v>Nicht neu einsetzen; Cultivator Series oder CS2 sind Nachfolger</x:v>
      </x:c>
      <x:c r="L68" s="35" t="str">
        <x:v>https://www.advancednutrients.com/de/articles/sensi-wsp-discontinued/</x:v>
      </x:c>
    </x:row>
    <x:row r="69">
      <x:c r="A69" s="34" t="str">
        <x:v>Advanced Nutrients</x:v>
      </x:c>
      <x:c r="B69" s="63" t="str">
        <x:v>8th Gen OVR</x:v>
      </x:c>
      <x:c r="C69" s="63" t="str">
        <x:v>Commercial finisher</x:v>
      </x:c>
      <x:c r="D69" s="63" t="str">
        <x:v>N-freier Finisher</x:v>
      </x:c>
      <x:c r="E69" s="63" t="str">
        <x:v>Finishing</x:v>
      </x:c>
      <x:c r="F69" s="63" t="str">
        <x:v>Hydro/Coco</x:v>
      </x:c>
      <x:c r="G69" s="63" t="str">
        <x:v>commercial guide</x:v>
      </x:c>
      <x:c r="H69" s="63" t="str">
        <x:v>WATCHLIST</x:v>
      </x:c>
      <x:c r="I69" s="63" t="str">
        <x:v>Ja</x:v>
      </x:c>
      <x:c r="J69" s="63" t="str">
        <x:v>Teil der 8th-Gen Elite Series; N-freie Finish-Formel laut Herstellerübersicht</x:v>
      </x:c>
      <x:c r="K69" s="63" t="str">
        <x:v>Nicht Reference; nur vollständiger 8th-Gen-A/B-Run</x:v>
      </x:c>
      <x:c r="L69" s="35" t="str">
        <x:v>https://8thgeneration.advancednutrients.com/de/</x:v>
      </x:c>
    </x:row>
    <x:row r="70">
      <x:c r="A70" s="34" t="str">
        <x:v>Advanced Nutrients</x:v>
      </x:c>
      <x:c r="B70" s="63" t="str">
        <x:v>Bigger Buds Tri-Pack</x:v>
      </x:c>
      <x:c r="C70" s="63" t="str">
        <x:v>EU Multi-Pack</x:v>
      </x:c>
      <x:c r="D70" s="63" t="str">
        <x:v>3-Stufen-Blütepaket</x:v>
      </x:c>
      <x:c r="E70" s="63" t="str">
        <x:v>Blüte</x:v>
      </x:c>
      <x:c r="F70" s="63" t="str">
        <x:v>Hydro/Coco</x:v>
      </x:c>
      <x:c r="G70" s="63" t="str">
        <x:v>Pack-Schema</x:v>
      </x:c>
      <x:c r="H70" s="63" t="str">
        <x:v>SYSTEM PACK/A-B</x:v>
      </x:c>
      <x:c r="I70" s="63" t="str">
        <x:v>nach Komponenten</x:v>
      </x:c>
      <x:c r="J70" s="63" t="str">
        <x:v>EU-Paket; bündelt Bloom-Technologien</x:v>
      </x:c>
      <x:c r="K70" s="63" t="str">
        <x:v>Als eigenes AN-Bloom-System testen, nicht zusätzlich HESI-PK maximieren</x:v>
      </x:c>
      <x:c r="L70" s="35" t="str">
        <x:v>https://www.advancednutrients.com/products/</x:v>
      </x:c>
    </x:row>
    <x:row r="71">
      <x:c r="A71" s="34" t="str">
        <x:v>Advanced Nutrients</x:v>
      </x:c>
      <x:c r="B71" s="63" t="str">
        <x:v>pH Perfect Bloom Tri-Pack</x:v>
      </x:c>
      <x:c r="C71" s="63" t="str">
        <x:v>EU Multi-Pack</x:v>
      </x:c>
      <x:c r="D71" s="63" t="str">
        <x:v>pH-Perfect/Bloom Paket</x:v>
      </x:c>
      <x:c r="E71" s="63" t="str">
        <x:v>Blüte</x:v>
      </x:c>
      <x:c r="F71" s="63" t="str">
        <x:v>Hydro/Coco</x:v>
      </x:c>
      <x:c r="G71" s="63" t="str">
        <x:v>Pack-Schema</x:v>
      </x:c>
      <x:c r="H71" s="63" t="str">
        <x:v>SYSTEM PACK/A-B</x:v>
      </x:c>
      <x:c r="I71" s="63" t="str">
        <x:v>nach Komponenten</x:v>
      </x:c>
      <x:c r="J71" s="63" t="str">
        <x:v>EU-Multi-Pack</x:v>
      </x:c>
      <x:c r="K71" s="63" t="str">
        <x:v>Nur mit klar definiertem Basis-/Bloom-Schema; keine Doppelbasis</x:v>
      </x:c>
      <x:c r="L71" s="35" t="str">
        <x:v>https://www.advancednutrients.com/products/</x:v>
      </x:c>
    </x:row>
    <x:row r="72">
      <x:c r="A72" s="34" t="str">
        <x:v>Advanced Nutrients</x:v>
      </x:c>
      <x:c r="B72" s="63" t="str">
        <x:v>Foliar Four-Pack</x:v>
      </x:c>
      <x:c r="C72" s="63" t="str">
        <x:v>EU Multi-Pack</x:v>
      </x:c>
      <x:c r="D72" s="63" t="str">
        <x:v>Blattanwendungs-Paket</x:v>
      </x:c>
      <x:c r="E72" s="63" t="str">
        <x:v>Veg/Blüte</x:v>
      </x:c>
      <x:c r="F72" s="63" t="str">
        <x:v>Foliar</x:v>
      </x:c>
      <x:c r="G72" s="63" t="str">
        <x:v>Pack-Schema</x:v>
      </x:c>
      <x:c r="H72" s="63" t="str">
        <x:v>EXCLUDE REFERENCE</x:v>
      </x:c>
      <x:c r="I72" s="63" t="str">
        <x:v>n/a</x:v>
      </x:c>
      <x:c r="J72" s="63" t="str">
        <x:v>EU-Multi-Pack für Foliar</x:v>
      </x:c>
      <x:c r="K72" s="63" t="str">
        <x:v>Für UKD Reference keine zusätzliche Foliar-Variable</x:v>
      </x:c>
      <x:c r="L72" s="35" t="str">
        <x:v>https://www.advancednutrients.com/products/</x:v>
      </x:c>
    </x:row>
    <x:row r="73">
      <x:c r="A73" s="36" t="str">
        <x:v>Advanced Nutrients</x:v>
      </x:c>
      <x:c r="B73" s="64" t="str">
        <x:v>Starter Kit Europe</x:v>
      </x:c>
      <x:c r="C73" s="64" t="str">
        <x:v>EU Starter Pack</x:v>
      </x:c>
      <x:c r="D73" s="64" t="str">
        <x:v>Systempaket</x:v>
      </x:c>
      <x:c r="E73" s="64" t="str">
        <x:v>gesamter Zyklus</x:v>
      </x:c>
      <x:c r="F73" s="64" t="str">
        <x:v>Hydro/Coco</x:v>
      </x:c>
      <x:c r="G73" s="64" t="str">
        <x:v>Pack-Schema</x:v>
      </x:c>
      <x:c r="H73" s="64" t="str">
        <x:v>ALT SYSTEM</x:v>
      </x:c>
      <x:c r="I73" s="64" t="str">
        <x:v>nach Komponenten</x:v>
      </x:c>
      <x:c r="J73" s="64" t="str">
        <x:v>enthält pH Perfect Sensi Grow/Bloom, Big Bud, Voodoo Juice u.a.</x:v>
      </x:c>
      <x:c r="K73" s="64" t="str">
        <x:v>Sinnvolle Full-AN Vergleichsarchitektur, aber nicht mit HESI-Basis verschmelzen</x:v>
      </x:c>
      <x:c r="L73" s="37" t="str">
        <x:v>https://www.advancednutrients.com/de/products/starter-kit-eu/</x:v>
      </x:c>
    </x:row>
    <x:row r="74">
      <x:c r="A74" s="253" t="str">
        <x:v>Athena</x:v>
      </x:c>
      <x:c r="B74" s="254" t="str">
        <x:v>Balance</x:v>
      </x:c>
      <x:c r="C74" s="254" t="str">
        <x:v>Water conditioner / pH+</x:v>
      </x:c>
      <x:c r="D74" s="254" t="str">
        <x:v>pH anheben + RO-Puffer + K-Silikat</x:v>
      </x:c>
      <x:c r="E74" s="254" t="str">
        <x:v>gesamter Zyklus nach Bedarf</x:v>
      </x:c>
      <x:c r="F74" s="254" t="str">
        <x:v>Coco/Erde/Hydro</x:v>
      </x:c>
      <x:c r="G74" s="254" t="str">
        <x:v>5–26 ml/10 L Händlerbereich; tatsächlich nach pH titrieren</x:v>
      </x:c>
      <x:c r="H74" s="254" t="str">
        <x:v>UKD CONDITIONAL CORE</x:v>
      </x:c>
      <x:c r="I74" s="254" t="str">
        <x:v>Ja/mineralisch</x:v>
      </x:c>
      <x:c r="J74" s="254" t="str">
        <x:v>Kaliumsilikat; pH+; liefert K und Si</x:v>
      </x:c>
      <x:c r="K74" s="254" t="str">
        <x:v>Vor Düngern ins Wasser. Ersetzt Standard-Hesilicio/Rhino Skin wenn genutzt.</x:v>
      </x:c>
      <x:c r="L74" s="255" t="str">
        <x:v>https://store.athenaag.com/balance/ ; https://www.growland.net/Athena-Balance-946-ml</x:v>
      </x:c>
    </x:row>
    <x:row r="76">
      <x:c r="A76" s="1406" t="str">
        <x:v>SCOPE-HINWEIS: Evaluierter UKD-relevanter Produktkatalog, kein Anspruch auf vollständige globale Hersteller-Inventarliste. 'Reservoirbewertung' ist teils UKD-Systemeinschätzung und nicht automatisch eine Herstellerfreigabe für Tropf-Blumat.</x:v>
      </x:c>
      <x:c r="B76" s="1407"/>
      <x:c r="C76" s="1407"/>
      <x:c r="D76" s="1407"/>
      <x:c r="E76" s="1407"/>
      <x:c r="F76" s="1407"/>
      <x:c r="G76" s="1407"/>
      <x:c r="H76" s="1407"/>
      <x:c r="I76" s="1407"/>
      <x:c r="J76" s="1407"/>
      <x:c r="K76" s="1407"/>
      <x:c r="L76" s="1408"/>
    </x:row>
  </x:sheetData>
  <x:mergeCells>
    <x:mergeCell ref="A76:L76"/>
  </x:mergeCells>
  <x:conditionalFormatting sqref="H2:H73">
    <x:cfRule type="expression" dxfId="20" priority="1">
      <x:formula>OR(H2="CORE",H2="CORE HYBRID",H2="REFERENCE")</x:formula>
    </x:cfRule>
    <x:cfRule type="expression" dxfId="21" priority="2">
      <x:formula>ISNUMBER(SEARCH("A/B",H2))</x:formula>
    </x:cfRule>
    <x:cfRule type="expression" dxfId="22" priority="3">
      <x:formula>ISNUMBER(SEARCH("EXCLUDE",H2))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1bbf5e9045c84ebf"/>
  </x:tableParts>
</x:worksheet>
</file>

<file path=xl/worksheets/sheet19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56" hidden="0" customWidth="1"/>
    <x:col min="3" max="3" width="50" hidden="0" customWidth="1"/>
    <x:col min="4" max="4" width="17" hidden="0" customWidth="1"/>
    <x:col min="5" max="5" width="52" hidden="0" customWidth="1"/>
    <x:col min="6" max="6" width="21" hidden="0" customWidth="1"/>
    <x:col min="7" max="7" width="62" hidden="0" customWidth="1"/>
  </x:cols>
  <x:sheetData>
    <x:row r="1">
      <x:c r="A1" s="14" t="str">
        <x:v>Interaktion</x:v>
      </x:c>
      <x:c r="B1" s="14" t="str">
        <x:v>Mechanismus / Befund</x:v>
      </x:c>
      <x:c r="C1" s="14" t="str">
        <x:v>Produkte betroffen</x:v>
      </x:c>
      <x:c r="D1" s="14" t="str">
        <x:v>UKD-Relevanz</x:v>
      </x:c>
      <x:c r="E1" s="14" t="str">
        <x:v>Regel</x:v>
      </x:c>
      <x:c r="F1" s="14" t="str">
        <x:v>Evidenz</x:v>
      </x:c>
      <x:c r="G1" s="14" t="str">
        <x:v>Quelle</x:v>
      </x:c>
    </x:row>
    <x:row r="2">
      <x:c r="A2" s="1154" t="str">
        <x:v>K/P ↑ ↔ Mg/Ca-Kontext</x:v>
      </x:c>
      <x:c r="B2" s="1204" t="str">
        <x:v>HESI warnt, dass K-Überschuss Ca/Mg-Mangelsymptome begünstigen kann; in einem Cannabis-NPK-Versuch sanken Blatt-Mg-Gehalte bei höherem P/K. Größenordnung ist cultivar-/systemabhängig.</x:v>
      </x:c>
      <x:c r="C2" s="1204" t="str">
        <x:v>PK13/14, Big Bud, Big Bud Coco, Bud Ignitor, Overdrive, Rhino Skin, Athena Balance, pH Up</x:v>
      </x:c>
      <x:c r="D2" s="1204" t="str">
        <x:v>Sehr hoch</x:v>
      </x:c>
      <x:c r="E2" s="1204" t="str">
        <x:v>Gesamt-K/P betrachten; Ca/Mg-Symptome nicht reflexartig mit mehr CalMag behandeln.</x:v>
      </x:c>
      <x:c r="F2" s="1204" t="str">
        <x:v>A + Hersteller</x:v>
      </x:c>
      <x:c r="G2" s="1205" t="str">
        <x:v>HESI PK13/14 + Frontiers 2024 NPK</x:v>
      </x:c>
    </x:row>
    <x:row r="3">
      <x:c r="A3" s="1156" t="str">
        <x:v>Mg ↑ → Ca/K-Aufnahme ↓</x:v>
      </x:c>
      <x:c r="B3" s="201" t="str">
        <x:v>Hohe Mg-Versorgung hemmte in der untersuchten Cannabis-Konfiguration Aufnahme/Translokation von Ca und K.</x:v>
      </x:c>
      <x:c r="C3" s="201" t="str">
        <x:v>HESI CalMag, Sensi Cal Mag Xtra, Big Bud Coco, Overdrive, Bud Candy</x:v>
      </x:c>
      <x:c r="D3" s="201" t="str">
        <x:v>Sehr hoch</x:v>
      </x:c>
      <x:c r="E3" s="201" t="str">
        <x:v>CalMag nur nach Wasseranalyse/Bedarf; zwei CalMag-Systeme nicht standardmäßig stapeln.</x:v>
      </x:c>
      <x:c r="F3" s="201" t="str">
        <x:v>A Primärliteratur</x:v>
      </x:c>
      <x:c r="G3" s="1193" t="str">
        <x:v>PubMed 37514290</x:v>
      </x:c>
    </x:row>
    <x:row r="4">
      <x:c r="A4" s="1156" t="str">
        <x:v>P/K ↑ → Blatt-Mg ↓</x:v>
      </x:c>
      <x:c r="B4" s="201" t="str">
        <x:v>Vegetativer Cannabis-RSM-Versuch: steigendes P und K senkte Mg-Konzentration in Blättern; nicht als universelle feste Antagonismusquote interpretieren.</x:v>
      </x:c>
      <x:c r="C4" s="201" t="str">
        <x:v>PK13/14, Big Bud, Bud Ignitor, Overdrive, pH Down</x:v>
      </x:c>
      <x:c r="D4" s="201" t="str">
        <x:v>Hoch</x:v>
      </x:c>
      <x:c r="E4" s="201" t="str">
        <x:v>PK nicht als universellen Qualitätshebel behandeln.</x:v>
      </x:c>
      <x:c r="F4" s="201" t="str">
        <x:v>A Primärliteratur</x:v>
      </x:c>
      <x:c r="G4" s="1193" t="str">
        <x:v>Frontiers 2024 NPK</x:v>
      </x:c>
    </x:row>
    <x:row r="5">
      <x:c r="A5" s="1156" t="str">
        <x:v>P-Überversorgung</x:v>
      </x:c>
      <x:c r="B5" s="201" t="str">
        <x:v>In den untersuchten Systemen steigerten höhere P-Angebote bzw. höhere Gesamt-EC Nährstoffakkumulation, aber nicht zuverlässig Blütenertrag oder Cannabinoide.</x:v>
      </x:c>
      <x:c r="C5" s="201" t="str">
        <x:v>PK-Booster; phosphorsäurebasiertes pH Down trägt zusätzlich P bei</x:v>
      </x:c>
      <x:c r="D5" s="201" t="str">
        <x:v>Sehr hoch</x:v>
      </x:c>
      <x:c r="E5" s="201" t="str">
        <x:v>Ein klar definiertes Bloom-PK-Regime; keine Booster-Kaskade.</x:v>
      </x:c>
      <x:c r="F5" s="201" t="str">
        <x:v>A Primärliteratur</x:v>
      </x:c>
      <x:c r="G5" s="1193" t="str">
        <x:v>Frontiers 2022 + 2025</x:v>
      </x:c>
    </x:row>
    <x:row r="6">
      <x:c r="A6" s="1156" t="str">
        <x:v>K-Angebot</x:v>
      </x:c>
      <x:c r="B6" s="201" t="str">
        <x:v>In einem untersuchten Blüteversuch reagierte der Ertrag im getesteten K-Bereich nicht signifikant auf mehr K; keine universelle K-Obergrenze daraus ableiten.</x:v>
      </x:c>
      <x:c r="C6" s="201" t="str">
        <x:v>PK13/14, Big Bud/BB Coco, Rhino Skin, Athena Balance, pH Up</x:v>
      </x:c>
      <x:c r="D6" s="201" t="str">
        <x:v>Hoch</x:v>
      </x:c>
      <x:c r="E6" s="201" t="str">
        <x:v>K-haltige Additive als Gesamt-K-Last betrachten.</x:v>
      </x:c>
      <x:c r="F6" s="201" t="str">
        <x:v>A Primärliteratur</x:v>
      </x:c>
      <x:c r="G6" s="1193" t="str">
        <x:v>Frontiers 2021</x:v>
      </x:c>
    </x:row>
    <x:row r="7">
      <x:c r="A7" s="1156" t="str">
        <x:v>Ca/Mg im Coco</x:v>
      </x:c>
      <x:c r="B7" s="201" t="str">
        <x:v>Coco-spezifische Basen können bereits Ca/Mg enthalten; Zusatzbedarf hängt von Wasser, Basis, Pflanzenzustand und Gesamtrezept ab.</x:v>
      </x:c>
      <x:c r="C7" s="201" t="str">
        <x:v>HESI Coco, Sensi Coco, Big Bud Coco, CalMag-Produkte</x:v>
      </x:c>
      <x:c r="D7" s="201" t="str">
        <x:v>Sehr hoch</x:v>
      </x:c>
      <x:c r="E7" s="201" t="str">
        <x:v>Wasserchemie zuerst erfassen: Ca, Mg und Alkalinität/HCO3 fehlen bei EC/pH allein.</x:v>
      </x:c>
      <x:c r="F7" s="201" t="str">
        <x:v>A Hersteller + Chemie</x:v>
      </x:c>
      <x:c r="G7" s="1193" t="str">
        <x:v>HESI Coco / AN Sensi Coco</x:v>
      </x:c>
    </x:row>
    <x:row r="8">
      <x:c r="A8" s="1156" t="str">
        <x:v>Silizium-Duplikation</x:v>
      </x:c>
      <x:c r="B8" s="201" t="str">
        <x:v>Athena Balance und Rhino Skin liefern Kaliumsilikat; Hesilicio ist eine alternative Siliziumquelle.</x:v>
      </x:c>
      <x:c r="C8" s="201" t="str">
        <x:v>Athena Balance, Hesilicio, Rhino Skin/RSA</x:v>
      </x:c>
      <x:c r="D8" s="201" t="str">
        <x:v>Hoch</x:v>
      </x:c>
      <x:c r="E8" s="201" t="str">
        <x:v>Im Reference genau eine Siliziumstrategie; Balance nur wenn pH-/Wasserfunktion tatsächlich gebraucht wird.</x:v>
      </x:c>
      <x:c r="F8" s="201" t="str">
        <x:v>A Hersteller + UKD-Inferenz</x:v>
      </x:c>
      <x:c r="G8" s="1193" t="str">
        <x:v>Athena / HESI / AN</x:v>
      </x:c>
    </x:row>
    <x:row r="9">
      <x:c r="A9" s="1156" t="str">
        <x:v>Enzym-Duplikation</x:v>
      </x:c>
      <x:c r="B9" s="201" t="str">
        <x:v>PowerZyme und Sensizym liegen in derselben funktionellen Enzym-/Medium-Conditioner-Klasse.</x:v>
      </x:c>
      <x:c r="C9" s="201" t="str">
        <x:v>PowerZyme + Sensizym</x:v>
      </x:c>
      <x:c r="D9" s="201" t="str">
        <x:v>Mittel</x:v>
      </x:c>
      <x:c r="E9" s="201" t="str">
        <x:v>Für interpretierbaren Reference-Run eines wählen.</x:v>
      </x:c>
      <x:c r="F9" s="201" t="str">
        <x:v>A Hersteller</x:v>
      </x:c>
      <x:c r="G9" s="1193" t="str">
        <x:v>HESI / AN</x:v>
      </x:c>
    </x:row>
    <x:row r="10">
      <x:c r="A10" s="1156" t="str">
        <x:v>Mikroben vs. HOCl</x:v>
      </x:c>
      <x:c r="B10" s="201" t="str">
        <x:v>Flo &amp; Gro ist Hypochlorsäure-Reiniger; gleichzeitige lebende Inokulation widerspricht dem Sanitizing-Ziel.</x:v>
      </x:c>
      <x:c r="C10" s="201" t="str">
        <x:v>Voodoo/Piranha/Tarantula vs Flo &amp; Gro</x:v>
      </x:c>
      <x:c r="D10" s="201" t="str">
        <x:v>Sehr hoch</x:v>
      </x:c>
      <x:c r="E10" s="201" t="str">
        <x:v>Sanitizing und Re-Inokulation zeitlich trennen; Flo &amp; Gro aktuell USA/Kanada.</x:v>
      </x:c>
      <x:c r="F10" s="201" t="str">
        <x:v>A Hersteller + mechanistische Inferenz</x:v>
      </x:c>
      <x:c r="G10" s="1193" t="str">
        <x:v>AN Flo &amp; Gro</x:v>
      </x:c>
    </x:row>
    <x:row r="11">
      <x:c r="A11" s="1156" t="str">
        <x:v>Kohlenhydrate + Mikroben + Reservoir</x:v>
      </x:c>
      <x:c r="B11" s="201" t="str">
        <x:v>Carbo-/organische Inputs erhöhen biologische Systemkomplexität; einzelne Praxisberichte zeigen Biofilm-/Schleimprobleme.</x:v>
      </x:c>
      <x:c r="C11" s="201" t="str">
        <x:v>Bud Candy, CarboLoad, HESI Boost + Mikroben</x:v>
      </x:c>
      <x:c r="D11" s="201" t="str">
        <x:v>Hoch</x:v>
      </x:c>
      <x:c r="E11" s="201" t="str">
        <x:v>Bei automatischer Indoor-Bewässerung System-/Herstellerfreigabe prüfen; stagnierende Lösungen vermeiden.</x:v>
      </x:c>
      <x:c r="F11" s="201" t="str">
        <x:v>C + Systeminferenz</x:v>
      </x:c>
      <x:c r="G11" s="1193" t="str">
        <x:v>Community + Systemhygiene</x:v>
      </x:c>
    </x:row>
    <x:row r="12">
      <x:c r="A12" s="1158" t="str">
        <x:v>EC ist Summenparameter</x:v>
      </x:c>
      <x:c r="B12" s="1194" t="str">
        <x:v>EC misst Gesamtleitfähigkeit, nicht die einzelnen Elementkonzentrationen. Höhere EC war in geprüften Cannabisversuchen nicht automatisch mit mehr Ertrag/Qualität verbunden.</x:v>
      </x:c>
      <x:c r="C12" s="1194" t="str">
        <x:v>alle Produkte; besonders Mehrfachstacks</x:v>
      </x:c>
      <x:c r="D12" s="1194" t="str">
        <x:v>Sehr hoch</x:v>
      </x:c>
      <x:c r="E12" s="1194" t="str">
        <x:v>EC + Rezept + Wasserchemie + Runoff/Rootzone + Symptome gemeinsam interpretieren.</x:v>
      </x:c>
      <x:c r="F12" s="1194" t="str">
        <x:v>A Primärliteratur</x:v>
      </x:c>
      <x:c r="G12" s="1195" t="str">
        <x:v>Frontiers 2025 + HESI TNT</x:v>
      </x:c>
    </x:row>
  </x:sheetData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FormatPr defaultRowHeight="15"/>
  <x:cols>
    <x:col min="1" max="1" width="48" hidden="0" customWidth="1"/>
    <x:col min="2" max="2" width="15" hidden="0" customWidth="1"/>
    <x:col min="3" max="3" width="62" hidden="0" customWidth="1"/>
    <x:col min="4" max="4" width="56" hidden="0" customWidth="1"/>
    <x:col min="5" max="5" width="28" hidden="0" customWidth="1"/>
  </x:cols>
  <x:sheetData>
    <x:row r="1">
      <x:c r="A1" s="14" t="str">
        <x:v>Kombination</x:v>
      </x:c>
      <x:c r="B1" s="14" t="str">
        <x:v>Status</x:v>
      </x:c>
      <x:c r="C1" s="14" t="str">
        <x:v>Grund</x:v>
      </x:c>
      <x:c r="D1" s="14" t="str">
        <x:v>Besser</x:v>
      </x:c>
      <x:c r="E1" s="14" t="str">
        <x:v>Evidenz</x:v>
      </x:c>
    </x:row>
    <x:row r="2">
      <x:c r="A2" s="32" t="str">
        <x:v>HESI TNT + HESI Coco als zwei Vollbasen dauerhaft</x:v>
      </x:c>
      <x:c r="B2" s="62" t="str">
        <x:v>✖</x:v>
      </x:c>
      <x:c r="C2" s="62" t="str">
        <x:v>Phasenbasen; unnötige NPK-Duplikation</x:v>
      </x:c>
      <x:c r="D2" s="62" t="str">
        <x:v>TNT Veg → Coco ab klarer Transition</x:v>
      </x:c>
      <x:c r="E2" s="33" t="str">
        <x:v>Herstellerarchitektur</x:v>
      </x:c>
    </x:row>
    <x:row r="3">
      <x:c r="A3" s="34" t="str">
        <x:v>HESI TNT/Coco + pH Perfect Sensi Coco</x:v>
      </x:c>
      <x:c r="B3" s="63" t="str">
        <x:v>✖</x:v>
      </x:c>
      <x:c r="C3" s="63" t="str">
        <x:v>Zwei komplette Basisprogramme; pH-Perfect-Garantie bei Fremdprodukten entfällt</x:v>
      </x:c>
      <x:c r="D3" s="63" t="str">
        <x:v>Entweder HESI-System ODER AN-pH-Perfect-System</x:v>
      </x:c>
      <x:c r="E3" s="35" t="str">
        <x:v>AN FAQ</x:v>
      </x:c>
    </x:row>
    <x:row r="4">
      <x:c r="A4" s="34" t="str">
        <x:v>HESI PK13/14 + Big Bud/Big Bud Coco</x:v>
      </x:c>
      <x:c r="B4" s="63" t="str">
        <x:v>⚠/🧪</x:v>
      </x:c>
      <x:c r="C4" s="63" t="str">
        <x:v>PK-Duplikation; K/P-Überversorgung ohne gesicherten Qualitätsnutzen</x:v>
      </x:c>
      <x:c r="D4" s="63" t="str">
        <x:v>A/B: HESI-PK gegen AN-Bulker</x:v>
      </x:c>
      <x:c r="E4" s="35" t="str">
        <x:v>Wissenschaft + Hersteller</x:v>
      </x:c>
    </x:row>
    <x:row r="5">
      <x:c r="A5" s="34" t="str">
        <x:v>HESI PK13/14 + Bud Ignitor + Big Bud + Overdrive komplett</x:v>
      </x:c>
      <x:c r="B5" s="63" t="str">
        <x:v>✖ im Reference</x:v>
      </x:c>
      <x:c r="C5" s="63" t="str">
        <x:v>AN-3-Phasen-Bulker sind als eigenes System konzipiert; zusätzliches HESI-PK macht Gesamt-PK schwer interpretierbar</x:v>
      </x:c>
      <x:c r="D5" s="63" t="str">
        <x:v>Full-AN Sequenz ODER HESI-PK, nicht beide</x:v>
      </x:c>
      <x:c r="E5" s="35" t="str">
        <x:v>AN + Wissenschaft</x:v>
      </x:c>
    </x:row>
    <x:row r="6">
      <x:c r="A6" s="34" t="str">
        <x:v>HESI CalMag + Sensi Cal Mag Xtra</x:v>
      </x:c>
      <x:c r="B6" s="63" t="str">
        <x:v>R/✖</x:v>
      </x:c>
      <x:c r="C6" s="63" t="str">
        <x:v>Ca/Mg/Fe und N-Duplikation; hoher Mg kann Ca/K hemmen</x:v>
      </x:c>
      <x:c r="D6" s="63" t="str">
        <x:v>eins nach Wasserwerten wählen</x:v>
      </x:c>
      <x:c r="E6" s="35" t="str">
        <x:v>Cannabis Mg Studie</x:v>
      </x:c>
    </x:row>
    <x:row r="7">
      <x:c r="A7" s="34" t="str">
        <x:v>Hesilicio + Rhino Skin</x:v>
      </x:c>
      <x:c r="B7" s="63" t="str">
        <x:v>R</x:v>
      </x:c>
      <x:c r="C7" s="63" t="str">
        <x:v>zwei Siliziumquellen; Rhino bringt zusätzlich K</x:v>
      </x:c>
      <x:c r="D7" s="63" t="str">
        <x:v>eins wählen</x:v>
      </x:c>
      <x:c r="E7" s="35" t="str">
        <x:v>Hersteller</x:v>
      </x:c>
    </x:row>
    <x:row r="8">
      <x:c r="A8" s="34" t="str">
        <x:v>PowerZyme + Sensizym</x:v>
      </x:c>
      <x:c r="B8" s="63" t="str">
        <x:v>R</x:v>
      </x:c>
      <x:c r="C8" s="63" t="str">
        <x:v>gleiche Funktionsklasse Enzym-Conditioner</x:v>
      </x:c>
      <x:c r="D8" s="63" t="str">
        <x:v>eins wählen</x:v>
      </x:c>
      <x:c r="E8" s="35" t="str">
        <x:v>Hersteller</x:v>
      </x:c>
    </x:row>
    <x:row r="9">
      <x:c r="A9" s="34" t="str">
        <x:v>Voodoo + Piranha + Tarantula + UGro Rhiza im Reference</x:v>
      </x:c>
      <x:c r="B9" s="63" t="str">
        <x:v>🧪</x:v>
      </x:c>
      <x:c r="C9" s="63" t="str">
        <x:v>offiziell mischbar, aber starke biologische Redundanz und mehrere Variablen</x:v>
      </x:c>
      <x:c r="D9" s="63" t="str">
        <x:v>Rhiza + Voodoo; weitere Mikroben separat testen</x:v>
      </x:c>
      <x:c r="E9" s="35" t="str">
        <x:v>Hersteller + UKD Design</x:v>
      </x:c>
    </x:row>
    <x:row r="10">
      <x:c r="A10" s="34" t="str">
        <x:v>Voodoo Juice Plus + Voodoo/Piranha/Tarantula</x:v>
      </x:c>
      <x:c r="B10" s="63" t="str">
        <x:v>R/✖</x:v>
      </x:c>
      <x:c r="C10" s="63" t="str">
        <x:v>Plus bündelt die Mikrobenfamilien</x:v>
      </x:c>
      <x:c r="D10" s="63" t="str">
        <x:v>Plus ODER Einzelprodukte</x:v>
      </x:c>
      <x:c r="E10" s="35" t="str">
        <x:v>AN</x:v>
      </x:c>
    </x:row>
    <x:row r="11">
      <x:c r="A11" s="34" t="str">
        <x:v>Flo &amp; Gro + Voodoo/Piranha/Tarantula gleichzeitig</x:v>
      </x:c>
      <x:c r="B11" s="63" t="str">
        <x:v>✖</x:v>
      </x:c>
      <x:c r="C11" s="63" t="str">
        <x:v>HOCl-Reiniger vs lebende Inokulanten</x:v>
      </x:c>
      <x:c r="D11" s="63" t="str">
        <x:v>Sanitizing zeitlich getrennt von Inokulation</x:v>
      </x:c>
      <x:c r="E11" s="35" t="str">
        <x:v>mechanistische Inferenz</x:v>
      </x:c>
    </x:row>
    <x:row r="12">
      <x:c r="A12" s="34" t="str">
        <x:v>Bud Candy + CarboLoad + HESI Boost</x:v>
      </x:c>
      <x:c r="B12" s="63" t="str">
        <x:v>R/⚠</x:v>
      </x:c>
      <x:c r="C12" s="63" t="str">
        <x:v>Kohlenhydrat-/Extrakt-Überlappung; höhere Tanklast</x:v>
      </x:c>
      <x:c r="D12" s="63" t="str">
        <x:v>max. ein Carbo-/Boost-Konzept je A/B</x:v>
      </x:c>
      <x:c r="E12" s="35" t="str">
        <x:v>Hersteller + Praxis</x:v>
      </x:c>
    </x:row>
    <x:row r="13">
      <x:c r="A13" s="34" t="str">
        <x:v>pH Up + pH Down wechselseitig</x:v>
      </x:c>
      <x:c r="B13" s="63" t="str">
        <x:v>✖</x:v>
      </x:c>
      <x:c r="C13" s="63" t="str">
        <x:v>unnötige Salz-/P/K-Zufuhr und instabile Titration</x:v>
      </x:c>
      <x:c r="D13" s="63" t="str">
        <x:v>erst komplett mischen, messen, nur eine Richtung korrigieren</x:v>
      </x:c>
      <x:c r="E13" s="35" t="str">
        <x:v>AN pH-Anleitung</x:v>
      </x:c>
    </x:row>
    <x:row r="14">
      <x:c r="A14" s="34" t="str">
        <x:v>pH Perfect + routinemäßiges pH Up/Down</x:v>
      </x:c>
      <x:c r="B14" s="63" t="str">
        <x:v>⚠</x:v>
      </x:c>
      <x:c r="C14" s="63" t="str">
        <x:v>widerspricht Zweck des Systems; erst Ursache prüfen</x:v>
      </x:c>
      <x:c r="D14" s="63" t="str">
        <x:v>bei full-AN beobachten; bei Cross-brand keine pH-Perfect-Garantie</x:v>
      </x:c>
      <x:c r="E14" s="35" t="str">
        <x:v>AN</x:v>
      </x:c>
    </x:row>
    <x:row r="15">
      <x:c r="A15" s="36" t="str">
        <x:v>Organische OG-Produkte/Tea dauerhaft im Tropf-Blumat Tank</x:v>
      </x:c>
      <x:c r="B15" s="64" t="str">
        <x:v>✖ Reference</x:v>
      </x:c>
      <x:c r="C15" s="64" t="str">
        <x:v>hohe biologische/partikuläre Last, Wartungs-/Verstopfungsrisiko</x:v>
      </x:c>
      <x:c r="D15" s="64" t="str">
        <x:v>separates organisches System oder manuelle/frische Gaben</x:v>
      </x:c>
      <x:c r="E15" s="37" t="str">
        <x:v>Blumat + Produktart</x:v>
      </x:c>
    </x:row>
    <x:row r="17">
      <x:c r="A17" s="206" t="str">
        <x:v>Kombination</x:v>
      </x:c>
      <x:c r="B17" s="206" t="str">
        <x:v>Status</x:v>
      </x:c>
      <x:c r="C17" s="206" t="str">
        <x:v>Grund</x:v>
      </x:c>
      <x:c r="D17" s="206" t="str">
        <x:v>Besser</x:v>
      </x:c>
      <x:c r="E17" s="206" t="str">
        <x:v>Evidenz</x:v>
      </x:c>
    </x:row>
    <x:row r="18">
      <x:c r="A18" s="32" t="str">
        <x:v>Athena Balance + Rhino Skin</x:v>
      </x:c>
      <x:c r="B18" s="62" t="str">
        <x:v>R/✖ Reference</x:v>
      </x:c>
      <x:c r="C18" s="62" t="str">
        <x:v>beide liefern Silizium; beide bringen K in das System</x:v>
      </x:c>
      <x:c r="D18" s="62" t="str">
        <x:v>Balance als pH+/Si ODER Rhino Skin als Si, nicht Standard beide</x:v>
      </x:c>
      <x:c r="E18" s="33" t="str">
        <x:v>A + mechanistische Inferenz</x:v>
      </x:c>
    </x:row>
    <x:row r="19">
      <x:c r="A19" s="34" t="str">
        <x:v>Athena Balance + Hesilicio</x:v>
      </x:c>
      <x:c r="B19" s="201" t="str">
        <x:v>R/✖ Reference</x:v>
      </x:c>
      <x:c r="C19" s="201" t="str">
        <x:v>zwei Siliziumquellen ohne klaren Zusatznutzen</x:v>
      </x:c>
      <x:c r="D19" s="201" t="str">
        <x:v>eines wählen</x:v>
      </x:c>
      <x:c r="E19" s="35" t="str">
        <x:v>A + mechanistische Inferenz</x:v>
      </x:c>
    </x:row>
    <x:row r="20">
      <x:c r="A20" s="34" t="str">
        <x:v>Athena Balance + pH Up</x:v>
      </x:c>
      <x:c r="B20" s="201" t="str">
        <x:v>R/✖</x:v>
      </x:c>
      <x:c r="C20" s="201" t="str">
        <x:v>beide erhöhen pH; Balance bereits pH+</x:v>
      </x:c>
      <x:c r="D20" s="201" t="str">
        <x:v>Balance titrieren; pH Up nicht parallel</x:v>
      </x:c>
      <x:c r="E20" s="35" t="str">
        <x:v>A</x:v>
      </x:c>
    </x:row>
    <x:row r="21">
      <x:c r="A21" s="34" t="str">
        <x:v>Athena Balance Konzentrat + pH Down direkt</x:v>
      </x:c>
      <x:c r="B21" s="201" t="str">
        <x:v>✖</x:v>
      </x:c>
      <x:c r="C21" s="201" t="str">
        <x:v>hochbasische Silikatlösung vs Säure; lokale Extrem-pH/Ausfällungsrisiken</x:v>
      </x:c>
      <x:c r="D21" s="201" t="str">
        <x:v>Balance im Wasser verdünnen; pH Down nur finalen Endmix korrigieren</x:v>
      </x:c>
      <x:c r="E21" s="35" t="str">
        <x:v>A + chemische Inferenz</x:v>
      </x:c>
    </x:row>
    <x:row r="22">
      <x:c r="A22" s="34" t="str">
        <x:v>Athena Balance + PK Vollstack</x:v>
      </x:c>
      <x:c r="B22" s="201" t="str">
        <x:v>⚠</x:v>
      </x:c>
      <x:c r="C22" s="201" t="str">
        <x:v>Balance trägt K bei; zusätzliche PK-Quellen erhöhen K-Gesamtlast</x:v>
      </x:c>
      <x:c r="D22" s="201" t="str">
        <x:v>einen PK-Pfad wählen, EC/Gewebe-/Symptomdaten beachten</x:v>
      </x:c>
      <x:c r="E22" s="35" t="str">
        <x:v>A + Cannabis-Nährstoffliteratur</x:v>
      </x:c>
    </x:row>
    <x:row r="23">
      <x:c r="A23" s="34" t="str">
        <x:v>UKD HESI Conservative + alle 13 Grand-Master-Produkte Vollstärke</x:v>
      </x:c>
      <x:c r="B23" s="201" t="str">
        <x:v>✖ Reference</x:v>
      </x:c>
      <x:c r="C23" s="201" t="str">
        <x:v>massive Funktions-/PK-/Silizium-/Biostim-Redundanz</x:v>
      </x:c>
      <x:c r="D23" s="201" t="str">
        <x:v>Grand-Master-Produkte als einzelne A/B-Module</x:v>
      </x:c>
      <x:c r="E23" s="35" t="str">
        <x:v>B + UKD Methodik</x:v>
      </x:c>
    </x:row>
    <x:row r="24">
      <x:c r="A24" s="36" t="str">
        <x:v>Athena Balance + Grand-Master Rhino Skin</x:v>
      </x:c>
      <x:c r="B24" s="64" t="str">
        <x:v>✖</x:v>
      </x:c>
      <x:c r="C24" s="64" t="str">
        <x:v>spezifische Grand-Master-Siliziumduplikation</x:v>
      </x:c>
      <x:c r="D24" s="64" t="str">
        <x:v>Rhino Skin im GM-Hybrid automatisch AUS</x:v>
      </x:c>
      <x:c r="E24" s="37" t="str">
        <x:v>A + UKD</x:v>
      </x:c>
    </x:row>
    <x:row r="26">
      <x:c r="A26" s="1526" t="str">
        <x:v>Audit-Ergänzung</x:v>
      </x:c>
      <x:c r="B26" s="1526" t="str">
        <x:v>Status</x:v>
      </x:c>
      <x:c r="C26" s="1526" t="str">
        <x:v>Grund</x:v>
      </x:c>
      <x:c r="D26" s="1526" t="str">
        <x:v>Besser</x:v>
      </x:c>
      <x:c r="E26" s="1526" t="str">
        <x:v>Evidenz</x:v>
      </x:c>
    </x:row>
    <x:row r="27">
      <x:c r="A27" s="1154" t="str">
        <x:v>Tropf-Blumat als Indoor-Reference</x:v>
      </x:c>
      <x:c r="B27" s="1204" t="str">
        <x:v>✖</x:v>
      </x:c>
      <x:c r="C27" s="1204" t="str">
        <x:v>Hersteller erklärt ausdrücklich: nicht im Innenbereich verwenden</x:v>
      </x:c>
      <x:c r="D27" s="1204" t="str">
        <x:v>manuell oder indoor-freigegebene Automation</x:v>
      </x:c>
      <x:c r="E27" s="1205" t="str">
        <x:v>A Hersteller</x:v>
      </x:c>
    </x:row>
    <x:row r="28">
      <x:c r="A28" s="1156" t="str">
        <x:v>Athena Balance nur nach Ausgangs-pH dosieren</x:v>
      </x:c>
      <x:c r="B28" s="201" t="str">
        <x:v>✖</x:v>
      </x:c>
      <x:c r="C28" s="201" t="str">
        <x:v>pH allein beschreibt Pufferkapazität/Alkalinität nicht</x:v>
      </x:c>
      <x:c r="D28" s="201" t="str">
        <x:v>HCO3/Alkalinität + Ca/Mg + Testbatch erfassen</x:v>
      </x:c>
      <x:c r="E28" s="1193" t="str">
        <x:v>Chemie/UKD</x:v>
      </x:c>
    </x:row>
    <x:row r="29">
      <x:c r="A29" s="1156" t="str">
        <x:v>Starre Kalender-Blüte für Autos</x:v>
      </x:c>
      <x:c r="B29" s="201" t="str">
        <x:v>✖</x:v>
      </x:c>
      <x:c r="C29" s="201" t="str">
        <x:v>phänotypische Blüteeinleitung variiert</x:v>
      </x:c>
      <x:c r="D29" s="201" t="str">
        <x:v>Blüte-Trigger in Run_Config setzen</x:v>
      </x:c>
      <x:c r="E29" s="1193" t="str">
        <x:v>UKD Methodik</x:v>
      </x:c>
    </x:row>
    <x:row r="30">
      <x:c r="A30" s="1158" t="str">
        <x:v>g/W als primäre Effizienzkennzahl</x:v>
      </x:c>
      <x:c r="B30" s="1194" t="str">
        <x:v>⚠</x:v>
      </x:c>
      <x:c r="C30" s="1194" t="str">
        <x:v>Watt variiert über den Zyklus</x:v>
      </x:c>
      <x:c r="D30" s="1194" t="str">
        <x:v>g/kWh Licht als Hauptkennzahl</x:v>
      </x:c>
      <x:c r="E30" s="1195" t="str">
        <x:v>Engineering</x:v>
      </x:c>
    </x:row>
    <x:row r="31">
      <x:c r="A31" t="str">
        <x:v>v7 hybrid</x:v>
      </x:c>
      <x:c r="B31" t="str">
        <x:v>HESI Boost</x:v>
      </x:c>
      <x:c r="C31" t="str">
        <x:v>AN Bud Candy</x:v>
      </x:c>
      <x:c r="D31" t="str">
        <x:v>NO Reference</x:v>
      </x:c>
      <x:c r="E31" t="str">
        <x:v>Same functional carbohydrate/biostim path; choose one.</x:v>
      </x:c>
      <x:c r="F31" t="str">
        <x:v>27_HESI_AN_Hybrid</x:v>
      </x:c>
    </x:row>
    <x:row r="32">
      <x:c r="A32" t="str">
        <x:v>v7 hybrid</x:v>
      </x:c>
      <x:c r="B32" t="str">
        <x:v>HESI PowerZyme</x:v>
      </x:c>
      <x:c r="C32" t="str">
        <x:v>AN Sensizym</x:v>
      </x:c>
      <x:c r="D32" t="str">
        <x:v>NO Reference</x:v>
      </x:c>
      <x:c r="E32" t="str">
        <x:v>Enzyme/root-zone conditioner duplication.</x:v>
      </x:c>
      <x:c r="F32" t="str">
        <x:v>27_HESI_AN_Hybrid</x:v>
      </x:c>
    </x:row>
    <x:row r="33">
      <x:c r="A33" t="str">
        <x:v>v7 hybrid</x:v>
      </x:c>
      <x:c r="B33" t="str">
        <x:v>Athena Balance/Hesilicio</x:v>
      </x:c>
      <x:c r="C33" t="str">
        <x:v>AN Rhino Skin</x:v>
      </x:c>
      <x:c r="D33" t="str">
        <x:v>NO Reference</x:v>
      </x:c>
      <x:c r="E33" t="str">
        <x:v>Multiple silica/pH-conditioning paths.</x:v>
      </x:c>
      <x:c r="F33" t="str">
        <x:v>27_HESI_AN_Hybrid</x:v>
      </x:c>
    </x:row>
    <x:row r="34">
      <x:c r="A34" t="str">
        <x:v>v7 hybrid</x:v>
      </x:c>
      <x:c r="B34" t="str">
        <x:v>HESI PK13/14</x:v>
      </x:c>
      <x:c r="C34" t="str">
        <x:v>Bud Ignitor/Big Bud/Overdrive</x:v>
      </x:c>
      <x:c r="D34" t="str">
        <x:v>NO Reference</x:v>
      </x:c>
      <x:c r="E34" t="str">
        <x:v>PK stacking increases confounding and K/P load.</x:v>
      </x:c>
      <x:c r="F34" t="str">
        <x:v>27_HESI_AN_Hybrid</x:v>
      </x:c>
    </x:row>
    <x:row r="35">
      <x:c r="A35" t="str">
        <x:v>v7 hybrid</x:v>
      </x:c>
      <x:c r="B35" t="str">
        <x:v>Voodoo</x:v>
      </x:c>
      <x:c r="C35" t="str">
        <x:v>Piranha+Tarantula</x:v>
      </x:c>
      <x:c r="D35" t="str">
        <x:v>REVIEW</x:v>
      </x:c>
      <x:c r="E35" t="str">
        <x:v>Manufacturer supports trio; UKD default uses Voodoo only to reduce variables.</x:v>
      </x:c>
      <x:c r="F35" t="str">
        <x:v>27_HESI_AN_Hybrid</x:v>
      </x:c>
    </x:row>
    <x:row r="36">
      <x:c r="A36" t="str">
        <x:v>v7 hybrid</x:v>
      </x:c>
      <x:c r="B36" t="str">
        <x:v>Wurzel Complex/SuperVit</x:v>
      </x:c>
      <x:c r="C36" t="str">
        <x:v>B-52</x:v>
      </x:c>
      <x:c r="D36" t="str">
        <x:v>REVIEW</x:v>
      </x:c>
      <x:c r="E36" t="str">
        <x:v>Biostimulant/vitamin/kelp overlap; incremental value unclear.</x:v>
      </x:c>
      <x:c r="F36" t="str">
        <x:v>27_HESI_AN_Hybrid</x:v>
      </x:c>
    </x:row>
    <x:row r="37">
      <x:c r="A37" t="str">
        <x:v>v7 hybrid</x:v>
      </x:c>
      <x:c r="B37" t="str">
        <x:v>HESI stack</x:v>
      </x:c>
      <x:c r="C37" t="str">
        <x:v>Full Grand Master</x:v>
      </x:c>
      <x:c r="D37" t="str">
        <x:v>NO Reference</x:v>
      </x:c>
      <x:c r="E37" t="str">
        <x:v>Too many simultaneous overlapping modules; not diagnosable.</x:v>
      </x:c>
      <x:c r="F37" t="str">
        <x:v>27_HESI_AN_Hybrid</x:v>
      </x:c>
    </x:row>
    <x:row r="38">
      <x:c r="A38" t="str">
        <x:v>v7 hybrid</x:v>
      </x:c>
      <x:c r="B38" t="str">
        <x:v>HESI Boost/B-52</x:v>
      </x:c>
      <x:c r="C38" t="str">
        <x:v>Tasty Terpenes</x:v>
      </x:c>
      <x:c r="D38" t="str">
        <x:v>REVIEW</x:v>
      </x:c>
      <x:c r="E38" t="str">
        <x:v>Kelp/K/biostim overlap; experimental only.</x:v>
      </x:c>
      <x:c r="F38" t="str">
        <x:v>27_HESI_AN_Hybrid</x:v>
      </x:c>
    </x:row>
    <x:row r="39">
      <x:c r="A39" t="str">
        <x:v>v7 hybrid</x:v>
      </x:c>
      <x:c r="B39" t="str">
        <x:v>HESI/AN CalMag source</x:v>
      </x:c>
      <x:c r="C39" t="str">
        <x:v>Revive</x:v>
      </x:c>
      <x:c r="D39" t="str">
        <x:v>DIAGNOSTIC ONLY</x:v>
      </x:c>
      <x:c r="E39" t="str">
        <x:v>Revive adds Ca/Mg/Fe/N and can confound normal feeding.</x:v>
      </x:c>
      <x:c r="F39" t="str">
        <x:v>27_HESI_AN_Hybrid</x:v>
      </x:c>
    </x:row>
    <x:row r="40">
      <x:c r="A40" t="str">
        <x:v>v7 hybrid</x:v>
      </x:c>
      <x:c r="B40" t="str">
        <x:v>Any preset</x:v>
      </x:c>
      <x:c r="C40" t="str">
        <x:v>Unlisted product</x:v>
      </x:c>
      <x:c r="D40" t="str">
        <x:v>BLOCK</x:v>
      </x:c>
      <x:c r="E40" t="str">
        <x:v>No silent product. Must have module class + source + coverage.</x:v>
      </x:c>
      <x:c r="F40" t="str">
        <x:v>UKD v7</x:v>
      </x:c>
    </x:row>
    <x:row r="41">
      <x:c r="A41" t="str">
        <x:v>v7 hybrid</x:v>
      </x:c>
      <x:c r="B41" t="str">
        <x:v>Two new boosters same event</x:v>
      </x:c>
      <x:c r="C41" t="str">
        <x:v>Any</x:v>
      </x:c>
      <x:c r="D41" t="str">
        <x:v>NO Reference</x:v>
      </x:c>
      <x:c r="E41" t="str">
        <x:v>Preserve attribution and failure diagnosis.</x:v>
      </x:c>
      <x:c r="F41" t="str">
        <x:v>UKD safety</x:v>
      </x:c>
    </x:row>
    <x:row r="42">
      <x:c r="A42" t="str">
        <x:v>v8 inventory</x:v>
      </x:c>
      <x:c r="B42" t="str">
        <x:v>HESI Boost</x:v>
      </x:c>
      <x:c r="C42" t="str">
        <x:v>CarboLoad</x:v>
      </x:c>
      <x:c r="D42" t="str">
        <x:v>NO Reference</x:v>
      </x:c>
      <x:c r="E42" t="str">
        <x:v>Both are carbohydrate/biostim paths; current preset prefers owned HESI Boost. Tiny CarboLoad remainder is not a reason to stack.</x:v>
      </x:c>
      <x:c r="F42" t="str">
        <x:v>2026-08-10 inventory</x:v>
      </x:c>
    </x:row>
    <x:row r="43">
      <x:c r="A43" t="str">
        <x:v>v8 inventory</x:v>
      </x:c>
      <x:c r="B43" t="str">
        <x:v>HESI Boost + HESI PK</x:v>
      </x:c>
      <x:c r="C43" t="str">
        <x:v>Tasty Terpenes</x:v>
      </x:c>
      <x:c r="D43" t="str">
        <x:v>A/B ONLY</x:v>
      </x:c>
      <x:c r="E43" t="str">
        <x:v>No hard incompatibility established, but Tasty adds K/kelp/alfalfa and another variable; keep OFF in reference run.</x:v>
      </x:c>
      <x:c r="F43" t="str">
        <x:v>AN/HESI manufacturer</x:v>
      </x:c>
    </x:row>
    <x:row r="44">
      <x:c r="A44" t="str">
        <x:v>v8 inventory</x:v>
      </x:c>
      <x:c r="B44" t="str">
        <x:v>Voodoo Juice</x:v>
      </x:c>
      <x:c r="C44" t="str">
        <x:v>Tarantula</x:v>
      </x:c>
      <x:c r="D44" t="str">
        <x:v>YES / SELECTED</x:v>
      </x:c>
      <x:c r="E44" t="str">
        <x:v>AN explicitly recommends combining Tarantula with Voodoo; both competitor-base compatible.</x:v>
      </x:c>
      <x:c r="F44" t="str">
        <x:v>AN manufacturer</x:v>
      </x:c>
    </x:row>
    <x:row r="45">
      <x:c r="A45" t="str">
        <x:v>v8 inventory</x:v>
      </x:c>
      <x:c r="B45" t="str">
        <x:v>Athena Balance</x:v>
      </x:c>
      <x:c r="C45" t="str">
        <x:v>Rhino Skin/Hesilicio</x:v>
      </x:c>
      <x:c r="D45" t="str">
        <x:v>ONE SI PATH</x:v>
      </x:c>
      <x:c r="E45" t="str">
        <x:v>Athena is owned/preferred; alternatives not purchased.</x:v>
      </x:c>
      <x:c r="F45" t="str">
        <x:v>Athena/HESI/AN manufacturer</x:v>
      </x:c>
    </x:row>
    <x:row r="46">
      <x:c r="A46" t="str">
        <x:v>v8 inventory</x:v>
      </x:c>
      <x:c r="B46" t="str">
        <x:v>Sensi CalMag Xtra</x:v>
      </x:c>
      <x:c r="C46" t="str">
        <x:v>automatic calendar dose</x:v>
      </x:c>
      <x:c r="D46" t="str">
        <x:v>NO</x:v>
      </x:c>
      <x:c r="E46" t="str">
        <x:v>Inventory availability does not establish Ca/Mg need.</x:v>
      </x:c>
      <x:c r="F46" t="str">
        <x:v>AN + water gate</x:v>
      </x:c>
    </x:row>
    <x:row r="47">
      <x:c r="A47" t="str">
        <x:v>v8 inventory</x:v>
      </x:c>
      <x:c r="B47" t="str">
        <x:v>HESI core</x:v>
      </x:c>
      <x:c r="C47" t="str">
        <x:v>AN full Grand Master purchases</x:v>
      </x:c>
      <x:c r="D47" t="str">
        <x:v>NO</x:v>
      </x:c>
      <x:c r="E47" t="str">
        <x:v>Do not buy products merely to fill the GM chart; current selected complement set is sufficient for the experiment.</x:v>
      </x:c>
      <x:c r="F47" t="str">
        <x:v>UKD v8</x:v>
      </x:c>
    </x:row>
  </x:sheetData>
  <x:conditionalFormatting sqref="B2:B15">
    <x:cfRule type="expression" dxfId="23" priority="1">
      <x:formula>ISNUMBER(SEARCH("✖",B2))</x:formula>
    </x:cfRule>
    <x:cfRule type="expression" dxfId="24" priority="2">
      <x:formula>ISNUMBER(SEARCH("🧪",B2))</x:formula>
    </x:cfRule>
    <x:cfRule type="expression" dxfId="25" priority="3">
      <x:formula>ISNUMBER(SEARCH("R",B2))</x:formula>
    </x:cfRule>
  </x:conditionalFormatting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48" hidden="0" customWidth="1"/>
    <x:col min="3" max="3" width="70" hidden="0" customWidth="1"/>
    <x:col min="4" max="4" width="56" hidden="0" customWidth="1"/>
    <x:col min="5" max="5" width="18" hidden="0" customWidth="1"/>
    <x:col min="6" max="6" width="72" hidden="0" customWidth="1"/>
  </x:cols>
  <x:sheetData>
    <x:row r="1">
      <x:c r="A1" s="14" t="str">
        <x:v>Thema</x:v>
      </x:c>
      <x:c r="B1" s="14" t="str">
        <x:v>Herstellerposition</x:v>
      </x:c>
      <x:c r="C1" s="14" t="str">
        <x:v>Community-/Praxisberichte (nicht professionelle Primärdaten)</x:v>
      </x:c>
      <x:c r="D1" s="14" t="str">
        <x:v>Bewertung für UKD</x:v>
      </x:c>
      <x:c r="E1" s="14" t="str">
        <x:v>Evidenz</x:v>
      </x:c>
      <x:c r="F1" s="14" t="str">
        <x:v>Quelle</x:v>
      </x:c>
    </x:row>
    <x:row r="2">
      <x:c r="A2" s="1154" t="str">
        <x:v>HESI Coco Dosis</x:v>
      </x:c>
      <x:c r="B2" s="1204" t="str">
        <x:v>5 ml/L bei jedem Gießen laut Hersteller</x:v>
      </x:c>
      <x:c r="C2" s="1204" t="str">
        <x:v>Einzelne/kleine Grower.ch-Stichprobe berichtet häufig niedrigeren Einstieg und gute Performance, aber auch abweichende Erfahrungen.</x:v>
      </x:c>
      <x:c r="D2" s="1204" t="str">
        <x:v>Herstellerdosis und UKD-Plan klar trennen; Pflanze/EC/Wasserchemie steuern.</x:v>
      </x:c>
      <x:c r="E2" s="1204" t="str">
        <x:v>C / qualitative Community</x:v>
      </x:c>
      <x:c r="F2" s="1205" t="str">
        <x:v>Grower.ch Threads</x:v>
      </x:c>
    </x:row>
    <x:row r="3">
      <x:c r="A3" s="1156" t="str">
        <x:v>AN pH Perfect Basis allein</x:v>
      </x:c>
      <x:c r="B3" s="201" t="str">
        <x:v>Hersteller bewirbt automatische pH-Stabilisierung im abgestimmten System</x:v>
      </x:c>
      <x:c r="C3" s="201" t="str">
        <x:v>Communityberichte reichen von stabil bis deutlicher Drift, besonders bei RO/Reservoir/Additiven.</x:v>
      </x:c>
      <x:c r="D3" s="201" t="str">
        <x:v>Trotz pH Perfect dokumentieren; Community ist kein Wirksamkeitsnachweis.</x:v>
      </x:c>
      <x:c r="E3" s="201" t="str">
        <x:v>C / qualitative Community</x:v>
      </x:c>
      <x:c r="F3" s="1193" t="str">
        <x:v>Grower.ch Threads</x:v>
      </x:c>
    </x:row>
    <x:row r="4">
      <x:c r="A4" s="1156" t="str">
        <x:v>AN Full Stack</x:v>
      </x:c>
      <x:c r="B4" s="201" t="str">
        <x:v>Herstellerprodukte sind systemisch kombinierbar</x:v>
      </x:c>
      <x:c r="C4" s="201" t="str">
        <x:v>Ein dokumentierter Fall berichtet starken pH-Abfall mit mehreren Additiven; andere Nutzer berichten Erfolg.</x:v>
      </x:c>
      <x:c r="D4" s="201" t="str">
        <x:v>Kompatibel ≠ optimal; Vollstack nicht aus Einzelbericht positiv/negativ verallgemeinern.</x:v>
      </x:c>
      <x:c r="E4" s="201" t="str">
        <x:v>C</x:v>
      </x:c>
      <x:c r="F4" s="1193" t="str">
        <x:v>Grower.ch Einzelthread</x:v>
      </x:c>
    </x:row>
    <x:row r="5">
      <x:c r="A5" s="1156" t="str">
        <x:v>AN Additive im Reservoir</x:v>
      </x:c>
      <x:c r="B5" s="201" t="str">
        <x:v>mehrere Produkte für hydro/drip beworben</x:v>
      </x:c>
      <x:c r="C5" s="201" t="str">
        <x:v>Rollitup-Einzelfall berichtet Schleim bei komplexer Additivlösung.</x:v>
      </x:c>
      <x:c r="D5" s="201" t="str">
        <x:v>Für UKD als Warnsignal, nicht als allgemeiner Kausalbeweis behandeln.</x:v>
      </x:c>
      <x:c r="E5" s="201" t="str">
        <x:v>C</x:v>
      </x:c>
      <x:c r="F5" s="1193" t="str">
        <x:v>Rollitup Einzelthread</x:v>
      </x:c>
    </x:row>
    <x:row r="6">
      <x:c r="A6" s="1156" t="str">
        <x:v>AN Produktzufriedenheit</x:v>
      </x:c>
      <x:c r="B6" s="201" t="str">
        <x:v>Hersteller-Marketing positiv</x:v>
      </x:c>
      <x:c r="C6" s="201" t="str">
        <x:v>GrowDiaries zeigt hohe selbstberichtete Ratings und breite Nutzung.</x:v>
      </x:c>
      <x:c r="D6" s="201" t="str">
        <x:v>Deskriptiv/selektionsverzerrt; kein kontrollierter Produktvergleich.</x:v>
      </x:c>
      <x:c r="E6" s="201" t="str">
        <x:v>C deskriptiv</x:v>
      </x:c>
      <x:c r="F6" s="1193" t="str">
        <x:v>GrowDiaries</x:v>
      </x:c>
    </x:row>
    <x:row r="7">
      <x:c r="A7" s="1156" t="str">
        <x:v>HESI+AN Hybrid</x:v>
      </x:c>
      <x:c r="B7" s="201" t="str">
        <x:v>AN erlaubt viele Additive mit Konkurrenzbasen, pH Perfect-Garantie kann entfallen</x:v>
      </x:c>
      <x:c r="C7" s="201" t="str">
        <x:v>Community reduziert Mischsysteme häufig, aber ohne standardisierte Dosis.</x:v>
      </x:c>
      <x:c r="D7" s="201" t="str">
        <x:v>Keine validierte universelle Hybrid-Dosis; jeden Zusatz isoliert pilotieren.</x:v>
      </x:c>
      <x:c r="E7" s="201" t="str">
        <x:v>C</x:v>
      </x:c>
      <x:c r="F7" s="1193" t="str">
        <x:v>Communityfragen</x:v>
      </x:c>
    </x:row>
    <x:row r="8">
      <x:c r="A8" s="1156" t="str">
        <x:v>pH Perfect + Fremdprodukte</x:v>
      </x:c>
      <x:c r="B8" s="201" t="str">
        <x:v>AN: pH-Perfect-Wurzelzonen-pH bei Fremdprodukten nicht garantiert</x:v>
      </x:c>
      <x:c r="C8" s="201" t="str">
        <x:v>Praxis ist variabel.</x:v>
      </x:c>
      <x:c r="D8" s="201" t="str">
        <x:v>HESI+AN Hybrid = aktives pH-Monitoring.</x:v>
      </x:c>
      <x:c r="E8" s="201" t="str">
        <x:v>A Hersteller + C Praxis</x:v>
      </x:c>
      <x:c r="F8" s="1193" t="str">
        <x:v>AN pH FAQ</x:v>
      </x:c>
    </x:row>
    <x:row r="9">
      <x:c r="A9" s="1158" t="str">
        <x:v>PK-Booster-Kaskade</x:v>
      </x:c>
      <x:c r="B9" s="1194" t="str">
        <x:v>AN sieht phasenspezifische Produkte vor</x:v>
      </x:c>
      <x:c r="C9" s="1194" t="str">
        <x:v>Community nutzt Sequenzen; Primärliteratur stützt keinen pauschalen Vorteil von P/EC-Überversorgung.</x:v>
      </x:c>
      <x:c r="D9" s="1194" t="str">
        <x:v>Full-AN-Sequenz ≠ Freibrief für zusätzlichen HESI-PK-Stack.</x:v>
      </x:c>
      <x:c r="E9" s="1194" t="str">
        <x:v>A Primärliteratur + C Praxis</x:v>
      </x:c>
      <x:c r="F9" s="1195" t="str">
        <x:v>AN + Frontiers 2025</x:v>
      </x:c>
    </x:row>
    <x:row r="11">
      <x:c r="A11" s="206" t="str">
        <x:v>Thema</x:v>
      </x:c>
      <x:c r="B11" s="206" t="str">
        <x:v>Herstellerposition</x:v>
      </x:c>
      <x:c r="C11" s="206" t="str">
        <x:v>Praxisbefund</x:v>
      </x:c>
      <x:c r="D11" s="206" t="str">
        <x:v>UKD Konsequenz</x:v>
      </x:c>
      <x:c r="E11" s="206" t="str">
        <x:v>Evidenz</x:v>
      </x:c>
      <x:c r="F11" s="206" t="str">
        <x:v>Quelle</x:v>
      </x:c>
    </x:row>
    <x:row r="12">
      <x:c r="A12" s="1154" t="str">
        <x:v>Athena Balance</x:v>
      </x:c>
      <x:c r="B12" s="1204" t="str">
        <x:v>vor Dünger; pH anheben/puffern, besonders bei RO/weichem Wasser</x:v>
      </x:c>
      <x:c r="C12" s="1204" t="str">
        <x:v>keine belastbare Cross-brand-HESI-Vergleichsstudie gefunden</x:v>
      </x:c>
      <x:c r="D12" s="1204" t="str">
        <x:v>bedarfsabhängiges Water-Conditioning; Testbatch dokumentieren</x:v>
      </x:c>
      <x:c r="E12" s="1204" t="str">
        <x:v>A Hersteller + Unsicherheit</x:v>
      </x:c>
      <x:c r="F12" s="1205" t="str">
        <x:v>Athena</x:v>
      </x:c>
    </x:row>
    <x:row r="13">
      <x:c r="A13" s="1156" t="str">
        <x:v>Grand Master Vollstack</x:v>
      </x:c>
      <x:c r="B13" s="201" t="str">
        <x:v>klassisches Händler-Level kumuliert 13 Additive</x:v>
      </x:c>
      <x:c r="C13" s="201" t="str">
        <x:v>Community berichtet teils reduzierte Dosierungen/hohe EC; keine standardisierte Evidenzbasis</x:v>
      </x:c>
      <x:c r="D13" s="201" t="str">
        <x:v>keine validierte pauschale 25–50%-Regel. Hybrid-Einstieg ist explorativ und muss datenbasiert bleiben.</x:v>
      </x:c>
      <x:c r="E13" s="201" t="str">
        <x:v>C + UKD-Inferenz</x:v>
      </x:c>
      <x:c r="F13" s="1193" t="str">
        <x:v>Rollitup/Grower-Communities</x:v>
      </x:c>
    </x:row>
    <x:row r="14">
      <x:c r="A14" s="1156" t="str">
        <x:v>Grand Master auf Autos</x:v>
      </x:c>
      <x:c r="B14" s="201" t="str">
        <x:v>Herstellercharts sind phasenbezogen, nicht spezifisch für diese UKD-Auto</x:v>
      </x:c>
      <x:c r="C14" s="201" t="str">
        <x:v>Community bevorzugt häufig konservative, triggerbasierte Anpassungen</x:v>
      </x:c>
      <x:c r="D14" s="201" t="str">
        <x:v>Preflower/Budlets und Messwerte statt starrer Kalenderübertragung.</x:v>
      </x:c>
      <x:c r="E14" s="201" t="str">
        <x:v>C</x:v>
      </x:c>
      <x:c r="F14" s="1193" t="str">
        <x:v>GrowDiaries Community</x:v>
      </x:c>
    </x:row>
    <x:row r="15">
      <x:c r="A15" s="1156" t="str">
        <x:v>Rhino Skin + Balance</x:v>
      </x:c>
      <x:c r="B15" s="201" t="str">
        <x:v>beide liefern Kaliumsilikat/Siliziumfunktion</x:v>
      </x:c>
      <x:c r="C15" s="201" t="str">
        <x:v>keine kontrollierte Evidenz für Standardduplikation</x:v>
      </x:c>
      <x:c r="D15" s="201" t="str">
        <x:v>Rhino Skin im Balance-Reference-Stack aus; A/B nur bewusst.</x:v>
      </x:c>
      <x:c r="E15" s="201" t="str">
        <x:v>A Hersteller + Inferenz</x:v>
      </x:c>
      <x:c r="F15" s="1193" t="str">
        <x:v>AN + Athena</x:v>
      </x:c>
    </x:row>
    <x:row r="16">
      <x:c r="A16" s="1158" t="str">
        <x:v>Tasty Terpenes</x:v>
      </x:c>
      <x:c r="B16" s="1194" t="str">
        <x:v>AN führt Tasty Terpenes als aktuelles Produkt; ältere Nirvana-Bezüge müssen produktspezifisch verifiziert werden</x:v>
      </x:c>
      <x:c r="C16" s="1194" t="str">
        <x:v>Legacy-Erfahrungsberichte können nur mit identischer Formulierung übertragen werden</x:v>
      </x:c>
      <x:c r="D16" s="1194" t="str">
        <x:v>keine pauschale 1:1-Historienaussage ohne aktuelle Herstellerbestätigung.</x:v>
      </x:c>
      <x:c r="E16" s="1194" t="str">
        <x:v>A/C</x:v>
      </x:c>
      <x:c r="F16" s="1195" t="str">
        <x:v>AN</x:v>
      </x:c>
    </x:row>
    <x:row r="17">
      <x:c r="A17"/>
      <x:c r="B17"/>
      <x:c r="C17"/>
      <x:c r="D17"/>
      <x:c r="E17"/>
      <x:c r="F17"/>
    </x:row>
    <x:row r="18">
      <x:c r="A18" s="1725" t="str">
        <x:v>Deep Research: GACP/GMP = Pflicht für privaten Homegrow</x:v>
      </x:c>
      <x:c r="B18" s="60" t="str">
        <x:v>Externes Research-Synthesis enthielt Scope-Vermischung zwischen Medizinal-/Gewerbeanbau und privatem Eigenanbau.</x:v>
      </x:c>
      <x:c r="C18" s="60" t="str">
        <x:v>REJECTED für UKD-Privatsetup.</x:v>
      </x:c>
      <x:c r="D18" s="60" t="str">
        <x:v>KCanG §§3,9,10 sind die operative Rechtsbasis; keine pauschale Lizenzpflicht für erlaubten privaten Eigenanbau.</x:v>
      </x:c>
      <x:c r="E18" s="60" t="str">
        <x:v>A Gesetz</x:v>
      </x:c>
      <x:c r="F18" s="60" t="str">
        <x:v>https://www.gesetze-im-internet.de/kcang/</x:v>
      </x:c>
    </x:row>
    <x:row r="19">
      <x:c r="A19" s="1725" t="str">
        <x:v>Deep Research: feste RH-Optima 40–60% Veg / 40–50% Blüte</x:v>
      </x:c>
      <x:c r="B19" s="60" t="str">
        <x:v>2025 Studie zeigt Schaden bei extrem hoher RH 78–98% vs 37–58%, bezeichnet Low-RH-Gruppe aber nicht als Optimum.</x:v>
      </x:c>
      <x:c r="C19" s="60" t="str">
        <x:v>REJECTED als universelle Zielrange.</x:v>
      </x:c>
      <x:c r="D19" s="60" t="str">
        <x:v>UKD-Klima als Arbeitskurve + VPD/Schimmel-/Kondensationskontrolle; keine Scheingenauigkeit.</x:v>
      </x:c>
      <x:c r="E19" s="60" t="str">
        <x:v>A Primärliteratur</x:v>
      </x:c>
      <x:c r="F19" s="60" t="str">
        <x:v>https://www.frontiersin.org/journals/plant-science/articles/10.3389/fpls.2025.1678142/full</x:v>
      </x:c>
    </x:row>
    <x:row r="20">
      <x:c r="A20" s="1725" t="str">
        <x:v>Deep Research: 212–283 mg N/L als Cannabis-Optimum</x:v>
      </x:c>
      <x:c r="B20" s="60" t="str">
        <x:v>Caplan 2017 untersuchte EIN organisches Flüssigdüngersystem in zwei coir-basierten organischen Substraten und eine Sorte.</x:v>
      </x:c>
      <x:c r="C20" s="60" t="str">
        <x:v>REJECTED als direkter HESI-/Mineral-Coco-Sollwert.</x:v>
      </x:c>
      <x:c r="D20" s="60" t="str">
        <x:v>Nur kontextspezifische Literatur; UKD steuert über Herstellerlabel, EC, Wasserchemie und Pflanzenreaktion.</x:v>
      </x:c>
      <x:c r="E20" s="60" t="str">
        <x:v>A Primärstudie, eingeschränkte Übertragbarkeit</x:v>
      </x:c>
      <x:c r="F20" s="60" t="str">
        <x:v>https://doi.org/10.21273/HORTSCI12401-17</x:v>
      </x:c>
    </x:row>
    <x:row r="21">
      <x:c r="A21" s="1725" t="str">
        <x:v>Deep Research: 12/12-Blüte als Standard für dieses Autoflower-Setup</x:v>
      </x:c>
      <x:c r="B21" s="60" t="str">
        <x:v>Autoflowering Cannabis ist photoperiod-insensitiv; photoperiodische 12h-Studien sind nicht direkt übertragbar.</x:v>
      </x:c>
      <x:c r="C21" s="60" t="str">
        <x:v>REJECTED für operative Auto-Steuerung.</x:v>
      </x:c>
      <x:c r="D21" s="60" t="str">
        <x:v>18 h bleibt UKD-Arbeitsannahme, nicht bewiesenes Optimum.</x:v>
      </x:c>
      <x:c r="E21" s="60" t="str">
        <x:v>A Primärliteratur</x:v>
      </x:c>
      <x:c r="F21" s="60" t="str">
        <x:v>https://pubmed.ncbi.nlm.nih.gov/42168298/</x:v>
      </x:c>
    </x:row>
    <x:row r="22">
      <x:c r="A22" t="str">
        <x:v>v7</x:v>
      </x:c>
      <x:c r="B22" t="str">
        <x:v>Cross-brand compatibility</x:v>
      </x:c>
      <x:c r="C22" t="str">
        <x:v>Advanced Nutrients product pages explicitly state compatibility with competitors' base nutrients/supplements for many selected additives.</x:v>
      </x:c>
      <x:c r="D22" t="str">
        <x:v>Manufacturer compatibility supports technical mix eligibility, not efficacy or optimum dose in HESI.</x:v>
      </x:c>
      <x:c r="E22" t="str">
        <x:v>A-MFR</x:v>
      </x:c>
      <x:c r="F22" t="str">
        <x:v>Use label dose only as manufacturer reference; UKD module gates remain.</x:v>
      </x:c>
      <x:c r="G22" t="str">
        <x:v>https://www.advancednutrients.com/de/products/</x:v>
      </x:c>
      <x:c r="H22" t="str">
        <x:v>2026-08-09</x:v>
      </x:c>
    </x:row>
    <x:row r="23">
      <x:c r="A23" t="str">
        <x:v>v7</x:v>
      </x:c>
      <x:c r="B23" t="str">
        <x:v>HESI support products</x:v>
      </x:c>
      <x:c r="C23" t="str">
        <x:v>HESI states Root Complex can be combined with fertilizers/boosters; PowerZyme is continuous-use; SuperVit at every watering/spraying.</x:v>
      </x:c>
      <x:c r="D23" t="str">
        <x:v>Supports making these HESI support products visible in the core plan.</x:v>
      </x:c>
      <x:c r="E23" t="str">
        <x:v>A-MFR</x:v>
      </x:c>
      <x:c r="F23" t="str">
        <x:v>Daily visibility corrected.</x:v>
      </x:c>
      <x:c r="G23" t="str">
        <x:v>https://hesi.nl/de/StarterBox</x:v>
      </x:c>
      <x:c r="H23" t="str">
        <x:v>2026-08-09</x:v>
      </x:c>
    </x:row>
    <x:row r="24">
      <x:c r="A24" t="str">
        <x:v>v7</x:v>
      </x:c>
      <x:c r="B24" t="str">
        <x:v>Functional overlap</x:v>
      </x:c>
      <x:c r="C24" t="str">
        <x:v>Bud Candy↔Boost, Sensizym↔PowerZyme, Rhino↔Si path, AN PK↔HESI PK create redundant functional pathways.</x:v>
      </x:c>
      <x:c r="D24" t="str">
        <x:v>Avoid stack inflation and attribution problems.</x:v>
      </x:c>
      <x:c r="E24" t="str">
        <x:v>UKD inference from A-MFR</x:v>
      </x:c>
      <x:c r="F24" t="str">
        <x:v>Treat as mutually exclusive paths.</x:v>
      </x:c>
      <x:c r="G24" t="str">
        <x:v>https://www.advancednutrients.com/de/products/</x:v>
      </x:c>
      <x:c r="H24" t="str">
        <x:v>2026-08-09</x:v>
      </x:c>
    </x:row>
    <x:row r="25">
      <x:c r="A25" t="str">
        <x:v>v7</x:v>
      </x:c>
      <x:c r="B25" t="str">
        <x:v>B-52 incremental value</x:v>
      </x:c>
      <x:c r="C25" t="str">
        <x:v>B-52 includes B vitamins, kelp and humic acid; HESI Root/SuperVit already supply vitamins/biostimulant components.</x:v>
      </x:c>
      <x:c r="D25" t="str">
        <x:v>Incremental value in this exact hybrid is not established.</x:v>
      </x:c>
      <x:c r="E25" t="str">
        <x:v>UKD inference from A-MFR</x:v>
      </x:c>
      <x:c r="F25" t="str">
        <x:v>A/B only, default OFF.</x:v>
      </x:c>
      <x:c r="G25" t="str">
        <x:v>https://www.advancednutrients.com/de/products/b-52/</x:v>
      </x:c>
      <x:c r="H25" t="str">
        <x:v>2026-08-09</x:v>
      </x:c>
    </x:row>
    <x:row r="26">
      <x:c r="A26" t="str">
        <x:v>v7</x:v>
      </x:c>
      <x:c r="B26" t="str">
        <x:v>Finish conflict</x:v>
      </x:c>
      <x:c r="C26" t="str">
        <x:v>AN Flawless Finish has a flush label; HESI PK label says pure water final week. Independent flushing benefits remain uncertain/cultivar-dependent.</x:v>
      </x:c>
      <x:c r="D26" t="str">
        <x:v>No single universal finish claim.</x:v>
      </x:c>
      <x:c r="E26" t="str">
        <x:v>A-MFR + primary literature</x:v>
      </x:c>
      <x:c r="F26" t="str">
        <x:v>Keep Flawless Finish non-reference.</x:v>
      </x:c>
      <x:c r="G26" t="str">
        <x:v>https://www.advancednutrients.com/de/products/flawless-finish/</x:v>
      </x:c>
      <x:c r="H26" t="str">
        <x:v>2026-08-09</x:v>
      </x:c>
    </x:row>
    <x:row r="27">
      <x:c r="A27" t="str">
        <x:v>v7</x:v>
      </x:c>
      <x:c r="B27" t="str">
        <x:v>Community reports</x:v>
      </x:c>
      <x:c r="C27" t="str">
        <x:v>Hybrid HESI+AN use is reported by growers, but typical reports change multiple variables at once.</x:v>
      </x:c>
      <x:c r="D27" t="str">
        <x:v>Useful feasibility/failure-mode signal only; not causal evidence.</x:v>
      </x:c>
      <x:c r="E27" t="str">
        <x:v>C</x:v>
      </x:c>
      <x:c r="F27" t="str">
        <x:v>Do not derive dose/benefit claims from anecdotes.</x:v>
      </x:c>
      <x:c r="G27" t="str">
        <x:v>community evidence ledger</x:v>
      </x:c>
      <x:c r="H27" t="str">
        <x:v>2026-08-09</x:v>
      </x:c>
    </x:row>
    <x:row r="28">
      <x:c r="A28" t="str">
        <x:v>v8</x:v>
      </x:c>
      <x:c r="B28" t="str">
        <x:v>Inventory-driven selection</x:v>
      </x:c>
      <x:c r="C28" t="str">
        <x:v>User-owned HESI core, Athena Balance, Voodoo, Tarantula, Sensi CalMag Xtra, Tasty Terpenes and small CarboLoad remainder are treated as setup facts.</x:v>
      </x:c>
      <x:c r="D28" t="str">
        <x:v>Stock availability may select among equivalent/optional paths but never creates scientific efficacy.</x:v>
      </x:c>
      <x:c r="E28" t="str">
        <x:v>Setup fact</x:v>
      </x:c>
      <x:c r="F28" t="str">
        <x:v>Prefer owned compatible path when evidence/safety state is equal.</x:v>
      </x:c>
      <x:c r="G28" t="str">
        <x:v>user inventory + primary manufacturer</x:v>
      </x:c>
      <x:c r="H28" t="str">
        <x:v>2026-08-10</x:v>
      </x:c>
    </x:row>
    <x:row r="29">
      <x:c r="A29" t="str">
        <x:v>v8</x:v>
      </x:c>
      <x:c r="B29" t="str">
        <x:v>Voodoo + Tarantula</x:v>
      </x:c>
      <x:c r="C29" t="str">
        <x:v>AN explicitly states Tarantula is compatible with competitors and recommends combining it with Voodoo Juice.</x:v>
      </x:c>
      <x:c r="D29" t="str">
        <x:v>Supports selected two-product microbial module.</x:v>
      </x:c>
      <x:c r="E29" t="str">
        <x:v>A-MFR</x:v>
      </x:c>
      <x:c r="F29" t="str">
        <x:v>Use conservative defined fresh windows; incremental benefit vs Voodoo alone remains manufacturer claim.</x:v>
      </x:c>
      <x:c r="G29" t="str">
        <x:v>https://www.advancednutrients.com/de/products/tarantula/</x:v>
      </x:c>
      <x:c r="H29" t="str">
        <x:v>2026-08-10</x:v>
      </x:c>
    </x:row>
    <x:row r="30">
      <x:c r="A30" t="str">
        <x:v>v8</x:v>
      </x:c>
      <x:c r="B30" t="str">
        <x:v>HESI Boost over CarboLoad</x:v>
      </x:c>
      <x:c r="C30" t="str">
        <x:v>HESI Boost contains natural sugars/extracts and is designed for regular bloom use; CarboLoad is a carbohydrate/microbe-feed product.</x:v>
      </x:c>
      <x:c r="D30" t="str">
        <x:v>Functional redundancy makes CarboLoad purchase unnecessary for reference preset.</x:v>
      </x:c>
      <x:c r="E30" t="str">
        <x:v>A-MFR + inference</x:v>
      </x:c>
      <x:c r="F30" t="str">
        <x:v>Do not repurchase now; future A/B only.</x:v>
      </x:c>
      <x:c r="G30" t="str">
        <x:v>https://hesi.nl/de/Boost | https://www.advancednutrients.com/de/secret-menu/carboload/</x:v>
      </x:c>
      <x:c r="H30" t="str">
        <x:v>2026-08-10</x:v>
      </x:c>
    </x:row>
    <x:row r="31">
      <x:c r="A31" t="str">
        <x:v>v8</x:v>
      </x:c>
      <x:c r="B31" t="str">
        <x:v>Athena Balance preference</x:v>
      </x:c>
      <x:c r="C31" t="str">
        <x:v>Athena Balance is owned and selected as water conditioner/Si path; manufacturer gives no universal rate and emphasizes RO/buffering use.</x:v>
      </x:c>
      <x:c r="D31" t="str">
        <x:v>Availability selects the Si product, not the dose.</x:v>
      </x:c>
      <x:c r="E31" t="str">
        <x:v>A-MFR</x:v>
      </x:c>
      <x:c r="F31" t="str">
        <x:v>Keep dose 0 until baseline/water/pH gate supports titration.</x:v>
      </x:c>
      <x:c r="G31" t="str">
        <x:v>https://store.athenaag.com/balance/</x:v>
      </x:c>
      <x:c r="H31" t="str">
        <x:v>2026-08-10</x:v>
      </x:c>
    </x:row>
    <x:row r="32">
      <x:c r="A32" t="str">
        <x:v>v8</x:v>
      </x:c>
      <x:c r="B32" t="str">
        <x:v>Sensi CalMag Xtra</x:v>
      </x:c>
      <x:c r="C32" t="str">
        <x:v>Owned product is cross-brand compatible; manufacturer uses 2 ml/L to address deficiency or regular program.</x:v>
      </x:c>
      <x:c r="D32" t="str">
        <x:v>UKD does not auto-apply label rate merely because bottle exists.</x:v>
      </x:c>
      <x:c r="E32" t="str">
        <x:v>A-MFR</x:v>
      </x:c>
      <x:c r="F32" t="str">
        <x:v>Dose = explicit CalMag Plan; default 0 until need established.</x:v>
      </x:c>
      <x:c r="G32" t="str">
        <x:v>https://www.advancednutrients.com/de/products/sensi-cal-mag-xtra/</x:v>
      </x:c>
      <x:c r="H32" t="str">
        <x:v>2026-08-10</x:v>
      </x:c>
    </x:row>
    <x:row r="33">
      <x:c r="A33" t="str">
        <x:v>v8</x:v>
      </x:c>
      <x:c r="B33" t="str">
        <x:v>Tasty Terpenes</x:v>
      </x:c>
      <x:c r="C33" t="str">
        <x:v>Owned; current manufacturer states it was formerly Nirvana and is cross-brand compatible.</x:v>
      </x:c>
      <x:c r="D33" t="str">
        <x:v>Technical compatibility does not resolve incremental value/overlap with HESI Boost+PK.</x:v>
      </x:c>
      <x:c r="E33" t="str">
        <x:v>A-MFR</x:v>
      </x:c>
      <x:c r="F33" t="str">
        <x:v>OFF by default; future A/B only.</x:v>
      </x:c>
      <x:c r="G33" t="str">
        <x:v>https://www.advancednutrients.com/de/products/tasty-terpenes/</x:v>
      </x:c>
      <x:c r="H33" t="str">
        <x:v>2026-08-10</x:v>
      </x:c>
    </x:row>
  </x:sheetData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8" hidden="0" customWidth="1"/>
    <x:col min="3" max="3" width="48" hidden="0" customWidth="1"/>
    <x:col min="4" max="4" width="48" hidden="0" customWidth="1"/>
    <x:col min="5" max="5" width="48" hidden="0" customWidth="1"/>
    <x:col min="6" max="6" width="60" hidden="0" customWidth="1"/>
  </x:cols>
  <x:sheetData>
    <x:row r="1">
      <x:c r="A1" s="14" t="str">
        <x:v>Thema</x:v>
      </x:c>
      <x:c r="B1" s="14" t="str">
        <x:v>Stand 2026</x:v>
      </x:c>
      <x:c r="C1" s="14" t="str">
        <x:v>UKD Regel</x:v>
      </x:c>
      <x:c r="D1" s="14" t="str">
        <x:v>Trigger</x:v>
      </x:c>
      <x:c r="E1" s="14" t="str">
        <x:v>Aktion</x:v>
      </x:c>
      <x:c r="F1" s="14" t="str">
        <x:v>Quelle</x:v>
      </x:c>
    </x:row>
    <x:row r="2">
      <x:c r="A2" s="1154" t="str">
        <x:v>Privater Eigenanbau</x:v>
      </x:c>
      <x:c r="B2" s="1204" t="str">
        <x:v>Für Volljährige am Wohnsitz/gewöhnlichen Aufenthalt bis zu drei Cannabispflanzen gleichzeitig erlaubt; keine pauschale vorherige Anbaulizenz nach KCanG §9 für diesen privaten Rahmen.</x:v>
      </x:c>
      <x:c r="C2" s="1204" t="str">
        <x:v>Reference = 1 Pflanze</x:v>
      </x:c>
      <x:c r="D2" s="1204" t="str">
        <x:v>vor Keimung/neuem Run</x:v>
      </x:c>
      <x:c r="E2" s="1204" t="str">
        <x:v>Volljährigkeit, Ort und Pflanzenzahl prüfen/protokollieren</x:v>
      </x:c>
      <x:c r="F2" s="1205" t="str">
        <x:v>KCanG §§3,9</x:v>
      </x:c>
    </x:row>
    <x:row r="3">
      <x:c r="A3" s="1156" t="str">
        <x:v>Pflanzenzahl</x:v>
      </x:c>
      <x:c r="B3" s="201" t="str">
        <x:v>max. 3 lebende Cannabispflanzen gleichzeitig je erwachsener Person am Wohnsitz/gewöhnlichen Aufenthalt</x:v>
      </x:c>
      <x:c r="C3" s="201" t="str">
        <x:v>Reference = 1 Pflanze</x:v>
      </x:c>
      <x:c r="D3" s="201" t="str">
        <x:v>vor Keimung/neuem Run</x:v>
      </x:c>
      <x:c r="E3" s="201" t="str">
        <x:v>Pflanzenzahl protokollieren</x:v>
      </x:c>
      <x:c r="F3" s="1193" t="str">
        <x:v>KCanG §§3,9</x:v>
      </x:c>
    </x:row>
    <x:row r="4">
      <x:c r="A4" s="1156" t="str">
        <x:v>Besitz am Wohnsitz</x:v>
      </x:c>
      <x:c r="B4" s="201" t="str">
        <x:v>bis 50 g Cannabis bezogen auf Trockengewicht</x:v>
      </x:c>
      <x:c r="C4" s="201" t="str">
        <x:v>Dry-weight-/Bestandslog</x:v>
      </x:c>
      <x:c r="D4" s="201" t="str">
        <x:v>nach Trocknung</x:v>
      </x:c>
      <x:c r="E4" s="201" t="str">
        <x:v>geltende Besitzgrenze prüfen und einhalten</x:v>
      </x:c>
      <x:c r="F4" s="1193" t="str">
        <x:v>KCanG §3</x:v>
      </x:c>
    </x:row>
    <x:row r="5">
      <x:c r="A5" s="1156" t="str">
        <x:v>Weitergabe</x:v>
      </x:c>
      <x:c r="B5" s="201" t="str">
        <x:v>Cannabis aus privatem Eigenanbau darf nicht an Dritte weitergegeben werden</x:v>
      </x:c>
      <x:c r="C5" s="201" t="str">
        <x:v>keine Weitergabe</x:v>
      </x:c>
      <x:c r="D5" s="201" t="str">
        <x:v>jederzeit</x:v>
      </x:c>
      <x:c r="E5" s="201" t="str">
        <x:v>Zugriff kontrollieren</x:v>
      </x:c>
      <x:c r="F5" s="1193" t="str">
        <x:v>KCanG §9</x:v>
      </x:c>
    </x:row>
    <x:row r="6">
      <x:c r="A6" s="1156" t="str">
        <x:v>Zugriffsschutz</x:v>
      </x:c>
      <x:c r="B6" s="201" t="str">
        <x:v>Cannabis und Vermehrungsmaterial vor Zugriff Dritter, insbesondere Kindern/Jugendlichen schützen</x:v>
      </x:c>
      <x:c r="C6" s="201" t="str">
        <x:v>gesicherter Bereich</x:v>
      </x:c>
      <x:c r="D6" s="201" t="str">
        <x:v>jederzeit</x:v>
      </x:c>
      <x:c r="E6" s="201" t="str">
        <x:v>Access Check</x:v>
      </x:c>
      <x:c r="F6" s="1193" t="str">
        <x:v>KCanG §10</x:v>
      </x:c>
    </x:row>
    <x:row r="7">
      <x:c r="A7" s="1158" t="str">
        <x:v>Elektrik/Wasser</x:v>
      </x:c>
      <x:c r="B7" s="1194" t="str">
        <x:v>RCD/FI-Schutz und trockene, geeignete Elektroinstallation; Wasserpfade und Steckverbindungen räumlich trennen</x:v>
      </x:c>
      <x:c r="C7" s="1194" t="str">
        <x:v>keine Netzteile/Mehrfachsteckdosen im möglichen Leckpfad</x:v>
      </x:c>
      <x:c r="D7" s="1194" t="str">
        <x:v>Leck/Feuchte</x:v>
      </x:c>
      <x:c r="E7" s="1194" t="str">
        <x:v>Strom sicher trennen; Elektroarbeiten fachgerecht ausführen</x:v>
      </x:c>
      <x:c r="F7" s="1195" t="str">
        <x:v>UKD Engineering / VDE-konservativ</x:v>
      </x:c>
    </x:row>
    <x:row r="8">
      <x:c r="A8" s="60" t="str">
        <x:v>Tropf-Blumat Indoor</x:v>
      </x:c>
      <x:c r="B8" s="60" t="str">
        <x:v>Hersteller: Tropf-Blumat für Pflanzen im Außenbereich; FAQ: nicht im Innenbereich verwenden</x:v>
      </x:c>
      <x:c r="C8" s="60" t="str">
        <x:v>NICHT UKD-REFERENCE</x:v>
      </x:c>
      <x:c r="D8" s="60" t="str">
        <x:v>Planung</x:v>
      </x:c>
      <x:c r="E8" s="60" t="str">
        <x:v>manuell oder indoor-freigegebene Automation verwenden</x:v>
      </x:c>
      <x:c r="F8" s="60" t="str">
        <x:v>Blumat offizielle FAQ/Produktseite</x:v>
      </x:c>
    </x:row>
    <x:row r="9">
      <x:c r="A9" s="60" t="str">
        <x:v>Freshness / Rechtsstand</x:v>
      </x:c>
      <x:c r="B9" s="60" t="str">
        <x:v>2026-08-08</x:v>
      </x:c>
      <x:c r="C9" s="60" t="str">
        <x:v>Bei jedem Release gegen amtliche Normfassung prüfen.</x:v>
      </x:c>
      <x:c r="D9" s="60" t="str">
        <x:v>Release Gate</x:v>
      </x:c>
      <x:c r="E9" s="60" t="str">
        <x:v>Wenn geändert: Rechtsmodul blockieren bis Review abgeschlossen.</x:v>
      </x:c>
      <x:c r="F9" s="60" t="str">
        <x:v>https://www.gesetze-im-internet.de/kcang/</x:v>
      </x:c>
    </x:row>
    <x:row r="10">
      <x:c r="A10" s="60" t="str">
        <x:v>Evidenzregel</x:v>
      </x:c>
      <x:c r="B10" s="60" t="str">
        <x:v>Primärquelle schlägt Deep-Research-Synthese / Shop / Community.</x:v>
      </x:c>
      <x:c r="C10" s="60" t="str">
        <x:v>Keine Sekundärquelle darf Rechts- oder Herstellerstatus überschreiben.</x:v>
      </x:c>
      <x:c r="D10" s="60" t="str">
        <x:v>immer</x:v>
      </x:c>
      <x:c r="E10" s="60" t="str">
        <x:v>Konflikt als BLOCK/CONDITIONAL ausweisen, nicht still interpolieren.</x:v>
      </x:c>
      <x:c r="F10" s="60" t="str">
        <x:v>UKD v6 Audit method</x:v>
      </x:c>
    </x:row>
  </x:sheetData>
  <x:pageMargins left="0.7" right="0.7" top="0.75" bottom="0.75" header="0.3" footer="0.3"/>
</x:worksheet>
</file>

<file path=xl/worksheets/sheet2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8" hidden="0" customWidth="1"/>
    <x:col min="3" max="3" width="85" hidden="0" customWidth="1"/>
    <x:col min="4" max="4" width="55" hidden="0" customWidth="1"/>
  </x:cols>
  <x:sheetData>
    <x:row r="1">
      <x:c r="A1" s="790" t="str">
        <x:v>Klasse</x:v>
      </x:c>
      <x:c r="B1" s="790" t="str">
        <x:v>Quelle</x:v>
      </x:c>
      <x:c r="C1" s="790" t="str">
        <x:v>URL</x:v>
      </x:c>
      <x:c r="D1" s="790" t="str">
        <x:v>Verwendung</x:v>
      </x:c>
    </x:row>
    <x:row r="2">
      <x:c r="A2" s="32" t="str">
        <x:v>A Hersteller</x:v>
      </x:c>
      <x:c r="B2" s="62" t="str">
        <x:v>HESI Produktkatalog</x:v>
      </x:c>
      <x:c r="C2" s="62" t="str">
        <x:v>https://hesi.nl/de/PRODUKTE</x:v>
      </x:c>
      <x:c r="D2" s="33" t="str">
        <x:v>aktueller Produktumfang</x:v>
      </x:c>
    </x:row>
    <x:row r="3">
      <x:c r="A3" s="34" t="str">
        <x:v>A Hersteller</x:v>
      </x:c>
      <x:c r="B3" s="63" t="str">
        <x:v>HESI Coco</x:v>
      </x:c>
      <x:c r="C3" s="63" t="str">
        <x:v>https://hesi.nl/de/COCO</x:v>
      </x:c>
      <x:c r="D3" s="35" t="str">
        <x:v>Coco NPK, Ca/Mg, Dosis, pH</x:v>
      </x:c>
    </x:row>
    <x:row r="4">
      <x:c r="A4" s="34" t="str">
        <x:v>A Hersteller</x:v>
      </x:c>
      <x:c r="B4" s="63" t="str">
        <x:v>HESI PK 13/14</x:v>
      </x:c>
      <x:c r="C4" s="63" t="str">
        <x:v>https://hesi.nl/de/PK-13-14</x:v>
      </x:c>
      <x:c r="D4" s="35" t="str">
        <x:v>PK-Dosis; K↔Ca/Mg-Hinweis</x:v>
      </x:c>
    </x:row>
    <x:row r="5">
      <x:c r="A5" s="34" t="str">
        <x:v>A Hersteller</x:v>
      </x:c>
      <x:c r="B5" s="63" t="str">
        <x:v>HESI CalMag</x:v>
      </x:c>
      <x:c r="C5" s="63" t="str">
        <x:v>https://hesi.nl/de/CalMag</x:v>
      </x:c>
      <x:c r="D5" s="35" t="str">
        <x:v>Wasser-EC-Ziel und Zusammensetzung</x:v>
      </x:c>
    </x:row>
    <x:row r="6">
      <x:c r="A6" s="34" t="str">
        <x:v>A Hersteller</x:v>
      </x:c>
      <x:c r="B6" s="63" t="str">
        <x:v>HESI Wurzel Complex</x:v>
      </x:c>
      <x:c r="C6" s="63" t="str">
        <x:v>https://hesi.nl/de/Wurzel-Complex</x:v>
      </x:c>
      <x:c r="D6" s="35" t="str">
        <x:v>Dosis/Kompatibilität</x:v>
      </x:c>
    </x:row>
    <x:row r="7">
      <x:c r="A7" s="34" t="str">
        <x:v>A Hersteller</x:v>
      </x:c>
      <x:c r="B7" s="63" t="str">
        <x:v>HESI PowerZyme</x:v>
      </x:c>
      <x:c r="C7" s="63" t="str">
        <x:v>https://hesi.nl/de/PowerZyme</x:v>
      </x:c>
      <x:c r="D7" s="35" t="str">
        <x:v>Enzyme/Dosis</x:v>
      </x:c>
    </x:row>
    <x:row r="8">
      <x:c r="A8" s="34" t="str">
        <x:v>A Hersteller</x:v>
      </x:c>
      <x:c r="B8" s="63" t="str">
        <x:v>HESI Hesilicio</x:v>
      </x:c>
      <x:c r="C8" s="63" t="str">
        <x:v>https://hesi.nl/de/Hesilicio</x:v>
      </x:c>
      <x:c r="D8" s="35" t="str">
        <x:v>Orthosilicic acid/Dosis</x:v>
      </x:c>
    </x:row>
    <x:row r="9">
      <x:c r="A9" s="34" t="str">
        <x:v>A Hersteller</x:v>
      </x:c>
      <x:c r="B9" s="63" t="str">
        <x:v>Advanced Nutrients All Products</x:v>
      </x:c>
      <x:c r="C9" s="63" t="str">
        <x:v>https://www.advancednutrients.com/products/</x:v>
      </x:c>
      <x:c r="D9" s="35" t="str">
        <x:v>aktueller Produktumfang</x:v>
      </x:c>
    </x:row>
    <x:row r="10">
      <x:c r="A10" s="34" t="str">
        <x:v>A Hersteller</x:v>
      </x:c>
      <x:c r="B10" s="63" t="str">
        <x:v>AN pH Up/Down + FAQ</x:v>
      </x:c>
      <x:c r="C10" s="63" t="str">
        <x:v>https://www.advancednutrients.com/de/secret-menu/ph-up-ph-down/</x:v>
      </x:c>
      <x:c r="D10" s="35" t="str">
        <x:v>pH-Chemie; Cross-brand-Warnung</x:v>
      </x:c>
    </x:row>
    <x:row r="11">
      <x:c r="A11" s="34" t="str">
        <x:v>A Hersteller</x:v>
      </x:c>
      <x:c r="B11" s="63" t="str">
        <x:v>AN pH Perfect Sensi Coco</x:v>
      </x:c>
      <x:c r="C11" s="63" t="str">
        <x:v>https://www.advancednutrients.com/de/products/ph-perfect-sensi-coco-grow-bloom/</x:v>
      </x:c>
      <x:c r="D11" s="35" t="str">
        <x:v>Coco Basis/pH Perfect</x:v>
      </x:c>
    </x:row>
    <x:row r="12">
      <x:c r="A12" s="34" t="str">
        <x:v>A Hersteller</x:v>
      </x:c>
      <x:c r="B12" s="63" t="str">
        <x:v>AN Voodoo Juice</x:v>
      </x:c>
      <x:c r="C12" s="63" t="str">
        <x:v>https://www.advancednutrients.com/de/products/voodoo-juice/</x:v>
      </x:c>
      <x:c r="D12" s="35" t="str">
        <x:v>Mikrobenfenster 2 ml/L</x:v>
      </x:c>
    </x:row>
    <x:row r="13">
      <x:c r="A13" s="34" t="str">
        <x:v>A Hersteller</x:v>
      </x:c>
      <x:c r="B13" s="63" t="str">
        <x:v>AN Piranha</x:v>
      </x:c>
      <x:c r="C13" s="63" t="str">
        <x:v>https://www.advancednutrients.com/de/products/piranha/</x:v>
      </x:c>
      <x:c r="D13" s="35" t="str">
        <x:v>Pilze/Mikrobenfenster</x:v>
      </x:c>
    </x:row>
    <x:row r="14">
      <x:c r="A14" s="34" t="str">
        <x:v>A Hersteller</x:v>
      </x:c>
      <x:c r="B14" s="63" t="str">
        <x:v>AN Tarantula</x:v>
      </x:c>
      <x:c r="C14" s="63" t="str">
        <x:v>https://www.advancednutrients.com/de/products/tarantula/</x:v>
      </x:c>
      <x:c r="D14" s="35" t="str">
        <x:v>Bakterien/Mikrobenfenster</x:v>
      </x:c>
    </x:row>
    <x:row r="15">
      <x:c r="A15" s="34" t="str">
        <x:v>A Hersteller</x:v>
      </x:c>
      <x:c r="B15" s="63" t="str">
        <x:v>AN Big Bud</x:v>
      </x:c>
      <x:c r="C15" s="63" t="str">
        <x:v>https://www.advancednutrients.com/products/big-bud/</x:v>
      </x:c>
      <x:c r="D15" s="35" t="str">
        <x:v>Blüte W2-5 2 ml/L</x:v>
      </x:c>
    </x:row>
    <x:row r="16">
      <x:c r="A16" s="34" t="str">
        <x:v>A Hersteller</x:v>
      </x:c>
      <x:c r="B16" s="63" t="str">
        <x:v>AN Big Bud Coco</x:v>
      </x:c>
      <x:c r="C16" s="63" t="str">
        <x:v>https://www.advancednutrients.com/de/products/big-bud-coco/</x:v>
      </x:c>
      <x:c r="D16" s="35" t="str">
        <x:v>PK + Ca/Mg/Fe</x:v>
      </x:c>
    </x:row>
    <x:row r="17">
      <x:c r="A17" s="34" t="str">
        <x:v>A Hersteller</x:v>
      </x:c>
      <x:c r="B17" s="63" t="str">
        <x:v>AN B-52</x:v>
      </x:c>
      <x:c r="C17" s="63" t="str">
        <x:v>https://www.advancednutrients.com/de/products/b-52/</x:v>
      </x:c>
      <x:c r="D17" s="35" t="str">
        <x:v>Vitamin/Kelp/Humin-Fenster</x:v>
      </x:c>
    </x:row>
    <x:row r="18">
      <x:c r="A18" s="34" t="str">
        <x:v>A Hersteller</x:v>
      </x:c>
      <x:c r="B18" s="63" t="str">
        <x:v>AN Rhino Skin</x:v>
      </x:c>
      <x:c r="C18" s="63" t="str">
        <x:v>https://www.advancednutrients.com/de/products/rhino-skin/</x:v>
      </x:c>
      <x:c r="D18" s="35" t="str">
        <x:v>Kaliumsilikat</x:v>
      </x:c>
    </x:row>
    <x:row r="19">
      <x:c r="A19" s="34" t="str">
        <x:v>A Hersteller</x:v>
      </x:c>
      <x:c r="B19" s="63" t="str">
        <x:v>AN Sensizym</x:v>
      </x:c>
      <x:c r="C19" s="63" t="str">
        <x:v>https://www.advancednutrients.com/de/products/sensizym/</x:v>
      </x:c>
      <x:c r="D19" s="35" t="str">
        <x:v>Enzyme</x:v>
      </x:c>
    </x:row>
    <x:row r="20">
      <x:c r="A20" s="34" t="str">
        <x:v>A Wissenschaft</x:v>
      </x:c>
      <x:c r="B20" s="63" t="str">
        <x:v>Cockson et al. 2024 / Frontiers</x:v>
      </x:c>
      <x:c r="C20" s="63" t="str">
        <x:v>https://www.frontiersin.org/journals/plant-science/articles/10.3389/fpls.2024.1501484/full</x:v>
      </x:c>
      <x:c r="D20" s="35" t="str">
        <x:v>NPK-Interaktionen; P/K→Mg</x:v>
      </x:c>
    </x:row>
    <x:row r="21">
      <x:c r="A21" s="34" t="str">
        <x:v>A Wissenschaft</x:v>
      </x:c>
      <x:c r="B21" s="63" t="str">
        <x:v>Saloner et al. 2023 / Mg Cannabis</x:v>
      </x:c>
      <x:c r="C21" s="63" t="str">
        <x:v>https://pubmed.ncbi.nlm.nih.gov/37514290/</x:v>
      </x:c>
      <x:c r="D21" s="35" t="str">
        <x:v>Mg↔Ca/K Konkurrenz</x:v>
      </x:c>
    </x:row>
    <x:row r="22">
      <x:c r="A22" s="34" t="str">
        <x:v>A Wissenschaft</x:v>
      </x:c>
      <x:c r="B22" s="63" t="str">
        <x:v>Westmoreland &amp; Bugbee 2022</x:v>
      </x:c>
      <x:c r="C22" s="63" t="str">
        <x:v>https://www.frontiersin.org/journals/plant-science/articles/10.3389/fpls.2022.1015652/full</x:v>
      </x:c>
      <x:c r="D22" s="35" t="str">
        <x:v>P-Überversorgung</x:v>
      </x:c>
    </x:row>
    <x:row r="23">
      <x:c r="A23" s="34" t="str">
        <x:v>A Wissenschaft</x:v>
      </x:c>
      <x:c r="B23" s="63" t="str">
        <x:v>Hershkowitz et al. 2025</x:v>
      </x:c>
      <x:c r="C23" s="63" t="str">
        <x:v>https://www.frontiersin.org/journals/plant-science/articles/10.3389/fpls.2025.1433985/full</x:v>
      </x:c>
      <x:c r="D23" s="35" t="str">
        <x:v>EC/P hoch ≠ mehr Ertrag/Qualität</x:v>
      </x:c>
    </x:row>
    <x:row r="24">
      <x:c r="A24" s="34" t="str">
        <x:v>A Wissenschaft</x:v>
      </x:c>
      <x:c r="B24" s="63" t="str">
        <x:v>Bevan et al. 2021</x:v>
      </x:c>
      <x:c r="C24" s="63" t="str">
        <x:v>https://www.frontiersin.org/journals/plant-science/articles/10.3389/fpls.2021.764103/full</x:v>
      </x:c>
      <x:c r="D24" s="35" t="str">
        <x:v>Blüte NPK; K-Reaktion</x:v>
      </x:c>
    </x:row>
    <x:row r="25">
      <x:c r="A25" s="34" t="str">
        <x:v>B Community</x:v>
      </x:c>
      <x:c r="B25" s="63" t="str">
        <x:v>Grower.ch HESI Coco</x:v>
      </x:c>
      <x:c r="C25" s="63" t="str">
        <x:v>https://www.grower.ch/forum/threads/hesi-duenger-fuer-coco.155701/</x:v>
      </x:c>
      <x:c r="D25" s="35" t="str">
        <x:v>Praxisskalierung/Dosis/pH</x:v>
      </x:c>
    </x:row>
    <x:row r="26">
      <x:c r="A26" s="34" t="str">
        <x:v>B Community</x:v>
      </x:c>
      <x:c r="B26" s="63" t="str">
        <x:v>Grower.ch AN pH Drift</x:v>
      </x:c>
      <x:c r="C26" s="63" t="str">
        <x:v>https://www.grower.ch/forum/threads/advanced-nutrients-ph-wert-instabil.143518/</x:v>
      </x:c>
      <x:c r="D26" s="35" t="str">
        <x:v>Full-stack pH Drift</x:v>
      </x:c>
    </x:row>
    <x:row r="27">
      <x:c r="A27" s="34" t="str">
        <x:v>B Community</x:v>
      </x:c>
      <x:c r="B27" s="63" t="str">
        <x:v>Grower.ch pH Stabilität 2025</x:v>
      </x:c>
      <x:c r="C27" s="63" t="str">
        <x:v>https://www.grower.ch/forum/threads/ph-stabilster-duenger.185789/</x:v>
      </x:c>
      <x:c r="D27" s="35" t="str">
        <x:v>RO/pH-Perfect Drift Berichte</x:v>
      </x:c>
    </x:row>
    <x:row r="28">
      <x:c r="A28" s="34" t="str">
        <x:v>B/C Community</x:v>
      </x:c>
      <x:c r="B28" s="63" t="str">
        <x:v>Rollitup Reservoir</x:v>
      </x:c>
      <x:c r="C28" s="63" t="str">
        <x:v>https://www.rollitup.org/t/reservoir-is-getting-muddy-advanced-nutrients-additives.1041450/</x:v>
      </x:c>
      <x:c r="D28" s="35" t="str">
        <x:v>Schleim/Reservoir-Risiko</x:v>
      </x:c>
    </x:row>
    <x:row r="29">
      <x:c r="A29" s="34" t="str">
        <x:v>B Deskriptiv</x:v>
      </x:c>
      <x:c r="B29" s="63" t="str">
        <x:v>GrowDiaries Big Bud Coco</x:v>
      </x:c>
      <x:c r="C29" s="63" t="str">
        <x:v>https://growdiaries.com/seedbank/advanced-nutrients/big-bud-coco</x:v>
      </x:c>
      <x:c r="D29" s="35" t="str">
        <x:v>breite Nutzerbasis, keine Kausalität</x:v>
      </x:c>
    </x:row>
    <x:row r="30">
      <x:c r="A30" s="34" t="str">
        <x:v>A Hersteller</x:v>
      </x:c>
      <x:c r="B30" s="63" t="str">
        <x:v>Blumat FAQ</x:v>
      </x:c>
      <x:c r="C30" s="63" t="str">
        <x:v>https://www.blumat.com/de/faq/tropf-blumat</x:v>
      </x:c>
      <x:c r="D30" s="35" t="str">
        <x:v>Dünger in Leitungen: Kristallisation/Reinigung</x:v>
      </x:c>
    </x:row>
    <x:row r="31">
      <x:c r="A31" s="34" t="str">
        <x:v>A Hersteller</x:v>
      </x:c>
      <x:c r="B31" s="63" t="str">
        <x:v>AN 8th Generation</x:v>
      </x:c>
      <x:c r="C31" s="63" t="str">
        <x:v>https://8thgeneration.advancednutrients.com/</x:v>
      </x:c>
      <x:c r="D31" s="35" t="str">
        <x:v>Commercial Line 2026</x:v>
      </x:c>
    </x:row>
    <x:row r="32">
      <x:c r="A32" s="34"/>
      <x:c r="B32" s="63"/>
      <x:c r="C32" s="63"/>
      <x:c r="D32" s="35"/>
    </x:row>
    <x:row r="33">
      <x:c r="A33" s="34" t="str">
        <x:v>A Hersteller</x:v>
      </x:c>
      <x:c r="B33" s="63" t="str">
        <x:v>HESI Coco 2026</x:v>
      </x:c>
      <x:c r="C33" s="63" t="str">
        <x:v>https://hesi.nl/de/COCO</x:v>
      </x:c>
      <x:c r="D33" s="35" t="str">
        <x:v>50 ml/10L, pH 5.8–6.2, Ca/Mg</x:v>
      </x:c>
    </x:row>
    <x:row r="34">
      <x:c r="A34" s="34" t="str">
        <x:v>A Hersteller</x:v>
      </x:c>
      <x:c r="B34" s="63" t="str">
        <x:v>HESI TNT Complex</x:v>
      </x:c>
      <x:c r="C34" s="63" t="str">
        <x:v>https://hesi.nl/de/TNT-COMPLEX</x:v>
      </x:c>
      <x:c r="D34" s="35" t="str">
        <x:v>50 ml/10L; halb bei jungen Pflanzen</x:v>
      </x:c>
    </x:row>
    <x:row r="35">
      <x:c r="A35" s="34" t="str">
        <x:v>A Hersteller</x:v>
      </x:c>
      <x:c r="B35" s="63" t="str">
        <x:v>HESI Wurzel Complex</x:v>
      </x:c>
      <x:c r="C35" s="63" t="str">
        <x:v>https://hesi.nl/de/Wurzel-Complex</x:v>
      </x:c>
      <x:c r="D35" s="35" t="str">
        <x:v>50 ml/10L; halbe Langzeitdosis</x:v>
      </x:c>
    </x:row>
    <x:row r="36">
      <x:c r="A36" s="34" t="str">
        <x:v>A Hersteller</x:v>
      </x:c>
      <x:c r="B36" s="63" t="str">
        <x:v>HESI Boost</x:v>
      </x:c>
      <x:c r="C36" s="63" t="str">
        <x:v>https://hesi.nl/de/Boost</x:v>
      </x:c>
      <x:c r="D36" s="35" t="str">
        <x:v>20 ml/10L</x:v>
      </x:c>
    </x:row>
    <x:row r="37">
      <x:c r="A37" s="34" t="str">
        <x:v>A Hersteller</x:v>
      </x:c>
      <x:c r="B37" s="63" t="str">
        <x:v>HESI Hesilicio</x:v>
      </x:c>
      <x:c r="C37" s="63" t="str">
        <x:v>https://hesi.nl/de/Hesilicio</x:v>
      </x:c>
      <x:c r="D37" s="35" t="str">
        <x:v>0.5 ml/L, ~1×/W</x:v>
      </x:c>
    </x:row>
    <x:row r="38">
      <x:c r="A38" s="34" t="str">
        <x:v>A Hersteller</x:v>
      </x:c>
      <x:c r="B38" s="63" t="str">
        <x:v>HESI PK13/14</x:v>
      </x:c>
      <x:c r="C38" s="63" t="str">
        <x:v>https://hesi.nl/de/PK-13-14</x:v>
      </x:c>
      <x:c r="D38" s="35" t="str">
        <x:v>0.25–1.5 ml/L; K↔Ca/Mg Warnung</x:v>
      </x:c>
    </x:row>
    <x:row r="39">
      <x:c r="A39" s="34" t="str">
        <x:v>A Hersteller</x:v>
      </x:c>
      <x:c r="B39" s="63" t="str">
        <x:v>HESI CalMag</x:v>
      </x:c>
      <x:c r="C39" s="63" t="str">
        <x:v>https://hesi.nl/de/CalMag</x:v>
      </x:c>
      <x:c r="D39" s="35" t="str">
        <x:v>RO/Softwater bis EC 0.4–0.5</x:v>
      </x:c>
    </x:row>
    <x:row r="40">
      <x:c r="A40" s="34" t="str">
        <x:v>A Hersteller</x:v>
      </x:c>
      <x:c r="B40" s="63" t="str">
        <x:v>AN Sensi Coco pH Perfect</x:v>
      </x:c>
      <x:c r="C40" s="63" t="str">
        <x:v>https://www.advancednutrients.com/de/products/ph-perfect-sensi-coco-grow-bloom/</x:v>
      </x:c>
      <x:c r="D40" s="35" t="str">
        <x:v>Grow A/B 1→4 ml/L; Bloom 4 ml/L</x:v>
      </x:c>
    </x:row>
    <x:row r="41">
      <x:c r="A41" s="34" t="str">
        <x:v>A Hersteller</x:v>
      </x:c>
      <x:c r="B41" s="63" t="str">
        <x:v>AN Voodoo Juice</x:v>
      </x:c>
      <x:c r="C41" s="63" t="str">
        <x:v>https://www.advancednutrients.com/de/products/voodoo-juice/</x:v>
      </x:c>
      <x:c r="D41" s="35" t="str">
        <x:v>2 ml/L Veg W1–2 + Bloom W1–2</x:v>
      </x:c>
    </x:row>
    <x:row r="42">
      <x:c r="A42" s="34" t="str">
        <x:v>A Hersteller</x:v>
      </x:c>
      <x:c r="B42" s="63" t="str">
        <x:v>AN Piranha</x:v>
      </x:c>
      <x:c r="C42" s="63" t="str">
        <x:v>https://www.advancednutrients.com/de/products/piranha/</x:v>
      </x:c>
      <x:c r="D42" s="35" t="str">
        <x:v>2 ml/L Veg/Bloom W1–2</x:v>
      </x:c>
    </x:row>
    <x:row r="43">
      <x:c r="A43" s="34" t="str">
        <x:v>A Hersteller</x:v>
      </x:c>
      <x:c r="B43" s="63" t="str">
        <x:v>AN Tarantula</x:v>
      </x:c>
      <x:c r="C43" s="63" t="str">
        <x:v>https://www.advancednutrients.com/de/products/tarantula/</x:v>
      </x:c>
      <x:c r="D43" s="35" t="str">
        <x:v>2 ml/L Veg/Bloom W1–2</x:v>
      </x:c>
    </x:row>
    <x:row r="44">
      <x:c r="A44" s="34" t="str">
        <x:v>A Hersteller</x:v>
      </x:c>
      <x:c r="B44" s="63" t="str">
        <x:v>AN Big Bud</x:v>
      </x:c>
      <x:c r="C44" s="63" t="str">
        <x:v>https://www.advancednutrients.com/de/products/big-bud/</x:v>
      </x:c>
      <x:c r="D44" s="35" t="str">
        <x:v>2 ml/L Bloom W2–5</x:v>
      </x:c>
    </x:row>
    <x:row r="45">
      <x:c r="A45" s="34" t="str">
        <x:v>A Hersteller</x:v>
      </x:c>
      <x:c r="B45" s="63" t="str">
        <x:v>AN Overdrive</x:v>
      </x:c>
      <x:c r="C45" s="63" t="str">
        <x:v>https://www.advancednutrients.com/de/products/overdrive/</x:v>
      </x:c>
      <x:c r="D45" s="35" t="str">
        <x:v>2 ml/L Bloom W6–7</x:v>
      </x:c>
    </x:row>
    <x:row r="46">
      <x:c r="A46" s="34" t="str">
        <x:v>A Hersteller</x:v>
      </x:c>
      <x:c r="B46" s="63" t="str">
        <x:v>AN pH Up/Down + FAQ</x:v>
      </x:c>
      <x:c r="C46" s="63" t="str">
        <x:v>https://www.advancednutrients.com/de/secret-menu/ph-up-ph-down/</x:v>
      </x:c>
      <x:c r="D46" s="35" t="str">
        <x:v>KOH / Phosphorsäure; Cross-brand pH Perfect nicht garantiert</x:v>
      </x:c>
    </x:row>
    <x:row r="47">
      <x:c r="A47" s="34" t="str">
        <x:v>A Hersteller</x:v>
      </x:c>
      <x:c r="B47" s="63" t="str">
        <x:v>Blumat FAQ</x:v>
      </x:c>
      <x:c r="C47" s="63" t="str">
        <x:v>https://blumat.com/de/faq</x:v>
      </x:c>
      <x:c r="D47" s="35" t="str">
        <x:v>bedarfsgerechte Bewässerung; Flüssigdünger kann Leitungen kristallisieren</x:v>
      </x:c>
    </x:row>
    <x:row r="48">
      <x:c r="A48" s="34" t="str">
        <x:v>A Hersteller</x:v>
      </x:c>
      <x:c r="B48" s="63" t="str">
        <x:v>Blumat Indoor Warnung</x:v>
      </x:c>
      <x:c r="C48" s="63" t="str">
        <x:v>https://www.blumat.com/de/app/what-should-i-do-if</x:v>
      </x:c>
      <x:c r="D48" s="35" t="str">
        <x:v>Tropf-Blumat vom Hersteller darf laut Hersteller nicht im Innenbereich verwendet werden</x:v>
      </x:c>
    </x:row>
    <x:row r="49">
      <x:c r="A49" s="34" t="str">
        <x:v>A Gesetz</x:v>
      </x:c>
      <x:c r="B49" s="63" t="str">
        <x:v>KCanG §3</x:v>
      </x:c>
      <x:c r="C49" s="63" t="str">
        <x:v>https://www.gesetze-im-internet.de/kcang/__3.html</x:v>
      </x:c>
      <x:c r="D49" s="35" t="str">
        <x:v>50 g am Wohnsitz; bis 3 lebende Pflanzen</x:v>
      </x:c>
    </x:row>
    <x:row r="50">
      <x:c r="A50" s="36" t="str">
        <x:v>A Gesetz</x:v>
      </x:c>
      <x:c r="B50" s="64" t="str">
        <x:v>KCanG §9</x:v>
      </x:c>
      <x:c r="C50" s="64" t="str">
        <x:v>https://www.gesetze-im-internet.de/kcang/__9.html</x:v>
      </x:c>
      <x:c r="D50" s="37" t="str">
        <x:v>privater Eigenanbau max. 3 Pflanzen; keine Weitergabe</x:v>
      </x:c>
    </x:row>
    <x:row r="51">
      <x:c r="A51"/>
      <x:c r="B51"/>
      <x:c r="C51"/>
      <x:c r="D51"/>
    </x:row>
    <x:row r="52">
      <x:c r="A52" s="32" t="str">
        <x:v>A Hersteller</x:v>
      </x:c>
      <x:c r="B52" s="62" t="str">
        <x:v>Athena Balance</x:v>
      </x:c>
      <x:c r="C52" s="62" t="str">
        <x:v>https://store.athenaag.com/balance/</x:v>
      </x:c>
      <x:c r="D52" s="33" t="str">
        <x:v>pH+ / RO-Puffer / sedimentfrei / vor Düngern</x:v>
      </x:c>
    </x:row>
    <x:row r="53">
      <x:c r="A53" s="34" t="str">
        <x:v>A Hersteller</x:v>
      </x:c>
      <x:c r="B53" s="201" t="str">
        <x:v>Athena Water Conditioners</x:v>
      </x:c>
      <x:c r="C53" s="201" t="str">
        <x:v>https://www.athenaag.com/water-conditioners</x:v>
      </x:c>
      <x:c r="D53" s="35" t="str">
        <x:v>Balance vor Düngern; K-Silikat</x:v>
      </x:c>
    </x:row>
    <x:row r="54">
      <x:c r="A54" s="34" t="str">
        <x:v>B Händler</x:v>
      </x:c>
      <x:c r="B54" s="201" t="str">
        <x:v>Growland Athena Balance</x:v>
      </x:c>
      <x:c r="C54" s="201" t="str">
        <x:v>https://www.growland.net/Athena-Balance-946-ml</x:v>
      </x:c>
      <x:c r="D54" s="35" t="str">
        <x:v>DE-Produkt; 5–26 ml/10 L, pH-abhängig</x:v>
      </x:c>
    </x:row>
    <x:row r="55">
      <x:c r="A55" s="34" t="str">
        <x:v>A Hersteller</x:v>
      </x:c>
      <x:c r="B55" s="201" t="str">
        <x:v>AN Feeding Charts</x:v>
      </x:c>
      <x:c r="C55" s="201" t="str">
        <x:v>https://www.advancednutrients.com/de/feeding/</x:v>
      </x:c>
      <x:c r="D55" s="35" t="str">
        <x:v>2026 aktuelle Feeding-Chart-Struktur</x:v>
      </x:c>
    </x:row>
    <x:row r="56">
      <x:c r="A56" s="34" t="str">
        <x:v>B Händler</x:v>
      </x:c>
      <x:c r="B56" s="201" t="str">
        <x:v>AN Grand Master Set</x:v>
      </x:c>
      <x:c r="C56" s="201" t="str">
        <x:v>https://www.grow-shop24.de/advanced-nutrients-grand-master-grower-level-set</x:v>
      </x:c>
      <x:c r="D56" s="35" t="str">
        <x:v>klassisches kumulatives 13-Produkt-Set in DE</x:v>
      </x:c>
    </x:row>
    <x:row r="57">
      <x:c r="A57" s="34" t="str">
        <x:v>A Hersteller</x:v>
      </x:c>
      <x:c r="B57" s="201" t="str">
        <x:v>AN Bud Ignitor</x:v>
      </x:c>
      <x:c r="C57" s="201" t="str">
        <x:v>https://www.advancednutrients.com/de/products/bud-ignitor/</x:v>
      </x:c>
      <x:c r="D57" s="35" t="str">
        <x:v>2 ml/L B1–2</x:v>
      </x:c>
    </x:row>
    <x:row r="58">
      <x:c r="A58" s="34" t="str">
        <x:v>A Hersteller</x:v>
      </x:c>
      <x:c r="B58" s="201" t="str">
        <x:v>AN Big Bud</x:v>
      </x:c>
      <x:c r="C58" s="201" t="str">
        <x:v>https://www.advancednutrients.com/de/products/big-bud/</x:v>
      </x:c>
      <x:c r="D58" s="35" t="str">
        <x:v>2 ml/L B2–5</x:v>
      </x:c>
    </x:row>
    <x:row r="59">
      <x:c r="A59" s="34" t="str">
        <x:v>A Hersteller</x:v>
      </x:c>
      <x:c r="B59" s="201" t="str">
        <x:v>AN Overdrive</x:v>
      </x:c>
      <x:c r="C59" s="201" t="str">
        <x:v>https://www.advancednutrients.com/de/products/overdrive/</x:v>
      </x:c>
      <x:c r="D59" s="35" t="str">
        <x:v>2 ml/L B6–7</x:v>
      </x:c>
    </x:row>
    <x:row r="60">
      <x:c r="A60" s="34" t="str">
        <x:v>A Hersteller</x:v>
      </x:c>
      <x:c r="B60" s="201" t="str">
        <x:v>AN B-52</x:v>
      </x:c>
      <x:c r="C60" s="201" t="str">
        <x:v>https://www.advancednutrients.com/de/products/b-52/</x:v>
      </x:c>
      <x:c r="D60" s="35" t="str">
        <x:v>2 ml/L G1–4; B3–7</x:v>
      </x:c>
    </x:row>
    <x:row r="61">
      <x:c r="A61" s="34" t="str">
        <x:v>A Hersteller</x:v>
      </x:c>
      <x:c r="B61" s="201" t="str">
        <x:v>AN Bud Candy</x:v>
      </x:c>
      <x:c r="C61" s="201" t="str">
        <x:v>https://www.advancednutrients.com/de/products/bud-candy/</x:v>
      </x:c>
      <x:c r="D61" s="35" t="str">
        <x:v>2 ml/L G1–4; B1–7</x:v>
      </x:c>
    </x:row>
    <x:row r="62">
      <x:c r="A62" s="34" t="str">
        <x:v>A Hersteller</x:v>
      </x:c>
      <x:c r="B62" s="201" t="str">
        <x:v>AN Piranha</x:v>
      </x:c>
      <x:c r="C62" s="201" t="str">
        <x:v>https://www.advancednutrients.com/de/products/piranha/</x:v>
      </x:c>
      <x:c r="D62" s="35" t="str">
        <x:v>2 ml/L G1–2; B1–2</x:v>
      </x:c>
    </x:row>
    <x:row r="63">
      <x:c r="A63" s="34" t="str">
        <x:v>A Hersteller</x:v>
      </x:c>
      <x:c r="B63" s="201" t="str">
        <x:v>AN Tarantula</x:v>
      </x:c>
      <x:c r="C63" s="201" t="str">
        <x:v>https://www.advancednutrients.com/de/products/tarantula/</x:v>
      </x:c>
      <x:c r="D63" s="35" t="str">
        <x:v>2 ml/L G1–2; B1–2</x:v>
      </x:c>
    </x:row>
    <x:row r="64">
      <x:c r="A64" s="34" t="str">
        <x:v>A Hersteller</x:v>
      </x:c>
      <x:c r="B64" s="201" t="str">
        <x:v>AN Sensizym</x:v>
      </x:c>
      <x:c r="C64" s="201" t="str">
        <x:v>https://www.advancednutrients.com/de/products/sensizym/</x:v>
      </x:c>
      <x:c r="D64" s="35" t="str">
        <x:v>2 ml/L G1–4; B1–7</x:v>
      </x:c>
    </x:row>
    <x:row r="65">
      <x:c r="A65" s="34" t="str">
        <x:v>A Hersteller</x:v>
      </x:c>
      <x:c r="B65" s="201" t="str">
        <x:v>AN Tasty Terpenes</x:v>
      </x:c>
      <x:c r="C65" s="201" t="str">
        <x:v>https://www.advancednutrients.com/de/products/tasty-terpenes/</x:v>
      </x:c>
      <x:c r="D65" s="35" t="str">
        <x:v>Tasty Terpenes: aktuelles AN-Produkt; Legacy-Nirvana-Bezüge nur nach versionsspezifischer Verifikation. Label-Fenster separat nach aktuellem Feeding Chart prüfen.</x:v>
      </x:c>
    </x:row>
    <x:row r="66">
      <x:c r="A66" s="34" t="str">
        <x:v>A Hersteller</x:v>
      </x:c>
      <x:c r="B66" s="201" t="str">
        <x:v>AN Rhino Skin</x:v>
      </x:c>
      <x:c r="C66" s="201" t="str">
        <x:v>https://www.advancednutrients.com/de/products/rhino-skin/</x:v>
      </x:c>
      <x:c r="D66" s="35" t="str">
        <x:v>K-Silikat 2 ml/L; Grand-Master-Zusatz</x:v>
      </x:c>
    </x:row>
    <x:row r="67">
      <x:c r="A67" s="34" t="str">
        <x:v>A Hersteller</x:v>
      </x:c>
      <x:c r="B67" s="201" t="str">
        <x:v>AN Bud Factor X</x:v>
      </x:c>
      <x:c r="C67" s="201" t="str">
        <x:v>https://www.advancednutrients.com/products/bud-factor-x/</x:v>
      </x:c>
      <x:c r="D67" s="35" t="str">
        <x:v>2 ml/L; G2–4/B1–7</x:v>
      </x:c>
    </x:row>
    <x:row r="68">
      <x:c r="A68" s="34" t="str">
        <x:v>A Hersteller</x:v>
      </x:c>
      <x:c r="B68" s="201" t="str">
        <x:v>AN Flawless Finish</x:v>
      </x:c>
      <x:c r="C68" s="201" t="str">
        <x:v>https://www.advancednutrients.com/de/products/flawless-finish/</x:v>
      </x:c>
      <x:c r="D68" s="35" t="str">
        <x:v>2 ml/L Flush</x:v>
      </x:c>
    </x:row>
    <x:row r="69">
      <x:c r="A69" s="34" t="str">
        <x:v>B Community</x:v>
      </x:c>
      <x:c r="B69" s="201" t="str">
        <x:v>Grower.ch AN Sensi Dosierung</x:v>
      </x:c>
      <x:c r="C69" s="201" t="str">
        <x:v>https://www.grower.ch/forum/threads/advanced-nutrients-sensi-base-dosierung.58755/</x:v>
      </x:c>
      <x:c r="D69" s="35" t="str">
        <x:v>Praxis: reduzierte Dosierung/EC-Steuerung</x:v>
      </x:c>
    </x:row>
    <x:row r="70">
      <x:c r="A70" s="34" t="str">
        <x:v>C Community</x:v>
      </x:c>
      <x:c r="B70" s="201" t="str">
        <x:v>GrowDiaries Auto GM Stack</x:v>
      </x:c>
      <x:c r="C70" s="201" t="str">
        <x:v>https://growdiaries.com/grow-questions/72152-autoflowers-nutrients-feeding-plan</x:v>
      </x:c>
      <x:c r="D70" s="35" t="str">
        <x:v>Auto-Vollstack als zu komplex/zu stark kritisiert</x:v>
      </x:c>
    </x:row>
    <x:row r="71">
      <x:c r="A71" s="36" t="str">
        <x:v>B Community</x:v>
      </x:c>
      <x:c r="B71" s="64" t="str">
        <x:v>Rollitup AN chart EC</x:v>
      </x:c>
      <x:c r="C71" s="64" t="str">
        <x:v>https://www.rollitup.org/t/advanced-nutrients-feeding-chart-chaos.974475/</x:v>
      </x:c>
      <x:c r="D71" s="37" t="str">
        <x:v>wiederkehrende hohe EC bei Vollschema</x:v>
      </x:c>
    </x:row>
    <x:row r="72">
      <x:c r="A72"/>
      <x:c r="B72"/>
      <x:c r="C72"/>
      <x:c r="D72"/>
    </x:row>
    <x:row r="73">
      <x:c r="A73" s="1154" t="str">
        <x:v>A Hersteller</x:v>
      </x:c>
      <x:c r="B73" s="1204" t="str">
        <x:v>Blumat Indoor-Verbot</x:v>
      </x:c>
      <x:c r="C73" s="1204" t="str">
        <x:v>https://www.blumat.com/de/app/what-should-i-do-if</x:v>
      </x:c>
      <x:c r="D73" s="1205" t="str">
        <x:v>Tropf-Blumat darf laut Hersteller nicht im Innenbereich verwendet werden</x:v>
      </x:c>
    </x:row>
    <x:row r="74">
      <x:c r="A74" s="1156" t="str">
        <x:v>A Hersteller</x:v>
      </x:c>
      <x:c r="B74" s="201" t="str">
        <x:v>Blumat FAQ</x:v>
      </x:c>
      <x:c r="C74" s="201" t="str">
        <x:v>https://www.blumat.com/de/faq</x:v>
      </x:c>
      <x:c r="D74" s="1193" t="str">
        <x:v>reagiert auf Bodenfeuchte; Flüssigdünger möglich, Kristallisation in Leitungen über Zeit</x:v>
      </x:c>
    </x:row>
    <x:row r="75">
      <x:c r="A75" s="1156" t="str">
        <x:v>A Hersteller</x:v>
      </x:c>
      <x:c r="B75" s="201" t="str">
        <x:v>Advanced Nutrients Flo &amp; Gro</x:v>
      </x:c>
      <x:c r="C75" s="201" t="str">
        <x:v>https://www.advancednutrients.com/de/products/flo-gro/</x:v>
      </x:c>
      <x:c r="D75" s="1193" t="str">
        <x:v>HOCl; aktuell nur USA/Kanada</x:v>
      </x:c>
    </x:row>
    <x:row r="76">
      <x:c r="A76" s="1156" t="str">
        <x:v>A Hersteller</x:v>
      </x:c>
      <x:c r="B76" s="201" t="str">
        <x:v>HESI TNT Complex</x:v>
      </x:c>
      <x:c r="C76" s="201" t="str">
        <x:v>https://hesi.nl/de/TNT-COMPLEX</x:v>
      </x:c>
      <x:c r="D76" s="1193" t="str">
        <x:v>Saatreserven; junge Pflanzen halbe Dosis</x:v>
      </x:c>
    </x:row>
    <x:row r="77">
      <x:c r="A77" s="1156" t="str">
        <x:v>A Hersteller</x:v>
      </x:c>
      <x:c r="B77" s="201" t="str">
        <x:v>HESI Coco</x:v>
      </x:c>
      <x:c r="C77" s="201" t="str">
        <x:v>https://hesi.nl/de/COCO</x:v>
      </x:c>
      <x:c r="D77" s="1193" t="str">
        <x:v>5.8–6.2 pH; Basisdaten</x:v>
      </x:c>
    </x:row>
    <x:row r="78">
      <x:c r="A78" s="1156" t="str">
        <x:v>A Hersteller</x:v>
      </x:c>
      <x:c r="B78" s="201" t="str">
        <x:v>Athena Balance</x:v>
      </x:c>
      <x:c r="C78" s="201" t="str">
        <x:v>https://store.athenaag.com/balance/</x:v>
      </x:c>
      <x:c r="D78" s="1193" t="str">
        <x:v>pH anheben, RO puffern, Kaliumsilikat, vor Dünger</x:v>
      </x:c>
    </x:row>
    <x:row r="79">
      <x:c r="A79" s="1156" t="str">
        <x:v>A Primärliteratur</x:v>
      </x:c>
      <x:c r="B79" s="201" t="str">
        <x:v>Cannabis NPK interactions</x:v>
      </x:c>
      <x:c r="C79" s="201" t="str">
        <x:v>https://www.frontiersin.org/journals/plant-science/articles/10.3389/fpls.2024.1501484/full</x:v>
      </x:c>
      <x:c r="D79" s="1193" t="str">
        <x:v>P/K–Mg Zusammenhang im untersuchten System</x:v>
      </x:c>
    </x:row>
    <x:row r="80">
      <x:c r="A80" s="1156" t="str">
        <x:v>A Primärliteratur</x:v>
      </x:c>
      <x:c r="B80" s="201" t="str">
        <x:v>Cannabis Mg nutrition</x:v>
      </x:c>
      <x:c r="C80" s="201" t="str">
        <x:v>https://pubmed.ncbi.nlm.nih.gov/37514290/</x:v>
      </x:c>
      <x:c r="D80" s="1193" t="str">
        <x:v>hohes Mg beeinflusst Ca/K-Aufnahme</x:v>
      </x:c>
    </x:row>
    <x:row r="81">
      <x:c r="A81" s="1156" t="str">
        <x:v>A Primärliteratur</x:v>
      </x:c>
      <x:c r="B81" s="201" t="str">
        <x:v>Cannabis P response</x:v>
      </x:c>
      <x:c r="C81" s="201" t="str">
        <x:v>https://www.frontiersin.org/journals/plant-science/articles/10.3389/fpls.2022.1015652/full</x:v>
      </x:c>
      <x:c r="D81" s="1193" t="str">
        <x:v>höheres P nicht automatisch mehr Yield/Quality</x:v>
      </x:c>
    </x:row>
    <x:row r="82">
      <x:c r="A82" s="1156" t="str">
        <x:v>A Primärliteratur</x:v>
      </x:c>
      <x:c r="B82" s="201" t="str">
        <x:v>Cannabis EC/P 2025</x:v>
      </x:c>
      <x:c r="C82" s="201" t="str">
        <x:v>https://www.frontiersin.org/journals/plant-science/articles/10.3389/fpls.2025.1433985/full</x:v>
      </x:c>
      <x:c r="D82" s="1193" t="str">
        <x:v>höhere EC/P nicht automatisch mehr Yield/Cannabinoide</x:v>
      </x:c>
    </x:row>
    <x:row r="83">
      <x:c r="A83" s="1156" t="str">
        <x:v>A Primärliteratur</x:v>
      </x:c>
      <x:c r="B83" s="201" t="str">
        <x:v>Cannabis light intensity</x:v>
      </x:c>
      <x:c r="C83" s="201" t="str">
        <x:v>https://pubmed.ncbi.nlm.nih.gov/34046049/</x:v>
      </x:c>
      <x:c r="D83" s="1193" t="str">
        <x:v>Ertrag vs PPFD; überwiegend photoperiodischer Kontext</x:v>
      </x:c>
    </x:row>
    <x:row r="84">
      <x:c r="A84" s="1156" t="str">
        <x:v>Review/Primär</x:v>
      </x:c>
      <x:c r="B84" s="201" t="str">
        <x:v>Cannabis drying / water activity</x:v>
      </x:c>
      <x:c r="C84" s="201" t="str">
        <x:v>https://pmc.ncbi.nlm.nih.gov/</x:v>
      </x:c>
      <x:c r="D84" s="1193" t="str">
        <x:v>Trocknungsendpunkte nicht vollständig standardisiert; aw als relevante Kenngröße</x:v>
      </x:c>
    </x:row>
    <x:row r="85">
      <x:c r="A85" s="1156" t="str">
        <x:v>A Hersteller</x:v>
      </x:c>
      <x:c r="B85" s="201" t="str">
        <x:v>Mephisto Double Grape</x:v>
      </x:c>
      <x:c r="C85" s="201" t="str">
        <x:v>https://eu.mephistogenetics.com/products/double-grape</x:v>
      </x:c>
      <x:c r="D85" s="1193" t="str">
        <x:v>F7, 55–80 cm, 70–80 Tage</x:v>
      </x:c>
    </x:row>
    <x:row r="86">
      <x:c r="A86" s="1158" t="str">
        <x:v>A Hersteller</x:v>
      </x:c>
      <x:c r="B86" s="1194" t="str">
        <x:v>Fast Buds Banana Purple Punch RF3</x:v>
      </x:c>
      <x:c r="C86" s="1194" t="str">
        <x:v>https://2fast4buds.com/de/seeds/banana-purple-punch-auto</x:v>
      </x:c>
      <x:c r="D86" s="1195" t="str">
        <x:v>aktuelle RF3-Version, 80–150 cm, 8–9 Wochen</x:v>
      </x:c>
    </x:row>
    <x:row r="87">
      <x:c r="A87" s="60" t="str">
        <x:v>A Gesetz</x:v>
      </x:c>
      <x:c r="B87" s="60" t="str">
        <x:v>KCanG §3 Besitz</x:v>
      </x:c>
      <x:c r="C87" s="60" t="str">
        <x:v>https://www.gesetze-im-internet.de/kcang/__3.html</x:v>
      </x:c>
      <x:c r="D87" s="60" t="str">
        <x:v>50 g am Wohnsitz/gewöhnlichen Aufenthalt; bis zu drei lebende Pflanzen</x:v>
      </x:c>
    </x:row>
    <x:row r="88">
      <x:c r="A88" s="60" t="str">
        <x:v>A Gesetz</x:v>
      </x:c>
      <x:c r="B88" s="60" t="str">
        <x:v>KCanG §9 Privater Eigenanbau</x:v>
      </x:c>
      <x:c r="C88" s="60" t="str">
        <x:v>https://www.gesetze-im-internet.de/kcang/__9.html</x:v>
      </x:c>
      <x:c r="D88" s="60" t="str">
        <x:v>Volljährige: privater Eigenanbau von insgesamt nicht mehr als drei Pflanzen gleichzeitig; keine Weitergabe</x:v>
      </x:c>
    </x:row>
    <x:row r="89">
      <x:c r="A89" s="60" t="str">
        <x:v>A Gesetz</x:v>
      </x:c>
      <x:c r="B89" s="60" t="str">
        <x:v>KCanG §10 Zugriffsschutz</x:v>
      </x:c>
      <x:c r="C89" s="60" t="str">
        <x:v>https://www.gesetze-im-internet.de/kcang/BJNR06D0B0024.html</x:v>
      </x:c>
      <x:c r="D89" s="60" t="str">
        <x:v>geeignete Schutzmaßnahmen vor Dritten, insbesondere Kindern/Jugendlichen</x:v>
      </x:c>
    </x:row>
    <x:row r="90">
      <x:c r="A90" s="60" t="str">
        <x:v>A Hersteller</x:v>
      </x:c>
      <x:c r="B90" s="60" t="str">
        <x:v>Blumat bestimmungsgemäße Verwendung</x:v>
      </x:c>
      <x:c r="C90" s="60" t="str">
        <x:v>https://blumat.com/de/tropf-blumat</x:v>
      </x:c>
      <x:c r="D90" s="60" t="str">
        <x:v>Tropf-Blumat: Tröpfchenbewässerung für Pflanzen im Außenbereich</x:v>
      </x:c>
    </x:row>
    <x:row r="91">
      <x:c r="A91" s="60" t="str">
        <x:v>A Hersteller</x:v>
      </x:c>
      <x:c r="B91" s="60" t="str">
        <x:v>Athena Balance 2026</x:v>
      </x:c>
      <x:c r="C91" s="60" t="str">
        <x:v>https://store.athenaag.com/balance/</x:v>
      </x:c>
      <x:c r="D91" s="60" t="str">
        <x:v>RO-Puffer/pH-Anhebung; keine universelle Application Rate auf Produktseite; nicht für elektronische Dosiersysteme empfohlen</x:v>
      </x:c>
    </x:row>
    <x:row r="92">
      <x:c r="A92" s="60" t="str">
        <x:v>A Hersteller</x:v>
      </x:c>
      <x:c r="B92" s="60" t="str">
        <x:v>Athena Water Conditioners</x:v>
      </x:c>
      <x:c r="C92" s="60" t="str">
        <x:v>https://www.athenaag.com/water-conditioners</x:v>
      </x:c>
      <x:c r="D92" s="60" t="str">
        <x:v>Balance vor Dünger; Blended Balance aus löslichem Kaliumsilikat</x:v>
      </x:c>
    </x:row>
    <x:row r="93">
      <x:c r="A93" s="60" t="str">
        <x:v>A Hersteller</x:v>
      </x:c>
      <x:c r="B93" s="60" t="str">
        <x:v>AN Voodoo Juice 2026</x:v>
      </x:c>
      <x:c r="C93" s="60" t="str">
        <x:v>https://www.advancednutrients.com/de/products/voodoo-juice/</x:v>
      </x:c>
      <x:c r="D93" s="60" t="str">
        <x:v>2 ml/L Woche 1–2 Wachstum und Blüte; Coco/Hydro beworben</x:v>
      </x:c>
    </x:row>
    <x:row r="94">
      <x:c r="A94" s="60" t="str">
        <x:v>A Primärliteratur</x:v>
      </x:c>
      <x:c r="B94" s="60" t="str">
        <x:v>Cannabis RH 2025</x:v>
      </x:c>
      <x:c r="C94" s="60" t="str">
        <x:v>https://www.frontiersin.org/journals/plant-science/articles/10.3389/fpls.2025.1678142/full</x:v>
      </x:c>
      <x:c r="D94" s="60" t="str">
        <x:v>78–98% RH schadete in einem CBD-dominanten Klon; 37–58% Kontrolle ausdrücklich nicht als Optimum</x:v>
      </x:c>
    </x:row>
    <x:row r="95">
      <x:c r="A95" s="60" t="str">
        <x:v>A Primärliteratur</x:v>
      </x:c>
      <x:c r="B95" s="60" t="str">
        <x:v>Autoflower flowering genetics 2026</x:v>
      </x:c>
      <x:c r="C95" s="60" t="str">
        <x:v>https://pubmed.ncbi.nlm.nih.gov/42168298/</x:v>
      </x:c>
      <x:c r="D95" s="60" t="str">
        <x:v>autoflowering accessions phenotypically/genetically consistent with photoperiod insensitivity</x:v>
      </x:c>
    </x:row>
    <x:row r="96">
      <x:c r="A96" s="60" t="str">
        <x:v>A Primärliteratur</x:v>
      </x:c>
      <x:c r="B96" s="60" t="str">
        <x:v>Preharvest flushing 2024</x:v>
      </x:c>
      <x:c r="C96" s="60" t="str">
        <x:v>https://doi.org/10.1016/j.indcrop.2024.119157</x:v>
      </x:c>
      <x:c r="D96" s="60" t="str">
        <x:v>Flushing vs continued nutrition: überwiegend geringe/cultivarabhängige Effekte; keine universelle Qualitätsgarantie</x:v>
      </x:c>
    </x:row>
    <x:row r="97">
      <x:c r="A97" s="60" t="str">
        <x:v>A Primärliteratur</x:v>
      </x:c>
      <x:c r="B97" s="60" t="str">
        <x:v>Organic coir N-rate context 2017</x:v>
      </x:c>
      <x:c r="C97" s="60" t="str">
        <x:v>https://doi.org/10.21273/HORTSCI12401-17</x:v>
      </x:c>
      <x:c r="D97" s="60" t="str">
        <x:v>212–261/283 mg N/L gilt für konkrete organische Formulierung/Substrate/Cultivar; nicht universell übertragen</x:v>
      </x:c>
    </x:row>
    <x:row r="98">
      <x:c r="A98" t="str">
        <x:v>Audit metadata</x:v>
      </x:c>
      <x:c r="B98" t="str">
        <x:v>Primary-source freshness</x:v>
      </x:c>
      <x:c r="C98" t="str">
        <x:v>2026-08-08</x:v>
      </x:c>
      <x:c r="D98" t="str">
        <x:v>Law/manufacturer pages rechecked during v6 evidence audit.</x:v>
      </x:c>
    </x:row>
    <x:row r="99">
      <x:c r="A99" t="str">
        <x:v>Method</x:v>
      </x:c>
      <x:c r="B99" t="str">
        <x:v>Conflict resolution</x:v>
      </x:c>
      <x:c r="C99" t="str">
        <x:v>Primary law/manufacturer/peer-reviewed literature &gt; secondary synthesis &gt; community experience</x:v>
      </x:c>
      <x:c r="D99" t="str">
        <x:v>Community evidence is used for failure-mode discovery, not as canonical dosing authority.</x:v>
      </x:c>
    </x:row>
    <x:row r="100">
      <x:c r="A100" s="60" t="str">
        <x:v>A-MFR</x:v>
      </x:c>
      <x:c r="B100" s="60" t="str">
        <x:v>HESI</x:v>
      </x:c>
      <x:c r="C100" s="60" t="str">
        <x:v>StarterBox Coco</x:v>
      </x:c>
      <x:c r="D100" s="60" t="str">
        <x:v>2026-08-09</x:v>
      </x:c>
      <x:c r="E100" s="60" t="str">
        <x:v>https://hesi.nl/de/StarterBox</x:v>
      </x:c>
      <x:c r="F100" s="60" t="str">
        <x:v>Coco box includes Root Complex, SuperVit, PowerZyme, TNT, HESI Coco, PK, Boost.</x:v>
      </x:c>
    </x:row>
    <x:row r="101">
      <x:c r="A101" s="60" t="str">
        <x:v>A-MFR</x:v>
      </x:c>
      <x:c r="B101" s="60" t="str">
        <x:v>HESI</x:v>
      </x:c>
      <x:c r="C101" s="60" t="str">
        <x:v>Wurzel Complex</x:v>
      </x:c>
      <x:c r="D101" s="60" t="str">
        <x:v>2026-08-09</x:v>
      </x:c>
      <x:c r="E101" s="60" t="str">
        <x:v>https://hesi.nl/de/Wurzel-Complex</x:v>
      </x:c>
      <x:c r="F101" s="60" t="str">
        <x:v>50 ml/10 L; half for frequent/long-term use; compatible with fertilizers/boosters.</x:v>
      </x:c>
    </x:row>
    <x:row r="102">
      <x:c r="A102" s="60" t="str">
        <x:v>A-MFR</x:v>
      </x:c>
      <x:c r="B102" s="60" t="str">
        <x:v>HESI</x:v>
      </x:c>
      <x:c r="C102" s="60" t="str">
        <x:v>PowerZyme</x:v>
      </x:c>
      <x:c r="D102" s="60" t="str">
        <x:v>2026-08-09</x:v>
      </x:c>
      <x:c r="E102" s="60" t="str">
        <x:v>https://hesi.nl/de/PowerZyme</x:v>
      </x:c>
      <x:c r="F102" s="60" t="str">
        <x:v>20 ml/10 L; continuous use through plant life-cycle.</x:v>
      </x:c>
    </x:row>
    <x:row r="103">
      <x:c r="A103" s="60" t="str">
        <x:v>A-MFR</x:v>
      </x:c>
      <x:c r="B103" s="60" t="str">
        <x:v>HESI</x:v>
      </x:c>
      <x:c r="C103" s="60" t="str">
        <x:v>SuperVit</x:v>
      </x:c>
      <x:c r="D103" s="60" t="str">
        <x:v>2026-08-09</x:v>
      </x:c>
      <x:c r="E103" s="60" t="str">
        <x:v>https://hesi.nl/de/SUPERVIT</x:v>
      </x:c>
      <x:c r="F103" s="60" t="str">
        <x:v>Every watering/spraying; 1 ml/65 L.</x:v>
      </x:c>
    </x:row>
    <x:row r="104">
      <x:c r="A104" s="60" t="str">
        <x:v>A-MFR</x:v>
      </x:c>
      <x:c r="B104" s="60" t="str">
        <x:v>HESI</x:v>
      </x:c>
      <x:c r="C104" s="60" t="str">
        <x:v>Boost</x:v>
      </x:c>
      <x:c r="D104" s="60" t="str">
        <x:v>2026-08-09</x:v>
      </x:c>
      <x:c r="E104" s="60" t="str">
        <x:v>https://hesi.nl/de/Boost</x:v>
      </x:c>
      <x:c r="F104" s="60" t="str">
        <x:v>20 ml/10 L regularly; sugars/extracts + PK 1-1.</x:v>
      </x:c>
    </x:row>
    <x:row r="105">
      <x:c r="A105" s="60" t="str">
        <x:v>A-MFR</x:v>
      </x:c>
      <x:c r="B105" s="60" t="str">
        <x:v>HESI</x:v>
      </x:c>
      <x:c r="C105" s="60" t="str">
        <x:v>PK 13/14</x:v>
      </x:c>
      <x:c r="D105" s="60" t="str">
        <x:v>2026-08-09</x:v>
      </x:c>
      <x:c r="E105" s="60" t="str">
        <x:v>https://hesi.nl/de/PK-13-14</x:v>
      </x:c>
      <x:c r="F105" s="60" t="str">
        <x:v>2.5-15 ml/10 L, gradual second half bloom; pure water final week.</x:v>
      </x:c>
    </x:row>
    <x:row r="106">
      <x:c r="A106" s="60" t="str">
        <x:v>A-MFR</x:v>
      </x:c>
      <x:c r="B106" s="60" t="str">
        <x:v>AN</x:v>
      </x:c>
      <x:c r="C106" s="60" t="str">
        <x:v>Voodoo Juice</x:v>
      </x:c>
      <x:c r="D106" s="60" t="str">
        <x:v>2026-08-09</x:v>
      </x:c>
      <x:c r="E106" s="60" t="str">
        <x:v>https://www.advancednutrients.com/de/products/voodoo-juice/</x:v>
      </x:c>
      <x:c r="F106" s="60" t="str">
        <x:v>2 ml/L schedule; explicit competitor-base compatibility.</x:v>
      </x:c>
    </x:row>
    <x:row r="107">
      <x:c r="A107" s="60" t="str">
        <x:v>A-MFR</x:v>
      </x:c>
      <x:c r="B107" s="60" t="str">
        <x:v>AN</x:v>
      </x:c>
      <x:c r="C107" s="60" t="str">
        <x:v>Piranha</x:v>
      </x:c>
      <x:c r="D107" s="60" t="str">
        <x:v>2026-08-09</x:v>
      </x:c>
      <x:c r="E107" s="60" t="str">
        <x:v>https://www.advancednutrients.com/de/products/piranha/</x:v>
      </x:c>
      <x:c r="F107" s="60" t="str">
        <x:v>2 ml/L G1-G2/B1-B2; competitor-compatible.</x:v>
      </x:c>
    </x:row>
    <x:row r="108">
      <x:c r="A108" s="60" t="str">
        <x:v>A-MFR</x:v>
      </x:c>
      <x:c r="B108" s="60" t="str">
        <x:v>AN</x:v>
      </x:c>
      <x:c r="C108" s="60" t="str">
        <x:v>Tarantula</x:v>
      </x:c>
      <x:c r="D108" s="60" t="str">
        <x:v>2026-08-09</x:v>
      </x:c>
      <x:c r="E108" s="60" t="str">
        <x:v>https://www.advancednutrients.com/de/products/tarantula/</x:v>
      </x:c>
      <x:c r="F108" s="60" t="str">
        <x:v>2 ml/L G1-G2/B1-B2; competitor-compatible.</x:v>
      </x:c>
    </x:row>
    <x:row r="109">
      <x:c r="A109" s="60" t="str">
        <x:v>A-MFR</x:v>
      </x:c>
      <x:c r="B109" s="60" t="str">
        <x:v>AN</x:v>
      </x:c>
      <x:c r="C109" s="60" t="str">
        <x:v>B-52</x:v>
      </x:c>
      <x:c r="D109" s="60" t="str">
        <x:v>2026-08-09</x:v>
      </x:c>
      <x:c r="E109" s="60" t="str">
        <x:v>https://www.advancednutrients.com/de/products/b-52/</x:v>
      </x:c>
      <x:c r="F109" s="60" t="str">
        <x:v>B-vitamin/kelp/humic; competitor-compatible.</x:v>
      </x:c>
    </x:row>
    <x:row r="110">
      <x:c r="A110" s="60" t="str">
        <x:v>A-MFR</x:v>
      </x:c>
      <x:c r="B110" s="60" t="str">
        <x:v>AN</x:v>
      </x:c>
      <x:c r="C110" s="60" t="str">
        <x:v>Bud Candy</x:v>
      </x:c>
      <x:c r="D110" s="60" t="str">
        <x:v>2026-08-09</x:v>
      </x:c>
      <x:c r="E110" s="60" t="str">
        <x:v>https://www.advancednutrients.com/de/products/bud-candy/</x:v>
      </x:c>
      <x:c r="F110" s="60" t="str">
        <x:v>Carbohydrate + Mg; competitor-compatible.</x:v>
      </x:c>
    </x:row>
    <x:row r="111">
      <x:c r="A111" s="60" t="str">
        <x:v>A-MFR</x:v>
      </x:c>
      <x:c r="B111" s="60" t="str">
        <x:v>AN</x:v>
      </x:c>
      <x:c r="C111" s="60" t="str">
        <x:v>Sensizym</x:v>
      </x:c>
      <x:c r="D111" s="60" t="str">
        <x:v>2026-08-09</x:v>
      </x:c>
      <x:c r="E111" s="60" t="str">
        <x:v>https://www.advancednutrients.com/de/products/sensizym/</x:v>
      </x:c>
      <x:c r="F111" s="60" t="str">
        <x:v>Enzyme conditioner; competitor-compatible.</x:v>
      </x:c>
    </x:row>
    <x:row r="112">
      <x:c r="A112" s="60" t="str">
        <x:v>A-MFR</x:v>
      </x:c>
      <x:c r="B112" s="60" t="str">
        <x:v>AN</x:v>
      </x:c>
      <x:c r="C112" s="60" t="str">
        <x:v>Rhino Skin</x:v>
      </x:c>
      <x:c r="D112" s="60" t="str">
        <x:v>2026-08-09</x:v>
      </x:c>
      <x:c r="E112" s="60" t="str">
        <x:v>https://www.advancednutrients.com/de/products/rhino-skin/</x:v>
      </x:c>
      <x:c r="F112" s="60" t="str">
        <x:v>2 ml/L grow/B1-B7; potassium silicate; competitor-compatible.</x:v>
      </x:c>
    </x:row>
    <x:row r="113">
      <x:c r="A113" s="60" t="str">
        <x:v>A-MFR</x:v>
      </x:c>
      <x:c r="B113" s="60" t="str">
        <x:v>AN</x:v>
      </x:c>
      <x:c r="C113" s="60" t="str">
        <x:v>Bud Ignitor</x:v>
      </x:c>
      <x:c r="D113" s="60" t="str">
        <x:v>2026-08-09</x:v>
      </x:c>
      <x:c r="E113" s="60" t="str">
        <x:v>https://www.advancednutrients.com/de/products/bud-ignitor/</x:v>
      </x:c>
      <x:c r="F113" s="60" t="str">
        <x:v>2 ml/L B1-B2; PK/kelp; competitor-compatible.</x:v>
      </x:c>
    </x:row>
    <x:row r="114">
      <x:c r="A114" s="60" t="str">
        <x:v>A-MFR</x:v>
      </x:c>
      <x:c r="B114" s="60" t="str">
        <x:v>AN</x:v>
      </x:c>
      <x:c r="C114" s="60" t="str">
        <x:v>Big Bud</x:v>
      </x:c>
      <x:c r="D114" s="60" t="str">
        <x:v>2026-08-09</x:v>
      </x:c>
      <x:c r="E114" s="60" t="str">
        <x:v>https://www.advancednutrients.com/de/products/big-bud/</x:v>
      </x:c>
      <x:c r="F114" s="60" t="str">
        <x:v>2 ml/L B2-B5; PK; competitor-compatible.</x:v>
      </x:c>
    </x:row>
    <x:row r="115">
      <x:c r="A115" s="60" t="str">
        <x:v>A-MFR</x:v>
      </x:c>
      <x:c r="B115" s="60" t="str">
        <x:v>AN</x:v>
      </x:c>
      <x:c r="C115" s="60" t="str">
        <x:v>Overdrive</x:v>
      </x:c>
      <x:c r="D115" s="60" t="str">
        <x:v>2026-08-09</x:v>
      </x:c>
      <x:c r="E115" s="60" t="str">
        <x:v>https://www.advancednutrients.com/de/products/overdrive/</x:v>
      </x:c>
      <x:c r="F115" s="60" t="str">
        <x:v>2 ml/L B6-B7; NPK 1-5-4; competitor-compatible.</x:v>
      </x:c>
    </x:row>
    <x:row r="116">
      <x:c r="A116" s="60" t="str">
        <x:v>A-MFR</x:v>
      </x:c>
      <x:c r="B116" s="60" t="str">
        <x:v>AN</x:v>
      </x:c>
      <x:c r="C116" s="60" t="str">
        <x:v>Bud Factor X</x:v>
      </x:c>
      <x:c r="D116" s="60" t="str">
        <x:v>2026-08-09</x:v>
      </x:c>
      <x:c r="E116" s="60" t="str">
        <x:v>https://www.advancednutrients.com/products/bud-factor-x/</x:v>
      </x:c>
      <x:c r="F116" s="60" t="str">
        <x:v>2 ml/L label; competitor-compatible; efficacy claims remain manufacturer claims.</x:v>
      </x:c>
    </x:row>
    <x:row r="117">
      <x:c r="A117" s="60" t="str">
        <x:v>A-MFR</x:v>
      </x:c>
      <x:c r="B117" s="60" t="str">
        <x:v>AN</x:v>
      </x:c>
      <x:c r="C117" s="60" t="str">
        <x:v>Tasty Terpenes</x:v>
      </x:c>
      <x:c r="D117" s="60" t="str">
        <x:v>2026-08-09</x:v>
      </x:c>
      <x:c r="E117" s="60" t="str">
        <x:v>https://www.advancednutrients.com/de/products/tasty-terpenes/</x:v>
      </x:c>
      <x:c r="F117" s="60" t="str">
        <x:v>Current product; formerly Nirvana; 2 ml/L windows; competitor-compatible.</x:v>
      </x:c>
    </x:row>
    <x:row r="118">
      <x:c r="A118" s="60" t="str">
        <x:v>A-MFR</x:v>
      </x:c>
      <x:c r="B118" s="60" t="str">
        <x:v>AN</x:v>
      </x:c>
      <x:c r="C118" s="60" t="str">
        <x:v>Sensi Cal Mag Xtra</x:v>
      </x:c>
      <x:c r="D118" s="60" t="str">
        <x:v>2026-08-09</x:v>
      </x:c>
      <x:c r="E118" s="60" t="str">
        <x:v>https://www.advancednutrients.com/de/products/sensi-cal-mag-xtra/</x:v>
      </x:c>
      <x:c r="F118" s="60" t="str">
        <x:v>2 ml/L conditional; competitor-compatible.</x:v>
      </x:c>
    </x:row>
    <x:row r="119">
      <x:c r="A119" s="60" t="str">
        <x:v>A-MFR</x:v>
      </x:c>
      <x:c r="B119" s="60" t="str">
        <x:v>AN</x:v>
      </x:c>
      <x:c r="C119" s="60" t="str">
        <x:v>Revive</x:v>
      </x:c>
      <x:c r="D119" s="60" t="str">
        <x:v>2026-08-09</x:v>
      </x:c>
      <x:c r="E119" s="60" t="str">
        <x:v>https://www.advancednutrients.com/de/products/revive/</x:v>
      </x:c>
      <x:c r="F119" s="60" t="str">
        <x:v>Plant-aid/rescue; 5 ml/L deficiency treatment, 1 ml/L regular program per label; UKD uses diagnostic-only.</x:v>
      </x:c>
    </x:row>
    <x:row r="120">
      <x:c r="A120" s="60" t="str">
        <x:v>A-MFR</x:v>
      </x:c>
      <x:c r="B120" s="60" t="str">
        <x:v>AN</x:v>
      </x:c>
      <x:c r="C120" s="60" t="str">
        <x:v>Flawless Finish</x:v>
      </x:c>
      <x:c r="D120" s="60" t="str">
        <x:v>2026-08-09</x:v>
      </x:c>
      <x:c r="E120" s="60" t="str">
        <x:v>https://www.advancednutrients.com/de/products/flawless-finish/</x:v>
      </x:c>
      <x:c r="F120" s="60" t="str">
        <x:v>2 ml/L flush label; not UKD reference.</x:v>
      </x:c>
    </x:row>
    <x:row r="121">
      <x:c r="A121" t="str">
        <x:v>A-MFR</x:v>
      </x:c>
      <x:c r="B121" t="str">
        <x:v>AN</x:v>
      </x:c>
      <x:c r="C121" t="str">
        <x:v>Tarantula - Voodoo combination</x:v>
      </x:c>
      <x:c r="D121" t="str">
        <x:v>2026-08-10</x:v>
      </x:c>
      <x:c r="E121" t="str">
        <x:v>https://www.advancednutrients.com/de/products/tarantula/</x:v>
      </x:c>
      <x:c r="F121" t="str">
        <x:v>2 ml/L grow weeks 1-2 / bloom weeks 1-2; competitor-compatible; page explicitly recommends combining with Voodoo Juice.</x:v>
      </x:c>
    </x:row>
    <x:row r="122">
      <x:c r="A122" t="str">
        <x:v>A-MFR</x:v>
      </x:c>
      <x:c r="B122" t="str">
        <x:v>AN</x:v>
      </x:c>
      <x:c r="C122" t="str">
        <x:v>Voodoo Juice</x:v>
      </x:c>
      <x:c r="D122" t="str">
        <x:v>2026-08-10</x:v>
      </x:c>
      <x:c r="E122" t="str">
        <x:v>https://www.advancednutrients.com/products/voodoo-juice/</x:v>
      </x:c>
      <x:c r="F122" t="str">
        <x:v>Four Bacillus strains; competitor-base/supplement compatible.</x:v>
      </x:c>
    </x:row>
    <x:row r="123">
      <x:c r="A123" t="str">
        <x:v>A-MFR</x:v>
      </x:c>
      <x:c r="B123" t="str">
        <x:v>HESI</x:v>
      </x:c>
      <x:c r="C123" t="str">
        <x:v>Boost</x:v>
      </x:c>
      <x:c r="D123" t="str">
        <x:v>2026-08-10</x:v>
      </x:c>
      <x:c r="E123" t="str">
        <x:v>https://hesi.nl/de/Boost</x:v>
      </x:c>
      <x:c r="F123" t="str">
        <x:v>20 ml/10 L; regular bloom use; natural sugars/minerals/enzymes/fruit acids; can be combined with HESI fertilizers/boosters.</x:v>
      </x:c>
    </x:row>
    <x:row r="124">
      <x:c r="A124" t="str">
        <x:v>A-MFR</x:v>
      </x:c>
      <x:c r="B124" t="str">
        <x:v>Athena</x:v>
      </x:c>
      <x:c r="C124" t="str">
        <x:v>Balance</x:v>
      </x:c>
      <x:c r="D124" t="str">
        <x:v>2026-08-10</x:v>
      </x:c>
      <x:c r="E124" t="str">
        <x:v>https://store.athenaag.com/balance/</x:v>
      </x:c>
      <x:c r="F124" t="str">
        <x:v>Water conditioner/pH buffer, especially RO; no universal application instruction/rate shown.</x:v>
      </x:c>
    </x:row>
    <x:row r="125">
      <x:c r="A125" t="str">
        <x:v>A-MFR</x:v>
      </x:c>
      <x:c r="B125" t="str">
        <x:v>AN</x:v>
      </x:c>
      <x:c r="C125" t="str">
        <x:v>Sensi Cal Mag Xtra</x:v>
      </x:c>
      <x:c r="D125" t="str">
        <x:v>2026-08-10</x:v>
      </x:c>
      <x:c r="E125" t="str">
        <x:v>https://www.advancednutrients.com/de/products/sensi-cal-mag-xtra/</x:v>
      </x:c>
      <x:c r="F125" t="str">
        <x:v>2 ml/L label for deficiency/regular program; competitor-compatible.</x:v>
      </x:c>
    </x:row>
    <x:row r="126">
      <x:c r="A126" t="str">
        <x:v>A-MFR</x:v>
      </x:c>
      <x:c r="B126" t="str">
        <x:v>AN</x:v>
      </x:c>
      <x:c r="C126" t="str">
        <x:v>Tasty Terpenes</x:v>
      </x:c>
      <x:c r="D126" t="str">
        <x:v>2026-08-10</x:v>
      </x:c>
      <x:c r="E126" t="str">
        <x:v>https://www.advancednutrients.com/de/products/tasty-terpenes/</x:v>
      </x:c>
      <x:c r="F126" t="str">
        <x:v>Formerly Nirvana; K/kelp/alfalfa; competitor-compatible; 2 ml/L manufacturer windows.</x:v>
      </x:c>
    </x:row>
    <x:row r="127">
      <x:c r="A127" t="str">
        <x:v>A-MFR</x:v>
      </x:c>
      <x:c r="B127" t="str">
        <x:v>AN</x:v>
      </x:c>
      <x:c r="C127" t="str">
        <x:v>CarboLoad</x:v>
      </x:c>
      <x:c r="D127" t="str">
        <x:v>2026-08-10</x:v>
      </x:c>
      <x:c r="E127" t="str">
        <x:v>https://www.advancednutrients.com/de/secret-menu/carboload/</x:v>
      </x:c>
      <x:c r="F127" t="str">
        <x:v>Carbohydrate/microbe-feed path; 2 ml/L manufacturer chart; legacy/secret-menu product.</x:v>
      </x:c>
    </x:row>
    <x:row r="128">
      <x:c r="A128" t="str">
        <x:v>SETUP</x:v>
      </x:c>
      <x:c r="B128" t="str">
        <x:v>User inventory</x:v>
      </x:c>
      <x:c r="C128" t="str">
        <x:v>Photo + explicit inventory</x:v>
      </x:c>
      <x:c r="D128" t="str">
        <x:v>2026-08-10</x:v>
      </x:c>
      <x:c r="E128" t="str">
        <x:v>user-supplied images</x:v>
      </x:c>
      <x:c r="F128" t="str">
        <x:v>Owned products used only as setup facts; availability is not evidence of efficacy or need.</x:v>
      </x:c>
    </x:row>
  </x:sheetData>
  <x:pageMargins left="0.7" right="0.7" top="0.75" bottom="0.75" header="0.3" footer="0.3"/>
</x:worksheet>
</file>

<file path=xl/worksheets/sheet24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90" hidden="0" customWidth="1"/>
  </x:cols>
  <x:sheetData>
    <x:row r="1">
      <x:c r="A1" s="1214" t="str">
        <x:v>UKD Masterplan — Bedienung, Evidenz und Grenzen</x:v>
      </x:c>
      <x:c r="B1" s="1214"/>
      <x:c r="C1" s="1214"/>
      <x:c r="D1" s="1214"/>
      <x:c r="E1" s="1214"/>
      <x:c r="F1" s="1214"/>
      <x:c r="G1" s="1214"/>
      <x:c r="H1" s="1214"/>
    </x:row>
    <x:row r="3">
      <x:c r="A3" s="1416" t="str">
        <x:v>Punkt</x:v>
      </x:c>
      <x:c r="B3" s="1417" t="str">
        <x:v>AUDITIERTE REGEL</x:v>
      </x:c>
    </x:row>
    <x:row r="4">
      <x:c r="A4" s="1191" t="str">
        <x:v>1</x:v>
      </x:c>
      <x:c r="B4" s="1192" t="str">
        <x:v>Der Plan ist ein Start-/Regelrahmen, keine Ertrags-, Labor- oder Optimierungs-Garantie.</x:v>
      </x:c>
    </x:row>
    <x:row r="5">
      <x:c r="A5" s="1156" t="str">
        <x:v>2</x:v>
      </x:c>
      <x:c r="B5" s="1193" t="str">
        <x:v>PPFD/DLI, Blattzustand, Temperatur, Wasseraufnahme, Input-/Runoff-EC, pH und Wasserchemie haben Vorrang vor Watt, Lampenabstand und ml/L.</x:v>
      </x:c>
    </x:row>
    <x:row r="6">
      <x:c r="A6" s="1156" t="str">
        <x:v>3</x:v>
      </x:c>
      <x:c r="B6" s="1193" t="str">
        <x:v>Nährstoffstart und Blüte-Trigger werden in 01_Run_Config gesetzt; Fütterungsfenster folgen diesen Triggern. Klima/Licht bleiben eine konservative Plantrajektorie.</x:v>
      </x:c>
    </x:row>
    <x:row r="7">
      <x:c r="A7" s="1156" t="str">
        <x:v>4</x:v>
      </x:c>
      <x:c r="B7" s="1193" t="str">
        <x:v>Leaf-VPD wird aus Lufttemperatur, LF und konfigurierbarem Blatt-ΔT geschätzt. IR-Blatttemperatur ist besser als eine feste ΔT-Annahme.</x:v>
      </x:c>
    </x:row>
    <x:row r="8">
      <x:c r="A8" s="1156" t="str">
        <x:v>5</x:v>
      </x:c>
      <x:c r="B8" s="1193" t="str">
        <x:v>Athena Balance ist pH+ / Water Conditioner / Kaliumsilikat. Sie ist kein pH-Down und kein pH-Perfect-Additiv.</x:v>
      </x:c>
    </x:row>
    <x:row r="9">
      <x:c r="A9" s="1156" t="str">
        <x:v>6</x:v>
      </x:c>
      <x:c r="B9" s="1193" t="str">
        <x:v>pH Perfect ist eine Eigenschaft abgestimmter AN-Basislinien. Bei Fremdprodukten ist die Hersteller-pH-Garantie nicht gegeben.</x:v>
      </x:c>
    </x:row>
    <x:row r="10">
      <x:c r="A10" s="1156" t="str">
        <x:v>7</x:v>
      </x:c>
      <x:c r="B10" s="1193" t="str">
        <x:v>Tropf-Blumat ist vom Hersteller nicht für Innenräume freigegeben und deshalb nicht mehr UKD-Reference. Blatt 09 ist Risiko-/Legacy-Dokumentation.</x:v>
      </x:c>
    </x:row>
    <x:row r="11">
      <x:c r="A11" s="1156" t="str">
        <x:v>8</x:v>
      </x:c>
      <x:c r="B11" s="1193" t="str">
        <x:v>Communityberichte sind C-Evidenz/qualitative Praxis, außer eine reproduzierbare unabhängige Datenbasis liegt tatsächlich vor.</x:v>
      </x:c>
    </x:row>
    <x:row r="12">
      <x:c r="A12" s="1156" t="str">
        <x:v>9</x:v>
      </x:c>
      <x:c r="B12" s="1193" t="str">
        <x:v>K/P/Ca/Mg-Wechselwirkungen sind cultivar- und systemabhängig; keine Antagonismusregel als starre universelle Dosierformel verwenden.</x:v>
      </x:c>
    </x:row>
    <x:row r="13">
      <x:c r="A13" s="1156" t="str">
        <x:v>10</x:v>
      </x:c>
      <x:c r="B13" s="1193" t="str">
        <x:v>Grand-Master-Hybrid-Dosen sind nicht wissenschaftlich validiert. Ein Zusatz pro A/B-Pilot, keine Vollstack-Kaskade im Reference-Run.</x:v>
      </x:c>
    </x:row>
    <x:row r="14">
      <x:c r="A14" s="1156" t="str">
        <x:v>11</x:v>
      </x:c>
      <x:c r="B14" s="1193" t="str">
        <x:v>Seed-grown Autoflower-A/B-Runs sind N-of-1-/Quasi-Experimente; dieselbe Sorte bedeutet nicht denselben Genotyp.</x:v>
      </x:c>
    </x:row>
    <x:row r="15">
      <x:c r="A15" s="1158" t="str">
        <x:v>12</x:v>
      </x:c>
      <x:c r="B15" s="1195" t="str">
        <x:v>Energieeffizienz wird bevorzugt als g/kWh Licht dokumentiert, nicht nur als g/W Maximalleistung.</x:v>
      </x:c>
    </x:row>
    <x:row r="17">
      <x:c r="A17" s="1487" t="str">
        <x:v>Audit-Korrektur</x:v>
      </x:c>
      <x:c r="B17" s="1488" t="str">
        <x:v>Bedeutung</x:v>
      </x:c>
    </x:row>
    <x:row r="18">
      <x:c r="A18" s="1191" t="str">
        <x:v>Athena Balance</x:v>
      </x:c>
      <x:c r="B18" s="1192" t="str">
        <x:v>Dosis ist wasser-/pH-abhängig; bei aktivem Balance sind Hesilicio/Rhino Skin nicht Standard.</x:v>
      </x:c>
    </x:row>
    <x:row r="19">
      <x:c r="A19" s="1156" t="str">
        <x:v>Wasserchemie</x:v>
      </x:c>
      <x:c r="B19" s="1193" t="str">
        <x:v>Ca, Mg und HCO3/Alkalinität wurden als fehlende Kerninputs ergänzt; pH und EC allein reichen nicht.</x:v>
      </x:c>
    </x:row>
    <x:row r="20">
      <x:c r="A20" s="1156" t="str">
        <x:v>pH Down</x:v>
      </x:c>
      <x:c r="B20" s="1193" t="str">
        <x:v>erst final nach komplettem Nährstoffmix, nur wenn End-pH zu hoch; Konzentration/Produkt bestimmen tatsächliche Dosis.</x:v>
      </x:c>
    </x:row>
    <x:row r="21">
      <x:c r="A21" s="1156" t="str">
        <x:v>Grand Master</x:v>
      </x:c>
      <x:c r="B21" s="1193" t="str">
        <x:v>alle 13 klassischen Produkte bleiben dokumentiert, aber der alte Levelname ist Händler-/Legacy-Taxonomie, keine wissenschaftliche Qualitätsstufe.</x:v>
      </x:c>
    </x:row>
    <x:row r="22">
      <x:c r="A22" s="1156" t="str">
        <x:v>Biologischer Trigger</x:v>
      </x:c>
      <x:c r="B22" s="1193" t="str">
        <x:v>Bloommodule werden relativ zum konfigurierten Blüte-Trigger geführt.</x:v>
      </x:c>
    </x:row>
    <x:row r="23">
      <x:c r="A23" s="1156" t="str">
        <x:v>VPD</x:v>
      </x:c>
      <x:c r="B23" s="1193" t="str">
        <x:v>frühere harte VPD-Werte waren ohne Blatt-ΔT-Annahme unvollständig; jetzt als Leaf-VPD est. berechnet.</x:v>
      </x:c>
    </x:row>
    <x:row r="24">
      <x:c r="A24" s="1156" t="str">
        <x:v>Trocknung</x:v>
      </x:c>
      <x:c r="B24" s="1193" t="str">
        <x:v>18–20°C/55–60% LF ist Praxisrahmen, kein universelles Optimum; water activity (aw) wurde als besserer Endpunkt ergänzt.</x:v>
      </x:c>
    </x:row>
    <x:row r="25">
      <x:c r="A25" s="1158" t="str">
        <x:v>Auditstatus</x:v>
      </x:c>
      <x:c r="B25" s="1195" t="str">
        <x:v>Details und jede wesentliche Korrektur: 26_Audit_Report.</x:v>
      </x:c>
    </x:row>
    <x:row r="27">
      <x:c r="A27" s="1650" t="str">
        <x:v>Zusatz-Audit</x:v>
      </x:c>
      <x:c r="B27" s="1650" t="str">
        <x:v>Korrektur</x:v>
      </x:c>
    </x:row>
    <x:row r="28">
      <x:c r="A28" s="1154" t="str">
        <x:v>HESI Planmodus</x:v>
      </x:c>
      <x:c r="B28" s="1205" t="str">
        <x:v>Der operative Stack heißt jetzt 'UKD HESI Conservative'. TNT/Coco/PowerZyme/Boost verwenden teils bewusst reduzierte Dosis-/Cadencewerte gegenüber dem HESI-Label.</x:v>
      </x:c>
    </x:row>
    <x:row r="29">
      <x:c r="A29" s="1156" t="str">
        <x:v>PowerZyme / Boost</x:v>
      </x:c>
      <x:c r="B29" s="1193" t="str">
        <x:v>Hersteller: PowerZyme 2 ml/L durchgängig; Boost 2 ml/L regelmäßig/fortlaufend in der Blüte. UKD-Wochenfeeds sind ein unvalidierter konservativer Pilot.</x:v>
      </x:c>
    </x:row>
    <x:row r="30">
      <x:c r="A30" s="1158" t="str">
        <x:v>Automation</x:v>
      </x:c>
      <x:c r="B30" s="1195" t="str">
        <x:v>Alle alten operativen Blumat-Verweise wurden auf generische Bewässerung/indoor-freigegebene Automation bereinigt.</x:v>
      </x:c>
    </x:row>
    <x:row r="31">
      <x:c r="A31" s="60"/>
      <x:c r="B31" s="60"/>
    </x:row>
    <x:row r="32">
      <x:c r="A32" s="60" t="str">
        <x:v>v6 Research-Integration</x:v>
      </x:c>
      <x:c r="B32" s="60" t="str">
        <x:v>Korrektur</x:v>
      </x:c>
    </x:row>
    <x:row r="33">
      <x:c r="A33" s="60" t="str">
        <x:v>Operative Zahlen</x:v>
      </x:c>
      <x:c r="B33" s="60" t="str">
        <x:v>pH 5.9, EC-Kurve, PPFD/DLI und Liter/Tag sind UKD-Arbeitswerte. Herstellerlabel, wissenschaftliche Bereiche und UKD-Heuristiken bleiben getrennt.</x:v>
      </x:c>
    </x:row>
    <x:row r="34">
      <x:c r="A34" s="60" t="str">
        <x:v>Bewässerungs-Liter</x:v>
      </x:c>
      <x:c r="B34" s="60" t="str">
        <x:v>Alle Literangaben sind Start-/Beobachtungsbänder, nicht zu erzwingende Dosen. Substratfeuchte/Topfmasse, Pflanze und Diagnose-Drain haben Vorrang.</x:v>
      </x:c>
    </x:row>
    <x:row r="35">
      <x:c r="A35" s="60" t="str">
        <x:v>Athena Balance</x:v>
      </x:c>
      <x:c r="B35" s="60" t="str">
        <x:v>Default AUS. Kein fester offizieller ml/L-Kalenderwert; bei unbekannter Wasserchemie wird die operative Mix-Dosis fail-closed auf 0 gesetzt.</x:v>
      </x:c>
    </x:row>
    <x:row r="36">
      <x:c r="A36" s="60" t="str">
        <x:v>Deep Research</x:v>
      </x:c>
      <x:c r="B36" s="60" t="str">
        <x:v>Synthesis-Ergebnisse werden nicht blind importiert. Falsche Lizenzpflicht, universelle RH-Zielbereiche, universelle N-mg/L-Optima und 12/12-Übertragung auf Autoflower wurden verworfen.</x:v>
      </x:c>
    </x:row>
    <x:row r="37">
      <x:c r="A37" s="60" t="str">
        <x:v>Recht</x:v>
      </x:c>
      <x:c r="B37" s="60" t="str">
        <x:v>Für privaten Eigenanbau im hier dokumentierten Rahmen gilt KCanG §§3,9,10; medizinisch-gewerbliche GACP/GMP-Regeln sind kein pauschaler Homegrow-Pflichtenblock.</x:v>
      </x:c>
    </x:row>
    <x:row r="38">
      <x:c r="A38" t="str">
        <x:v>Fail-closed rule</x:v>
      </x:c>
      <x:c r="B38" t="str">
        <x:v>Unknown water chemistry, contradictory sources, unsupported product rates or invalid trigger order may never silently produce a positive dosing instruction.</x:v>
      </x:c>
    </x:row>
    <x:row r="39">
      <x:c r="A39" t="str">
        <x:v>User-entered values</x:v>
      </x:c>
      <x:c r="B39" t="str">
        <x:v>Inputs are hypotheses/configuration, not validated facts. A user entry never promotes itself to an evidence-backed recommendation.</x:v>
      </x:c>
    </x:row>
    <x:row r="40">
      <x:c r="A40" t="str">
        <x:v>Community experience</x:v>
      </x:c>
      <x:c r="B40" t="str">
        <x:v>Used to identify recurring practical failure modes and usability hazards; cannot override law, manufacturer restrictions or stronger experimental evidence.</x:v>
      </x:c>
    </x:row>
    <x:row r="41">
      <x:c r="A41" t="str">
        <x:v>Source freshness</x:v>
      </x:c>
      <x:c r="B41" t="str">
        <x:v>Legal/manufacturer-dependent claims carry a review date and must be revalidated when a new release is built.</x:v>
      </x:c>
    </x:row>
    <x:row r="42">
      <x:c r="A42" s="1789" t="str">
        <x:v>v7 HESI + AN HYBRID INTEGRATION</x:v>
      </x:c>
      <x:c r="B42" s="1789"/>
      <x:c r="C42" s="1789"/>
      <x:c r="D42" s="1789"/>
      <x:c r="E42" s="1789"/>
      <x:c r="F42" s="1789"/>
    </x:row>
    <x:row r="43">
      <x:c r="A43" s="60" t="str">
        <x:v>Core</x:v>
      </x:c>
      <x:c r="B43" s="60" t="str">
        <x:v>HESI base/support remains canonical. Voodoo Juice is the only AN module enabled by default.</x:v>
      </x:c>
      <x:c r="C43" s="60"/>
      <x:c r="D43" s="60"/>
      <x:c r="E43" s="60"/>
      <x:c r="F43" s="60"/>
    </x:row>
    <x:row r="44">
      <x:c r="A44" s="60" t="str">
        <x:v>Compatibility</x:v>
      </x:c>
      <x:c r="B44" s="60" t="str">
        <x:v>AN's competitor-base compatibility is a technical compatibility statement, not proof of benefit in this exact HESI/UGro run.</x:v>
      </x:c>
      <x:c r="C44" s="60"/>
      <x:c r="D44" s="60"/>
      <x:c r="E44" s="60"/>
      <x:c r="F44" s="60"/>
    </x:row>
    <x:row r="45">
      <x:c r="A45" s="60" t="str">
        <x:v>Overlap rule</x:v>
      </x:c>
      <x:c r="B45" s="60" t="str">
        <x:v>Bud Candy replaces HESI Boost; Sensizym replaces PowerZyme; Rhino Skin replaces the selected Si path; AN bloom PK replaces HESI PK.</x:v>
      </x:c>
      <x:c r="C45" s="60"/>
      <x:c r="D45" s="60"/>
      <x:c r="E45" s="60"/>
      <x:c r="F45" s="60"/>
    </x:row>
    <x:row r="46">
      <x:c r="A46" s="60" t="str">
        <x:v>Optional microbiome</x:v>
      </x:c>
      <x:c r="B46" s="60" t="str">
        <x:v>Piranha/Tarantula only as explicit trio A/B module; more biological inputs = more confounding/redundancy.</x:v>
      </x:c>
      <x:c r="C46" s="60"/>
      <x:c r="D46" s="60"/>
      <x:c r="E46" s="60"/>
      <x:c r="F46" s="60"/>
    </x:row>
    <x:row r="47">
      <x:c r="A47" s="60" t="str">
        <x:v>Experimental</x:v>
      </x:c>
      <x:c r="B47" s="60" t="str">
        <x:v>B-52, Bud Factor X and Tasty Terpenes default OFF/A-B because incremental value over the HESI stack is not established.</x:v>
      </x:c>
      <x:c r="C47" s="60"/>
      <x:c r="D47" s="60"/>
      <x:c r="E47" s="60"/>
      <x:c r="F47" s="60"/>
    </x:row>
    <x:row r="48">
      <x:c r="A48" s="60" t="str">
        <x:v>Conditional</x:v>
      </x:c>
      <x:c r="B48" s="60" t="str">
        <x:v>CalMag depends on water chemistry; Sensi CalMag Xtra is an alternative source, not a universal add-on.</x:v>
      </x:c>
      <x:c r="C48" s="60"/>
      <x:c r="D48" s="60"/>
      <x:c r="E48" s="60"/>
      <x:c r="F48" s="60"/>
    </x:row>
    <x:row r="49">
      <x:c r="A49" s="60" t="str">
        <x:v>Rescue</x:v>
      </x:c>
      <x:c r="B49" s="60" t="str">
        <x:v>Revive is diagnostic-only and never calendar-driven.</x:v>
      </x:c>
      <x:c r="C49" s="60"/>
      <x:c r="D49" s="60"/>
      <x:c r="E49" s="60"/>
      <x:c r="F49" s="60"/>
    </x:row>
    <x:row r="50">
      <x:c r="A50" s="60" t="str">
        <x:v>Finish</x:v>
      </x:c>
      <x:c r="B50" s="60" t="str">
        <x:v>Flawless Finish is not UKD reference. HESI label/pure-water finish and independent flushing evidence are kept separate.</x:v>
      </x:c>
      <x:c r="C50" s="60"/>
      <x:c r="D50" s="60"/>
      <x:c r="E50" s="60"/>
      <x:c r="F50" s="60"/>
    </x:row>
    <x:row r="51">
      <x:c r="A51" s="60" t="str">
        <x:v>Coverage gate</x:v>
      </x:c>
      <x:c r="B51" s="60" t="str">
        <x:v>Every preset item must appear in Run Config, Daily Master and Mix Calculator with ACTIVE/ZERO/ALT/BLOCKED/EXPERIMENTAL state.</x:v>
      </x:c>
      <x:c r="C51" s="60"/>
      <x:c r="D51" s="60"/>
      <x:c r="E51" s="60"/>
      <x:c r="F51" s="60"/>
    </x:row>
    <x:row r="52">
      <x:c r="A52" s="60" t="str">
        <x:v>App import</x:v>
      </x:c>
      <x:c r="B52" s="60" t="str">
        <x:v>27_HESI_AN_Hybrid is the normalized handoff table for future UKD app ingestion.</x:v>
      </x:c>
      <x:c r="C52" s="60"/>
      <x:c r="D52" s="60"/>
      <x:c r="E52" s="60"/>
      <x:c r="F52" s="60"/>
    </x:row>
    <x:row r="53">
      <x:c r="A53" s="60" t="str">
        <x:v>Version</x:v>
      </x:c>
      <x:c r="B53" s="60" t="str">
        <x:v>Research reviewed 2026-08-09; re-check manufacturer labels before later releases.</x:v>
      </x:c>
      <x:c r="C53" s="60"/>
      <x:c r="D53" s="60"/>
      <x:c r="E53" s="60"/>
      <x:c r="F53" s="60"/>
    </x:row>
    <x:row r="55">
      <x:c r="A55" s="1801" t="str">
        <x:v>v8 OWNED-STOCK PRESET · 2026-08-10</x:v>
      </x:c>
      <x:c r="B55" s="1801"/>
      <x:c r="C55" s="1801"/>
      <x:c r="D55" s="1801"/>
      <x:c r="E55" s="1801"/>
      <x:c r="F55" s="1801"/>
    </x:row>
    <x:row r="56">
      <x:c r="A56" s="60" t="str">
        <x:v>Owned HESI core</x:v>
      </x:c>
      <x:c r="B56" s="60" t="str">
        <x:v>TNT, Coco, Wurzel Complex, PowerZyme, SuperVit, Boost, PK13/14 are the operational core.</x:v>
      </x:c>
      <x:c r="C56" s="60"/>
      <x:c r="D56" s="60"/>
      <x:c r="E56" s="60"/>
      <x:c r="F56" s="60"/>
    </x:row>
    <x:row r="57">
      <x:c r="A57" s="60" t="str">
        <x:v>Owned AN complement</x:v>
      </x:c>
      <x:c r="B57" s="60" t="str">
        <x:v>Voodoo Juice + Tarantula selected together in defined fresh UKD windows.</x:v>
      </x:c>
      <x:c r="C57" s="60"/>
      <x:c r="D57" s="60"/>
      <x:c r="E57" s="60"/>
      <x:c r="F57" s="60"/>
    </x:row>
    <x:row r="58">
      <x:c r="A58" s="60" t="str">
        <x:v>Preferred Si</x:v>
      </x:c>
      <x:c r="B58" s="60" t="str">
        <x:v>Athena Balance is selected because it is owned; remains conditional and fail-closed until pH/water baseline supports it.</x:v>
      </x:c>
      <x:c r="C58" s="60"/>
      <x:c r="D58" s="60"/>
      <x:c r="E58" s="60"/>
      <x:c r="F58" s="60"/>
    </x:row>
    <x:row r="59">
      <x:c r="A59" s="60" t="str">
        <x:v>CalMag</x:v>
      </x:c>
      <x:c r="B59" s="60" t="str">
        <x:v>Sensi Cal Mag Xtra is the owned source; dose remains 0 unless the explicit CalMag Plan is raised after water/diagnostic review.</x:v>
      </x:c>
      <x:c r="C59" s="60"/>
      <x:c r="D59" s="60"/>
      <x:c r="E59" s="60"/>
      <x:c r="F59" s="60"/>
    </x:row>
    <x:row r="60">
      <x:c r="A60" s="60" t="str">
        <x:v>Tasty Terpenes</x:v>
      </x:c>
      <x:c r="B60" s="60" t="str">
        <x:v>Owned but OFF in the reference run; use only as a future documented A/B module.</x:v>
      </x:c>
      <x:c r="C60" s="60"/>
      <x:c r="D60" s="60"/>
      <x:c r="E60" s="60"/>
      <x:c r="F60" s="60"/>
    </x:row>
    <x:row r="61">
      <x:c r="A61" s="60" t="str">
        <x:v>CarboLoad</x:v>
      </x:c>
      <x:c r="B61" s="60" t="str">
        <x:v>Tiny remainder; OFF. No repurchase recommended while HESI Boost is the preferred carbohydrate/biostim path.</x:v>
      </x:c>
      <x:c r="C61" s="60"/>
      <x:c r="D61" s="60"/>
      <x:c r="E61" s="60"/>
      <x:c r="F61" s="60"/>
    </x:row>
    <x:row r="62">
      <x:c r="A62" s="60" t="str">
        <x:v>Not owned / not needed</x:v>
      </x:c>
      <x:c r="B62" s="60" t="str">
        <x:v>Piranha, B-52, Bud Candy, Bud Factor X, Sensizym, Rhino Skin, Bud Ignitor, Big Bud, Overdrive are not purchase requirements for this run.</x:v>
      </x:c>
      <x:c r="C62" s="60"/>
      <x:c r="D62" s="60"/>
      <x:c r="E62" s="60"/>
      <x:c r="F62" s="60"/>
    </x:row>
    <x:row r="63">
      <x:c r="A63" s="60" t="str">
        <x:v>Principle</x:v>
      </x:c>
      <x:c r="B63" s="60" t="str">
        <x:v>Stock can choose between already-safe alternatives; it cannot create a dose, need, efficacy claim or bypass a safety gate.</x:v>
      </x:c>
      <x:c r="C63" s="60"/>
      <x:c r="D63" s="60"/>
      <x:c r="E63" s="60"/>
      <x:c r="F63" s="60"/>
    </x:row>
    <x:row r="64">
      <x:c r="A64" s="60" t="str">
        <x:v>Mix</x:v>
      </x:c>
      <x:c r="B64" s="60" t="str">
        <x:v>Athena first if gated; pH correction after complete mineral mix; Voodoo/Tarantula last after final pH adjustment.</x:v>
      </x:c>
      <x:c r="C64" s="60"/>
      <x:c r="D64" s="60"/>
      <x:c r="E64" s="60"/>
      <x:c r="F64" s="60"/>
    </x:row>
    <x:row r="65">
      <x:c r="A65" s="60" t="str">
        <x:v>App handoff</x:v>
      </x:c>
      <x:c r="B65" s="60" t="str">
        <x:v>Use sheet 28_Current_Inventory plus 27_HESI_AN_Hybrid as canonical preset/inventory import sources.</x:v>
      </x:c>
      <x:c r="C65" s="60"/>
      <x:c r="D65" s="60"/>
      <x:c r="E65" s="60"/>
      <x:c r="F65" s="60"/>
    </x:row>
    <x:row r="68">
      <x:c r="A68" s="2348" t="str">
        <x:v>v9 GOAL / PROBLEM / UX TRANSFORMATION · 2026-08-11</x:v>
      </x:c>
      <x:c r="B68" s="2348"/>
      <x:c r="C68" s="2348"/>
      <x:c r="D68" s="2348"/>
      <x:c r="E68" s="2348"/>
      <x:c r="F68" s="2348"/>
    </x:row>
    <x:row r="69">
      <x:c r="A69" s="60" t="str">
        <x:v>North Star</x:v>
      </x:c>
      <x:c r="B69" s="60" t="str">
        <x:v>In &lt;30 s: current state, missing measurement, allowed action, blocker, reason and logging step must be obvious.</x:v>
      </x:c>
      <x:c r="C69" s="60"/>
      <x:c r="D69" s="60"/>
      <x:c r="E69" s="60"/>
      <x:c r="F69" s="60"/>
    </x:row>
    <x:row r="70">
      <x:c r="A70" s="60" t="str">
        <x:v>Start Here</x:v>
      </x:c>
      <x:c r="B70" s="60" t="str">
        <x:v>00_Dashboard is now the operator entry point with Goal, Problem, 3-step flow, Today/Now, setup readiness and evidence legend.</x:v>
      </x:c>
      <x:c r="C70" s="60"/>
      <x:c r="D70" s="60"/>
      <x:c r="E70" s="60"/>
      <x:c r="F70" s="60"/>
    </x:row>
    <x:row r="71">
      <x:c r="A71" s="60" t="str">
        <x:v>Formula correction</x:v>
      </x:c>
      <x:c r="B71" s="60" t="str">
        <x:v>Daily formulas added in v7/v8 referenced AJ (GM Phase text) instead of AL (numeric Bloom-Tag). v9 corrects PowerZyme, HESI PK and all AN alternative-window formulas.</x:v>
      </x:c>
      <x:c r="C71" s="60"/>
      <x:c r="D71" s="60"/>
      <x:c r="E71" s="60"/>
      <x:c r="F71" s="60"/>
    </x:row>
    <x:row r="72">
      <x:c r="A72" s="60" t="str">
        <x:v>Propagation</x:v>
      </x:c>
      <x:c r="B72" s="60" t="str">
        <x:v>Eazy Plug Mini -&gt; Eazy Block Standard -&gt; UGro Rhiza Coco is now a first-class setup path. Day 4 is only the earliest feed reference, never a standalone authorization.</x:v>
      </x:c>
      <x:c r="C72" s="60"/>
      <x:c r="D72" s="60"/>
      <x:c r="E72" s="60"/>
      <x:c r="F72" s="60"/>
    </x:row>
    <x:row r="73">
      <x:c r="A73" s="60" t="str">
        <x:v>Eazy Plug</x:v>
      </x:c>
      <x:c r="B73" s="60" t="str">
        <x:v>Manufacturer reference: predetermined/buffered pH/EC; technical spec lists pH 5.9 and EC 1.0 mS/cm (1:1.5). No pre-correction of plug/block is required.</x:v>
      </x:c>
      <x:c r="C73" s="60"/>
      <x:c r="D73" s="60"/>
      <x:c r="E73" s="60"/>
      <x:c r="F73" s="60"/>
    </x:row>
    <x:row r="74">
      <x:c r="A74" s="60" t="str">
        <x:v>UGro Rhiza</x:v>
      </x:c>
      <x:c r="B74" s="60" t="str">
        <x:v>Product reference: true-buffered coco with Rhiza/endomycorrrhizae; pH/EC values are substrate specs, not irrigation targets.</x:v>
      </x:c>
      <x:c r="C74" s="60"/>
      <x:c r="D74" s="60"/>
      <x:c r="E74" s="60"/>
      <x:c r="F74" s="60"/>
    </x:row>
    <x:row r="75">
      <x:c r="A75" s="60" t="str">
        <x:v>App source correction</x:v>
      </x:c>
      <x:c r="B75" s="60" t="str">
        <x:v>Current archived App.tsx contains 12 routes, not 21. Setup and Log are not current routes and must be implemented before becoming Guided core navigation.</x:v>
      </x:c>
      <x:c r="C75" s="60"/>
      <x:c r="D75" s="60"/>
      <x:c r="E75" s="60"/>
      <x:c r="F75" s="60"/>
    </x:row>
    <x:row r="76">
      <x:c r="A76" s="60" t="str">
        <x:v>Version skew</x:v>
      </x:c>
      <x:c r="B76" s="60" t="str">
        <x:v>Current app package/runtime remains v6 while XLSX/PDF are newer. v9 marks a single release manifest + parity CI as P0.</x:v>
      </x:c>
      <x:c r="C76" s="60"/>
      <x:c r="D76" s="60"/>
      <x:c r="E76" s="60"/>
      <x:c r="F76" s="60"/>
    </x:row>
    <x:row r="77">
      <x:c r="A77" s="60" t="str">
        <x:v>Guided 2.0</x:v>
      </x:c>
      <x:c r="B77" s="60" t="str">
        <x:v>Target: 6 core routes, one prioritized action, inline definitions, persistent blockers; calculations and recommendations stay identical across lenses.</x:v>
      </x:c>
      <x:c r="C77" s="60"/>
      <x:c r="D77" s="60"/>
      <x:c r="E77" s="60"/>
      <x:c r="F77" s="60"/>
    </x:row>
    <x:row r="78">
      <x:c r="A78" s="60" t="str">
        <x:v>New sheets</x:v>
      </x:c>
      <x:c r="B78" s="60" t="str">
        <x:v>29_GOAL_PROBLEM, 30_APP_UX_PLAN, 31_FEED_SCHEMA, 32_GLOSSARY_STATES, 33_RELEASE_GATES.</x:v>
      </x:c>
      <x:c r="C78" s="60"/>
      <x:c r="D78" s="60"/>
      <x:c r="E78" s="60"/>
      <x:c r="F78" s="60"/>
    </x:row>
    <x:row r="79">
      <x:c r="A79" s="60" t="str">
        <x:v>Feed chart</x:v>
      </x:c>
      <x:c r="B79" s="60" t="str">
        <x:v>31_FEED_SCHEMA is derived from Daily Master after formula correction. 'Nd' means positive plan days, not forced irrigations.</x:v>
      </x:c>
      <x:c r="C79" s="60"/>
      <x:c r="D79" s="60"/>
      <x:c r="E79" s="60"/>
      <x:c r="F79" s="60"/>
    </x:row>
    <x:row r="80">
      <x:c r="A80" s="60" t="str">
        <x:v>Visual inspiration</x:v>
      </x:c>
      <x:c r="B80" s="60" t="str">
        <x:v>User-provided Advanced-Nutrients-style feed-chart examples are used only as layout inspiration; numeric content comes from UKD sources.</x:v>
      </x:c>
      <x:c r="C80" s="60"/>
      <x:c r="D80" s="60"/>
      <x:c r="E80" s="60"/>
      <x:c r="F80" s="60"/>
    </x:row>
    <x:row r="81">
      <x:c r="A81" s="60" t="str">
        <x:v>Release rule</x:v>
      </x:c>
      <x:c r="B81" s="60" t="str">
        <x:v>If Dashboard/Daily/Mix/PDF/App disagree, release is blocked. Fix the canonical source and regenerate; never reconcile manually.</x:v>
      </x:c>
      <x:c r="C81" s="60"/>
      <x:c r="D81" s="60"/>
      <x:c r="E81" s="60"/>
      <x:c r="F81" s="60"/>
    </x:row>
    <x:row r="82">
      <x:c r="A82" s="60" t="str">
        <x:v>App handoff</x:v>
      </x:c>
      <x:c r="B82" s="60" t="str">
        <x:v>Future app importer should consume v9 manifest + Run Config + Daily + Hybrid + Inventory + UX/state definitions, not legacy v6 snapshot.</x:v>
      </x:c>
      <x:c r="C82" s="60"/>
      <x:c r="D82" s="60"/>
      <x:c r="E82" s="60"/>
      <x:c r="F82" s="60"/>
    </x:row>
    <x:row r="84">
      <x:c r="A84" s="2367" t="str">
        <x:v>v10 CONTEXT HELP + VISUAL GUIDANCE · 2026-08-11</x:v>
      </x:c>
      <x:c r="B84" s="2367"/>
      <x:c r="C84" s="2367"/>
      <x:c r="D84" s="2367"/>
      <x:c r="E84" s="2367"/>
      <x:c r="F84" s="2367"/>
    </x:row>
    <x:row r="85">
      <x:c r="A85" s="60" t="str">
        <x:v>Plain-language terminology</x:v>
      </x:c>
      <x:c r="B85" s="60" t="str">
        <x:v>Operator views show understandable German first and technical abbreviation second, e.g. Nährsalzstärke (EC), Lichtstärke (PPFD), Tageslichtmenge (DLI), Luftfeuchtigkeit (rF), Trocknungsdruck (VPD).</x:v>
      </x:c>
      <x:c r="C85" s="60"/>
      <x:c r="D85" s="60"/>
      <x:c r="E85" s="60"/>
      <x:c r="F85" s="60"/>
    </x:row>
    <x:row r="86">
      <x:c r="A86" s="60" t="str">
        <x:v>Canonical keys</x:v>
      </x:c>
      <x:c r="B86" s="60" t="str">
        <x:v>Master-sheet headers are not globally renamed because they are part of formula/import contracts. Display labels are mapped in 34_CONTEXT_HELP_MAP.</x:v>
      </x:c>
      <x:c r="C86" s="60"/>
      <x:c r="D86" s="60"/>
      <x:c r="E86" s="60"/>
      <x:c r="F86" s="60"/>
    </x:row>
    <x:row r="87">
      <x:c r="A87" s="60" t="str">
        <x:v>Local help</x:v>
      </x:c>
      <x:c r="B87" s="60" t="str">
        <x:v>36_TODAY_OPERATOR, 37_SETUP_OPERATOR, 38_MIX_OPERATOR and 39_LOG_GUIDE include relevant definitions and direct pointers at the point of use.</x:v>
      </x:c>
      <x:c r="C87" s="60"/>
      <x:c r="D87" s="60"/>
      <x:c r="E87" s="60"/>
      <x:c r="F87" s="60"/>
    </x:row>
    <x:row r="88">
      <x:c r="A88" s="60" t="str">
        <x:v>Section guide</x:v>
      </x:c>
      <x:c r="B88" s="60" t="str">
        <x:v>35_SECTION_GUIDE explains purpose, allowed work, non-purpose, where to look and app target route for each major section.</x:v>
      </x:c>
      <x:c r="C88" s="60"/>
      <x:c r="D88" s="60"/>
      <x:c r="E88" s="60"/>
      <x:c r="F88" s="60"/>
    </x:row>
    <x:row r="89">
      <x:c r="A89" s="60" t="str">
        <x:v>Semantic color</x:v>
      </x:c>
      <x:c r="B89" s="60" t="str">
        <x:v>Green=known/action; blue=target/info; amber=check/conditional; red=blocked/stop; purple=evidence/experiment; gray=system/raw. Text always carries meaning too.</x:v>
      </x:c>
      <x:c r="C89" s="60"/>
      <x:c r="D89" s="60"/>
      <x:c r="E89" s="60"/>
      <x:c r="F89" s="60"/>
    </x:row>
    <x:row r="90">
      <x:c r="A90" s="60" t="str">
        <x:v>Figures</x:v>
      </x:c>
      <x:c r="B90" s="60" t="str">
        <x:v>Every exact figure is generated from canonical workbook data. Generated concept art is never a numeric source.</x:v>
      </x:c>
      <x:c r="C90" s="60"/>
      <x:c r="D90" s="60"/>
      <x:c r="E90" s="60"/>
      <x:c r="F90" s="60"/>
    </x:row>
    <x:row r="91">
      <x:c r="A91" s="60" t="str">
        <x:v>PDF technique</x:v>
      </x:c>
      <x:c r="B91" s="60" t="str">
        <x:v>v10 PDF uses breadcrumbs, purpose banners, task-to-section maps, local term boxes, figure-provenance badges, icon keys and repeated 'where to look' pointers.</x:v>
      </x:c>
      <x:c r="C91" s="60"/>
      <x:c r="D91" s="60"/>
      <x:c r="E91" s="60"/>
      <x:c r="F91" s="60"/>
    </x:row>
    <x:row r="92">
      <x:c r="A92" s="60" t="str">
        <x:v>App handoff</x:v>
      </x:c>
      <x:c r="B92" s="60" t="str">
        <x:v>ContextHelpEntry and SectionGuide become content entities reused by Guided/Advanced/Expert, PDF and XLSX projections.</x:v>
      </x:c>
      <x:c r="C92" s="60"/>
      <x:c r="D92" s="60"/>
      <x:c r="E92" s="60"/>
      <x:c r="F92" s="60"/>
    </x:row>
    <x:row r="93">
      <x:c r="A93" s="60" t="str">
        <x:v>New sheets</x:v>
      </x:c>
      <x:c r="B93" s="60" t="str">
        <x:v>34_CONTEXT_HELP_MAP, 35_SECTION_GUIDE, 36_TODAY_OPERATOR, 37_SETUP_OPERATOR, 38_MIX_OPERATOR, 39_LOG_GUIDE.</x:v>
      </x:c>
      <x:c r="C93" s="60"/>
      <x:c r="D93" s="60"/>
      <x:c r="E93" s="60"/>
      <x:c r="F93" s="60"/>
    </x:row>
    <x:row r="94">
      <x:c r="A94" s="60" t="str">
        <x:v>Rule</x:v>
      </x:c>
      <x:c r="B94" s="60" t="str">
        <x:v>If a simplified operator label changes the scientific meaning, the simplification is rejected. Clarity must not alter the domain variable.</x:v>
      </x:c>
      <x:c r="C94" s="60"/>
      <x:c r="D94" s="60"/>
      <x:c r="E94" s="60"/>
      <x:c r="F94" s="60"/>
    </x:row>
    <x:row r="95">
      <x:c r="A95" s="60" t="str">
        <x:v>Accessibility</x:v>
      </x:c>
      <x:c r="B95" s="60" t="str">
        <x:v>Icons/colors are redundant aids; critical meaning stays in text and must work with keyboard/touch/screen reader.</x:v>
      </x:c>
      <x:c r="C95" s="60"/>
      <x:c r="D95" s="60"/>
      <x:c r="E95" s="60"/>
      <x:c r="F95" s="60"/>
    </x:row>
    <x:row r="96">
      <x:c r="A96" s="60" t="str">
        <x:v>Where to start</x:v>
      </x:c>
      <x:c r="B96" s="60" t="str">
        <x:v>00_Dashboard -&gt; 36_TODAY_OPERATOR / 37_SETUP_OPERATOR / 38_MIX_OPERATOR / 39_LOG_GUIDE; deeper explanation -&gt; 34_CONTEXT_HELP_MAP.</x:v>
      </x:c>
      <x:c r="C96" s="60"/>
      <x:c r="D96" s="60"/>
      <x:c r="E96" s="60"/>
      <x:c r="F96" s="60"/>
    </x:row>
    <x:row r="98">
      <x:c r="A98" s="2442" t="str">
        <x:v>v11.2 AUTOFLOWER CORRECTION</x:v>
      </x:c>
      <x:c r="B98" s="2442"/>
      <x:c r="C98" s="2442"/>
      <x:c r="D98" s="2442"/>
      <x:c r="E98" s="2442"/>
      <x:c r="F98" s="2442"/>
    </x:row>
    <x:row r="99">
      <x:c r="A99" s="60" t="str">
        <x:v>Main fix</x:v>
      </x:c>
      <x:c r="B99" s="60" t="str">
        <x:v>The old W1–W4 Eazy/Block path is superseded. Eazy Block is a short event-gated bridge; final coco follows root readiness.</x:v>
      </x:c>
      <x:c r="C99" s="60"/>
      <x:c r="D99" s="60"/>
      <x:c r="E99" s="60"/>
      <x:c r="F99" s="60"/>
    </x:row>
    <x:row r="100">
      <x:c r="A100" s="60" t="str">
        <x:v>Default profile</x:v>
      </x:c>
      <x:c r="B100" s="60" t="str">
        <x:v>B · 3×9 L empfohlen</x:v>
      </x:c>
      <x:c r="C100" s="60"/>
      <x:c r="D100" s="60"/>
      <x:c r="E100" s="60"/>
      <x:c r="F100" s="60"/>
    </x:row>
    <x:row r="101">
      <x:c r="A101" s="60" t="str">
        <x:v>Autoflower flowering</x:v>
      </x:c>
      <x:c r="B101" s="60" t="str">
        <x:v>Day 28 remains projection only. Operational BT1 must come from observed FlowerInitiation.</x:v>
      </x:c>
      <x:c r="C101" s="60"/>
      <x:c r="D101" s="60"/>
      <x:c r="E101" s="60"/>
      <x:c r="F101" s="60"/>
    </x:row>
    <x:row r="102">
      <x:c r="A102" s="60" t="str">
        <x:v>Double Grape</x:v>
      </x:c>
      <x:c r="B102" s="60" t="str">
        <x:v>Breeder reference 70–80 days from sprout, 55–80 cm, naturally bushy/LST-friendly.</x:v>
      </x:c>
      <x:c r="C102" s="60"/>
      <x:c r="D102" s="60"/>
      <x:c r="E102" s="60"/>
      <x:c r="F102" s="60"/>
    </x:row>
    <x:row r="103">
      <x:c r="A103" s="60" t="str">
        <x:v>Photoperiod</x:v>
      </x:c>
      <x:c r="B103" s="60" t="str">
        <x:v>18/6 remains default; no forced 12/12. 20/4 optional; 24/0 experimental.</x:v>
      </x:c>
      <x:c r="C103" s="60"/>
      <x:c r="D103" s="60"/>
      <x:c r="E103" s="60"/>
      <x:c r="F103" s="60"/>
    </x:row>
    <x:row r="104">
      <x:c r="A104" s="60" t="str">
        <x:v>Training</x:v>
      </x:c>
      <x:c r="B104" s="60" t="str">
        <x:v>Gentle LST/leaf-tuck by vigor and root-zone recovery; no default topping/HST.</x:v>
      </x:c>
      <x:c r="C104" s="60"/>
      <x:c r="D104" s="60"/>
      <x:c r="E104" s="60"/>
      <x:c r="F104" s="60"/>
    </x:row>
    <x:row r="105">
      <x:c r="A105" s="60" t="str">
        <x:v>Watering</x:v>
      </x:c>
      <x:c r="B105" s="60" t="str">
        <x:v>Initial 9-L substrate hydration is not a daily irrigation dose. Watering remains event/plant/root-zone driven.</x:v>
      </x:c>
      <x:c r="C105" s="60"/>
      <x:c r="D105" s="60"/>
      <x:c r="E105" s="60"/>
      <x:c r="F105" s="60"/>
    </x:row>
    <x:row r="106">
      <x:c r="A106" s="60" t="str">
        <x:v>Pot choice</x:v>
      </x:c>
      <x:c r="B106" s="60" t="str">
        <x:v>3×9 L recommended; 3×8 L solid alternative.</x:v>
      </x:c>
      <x:c r="C106" s="60"/>
      <x:c r="D106" s="60"/>
      <x:c r="E106" s="60"/>
      <x:c r="F106" s="60"/>
    </x:row>
    <x:row r="107">
      <x:c r="A107" s="60" t="str">
        <x:v>New sheets</x:v>
      </x:c>
      <x:c r="B107" s="60" t="str">
        <x:v>41_AUTO_STAGE_AUDIT · 42_AUTO_VARIANTS · 43_AUTO_EVENT_PLAN · 44_DOUBLE_GRAPE_AUTO · 45_AUTO_LIGHT_PROFILES · 46_AUTO_ROOT_ZONE · 47_AUTO_SOURCES</x:v>
      </x:c>
      <x:c r="C107" s="60"/>
      <x:c r="D107" s="60"/>
      <x:c r="E107" s="60"/>
      <x:c r="F107" s="60"/>
    </x:row>
    <x:row r="108">
      <x:c r="A108" s="60" t="str">
        <x:v>Evidence</x:v>
      </x:c>
      <x:c r="B108" s="60" t="str">
        <x:v>Breeder/manufacturer guidance is explicitly separated from peer-reviewed/general cannabis evidence and UKD inference.</x:v>
      </x:c>
      <x:c r="C108" s="60"/>
      <x:c r="D108" s="60"/>
      <x:c r="E108" s="60"/>
      <x:c r="F108" s="60"/>
    </x:row>
    <x:row r="109">
      <x:c r="A109" s="60" t="str">
        <x:v>Operational rule</x:v>
      </x:c>
      <x:c r="B109" s="60" t="str">
        <x:v>PLANT/ROOT STATE &gt; CALENDAR. Unknown remains unknown.</x:v>
      </x:c>
      <x:c r="C109" s="60"/>
      <x:c r="D109" s="60"/>
      <x:c r="E109" s="60"/>
      <x:c r="F109" s="60"/>
    </x:row>
    <x:row r="110">
      <x:c r="A110" s="60" t="str">
        <x:v>Status</x:v>
      </x:c>
      <x:c r="B110" s="60" t="str">
        <x:v>v11.2 plan correction; app/domain resolver still needs state-machine implementation.</x:v>
      </x:c>
      <x:c r="C110" s="60"/>
      <x:c r="D110" s="60"/>
      <x:c r="E110" s="60"/>
      <x:c r="F110" s="60"/>
    </x:row>
    <x:row r="112">
      <x:c r="A112" s="2458" t="str">
        <x:v>v11.3 MIXED-AUTOFLOWER CORRECTION</x:v>
      </x:c>
      <x:c r="B112" s="2458"/>
      <x:c r="C112" s="2458"/>
      <x:c r="D112" s="2458"/>
      <x:c r="E112" s="2458"/>
      <x:c r="F112" s="2458"/>
    </x:row>
    <x:row r="113">
      <x:c r="A113" s="60" t="str">
        <x:v>Genetics</x:v>
      </x:c>
      <x:c r="B113" s="60" t="str">
        <x:v>P1 Double Grape Auto · P2 Banana Purple Punch Auto · P3 GG. #4 Auto</x:v>
      </x:c>
      <x:c r="C113" s="60"/>
      <x:c r="D113" s="60"/>
      <x:c r="E113" s="60"/>
      <x:c r="F113" s="60"/>
    </x:row>
    <x:row r="114">
      <x:c r="A114" s="60" t="str">
        <x:v>P0 change</x:v>
      </x:c>
      <x:c r="B114" s="60" t="str">
        <x:v>No global Bloom-Tag for mixed run. Plant-specific FlowerInitiation drives plant-level bloom state.</x:v>
      </x:c>
      <x:c r="C114" s="60"/>
      <x:c r="D114" s="60"/>
      <x:c r="E114" s="60"/>
      <x:c r="F114" s="60"/>
    </x:row>
    <x:row r="115">
      <x:c r="A115" s="60" t="str">
        <x:v>Canopy</x:v>
      </x:c>
      <x:c r="B115" s="60" t="str">
        <x:v>BPP tallest/densest priority for LST/airflow; GG4 medium-tall/dense; DG shortest/open and likely riser candidate.</x:v>
      </x:c>
      <x:c r="C115" s="60"/>
      <x:c r="D115" s="60"/>
      <x:c r="E115" s="60"/>
      <x:c r="F115" s="60"/>
    </x:row>
    <x:row r="116">
      <x:c r="A116" s="60" t="str">
        <x:v>Shared batch</x:v>
      </x:c>
      <x:c r="B116" s="60" t="str">
        <x:v>Allowed only when plant-specific resolved feed signatures are compatible.</x:v>
      </x:c>
      <x:c r="C116" s="60"/>
      <x:c r="D116" s="60"/>
      <x:c r="E116" s="60"/>
      <x:c r="F116" s="60"/>
    </x:row>
    <x:row r="117">
      <x:c r="A117" s="60" t="str">
        <x:v>Water</x:v>
      </x:c>
      <x:c r="B117" s="60" t="str">
        <x:v>Liters remain plant-specific even when concentration is shared.</x:v>
      </x:c>
      <x:c r="C117" s="60"/>
      <x:c r="D117" s="60"/>
      <x:c r="E117" s="60"/>
      <x:c r="F117" s="60"/>
    </x:row>
    <x:row r="118">
      <x:c r="A118" s="60" t="str">
        <x:v>Harvest</x:v>
      </x:c>
      <x:c r="B118" s="60" t="str">
        <x:v>Separate HarvestEvents; one plant can finish while others extend.</x:v>
      </x:c>
      <x:c r="C118" s="60"/>
      <x:c r="D118" s="60"/>
      <x:c r="E118" s="60"/>
      <x:c r="F118" s="60"/>
    </x:row>
    <x:row r="119">
      <x:c r="A119" s="60" t="str">
        <x:v>GG4 identity</x:v>
      </x:c>
      <x:c r="B119" s="60" t="str">
        <x:v>Sensible Seeds page identifies BSB Genetics. Verify physical seed pack before locking cultivar profile.</x:v>
      </x:c>
      <x:c r="C119" s="60"/>
      <x:c r="D119" s="60"/>
      <x:c r="E119" s="60"/>
      <x:c r="F119" s="60"/>
    </x:row>
    <x:row r="120">
      <x:c r="A120" s="60" t="str">
        <x:v>New sheets</x:v>
      </x:c>
      <x:c r="B120" s="60" t="str">
        <x:v>49_MIXED_CULTIVAR_PROFILE · 50_PLANT_STATE_MODEL · 51_CANOPY_BALANCE · 52_MIXED_BATCH_RESOLVER · 53_MIXED_CULTIVAR_SOURCES</x:v>
      </x:c>
      <x:c r="C120" s="60"/>
      <x:c r="D120" s="60"/>
      <x:c r="E120" s="60"/>
      <x:c r="F120" s="60"/>
    </x:row>
    <x:row r="121">
      <x:c r="A121" s="60" t="str">
        <x:v>Status</x:v>
      </x:c>
      <x:c r="B121" s="60" t="str">
        <x:v>Workbook expresses target model; app resolver still needs per-plant state implementation.</x:v>
      </x:c>
      <x:c r="C121" s="60"/>
      <x:c r="D121" s="60"/>
      <x:c r="E121" s="60"/>
      <x:c r="F121" s="60"/>
    </x:row>
    <x:row r="122">
      <x:c r="A122" s="60"/>
      <x:c r="B122" s="60"/>
      <x:c r="C122" s="60"/>
      <x:c r="D122" s="60"/>
      <x:c r="E122" s="60"/>
      <x:c r="F122" s="60"/>
    </x:row>
    <x:row r="123">
      <x:c r="A123" s="60"/>
      <x:c r="B123" s="60"/>
      <x:c r="C123" s="60"/>
      <x:c r="D123" s="60"/>
      <x:c r="E123" s="60"/>
      <x:c r="F123" s="60"/>
    </x:row>
  </x:sheetData>
  <x:mergeCells>
    <x:mergeCell ref="A1:H1"/>
  </x:mergeCells>
  <x:pageMargins left="0.7" right="0.7" top="0.75" bottom="0.75" header="0.3" footer="0.3"/>
</x:worksheet>
</file>

<file path=xl/worksheets/sheet2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4" hidden="0" customWidth="1"/>
    <x:col min="3" max="3" width="38" hidden="0" customWidth="1"/>
    <x:col min="4" max="4" width="38" hidden="0" customWidth="1"/>
    <x:col min="5" max="5" width="38" hidden="0" customWidth="1"/>
    <x:col min="6" max="6" width="38" hidden="0" customWidth="1"/>
    <x:col min="7" max="7" width="38" hidden="0" customWidth="1"/>
    <x:col min="8" max="8" width="38" hidden="0" customWidth="1"/>
    <x:col min="9" max="9" width="15" hidden="0" customWidth="1"/>
    <x:col min="10" max="10" width="65" hidden="0" customWidth="1"/>
  </x:cols>
  <x:sheetData>
    <x:row r="1">
      <x:c r="A1" s="1269" t="str">
        <x:v>ATHENA BALANCE — measured pH/water conditioning; no fixed calendar dose</x:v>
      </x:c>
      <x:c r="B1" s="1269" t="str">
        <x:v>ATHENA BALANCE — measured pH/water conditioning; no fixed calendar dose</x:v>
      </x:c>
      <x:c r="C1" s="1269" t="str">
        <x:v>ATHENA BALANCE — measured pH/water conditioning; no fixed calendar dose</x:v>
      </x:c>
      <x:c r="D1" s="1269" t="str">
        <x:v>ATHENA BALANCE — measured pH/water conditioning; no fixed calendar dose</x:v>
      </x:c>
      <x:c r="E1" s="1269" t="str">
        <x:v>ATHENA BALANCE — measured pH/water conditioning; no fixed calendar dose</x:v>
      </x:c>
      <x:c r="F1" s="1269" t="str">
        <x:v>ATHENA BALANCE — measured pH/water conditioning; no fixed calendar dose</x:v>
      </x:c>
      <x:c r="G1" s="1269" t="str">
        <x:v>ATHENA BALANCE — measured pH/water conditioning; no fixed calendar dose</x:v>
      </x:c>
      <x:c r="H1" s="1269" t="str">
        <x:v>ATHENA BALANCE — measured pH/water conditioning; no fixed calendar dose</x:v>
      </x:c>
      <x:c r="I1" s="1269" t="str">
        <x:v>ATHENA BALANCE — measured pH/water conditioning; no fixed calendar dose</x:v>
      </x:c>
      <x:c r="J1" s="1269" t="str">
        <x:v>ATHENA BALANCE — measured pH/water conditioning; no fixed calendar dose</x:v>
      </x:c>
    </x:row>
    <x:row r="3">
      <x:c r="A3" s="1487" t="str">
        <x:v>Aspekt</x:v>
      </x:c>
      <x:c r="B3" s="1489" t="str">
        <x:v>Fakt</x:v>
      </x:c>
      <x:c r="C3" s="1489" t="str">
        <x:v>UKD Bedeutung</x:v>
      </x:c>
      <x:c r="D3" s="1489" t="str">
        <x:v>Mit HESI</x:v>
      </x:c>
      <x:c r="E3" s="1489" t="str">
        <x:v>Mit Balance</x:v>
      </x:c>
      <x:c r="F3" s="1489" t="str">
        <x:v>Mit pH Down</x:v>
      </x:c>
      <x:c r="G3" s="1489" t="str">
        <x:v>Mit PK</x:v>
      </x:c>
      <x:c r="H3" s="1489" t="str">
        <x:v>Reservoir-Hinweis</x:v>
      </x:c>
      <x:c r="I3" s="1489" t="str">
        <x:v>Evidenz</x:v>
      </x:c>
      <x:c r="J3" s="1488" t="str">
        <x:v>Quelle</x:v>
      </x:c>
    </x:row>
    <x:row r="4">
      <x:c r="A4" s="1191" t="str">
        <x:v>Funktion</x:v>
      </x:c>
      <x:c r="B4" s="62" t="str">
        <x:v>pH anheben und RO/weiches Wasser puffern</x:v>
      </x:c>
      <x:c r="C4" s="62" t="str">
        <x:v>kein pH-Down; keine automatische Zwei-Richtungs-Regelung</x:v>
      </x:c>
      <x:c r="D4" s="62" t="str">
        <x:v>mechanistisch nutzbar, Cross-brand nicht offiziell validiert</x:v>
      </x:c>
      <x:c r="E4" s="62" t="str">
        <x:v>—</x:v>
      </x:c>
      <x:c r="F4" s="62" t="str">
        <x:v>sequentiell möglich</x:v>
      </x:c>
      <x:c r="G4" s="62" t="str">
        <x:v>K-Last berücksichtigen</x:v>
      </x:c>
      <x:c r="H4" s="62" t="str">
        <x:v>Hersteller: sedimentfrei; mechanische Dosiersysteme (Dosatron) kompatibel; für elektronische Dosiersysteme (Netafim) nicht empfohlen.</x:v>
      </x:c>
      <x:c r="I4" s="62" t="str">
        <x:v>A Hersteller</x:v>
      </x:c>
      <x:c r="J4" s="1192" t="str">
        <x:v>https://store.athenaag.com/balance/</x:v>
      </x:c>
    </x:row>
    <x:row r="5">
      <x:c r="A5" s="1156" t="str">
        <x:v>Chemie</x:v>
      </x:c>
      <x:c r="B5" s="201" t="str">
        <x:v>Kaliumsilikat</x:v>
      </x:c>
      <x:c r="C5" s="201" t="str">
        <x:v>liefert zugleich K + Silizium</x:v>
      </x:c>
      <x:c r="D5" s="201" t="str">
        <x:v>HESI PK/Boost Gesamt-K beachten</x:v>
      </x:c>
      <x:c r="E5" s="201" t="str">
        <x:v>—</x:v>
      </x:c>
      <x:c r="F5" s="201" t="str">
        <x:v>nicht als Konzentrate direkt mischen</x:v>
      </x:c>
      <x:c r="G5" s="201" t="str">
        <x:v>PK-Stack konservativ</x:v>
      </x:c>
      <x:c r="H5" s="201" t="str">
        <x:v>klar/mineralisch</x:v>
      </x:c>
      <x:c r="I5" s="201" t="str">
        <x:v>A</x:v>
      </x:c>
      <x:c r="J5" s="1193" t="str">
        <x:v>https://www.athenaag.com/water-conditioners</x:v>
      </x:c>
    </x:row>
    <x:row r="6">
      <x:c r="A6" s="1156" t="str">
        <x:v>Mischreihenfolge</x:v>
      </x:c>
      <x:c r="B6" s="201" t="str">
        <x:v>Balance vor Düngern ins Wasser</x:v>
      </x:c>
      <x:c r="C6" s="201" t="str">
        <x:v>zuerst Wasser puffern, dann Nährstoffe</x:v>
      </x:c>
      <x:c r="D6" s="201" t="str">
        <x:v>JA, aber immer verdünnt</x:v>
      </x:c>
      <x:c r="E6" s="201" t="str">
        <x:v>—</x:v>
      </x:c>
      <x:c r="F6" s="201" t="str">
        <x:v>pH Down erst am Ende</x:v>
      </x:c>
      <x:c r="G6" s="201" t="str">
        <x:v>PK erst nach Basis/Support</x:v>
      </x:c>
      <x:c r="H6" s="201" t="str">
        <x:v>gut löslich; saubere Leitungen trotzdem überwachen</x:v>
      </x:c>
      <x:c r="I6" s="201" t="str">
        <x:v>A</x:v>
      </x:c>
      <x:c r="J6" s="1193" t="str">
        <x:v>https://www.athenaag.com/water-conditioners</x:v>
      </x:c>
    </x:row>
    <x:row r="7">
      <x:c r="A7" s="1156" t="str">
        <x:v>Dosierung</x:v>
      </x:c>
      <x:c r="B7" s="201" t="str">
        <x:v>Offizielle Athena-Produktseite nennt keinen universellen ml/L-Anwendungswert; dosieren nach benötigter pH-Anhebung.</x:v>
      </x:c>
      <x:c r="C7" s="201" t="str">
        <x:v>Händlerbereiche sind nur Sekundärreferenz und NICHT operative Canonical-Dosis.</x:v>
      </x:c>
      <x:c r="D7" s="201" t="str">
        <x:v>nur Testbatch/Cross-brand überwacht</x:v>
      </x:c>
      <x:c r="E7" s="201" t="str">
        <x:v>—</x:v>
      </x:c>
      <x:c r="F7" s="201" t="str">
        <x:v>Endmix entscheidet</x:v>
      </x:c>
      <x:c r="G7" s="201" t="str">
        <x:v>keine feste Kombidosis</x:v>
      </x:c>
      <x:c r="H7" s="201" t="str">
        <x:v>Batch dokumentieren; bei unbekannter Wasserchemie Default 0</x:v>
      </x:c>
      <x:c r="I7" s="201" t="str">
        <x:v>A Hersteller</x:v>
      </x:c>
      <x:c r="J7" s="1193" t="str">
        <x:v>https://store.athenaag.com/balance/</x:v>
      </x:c>
    </x:row>
    <x:row r="8">
      <x:c r="A8" s="1156" t="str">
        <x:v>Ziel-pH Coco</x:v>
      </x:c>
      <x:c r="B8" s="201" t="str">
        <x:v>HESI Coco nennt 5.8–6.2; Athena Balance selbst ist ein pH-anhebender Water Conditioner</x:v>
      </x:c>
      <x:c r="C8" s="201" t="str">
        <x:v>UKD-Endmix 5.8–6.2 als HESI-Coco-Arbeitsband; 5.9 ist nur Setpoint.</x:v>
      </x:c>
      <x:c r="D8" s="201" t="str">
        <x:v>passend, falls Balance benötigt wird</x:v>
      </x:c>
      <x:c r="E8" s="201" t="str">
        <x:v>—</x:v>
      </x:c>
      <x:c r="F8" s="201" t="str">
        <x:v>nur falls final &gt; Ziel</x:v>
      </x:c>
      <x:c r="G8" s="201" t="str">
        <x:v>—</x:v>
      </x:c>
      <x:c r="H8" s="201" t="str">
        <x:v>—</x:v>
      </x:c>
      <x:c r="I8" s="201" t="str">
        <x:v>A Hersteller</x:v>
      </x:c>
      <x:c r="J8" s="1193" t="str">
        <x:v>HESI Coco + Athena Balance</x:v>
      </x:c>
    </x:row>
    <x:row r="9">
      <x:c r="A9" s="1156" t="str">
        <x:v>RO/weiches Wasser</x:v>
      </x:c>
      <x:c r="B9" s="201" t="str">
        <x:v>Balance besonders dafür vorgesehen</x:v>
      </x:c>
      <x:c r="C9" s="201" t="str">
        <x:v>höchster Nutzen</x:v>
      </x:c>
      <x:c r="D9" s="201" t="str">
        <x:v>ja</x:v>
      </x:c>
      <x:c r="E9" s="201" t="str">
        <x:v>—</x:v>
      </x:c>
      <x:c r="F9" s="201" t="str">
        <x:v>oft weniger Nachkorrektur nötig</x:v>
      </x:c>
      <x:c r="G9" s="201" t="str">
        <x:v>—</x:v>
      </x:c>
      <x:c r="H9" s="201" t="str">
        <x:v>geeignet</x:v>
      </x:c>
      <x:c r="I9" s="201" t="str">
        <x:v>A</x:v>
      </x:c>
      <x:c r="J9" s="1193" t="str">
        <x:v>https://store.athenaag.com/balance/</x:v>
      </x:c>
    </x:row>
    <x:row r="10">
      <x:c r="A10" s="1156" t="str">
        <x:v>Hartes/alkalisches Wasser</x:v>
      </x:c>
      <x:c r="B10" s="201" t="str">
        <x:v>Balance hebt pH weiter an</x:v>
      </x:c>
      <x:c r="C10" s="201" t="str">
        <x:v>möglicherweise NICHT verwenden</x:v>
      </x:c>
      <x:c r="D10" s="201" t="str">
        <x:v>erst Testbatch</x:v>
      </x:c>
      <x:c r="E10" s="201" t="str">
        <x:v>—</x:v>
      </x:c>
      <x:c r="F10" s="201" t="str">
        <x:v>pH Down kann Hauptregler sein</x:v>
      </x:c>
      <x:c r="G10" s="201" t="str">
        <x:v>—</x:v>
      </x:c>
      <x:c r="H10" s="201" t="str">
        <x:v>—</x:v>
      </x:c>
      <x:c r="I10" s="201" t="str">
        <x:v>UKD-Inferenz</x:v>
      </x:c>
      <x:c r="J10" s="1193" t="str">
        <x:v>Wasseranalyse erforderlich</x:v>
      </x:c>
    </x:row>
    <x:row r="11">
      <x:c r="A11" s="1156" t="str">
        <x:v>Rhino Skin</x:v>
      </x:c>
      <x:c r="B11" s="201" t="str">
        <x:v>AN Kaliumsilikat, 2 ml/L Label</x:v>
      </x:c>
      <x:c r="C11" s="201" t="str">
        <x:v>mit Balance funktionell redundant</x:v>
      </x:c>
      <x:c r="D11" s="201" t="str">
        <x:v>nicht Standard</x:v>
      </x:c>
      <x:c r="E11" s="201" t="str">
        <x:v>NICHT gemeinsam als Standard</x:v>
      </x:c>
      <x:c r="F11" s="201" t="str">
        <x:v>—</x:v>
      </x:c>
      <x:c r="G11" s="201" t="str">
        <x:v>zusätzliche K-Last</x:v>
      </x:c>
      <x:c r="H11" s="201" t="str">
        <x:v>—</x:v>
      </x:c>
      <x:c r="I11" s="201" t="str">
        <x:v>A + Inferenz</x:v>
      </x:c>
      <x:c r="J11" s="1193" t="str">
        <x:v>https://www.advancednutrients.com/de/products/rhino-skin/</x:v>
      </x:c>
    </x:row>
    <x:row r="12">
      <x:c r="A12" s="1156" t="str">
        <x:v>Hesilicio</x:v>
      </x:c>
      <x:c r="B12" s="201" t="str">
        <x:v>HESI Siliziumprodukt</x:v>
      </x:c>
      <x:c r="C12" s="201" t="str">
        <x:v>mit Balance redundant</x:v>
      </x:c>
      <x:c r="D12" s="201" t="str">
        <x:v>Alternative</x:v>
      </x:c>
      <x:c r="E12" s="201" t="str">
        <x:v>NICHT gemeinsam als Standard</x:v>
      </x:c>
      <x:c r="F12" s="201" t="str">
        <x:v>—</x:v>
      </x:c>
      <x:c r="G12" s="201" t="str">
        <x:v>—</x:v>
      </x:c>
      <x:c r="H12" s="201" t="str">
        <x:v>—</x:v>
      </x:c>
      <x:c r="I12" s="201" t="str">
        <x:v>A + Inferenz</x:v>
      </x:c>
      <x:c r="J12" s="1193" t="str">
        <x:v>https://hesi.nl/de/Hesilicio</x:v>
      </x:c>
    </x:row>
    <x:row r="13">
      <x:c r="A13" s="1158" t="str">
        <x:v>pH Perfect</x:v>
      </x:c>
      <x:c r="B13" s="1194" t="str">
        <x:v>AN-Basis-Technologie</x:v>
      </x:c>
      <x:c r="C13" s="1194" t="str">
        <x:v>nicht Bestandteil von Athena Balance</x:v>
      </x:c>
      <x:c r="D13" s="1194" t="str">
        <x:v>irrelevant im HESI-Reference</x:v>
      </x:c>
      <x:c r="E13" s="1194" t="str">
        <x:v>—</x:v>
      </x:c>
      <x:c r="F13" s="1194" t="str">
        <x:v>—</x:v>
      </x:c>
      <x:c r="G13" s="1194" t="str">
        <x:v>—</x:v>
      </x:c>
      <x:c r="H13" s="1194" t="str">
        <x:v>—</x:v>
      </x:c>
      <x:c r="I13" s="1194" t="str">
        <x:v>A</x:v>
      </x:c>
      <x:c r="J13" s="1195" t="str">
        <x:v>https://www.advancednutrients.com/de/products/</x:v>
      </x:c>
    </x:row>
    <x:row r="16">
      <x:c r="A16" s="1211" t="str">
        <x:v>pH-Entscheidungsbaum</x:v>
      </x:c>
      <x:c r="B16" s="1211" t="str">
        <x:v>Bedingung</x:v>
      </x:c>
      <x:c r="C16" s="1211" t="str">
        <x:v>Athena Balance</x:v>
      </x:c>
      <x:c r="D16" s="1211" t="str">
        <x:v>pH Down</x:v>
      </x:c>
      <x:c r="E16" s="1211" t="str">
        <x:v>Silizium-Zusatz</x:v>
      </x:c>
      <x:c r="F16" s="1211" t="str">
        <x:v>Aktion</x:v>
      </x:c>
    </x:row>
    <x:row r="17">
      <x:c r="A17" s="32" t="str">
        <x:v>1</x:v>
      </x:c>
      <x:c r="B17" s="62" t="str">
        <x:v>RO/weich + Baseline-Endmix mit HESI &lt;5.8 + Source-pH/Ca/Mg/HCO3 gemessen</x:v>
      </x:c>
      <x:c r="C17" s="62" t="str">
        <x:v>JA, vorsichtig im NÄCHSTEN Testbatch titrieren</x:v>
      </x:c>
      <x:c r="D17" s="62" t="str">
        <x:v>nur falls später final &gt; Ziel</x:v>
      </x:c>
      <x:c r="E17" s="62" t="str">
        <x:v>NEIN</x:v>
      </x:c>
      <x:c r="F17" s="33" t="str">
        <x:v>Balance vor Dünger; Endmix messen</x:v>
      </x:c>
      <x:c r="G17" s="60"/>
      <x:c r="H17" s="60"/>
      <x:c r="I17" s="60"/>
      <x:c r="J17" s="60"/>
    </x:row>
    <x:row r="18">
      <x:c r="A18" s="34" t="str">
        <x:v>2</x:v>
      </x:c>
      <x:c r="B18" s="201" t="str">
        <x:v>Leitungswasser + Endmix bereits 5.8–6.2</x:v>
      </x:c>
      <x:c r="C18" s="201" t="str">
        <x:v>NEIN</x:v>
      </x:c>
      <x:c r="D18" s="201" t="str">
        <x:v>NEIN</x:v>
      </x:c>
      <x:c r="E18" s="201" t="str">
        <x:v>optional Hesilicio ODER Rhino Skin</x:v>
      </x:c>
      <x:c r="F18" s="35" t="str">
        <x:v>keine pH-Chemie nur aus Gewohnheit</x:v>
      </x:c>
      <x:c r="G18" s="60"/>
      <x:c r="H18" s="60"/>
      <x:c r="I18" s="60"/>
      <x:c r="J18" s="60"/>
    </x:row>
    <x:row r="19">
      <x:c r="A19" s="34" t="str">
        <x:v>3</x:v>
      </x:c>
      <x:c r="B19" s="201" t="str">
        <x:v>Leitungswasser + Endmix &gt;6.2</x:v>
      </x:c>
      <x:c r="C19" s="201" t="str">
        <x:v>NEIN</x:v>
      </x:c>
      <x:c r="D19" s="201" t="str">
        <x:v>JA, nach vollständigem Mix</x:v>
      </x:c>
      <x:c r="E19" s="201" t="str">
        <x:v>optional separate Si-Quelle</x:v>
      </x:c>
      <x:c r="F19" s="35" t="str">
        <x:v>Balance würde in falsche Richtung wirken</x:v>
      </x:c>
      <x:c r="G19" s="60"/>
      <x:c r="H19" s="60"/>
      <x:c r="I19" s="60"/>
      <x:c r="J19" s="60"/>
    </x:row>
    <x:row r="20">
      <x:c r="A20" s="34" t="str">
        <x:v>4</x:v>
      </x:c>
      <x:c r="B20" s="201" t="str">
        <x:v>Endmix &lt;5.8, aber Wasserchemie unbekannt</x:v>
      </x:c>
      <x:c r="C20" s="201" t="str">
        <x:v>BLOCK</x:v>
      </x:c>
      <x:c r="D20" s="201" t="str">
        <x:v>NEIN</x:v>
      </x:c>
      <x:c r="E20" s="201" t="str">
        <x:v>NEIN</x:v>
      </x:c>
      <x:c r="F20" s="35" t="str">
        <x:v>erst Wasserwerte/Baseline reproduzieren; keine Blind-Titration</x:v>
      </x:c>
      <x:c r="G20" s="60"/>
      <x:c r="H20" s="60"/>
      <x:c r="I20" s="60"/>
      <x:c r="J20" s="60"/>
    </x:row>
    <x:row r="21">
      <x:c r="A21" s="36" t="str">
        <x:v>5</x:v>
      </x:c>
      <x:c r="B21" s="64" t="str">
        <x:v>Balance nötig + Grand Master</x:v>
      </x:c>
      <x:c r="C21" s="64" t="str">
        <x:v>JA, Testbatch</x:v>
      </x:c>
      <x:c r="D21" s="64" t="str">
        <x:v>nur falls Endmix &gt; Ziel</x:v>
      </x:c>
      <x:c r="E21" s="64" t="str">
        <x:v>Rhino Skin AUS</x:v>
      </x:c>
      <x:c r="F21" s="37" t="str">
        <x:v>K-/PK-Belastung konservativer halten</x:v>
      </x:c>
      <x:c r="G21" s="60"/>
      <x:c r="H21" s="60"/>
      <x:c r="I21" s="60"/>
      <x:c r="J21" s="60"/>
    </x:row>
    <x:row r="23">
      <x:c r="A23" s="1496" t="str">
        <x:v>AUDIT v6: Balance ist kein Kalender-Additiv. Offizielle Athena-Seite beschreibt pH-/RO-Conditioning, aber keine universelle ml/L-Dosis. UKD setzt bei unbekannter Wasserchemie fail-closed 0 ml/L und verlangt Baseline-Testbatch + Messwerte.</x:v>
      </x:c>
      <x:c r="B23" s="1497"/>
      <x:c r="C23" s="1497"/>
      <x:c r="D23" s="1497"/>
      <x:c r="E23" s="1497"/>
      <x:c r="F23" s="1497"/>
      <x:c r="G23" s="1497"/>
      <x:c r="H23" s="1497"/>
      <x:c r="I23" s="1497"/>
      <x:c r="J23" s="1498"/>
    </x:row>
    <x:row r="24">
      <x:c r="A24" s="1499"/>
      <x:c r="B24" s="1500"/>
      <x:c r="C24" s="1500"/>
      <x:c r="D24" s="1500"/>
      <x:c r="E24" s="1500"/>
      <x:c r="F24" s="1500"/>
      <x:c r="G24" s="1500"/>
      <x:c r="H24" s="1500"/>
      <x:c r="I24" s="1500"/>
      <x:c r="J24" s="1501"/>
    </x:row>
  </x:sheetData>
  <x:mergeCells>
    <x:mergeCell ref="A1:J1"/>
    <x:mergeCell ref="A23:J24"/>
  </x:mergeCells>
  <x:conditionalFormatting sqref="A17:F21">
    <x:cfRule type="expression" dxfId="53" priority="1">
      <x:formula>$C17="JA"</x:formula>
    </x:cfRule>
    <x:cfRule type="expression" dxfId="54" priority="2">
      <x:formula>$C17="NEIN"</x:formula>
    </x:cfRule>
  </x:conditionalFormatting>
  <x:pageMargins left="0.7" right="0.7" top="0.75" bottom="0.75" header="0.3" footer="0.3"/>
</x:worksheet>
</file>

<file path=xl/worksheets/sheet26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7" hidden="0" customWidth="1"/>
    <x:col min="3" max="3" width="28" hidden="0" customWidth="1"/>
    <x:col min="4" max="4" width="19" hidden="0" customWidth="1"/>
    <x:col min="5" max="5" width="19" hidden="0" customWidth="1"/>
    <x:col min="6" max="6" width="19" hidden="0" customWidth="1"/>
    <x:col min="7" max="7" width="23" hidden="0" customWidth="1"/>
    <x:col min="8" max="8" width="23" hidden="0" customWidth="1"/>
    <x:col min="9" max="9" width="29" hidden="0" customWidth="1"/>
    <x:col min="10" max="10" width="29" hidden="0" customWidth="1"/>
    <x:col min="11" max="11" width="21" hidden="0" customWidth="1"/>
    <x:col min="12" max="12" width="39" hidden="0" customWidth="1"/>
    <x:col min="13" max="13" width="39" hidden="0" customWidth="1"/>
    <x:col min="14" max="14" width="39" hidden="0" customWidth="1"/>
    <x:col min="15" max="15" width="14" hidden="0" customWidth="1"/>
    <x:col min="16" max="16" width="60" hidden="0" customWidth="1"/>
    <x:col min="17" max="17" width="49" hidden="0" customWidth="1"/>
  </x:cols>
  <x:sheetData>
    <x:row r="1">
      <x:c r="A1" s="1271" t="str">
        <x:v>ADVANCED NUTRIENTS — full reference + HESI hybrid module classification (v7)</x:v>
      </x:c>
      <x:c r="B1" s="1271"/>
      <x:c r="C1" s="1271"/>
      <x:c r="D1" s="1271"/>
      <x:c r="E1" s="1271"/>
      <x:c r="F1" s="1271"/>
      <x:c r="G1" s="1271"/>
      <x:c r="H1" s="1271"/>
      <x:c r="I1" s="1271"/>
      <x:c r="J1" s="1271"/>
      <x:c r="K1" s="1271"/>
      <x:c r="L1" s="1271"/>
      <x:c r="M1" s="1271"/>
      <x:c r="N1" s="1271"/>
      <x:c r="O1" s="1271"/>
      <x:c r="P1" s="1271"/>
      <x:c r="Q1" s="1271"/>
    </x:row>
    <x:row r="3">
      <x:c r="A3" s="1213" t="str">
        <x:v>Level</x:v>
      </x:c>
      <x:c r="B3" s="1213" t="str">
        <x:v>Produkt 2026</x:v>
      </x:c>
      <x:c r="C3" s="1213" t="str">
        <x:v>Funktion</x:v>
      </x:c>
      <x:c r="D3" s="1213" t="str">
        <x:v>Label Grow</x:v>
      </x:c>
      <x:c r="E3" s="1213" t="str">
        <x:v>Label Bloom</x:v>
      </x:c>
      <x:c r="F3" s="1213" t="str">
        <x:v>Labeldosis</x:v>
      </x:c>
      <x:c r="G3" s="1213" t="str">
        <x:v>UKD Hybrid</x:v>
      </x:c>
      <x:c r="H3" s="1213" t="str">
        <x:v>Explorativer Hybrid-Einstieg (NICHT validiert)</x:v>
      </x:c>
      <x:c r="I3" s="1213" t="str">
        <x:v>Mit HESI</x:v>
      </x:c>
      <x:c r="J3" s="1213" t="str">
        <x:v>Mit Athena Balance</x:v>
      </x:c>
      <x:c r="K3" s="1213" t="str">
        <x:v>Reservoir/Manual</x:v>
      </x:c>
      <x:c r="L3" s="1213" t="str">
        <x:v>Redundanz/Interaktion</x:v>
      </x:c>
      <x:c r="M3" s="1213" t="str">
        <x:v>Wann im Auto-Run</x:v>
      </x:c>
      <x:c r="N3" s="1213" t="str">
        <x:v>Was gleichzeitig AUS</x:v>
      </x:c>
      <x:c r="O3" s="1213" t="str">
        <x:v>Evidenz</x:v>
      </x:c>
      <x:c r="P3" s="1213" t="str">
        <x:v>Aktuelle Quelle</x:v>
      </x:c>
      <x:c r="Q3" s="1213" t="str">
        <x:v>Kommentar</x:v>
      </x:c>
    </x:row>
    <x:row r="4">
      <x:c r="A4" s="1502" t="str">
        <x:v>Hobbyist</x:v>
      </x:c>
      <x:c r="B4" s="1503" t="str">
        <x:v>Voodoo Juice</x:v>
      </x:c>
      <x:c r="C4" s="1503" t="str">
        <x:v>Bacillus/Wurzel</x:v>
      </x:c>
      <x:c r="D4" s="1503" t="str">
        <x:v>G1–G2</x:v>
      </x:c>
      <x:c r="E4" s="1503" t="str">
        <x:v>B1–B2</x:v>
      </x:c>
      <x:c r="F4" s="1503" t="str">
        <x:v>2 ml/L</x:v>
      </x:c>
      <x:c r="G4" s="1503" t="str">
        <x:v>CORE COMPLEMENT — Voodoo only default</x:v>
      </x:c>
      <x:c r="H4" s="1503" t="str">
        <x:v>1–2 ml/L als UKD-Frischgabe; 2 ml/L = Herstellerlabel</x:v>
      </x:c>
      <x:c r="I4" s="1503" t="str">
        <x:v>kompatibel; Wurzel Complex nicht zwangsläufig gleiche Gießgabe</x:v>
      </x:c>
      <x:c r="J4" s="1503" t="str">
        <x:v>JA; Balance zuerst</x:v>
      </x:c>
      <x:c r="K4" s="1503" t="str">
        <x:v>Frisch/Manual</x:v>
      </x:c>
      <x:c r="L4" s="1503" t="str">
        <x:v>Piranha/Tarantula erweitern Mikrobenspektrum</x:v>
      </x:c>
      <x:c r="M4" s="1503" t="str">
        <x:v>D4/11 + B1/B2 nach Preflower</x:v>
      </x:c>
      <x:c r="N4" s="1503" t="str">
        <x:v>keine Desinfektionsmittel/HOCl gleichzeitig</x:v>
      </x:c>
      <x:c r="O4" s="1503" t="str">
        <x:v>A Label + UKD-Inferenz</x:v>
      </x:c>
      <x:c r="P4" s="1503" t="str">
        <x:v>https://www.advancednutrients.com/de/products/voodoo-juice/</x:v>
      </x:c>
      <x:c r="Q4" s="1504" t="str">
        <x:v>Reference-AN-Additiv im HESI-Hybrid.</x:v>
      </x:c>
    </x:row>
    <x:row r="5">
      <x:c r="A5" s="1505" t="str">
        <x:v>Hobbyist</x:v>
      </x:c>
      <x:c r="B5" s="1276" t="str">
        <x:v>Big Bud</x:v>
      </x:c>
      <x:c r="C5" s="1276" t="str">
        <x:v>PK/Bloom bulker</x:v>
      </x:c>
      <x:c r="D5" s="1276" t="str">
        <x:v>—</x:v>
      </x:c>
      <x:c r="E5" s="1276" t="str">
        <x:v>B2–B5</x:v>
      </x:c>
      <x:c r="F5" s="1276" t="str">
        <x:v>2 ml/L</x:v>
      </x:c>
      <x:c r="G5" s="1276" t="str">
        <x:v>ALT PK — replaces HESI PK</x:v>
      </x:c>
      <x:c r="H5" s="1276" t="str">
        <x:v>keine validierte HESI-Hybrid-Dosis; konservativer isolierter Pilot unter Labeldosis</x:v>
      </x:c>
      <x:c r="I5" s="1276" t="str">
        <x:v>JA, aber Gesamt-P/K beachten</x:v>
      </x:c>
      <x:c r="J5" s="1276" t="str">
        <x:v>⚠ zusätzliche K-Last</x:v>
      </x:c>
      <x:c r="K5" s="1276" t="str">
        <x:v>Manual/Wochenfeed</x:v>
      </x:c>
      <x:c r="L5" s="1276" t="str">
        <x:v>HESI PK13/14, Big Bud Coco, Overdrive phasenbezogen</x:v>
      </x:c>
      <x:c r="M5" s="1276" t="str">
        <x:v>B2–B5 nach sichtbarer Blütenbildung</x:v>
      </x:c>
      <x:c r="N5" s="1276" t="str">
        <x:v>HESI PK im selben A/B-Fenster</x:v>
      </x:c>
      <x:c r="O5" s="1276" t="str">
        <x:v>A Label + C/UKD-Inferenz</x:v>
      </x:c>
      <x:c r="P5" s="1276" t="str">
        <x:v>https://www.advancednutrients.com/de/products/big-bud/</x:v>
      </x:c>
      <x:c r="Q5" s="1506" t="str">
        <x:v>Label 2 ml/L; UKD-Startdosis ist konservative Inferenz für 140-W-Auto-Hybrid.</x:v>
      </x:c>
    </x:row>
    <x:row r="6">
      <x:c r="A6" s="1505" t="str">
        <x:v>Hobbyist</x:v>
      </x:c>
      <x:c r="B6" s="1276" t="str">
        <x:v>B-52</x:v>
      </x:c>
      <x:c r="C6" s="1276" t="str">
        <x:v>B-Vitamine/Kelp/Huminsäure</x:v>
      </x:c>
      <x:c r="D6" s="1276" t="str">
        <x:v>G1–G4</x:v>
      </x:c>
      <x:c r="E6" s="1276" t="str">
        <x:v>B3–B7</x:v>
      </x:c>
      <x:c r="F6" s="1276" t="str">
        <x:v>2 ml/L</x:v>
      </x:c>
      <x:c r="G6" s="1276" t="str">
        <x:v>A/B — overlap Root Complex/SuperVit</x:v>
      </x:c>
      <x:c r="H6" s="1276" t="str">
        <x:v>keine validierte HESI-Hybrid-Dosis; konservativer isolierter Pilot unter Labeldosis</x:v>
      </x:c>
      <x:c r="I6" s="1276" t="str">
        <x:v>JA</x:v>
      </x:c>
      <x:c r="J6" s="1276" t="str">
        <x:v>JA; keine direkte Konzentratmischung</x:v>
      </x:c>
      <x:c r="K6" s="1276" t="str">
        <x:v>Manual bevorzugt</x:v>
      </x:c>
      <x:c r="L6" s="1276" t="str">
        <x:v>SuperVit/Wurzel Complex/HESI Boost/Tasty teilweise funktionell überlappend</x:v>
      </x:c>
      <x:c r="M6" s="1276" t="str">
        <x:v>Veg oder B3–B6, nicht zwingend beides</x:v>
      </x:c>
      <x:c r="N6" s="1276" t="str">
        <x:v>bei Test SuperVit/Boost konstant niedrig oder weglassen</x:v>
      </x:c>
      <x:c r="O6" s="1276" t="str">
        <x:v>A Label + C/UKD-Inferenz</x:v>
      </x:c>
      <x:c r="P6" s="1276" t="str">
        <x:v>https://www.advancednutrients.com/de/products/b-52/</x:v>
      </x:c>
      <x:c r="Q6" s="1506" t="str">
        <x:v>Nicht notwendig für Reference.</x:v>
      </x:c>
    </x:row>
    <x:row r="7">
      <x:c r="A7" s="1505" t="str">
        <x:v>Hobbyist</x:v>
      </x:c>
      <x:c r="B7" s="1276" t="str">
        <x:v>Overdrive</x:v>
      </x:c>
      <x:c r="C7" s="1276" t="str">
        <x:v>Late PK + Mg</x:v>
      </x:c>
      <x:c r="D7" s="1276" t="str">
        <x:v>—</x:v>
      </x:c>
      <x:c r="E7" s="1276" t="str">
        <x:v>B6–B7</x:v>
      </x:c>
      <x:c r="F7" s="1276" t="str">
        <x:v>2 ml/L</x:v>
      </x:c>
      <x:c r="G7" s="1276" t="str">
        <x:v>ALT PK — late replacement</x:v>
      </x:c>
      <x:c r="H7" s="1276" t="str">
        <x:v>keine validierte HESI-Hybrid-Dosis; konservativer isolierter Pilot unter Labeldosis</x:v>
      </x:c>
      <x:c r="I7" s="1276" t="str">
        <x:v>JA, aber Gesamt-P/K/Mg beachten</x:v>
      </x:c>
      <x:c r="J7" s="1276" t="str">
        <x:v>⚠ Balance liefert K</x:v>
      </x:c>
      <x:c r="K7" s="1276" t="str">
        <x:v>Manual</x:v>
      </x:c>
      <x:c r="L7" s="1276" t="str">
        <x:v>HESI PK; Mg-Last mit CalMag beachten</x:v>
      </x:c>
      <x:c r="M7" s="1276" t="str">
        <x:v>letzte 2 aktiven Blütewochen, nicht blind nach Tag</x:v>
      </x:c>
      <x:c r="N7" s="1276" t="str">
        <x:v>HESI PK im selben Fenster</x:v>
      </x:c>
      <x:c r="O7" s="1276" t="str">
        <x:v>A Label + C/UKD-Inferenz</x:v>
      </x:c>
      <x:c r="P7" s="1276" t="str">
        <x:v>https://www.advancednutrients.com/de/products/overdrive/</x:v>
      </x:c>
      <x:c r="Q7" s="1506" t="str">
        <x:v>Nicht mit Big Bud gleichzeitig als Voll-PK-Kaskade im HESI-Test.</x:v>
      </x:c>
    </x:row>
    <x:row r="8">
      <x:c r="A8" s="1507" t="str">
        <x:v>Expert</x:v>
      </x:c>
      <x:c r="B8" s="1278" t="str">
        <x:v>Piranha</x:v>
      </x:c>
      <x:c r="C8" s="1278" t="str">
        <x:v>Mykorrhiza/Pilze</x:v>
      </x:c>
      <x:c r="D8" s="1278" t="str">
        <x:v>G1–G2</x:v>
      </x:c>
      <x:c r="E8" s="1278" t="str">
        <x:v>B1–B2</x:v>
      </x:c>
      <x:c r="F8" s="1278" t="str">
        <x:v>2 ml/L</x:v>
      </x:c>
      <x:c r="G8" s="1278" t="str">
        <x:v>OPTIONAL MICROBE — redundancy review</x:v>
      </x:c>
      <x:c r="H8" s="1278" t="str">
        <x:v>keine validierte HESI-Hybrid-Dosis; konservativer isolierter Pilot unter Labeldosis</x:v>
      </x:c>
      <x:c r="I8" s="1278" t="str">
        <x:v>JA</x:v>
      </x:c>
      <x:c r="J8" s="1278" t="str">
        <x:v>JA; Balance zuerst</x:v>
      </x:c>
      <x:c r="K8" s="1278" t="str">
        <x:v>Frisch/Manual</x:v>
      </x:c>
      <x:c r="L8" s="1278" t="str">
        <x:v>UGro Rhiza enthält bereits Pilzkomponente; starke Redundanz</x:v>
      </x:c>
      <x:c r="M8" s="1278" t="str">
        <x:v>nur eigener Mikrobenvergleich</x:v>
      </x:c>
      <x:c r="N8" s="1278" t="str">
        <x:v>keine HOCl-/Sanitizer-Gabe</x:v>
      </x:c>
      <x:c r="O8" s="1278" t="str">
        <x:v>A Label + C/UKD-Inferenz</x:v>
      </x:c>
      <x:c r="P8" s="1278" t="str">
        <x:v>https://www.advancednutrients.com/de/products/piranha/</x:v>
      </x:c>
      <x:c r="Q8" s="1508" t="str">
        <x:v>Reference=0 wegen Rhiza.</x:v>
      </x:c>
    </x:row>
    <x:row r="9">
      <x:c r="A9" s="1507" t="str">
        <x:v>Expert</x:v>
      </x:c>
      <x:c r="B9" s="1278" t="str">
        <x:v>Bud Candy</x:v>
      </x:c>
      <x:c r="C9" s="1278" t="str">
        <x:v>Carbohydrate + Mg</x:v>
      </x:c>
      <x:c r="D9" s="1278" t="str">
        <x:v>G1–G4</x:v>
      </x:c>
      <x:c r="E9" s="1278" t="str">
        <x:v>B1–B7</x:v>
      </x:c>
      <x:c r="F9" s="1278" t="str">
        <x:v>2 ml/L</x:v>
      </x:c>
      <x:c r="G9" s="1278" t="str">
        <x:v>ALT CARBO — replaces HESI Boost</x:v>
      </x:c>
      <x:c r="H9" s="1278" t="str">
        <x:v>keine validierte HESI-Hybrid-Dosis; konservativer isolierter Pilot unter Labeldosis</x:v>
      </x:c>
      <x:c r="I9" s="1278" t="str">
        <x:v>JA</x:v>
      </x:c>
      <x:c r="J9" s="1278" t="str">
        <x:v>JA; K/Mg-Gesamtbild beachten</x:v>
      </x:c>
      <x:c r="K9" s="1278" t="str">
        <x:v>NICHT im warmen Dauertank bevorzugt</x:v>
      </x:c>
      <x:c r="L9" s="1278" t="str">
        <x:v>HESI Boost/Tasty/CarboLoad funktionell überlappend; Biofilmkomplexität</x:v>
      </x:c>
      <x:c r="M9" s="1278" t="str">
        <x:v>spätere Veg oder Blüte; UKD bevorzugt B3–B6</x:v>
      </x:c>
      <x:c r="N9" s="1278" t="str">
        <x:v>HESI Boost/Tasty nicht gleichzeitig maximieren</x:v>
      </x:c>
      <x:c r="O9" s="1278" t="str">
        <x:v>A Label + C/UKD-Inferenz</x:v>
      </x:c>
      <x:c r="P9" s="1278" t="str">
        <x:v>https://www.advancednutrients.com/de/products/bud-candy/</x:v>
      </x:c>
      <x:c r="Q9" s="1508" t="str">
        <x:v>Hersteller drip-safe; UKD-Tankwarnung ist Systemvorsicht.</x:v>
      </x:c>
    </x:row>
    <x:row r="10">
      <x:c r="A10" s="1507" t="str">
        <x:v>Expert</x:v>
      </x:c>
      <x:c r="B10" s="1278" t="str">
        <x:v>Flawless Finish</x:v>
      </x:c>
      <x:c r="C10" s="1278" t="str">
        <x:v>Finish/Chelat</x:v>
      </x:c>
      <x:c r="D10" s="1278" t="str">
        <x:v>—</x:v>
      </x:c>
      <x:c r="E10" s="1278" t="str">
        <x:v>Flush</x:v>
      </x:c>
      <x:c r="F10" s="1278" t="str">
        <x:v>2 ml/L</x:v>
      </x:c>
      <x:c r="G10" s="1278" t="str">
        <x:v>NOT UKD REFERENCE</x:v>
      </x:c>
      <x:c r="H10" s="1278" t="str">
        <x:v>nur separater Test; 2 ml/L = Herstellerlabel</x:v>
      </x:c>
      <x:c r="I10" s="1278" t="str">
        <x:v>technisch kompatibel</x:v>
      </x:c>
      <x:c r="J10" s="1278" t="str">
        <x:v>Balance normalerweise AUS</x:v>
      </x:c>
      <x:c r="K10" s="1278" t="str">
        <x:v>separate Endlösung</x:v>
      </x:c>
      <x:c r="L10" s="1278" t="str">
        <x:v>ersetzt normale Endfütterung; unabhängiger Nutzen gegenüber sauberem Taper unklar</x:v>
      </x:c>
      <x:c r="M10" s="1278" t="str">
        <x:v>nur bei tatsächlicher Reife</x:v>
      </x:c>
      <x:c r="N10" s="1278" t="str">
        <x:v>Basis/PK/Booster im Finishfenster</x:v>
      </x:c>
      <x:c r="O10" s="1278" t="str">
        <x:v>A Label + D Claim</x:v>
      </x:c>
      <x:c r="P10" s="1278" t="str">
        <x:v>https://www.advancednutrients.com/de/products/flawless-finish/</x:v>
      </x:c>
      <x:c r="Q10" s="1508" t="str">
        <x:v>Hersteller-Wirkclaims nicht als unabhängigen Nachweis behandeln.</x:v>
      </x:c>
    </x:row>
    <x:row r="11">
      <x:c r="A11" s="1509" t="str">
        <x:v>Professional</x:v>
      </x:c>
      <x:c r="B11" s="1280" t="str">
        <x:v>Tarantula</x:v>
      </x:c>
      <x:c r="C11" s="1280" t="str">
        <x:v>Bakterien/Wurzel</x:v>
      </x:c>
      <x:c r="D11" s="1280" t="str">
        <x:v>G1–G2</x:v>
      </x:c>
      <x:c r="E11" s="1280" t="str">
        <x:v>B1–B2</x:v>
      </x:c>
      <x:c r="F11" s="1280" t="str">
        <x:v>2 ml/L</x:v>
      </x:c>
      <x:c r="G11" s="1280" t="str">
        <x:v>OPTIONAL MICROBE — redundancy review</x:v>
      </x:c>
      <x:c r="H11" s="1280" t="str">
        <x:v>keine validierte HESI-Hybrid-Dosis; konservativer isolierter Pilot unter Labeldosis</x:v>
      </x:c>
      <x:c r="I11" s="1280" t="str">
        <x:v>JA</x:v>
      </x:c>
      <x:c r="J11" s="1280" t="str">
        <x:v>JA; Balance zuerst</x:v>
      </x:c>
      <x:c r="K11" s="1280" t="str">
        <x:v>Frisch/Manual</x:v>
      </x:c>
      <x:c r="L11" s="1280" t="str">
        <x:v>Voodoo/Piranha zusätzliche biologische Komplexität</x:v>
      </x:c>
      <x:c r="M11" s="1280" t="str">
        <x:v>nur eigener Mikrobenvergleich</x:v>
      </x:c>
      <x:c r="N11" s="1280" t="str">
        <x:v>keine HOCl-/Sanitizer-Gabe</x:v>
      </x:c>
      <x:c r="O11" s="1280" t="str">
        <x:v>A Label + C/UKD-Inferenz</x:v>
      </x:c>
      <x:c r="P11" s="1280" t="str">
        <x:v>https://www.advancednutrients.com/de/products/tarantula/</x:v>
      </x:c>
      <x:c r="Q11" s="1510" t="str">
        <x:v>Reference nur Voodoo.</x:v>
      </x:c>
    </x:row>
    <x:row r="12">
      <x:c r="A12" s="1509" t="str">
        <x:v>Professional</x:v>
      </x:c>
      <x:c r="B12" s="1280" t="str">
        <x:v>Tasty Terpenes (Legacy-Bezug: Nirvana nur nach Formulierungsprüfung)</x:v>
      </x:c>
      <x:c r="C12" s="1280" t="str">
        <x:v>Kelp/Alfalfa/K</x:v>
      </x:c>
      <x:c r="D12" s="1280" t="str">
        <x:v>G1–G4</x:v>
      </x:c>
      <x:c r="E12" s="1280" t="str">
        <x:v>B3–B7</x:v>
      </x:c>
      <x:c r="F12" s="1280" t="str">
        <x:v>2 ml/L</x:v>
      </x:c>
      <x:c r="G12" s="1280" t="str">
        <x:v>EXPERIMENTAL — K/kelp overlap</x:v>
      </x:c>
      <x:c r="H12" s="1280" t="str">
        <x:v>keine validierte HESI-Hybrid-Dosis; konservativer isolierter Pilot unter Labeldosis</x:v>
      </x:c>
      <x:c r="I12" s="1280" t="str">
        <x:v>JA</x:v>
      </x:c>
      <x:c r="J12" s="1280" t="str">
        <x:v>⚠ Balance liefert ebenfalls K</x:v>
      </x:c>
      <x:c r="K12" s="1280" t="str">
        <x:v>Manual</x:v>
      </x:c>
      <x:c r="L12" s="1280" t="str">
        <x:v>HESI Boost/B-52/Bud Candy überlappen Biostim/K/Carbo-Funktion</x:v>
      </x:c>
      <x:c r="M12" s="1280" t="str">
        <x:v>eher B3–B6</x:v>
      </x:c>
      <x:c r="N12" s="1280" t="str">
        <x:v>Boost/B-52/Bud Candy nicht alle maximieren</x:v>
      </x:c>
      <x:c r="O12" s="1280" t="str">
        <x:v>A Label + C/UKD-Inferenz</x:v>
      </x:c>
      <x:c r="P12" s="1280" t="str">
        <x:v>https://www.advancednutrients.com/de/products/tasty-terpenes/</x:v>
      </x:c>
      <x:c r="Q12" s="1510" t="str">
        <x:v>Aktuelles Produkt 2026: Tasty Terpenes. Ältere Nirvana-Erfahrungen nur übertragen, wenn die konkrete Formulierung/Version nachweislich übereinstimmt.</x:v>
      </x:c>
    </x:row>
    <x:row r="13">
      <x:c r="A13" s="1509" t="str">
        <x:v>Professional</x:v>
      </x:c>
      <x:c r="B13" s="1280" t="str">
        <x:v>Sensizym</x:v>
      </x:c>
      <x:c r="C13" s="1280" t="str">
        <x:v>Enzyme</x:v>
      </x:c>
      <x:c r="D13" s="1280" t="str">
        <x:v>G1–G4</x:v>
      </x:c>
      <x:c r="E13" s="1280" t="str">
        <x:v>B1–B7</x:v>
      </x:c>
      <x:c r="F13" s="1280" t="str">
        <x:v>2 ml/L</x:v>
      </x:c>
      <x:c r="G13" s="1280" t="str">
        <x:v>ALT ENZYME — replaces PowerZyme</x:v>
      </x:c>
      <x:c r="H13" s="1280" t="str">
        <x:v>wenn als PowerZyme-Ersatz: konservativer Pilot; 2 ml/L = Label</x:v>
      </x:c>
      <x:c r="I13" s="1280" t="str">
        <x:v>JA</x:v>
      </x:c>
      <x:c r="J13" s="1280" t="str">
        <x:v>JA</x:v>
      </x:c>
      <x:c r="K13" s="1280" t="str">
        <x:v>Tank möglich, UKD lieber Wochenfeed</x:v>
      </x:c>
      <x:c r="L13" s="1280" t="str">
        <x:v>PowerZyme funktionell redundant</x:v>
      </x:c>
      <x:c r="M13" s="1280" t="str">
        <x:v>ganzer Zyklus wenn als Ersatz gewählt</x:v>
      </x:c>
      <x:c r="N13" s="1280" t="str">
        <x:v>PowerZyme AUS</x:v>
      </x:c>
      <x:c r="O13" s="1280" t="str">
        <x:v>A Label + UKD-Inferenz</x:v>
      </x:c>
      <x:c r="P13" s="1280" t="str">
        <x:v>https://www.advancednutrients.com/de/products/sensizym/</x:v>
      </x:c>
      <x:c r="Q13" s="1510" t="str">
        <x:v>Sauberer A/B-Vergleich möglich.</x:v>
      </x:c>
    </x:row>
    <x:row r="14">
      <x:c r="A14" s="1511" t="str">
        <x:v>Grand Master</x:v>
      </x:c>
      <x:c r="B14" s="1283" t="str">
        <x:v>Bud Ignitor</x:v>
      </x:c>
      <x:c r="C14" s="1283" t="str">
        <x:v>Early-bloom PK + kelp</x:v>
      </x:c>
      <x:c r="D14" s="1283" t="str">
        <x:v>—</x:v>
      </x:c>
      <x:c r="E14" s="1283" t="str">
        <x:v>B1–B2</x:v>
      </x:c>
      <x:c r="F14" s="1283" t="str">
        <x:v>2 ml/L</x:v>
      </x:c>
      <x:c r="G14" s="1283" t="str">
        <x:v>ALT PK — early replacement</x:v>
      </x:c>
      <x:c r="H14" s="1283" t="str">
        <x:v>keine validierte HESI-Hybrid-Dosis; konservativer isolierter Pilot unter Labeldosis</x:v>
      </x:c>
      <x:c r="I14" s="1283" t="str">
        <x:v>JA, Gesamt-P/K beachten</x:v>
      </x:c>
      <x:c r="J14" s="1283" t="str">
        <x:v>⚠ Balance liefert K</x:v>
      </x:c>
      <x:c r="K14" s="1283" t="str">
        <x:v>Manual</x:v>
      </x:c>
      <x:c r="L14" s="1283" t="str">
        <x:v>früher PK-Impuls; nicht mit zusätzlichem HESI-PK</x:v>
      </x:c>
      <x:c r="M14" s="1283" t="str">
        <x:v>ab klarer Preflower/Budlets, nicht nur Kalendertag</x:v>
      </x:c>
      <x:c r="N14" s="1283" t="str">
        <x:v>HESI PK; andere Early-PK-Bulker</x:v>
      </x:c>
      <x:c r="O14" s="1283" t="str">
        <x:v>A Label + C/UKD-Inferenz</x:v>
      </x:c>
      <x:c r="P14" s="1283" t="str">
        <x:v>https://www.advancednutrients.com/de/products/bud-ignitor/</x:v>
      </x:c>
      <x:c r="Q14" s="1512" t="str">
        <x:v>Für Autos biologischen Trigger verwenden.</x:v>
      </x:c>
    </x:row>
    <x:row r="15">
      <x:c r="A15" s="1511" t="str">
        <x:v>Grand Master</x:v>
      </x:c>
      <x:c r="B15" s="1283" t="str">
        <x:v>Rhino Skin</x:v>
      </x:c>
      <x:c r="C15" s="1283" t="str">
        <x:v>Kaliumsilikat</x:v>
      </x:c>
      <x:c r="D15" s="1283" t="str">
        <x:v>G1–G4</x:v>
      </x:c>
      <x:c r="E15" s="1283" t="str">
        <x:v>B1–B7</x:v>
      </x:c>
      <x:c r="F15" s="1283" t="str">
        <x:v>2 ml/L</x:v>
      </x:c>
      <x:c r="G15" s="1283" t="str">
        <x:v>ALT SILICA — replaces Athena/Hesilicio</x:v>
      </x:c>
      <x:c r="H15" s="1283" t="str">
        <x:v>0 mit Athena Balance; ohne Balance nur isolierter A/B-Pilot</x:v>
      </x:c>
      <x:c r="I15" s="1283" t="str">
        <x:v>JA</x:v>
      </x:c>
      <x:c r="J15" s="1283" t="str">
        <x:v>✖ REDUNDANT mit Balance</x:v>
      </x:c>
      <x:c r="K15" s="1283" t="str">
        <x:v>Tank möglich</x:v>
      </x:c>
      <x:c r="L15" s="1283" t="str">
        <x:v>Athena Balance/Hesilicio = Siliziumduplikation; zusätzliche K-Last</x:v>
      </x:c>
      <x:c r="M15" s="1283" t="str">
        <x:v>nur als Alternative zu Balance, nicht zusätzlich</x:v>
      </x:c>
      <x:c r="N15" s="1283" t="str">
        <x:v>Athena Balance/Hesilicio</x:v>
      </x:c>
      <x:c r="O15" s="1283" t="str">
        <x:v>A Label + UKD-Inferenz</x:v>
      </x:c>
      <x:c r="P15" s="1283" t="str">
        <x:v>https://www.advancednutrients.com/de/products/rhino-skin/</x:v>
      </x:c>
      <x:c r="Q15" s="1512" t="str">
        <x:v>Wichtigste Änderung durch Athena Balance.</x:v>
      </x:c>
    </x:row>
    <x:row r="16">
      <x:c r="A16" s="1513" t="str">
        <x:v>Grand Master</x:v>
      </x:c>
      <x:c r="B16" s="1514" t="str">
        <x:v>Bud Factor X</x:v>
      </x:c>
      <x:c r="C16" s="1514" t="str">
        <x:v>Biostimulanz/Harz-Claim</x:v>
      </x:c>
      <x:c r="D16" s="1514" t="str">
        <x:v>G2–G4</x:v>
      </x:c>
      <x:c r="E16" s="1514" t="str">
        <x:v>B1–B7</x:v>
      </x:c>
      <x:c r="F16" s="1514" t="str">
        <x:v>2 ml/L</x:v>
      </x:c>
      <x:c r="G16" s="1514" t="str">
        <x:v>EXPERIMENTAL — manufacturer-compatible, efficacy unverified</x:v>
      </x:c>
      <x:c r="H16" s="1514" t="str">
        <x:v>keine validierte HESI-Hybrid-Dosis; konservativer isolierter Pilot unter Labeldosis</x:v>
      </x:c>
      <x:c r="I16" s="1514" t="str">
        <x:v>JA</x:v>
      </x:c>
      <x:c r="J16" s="1514" t="str">
        <x:v>JA</x:v>
      </x:c>
      <x:c r="K16" s="1514" t="str">
        <x:v>Manual bevorzugt</x:v>
      </x:c>
      <x:c r="L16" s="1514" t="str">
        <x:v>keine starke NPK-Duplikation, aber zusätzliche Variable/Marketingclaims</x:v>
      </x:c>
      <x:c r="M16" s="1514" t="str">
        <x:v>B1–B6 wenn eigener Test</x:v>
      </x:c>
      <x:c r="N16" s="1514" t="str">
        <x:v>keine zweite neue Biostim-Variable</x:v>
      </x:c>
      <x:c r="O16" s="1514" t="str">
        <x:v>A Label + C/UKD-Inferenz</x:v>
      </x:c>
      <x:c r="P16" s="1514" t="str">
        <x:v>https://www.advancednutrients.com/products/bud-factor-x/</x:v>
      </x:c>
      <x:c r="Q16" s="1515" t="str">
        <x:v>Herstellerclaim ≠ unabhängiger Wirksamkeitsnachweis.</x:v>
      </x:c>
    </x:row>
    <x:row r="19">
      <x:c r="A19" s="1211" t="str">
        <x:v>Produkt</x:v>
      </x:c>
      <x:c r="B19" s="1211" t="str">
        <x:v>G1</x:v>
      </x:c>
      <x:c r="C19" s="1211" t="str">
        <x:v>G2</x:v>
      </x:c>
      <x:c r="D19" s="1211" t="str">
        <x:v>G3</x:v>
      </x:c>
      <x:c r="E19" s="1211" t="str">
        <x:v>G4</x:v>
      </x:c>
      <x:c r="F19" s="1211" t="str">
        <x:v>B1</x:v>
      </x:c>
      <x:c r="G19" s="1211" t="str">
        <x:v>B2</x:v>
      </x:c>
      <x:c r="H19" s="1211" t="str">
        <x:v>B3</x:v>
      </x:c>
      <x:c r="I19" s="1211" t="str">
        <x:v>B4</x:v>
      </x:c>
      <x:c r="J19" s="1211" t="str">
        <x:v>B5</x:v>
      </x:c>
      <x:c r="K19" s="1211" t="str">
        <x:v>B6</x:v>
      </x:c>
      <x:c r="L19" s="1211" t="str">
        <x:v>B7</x:v>
      </x:c>
      <x:c r="M19" s="1211" t="str">
        <x:v>Flush</x:v>
      </x:c>
      <x:c r="N19" s="1211" t="str">
        <x:v>UKD Hybrid-Kernentscheidung</x:v>
      </x:c>
    </x:row>
    <x:row r="20">
      <x:c r="A20" s="32" t="str">
        <x:v>Voodoo Juice</x:v>
      </x:c>
      <x:c r="B20" s="266" t="n">
        <x:v>2</x:v>
      </x:c>
      <x:c r="C20" s="266" t="n">
        <x:v>2</x:v>
      </x:c>
      <x:c r="D20" s="266" t="n">
        <x:v>0</x:v>
      </x:c>
      <x:c r="E20" s="266" t="n">
        <x:v>0</x:v>
      </x:c>
      <x:c r="F20" s="266" t="n">
        <x:v>2</x:v>
      </x:c>
      <x:c r="G20" s="266" t="n">
        <x:v>2</x:v>
      </x:c>
      <x:c r="H20" s="266" t="n">
        <x:v>0</x:v>
      </x:c>
      <x:c r="I20" s="266" t="n">
        <x:v>0</x:v>
      </x:c>
      <x:c r="J20" s="266" t="n">
        <x:v>0</x:v>
      </x:c>
      <x:c r="K20" s="266" t="n">
        <x:v>0</x:v>
      </x:c>
      <x:c r="L20" s="266" t="n">
        <x:v>0</x:v>
      </x:c>
      <x:c r="M20" s="266" t="n">
        <x:v>0</x:v>
      </x:c>
      <x:c r="N20" s="33" t="str">
        <x:v>JA – frühe Frischgaben</x:v>
      </x:c>
    </x:row>
    <x:row r="21">
      <x:c r="A21" s="34" t="str">
        <x:v>Big Bud</x:v>
      </x:c>
      <x:c r="B21" s="267" t="n">
        <x:v>0</x:v>
      </x:c>
      <x:c r="C21" s="267" t="n">
        <x:v>0</x:v>
      </x:c>
      <x:c r="D21" s="267" t="n">
        <x:v>0</x:v>
      </x:c>
      <x:c r="E21" s="267" t="n">
        <x:v>0</x:v>
      </x:c>
      <x:c r="F21" s="267" t="n">
        <x:v>0</x:v>
      </x:c>
      <x:c r="G21" s="267" t="n">
        <x:v>2</x:v>
      </x:c>
      <x:c r="H21" s="267" t="n">
        <x:v>2</x:v>
      </x:c>
      <x:c r="I21" s="267" t="n">
        <x:v>2</x:v>
      </x:c>
      <x:c r="J21" s="267" t="n">
        <x:v>2</x:v>
      </x:c>
      <x:c r="K21" s="267" t="n">
        <x:v>0</x:v>
      </x:c>
      <x:c r="L21" s="267" t="n">
        <x:v>0</x:v>
      </x:c>
      <x:c r="M21" s="267" t="n">
        <x:v>0</x:v>
      </x:c>
      <x:c r="N21" s="35" t="str">
        <x:v>A/B statt HESI PK</x:v>
      </x:c>
    </x:row>
    <x:row r="22">
      <x:c r="A22" s="34" t="str">
        <x:v>B-52</x:v>
      </x:c>
      <x:c r="B22" s="267" t="n">
        <x:v>2</x:v>
      </x:c>
      <x:c r="C22" s="267" t="n">
        <x:v>2</x:v>
      </x:c>
      <x:c r="D22" s="267" t="n">
        <x:v>2</x:v>
      </x:c>
      <x:c r="E22" s="267" t="n">
        <x:v>2</x:v>
      </x:c>
      <x:c r="F22" s="267" t="n">
        <x:v>0</x:v>
      </x:c>
      <x:c r="G22" s="267" t="n">
        <x:v>0</x:v>
      </x:c>
      <x:c r="H22" s="267" t="n">
        <x:v>2</x:v>
      </x:c>
      <x:c r="I22" s="267" t="n">
        <x:v>2</x:v>
      </x:c>
      <x:c r="J22" s="267" t="n">
        <x:v>2</x:v>
      </x:c>
      <x:c r="K22" s="267" t="n">
        <x:v>2</x:v>
      </x:c>
      <x:c r="L22" s="267" t="n">
        <x:v>2</x:v>
      </x:c>
      <x:c r="M22" s="267" t="n">
        <x:v>0</x:v>
      </x:c>
      <x:c r="N22" s="35" t="str">
        <x:v>optional; nicht alle Biostims stapeln</x:v>
      </x:c>
    </x:row>
    <x:row r="23">
      <x:c r="A23" s="34" t="str">
        <x:v>Overdrive</x:v>
      </x:c>
      <x:c r="B23" s="267" t="n">
        <x:v>0</x:v>
      </x:c>
      <x:c r="C23" s="267" t="n">
        <x:v>0</x:v>
      </x:c>
      <x:c r="D23" s="267" t="n">
        <x:v>0</x:v>
      </x:c>
      <x:c r="E23" s="267" t="n">
        <x:v>0</x:v>
      </x:c>
      <x:c r="F23" s="267" t="n">
        <x:v>0</x:v>
      </x:c>
      <x:c r="G23" s="267" t="n">
        <x:v>0</x:v>
      </x:c>
      <x:c r="H23" s="267" t="n">
        <x:v>0</x:v>
      </x:c>
      <x:c r="I23" s="267" t="n">
        <x:v>0</x:v>
      </x:c>
      <x:c r="J23" s="267" t="n">
        <x:v>0</x:v>
      </x:c>
      <x:c r="K23" s="267" t="n">
        <x:v>2</x:v>
      </x:c>
      <x:c r="L23" s="267" t="n">
        <x:v>2</x:v>
      </x:c>
      <x:c r="M23" s="267" t="n">
        <x:v>0</x:v>
      </x:c>
      <x:c r="N23" s="35" t="str">
        <x:v>A/B statt spätem HESI PK</x:v>
      </x:c>
    </x:row>
    <x:row r="24">
      <x:c r="A24" s="34" t="str">
        <x:v>Piranha</x:v>
      </x:c>
      <x:c r="B24" s="267" t="n">
        <x:v>2</x:v>
      </x:c>
      <x:c r="C24" s="267" t="n">
        <x:v>2</x:v>
      </x:c>
      <x:c r="D24" s="267" t="n">
        <x:v>0</x:v>
      </x:c>
      <x:c r="E24" s="267" t="n">
        <x:v>0</x:v>
      </x:c>
      <x:c r="F24" s="267" t="n">
        <x:v>2</x:v>
      </x:c>
      <x:c r="G24" s="267" t="n">
        <x:v>2</x:v>
      </x:c>
      <x:c r="H24" s="267" t="n">
        <x:v>0</x:v>
      </x:c>
      <x:c r="I24" s="267" t="n">
        <x:v>0</x:v>
      </x:c>
      <x:c r="J24" s="267" t="n">
        <x:v>0</x:v>
      </x:c>
      <x:c r="K24" s="267" t="n">
        <x:v>0</x:v>
      </x:c>
      <x:c r="L24" s="267" t="n">
        <x:v>0</x:v>
      </x:c>
      <x:c r="M24" s="267" t="n">
        <x:v>0</x:v>
      </x:c>
      <x:c r="N24" s="35" t="str">
        <x:v>A/B; Rhiza-Redundanz</x:v>
      </x:c>
    </x:row>
    <x:row r="25">
      <x:c r="A25" s="34" t="str">
        <x:v>Bud Candy</x:v>
      </x:c>
      <x:c r="B25" s="267" t="n">
        <x:v>2</x:v>
      </x:c>
      <x:c r="C25" s="267" t="n">
        <x:v>2</x:v>
      </x:c>
      <x:c r="D25" s="267" t="n">
        <x:v>2</x:v>
      </x:c>
      <x:c r="E25" s="267" t="n">
        <x:v>2</x:v>
      </x:c>
      <x:c r="F25" s="267" t="n">
        <x:v>2</x:v>
      </x:c>
      <x:c r="G25" s="267" t="n">
        <x:v>2</x:v>
      </x:c>
      <x:c r="H25" s="267" t="n">
        <x:v>2</x:v>
      </x:c>
      <x:c r="I25" s="267" t="n">
        <x:v>2</x:v>
      </x:c>
      <x:c r="J25" s="267" t="n">
        <x:v>2</x:v>
      </x:c>
      <x:c r="K25" s="267" t="n">
        <x:v>2</x:v>
      </x:c>
      <x:c r="L25" s="267" t="n">
        <x:v>2</x:v>
      </x:c>
      <x:c r="M25" s="267" t="n">
        <x:v>0</x:v>
      </x:c>
      <x:c r="N25" s="35" t="str">
        <x:v>A/B; Tank vorsichtig</x:v>
      </x:c>
    </x:row>
    <x:row r="26">
      <x:c r="A26" s="34" t="str">
        <x:v>Flawless Finish</x:v>
      </x:c>
      <x:c r="B26" s="267" t="n">
        <x:v>0</x:v>
      </x:c>
      <x:c r="C26" s="267" t="n">
        <x:v>0</x:v>
      </x:c>
      <x:c r="D26" s="267" t="n">
        <x:v>0</x:v>
      </x:c>
      <x:c r="E26" s="267" t="n">
        <x:v>0</x:v>
      </x:c>
      <x:c r="F26" s="267" t="n">
        <x:v>0</x:v>
      </x:c>
      <x:c r="G26" s="267" t="n">
        <x:v>0</x:v>
      </x:c>
      <x:c r="H26" s="267" t="n">
        <x:v>0</x:v>
      </x:c>
      <x:c r="I26" s="267" t="n">
        <x:v>0</x:v>
      </x:c>
      <x:c r="J26" s="267" t="n">
        <x:v>0</x:v>
      </x:c>
      <x:c r="K26" s="267" t="n">
        <x:v>0</x:v>
      </x:c>
      <x:c r="L26" s="267" t="n">
        <x:v>0</x:v>
      </x:c>
      <x:c r="M26" s="267" t="n">
        <x:v>2</x:v>
      </x:c>
      <x:c r="N26" s="35" t="str">
        <x:v>optional Finaltest</x:v>
      </x:c>
    </x:row>
    <x:row r="27">
      <x:c r="A27" s="34" t="str">
        <x:v>Tarantula</x:v>
      </x:c>
      <x:c r="B27" s="267" t="n">
        <x:v>2</x:v>
      </x:c>
      <x:c r="C27" s="267" t="n">
        <x:v>2</x:v>
      </x:c>
      <x:c r="D27" s="267" t="n">
        <x:v>0</x:v>
      </x:c>
      <x:c r="E27" s="267" t="n">
        <x:v>0</x:v>
      </x:c>
      <x:c r="F27" s="267" t="n">
        <x:v>2</x:v>
      </x:c>
      <x:c r="G27" s="267" t="n">
        <x:v>2</x:v>
      </x:c>
      <x:c r="H27" s="267" t="n">
        <x:v>0</x:v>
      </x:c>
      <x:c r="I27" s="267" t="n">
        <x:v>0</x:v>
      </x:c>
      <x:c r="J27" s="267" t="n">
        <x:v>0</x:v>
      </x:c>
      <x:c r="K27" s="267" t="n">
        <x:v>0</x:v>
      </x:c>
      <x:c r="L27" s="267" t="n">
        <x:v>0</x:v>
      </x:c>
      <x:c r="M27" s="267" t="n">
        <x:v>0</x:v>
      </x:c>
      <x:c r="N27" s="35" t="str">
        <x:v>A/B</x:v>
      </x:c>
    </x:row>
    <x:row r="28">
      <x:c r="A28" s="34" t="str">
        <x:v>Tasty Terpenes</x:v>
      </x:c>
      <x:c r="B28" s="267" t="n">
        <x:v>2</x:v>
      </x:c>
      <x:c r="C28" s="267" t="n">
        <x:v>2</x:v>
      </x:c>
      <x:c r="D28" s="267" t="n">
        <x:v>2</x:v>
      </x:c>
      <x:c r="E28" s="267" t="n">
        <x:v>2</x:v>
      </x:c>
      <x:c r="F28" s="267" t="n">
        <x:v>0</x:v>
      </x:c>
      <x:c r="G28" s="267" t="n">
        <x:v>0</x:v>
      </x:c>
      <x:c r="H28" s="267" t="n">
        <x:v>2</x:v>
      </x:c>
      <x:c r="I28" s="267" t="n">
        <x:v>2</x:v>
      </x:c>
      <x:c r="J28" s="267" t="n">
        <x:v>2</x:v>
      </x:c>
      <x:c r="K28" s="267" t="n">
        <x:v>2</x:v>
      </x:c>
      <x:c r="L28" s="267" t="n">
        <x:v>2</x:v>
      </x:c>
      <x:c r="M28" s="267" t="n">
        <x:v>0</x:v>
      </x:c>
      <x:c r="N28" s="35" t="str">
        <x:v>A/B; K-/Boost-Overlap</x:v>
      </x:c>
    </x:row>
    <x:row r="29">
      <x:c r="A29" s="34" t="str">
        <x:v>Sensizym</x:v>
      </x:c>
      <x:c r="B29" s="267" t="n">
        <x:v>2</x:v>
      </x:c>
      <x:c r="C29" s="267" t="n">
        <x:v>2</x:v>
      </x:c>
      <x:c r="D29" s="267" t="n">
        <x:v>2</x:v>
      </x:c>
      <x:c r="E29" s="267" t="n">
        <x:v>2</x:v>
      </x:c>
      <x:c r="F29" s="267" t="n">
        <x:v>2</x:v>
      </x:c>
      <x:c r="G29" s="267" t="n">
        <x:v>2</x:v>
      </x:c>
      <x:c r="H29" s="267" t="n">
        <x:v>2</x:v>
      </x:c>
      <x:c r="I29" s="267" t="n">
        <x:v>2</x:v>
      </x:c>
      <x:c r="J29" s="267" t="n">
        <x:v>2</x:v>
      </x:c>
      <x:c r="K29" s="267" t="n">
        <x:v>2</x:v>
      </x:c>
      <x:c r="L29" s="267" t="n">
        <x:v>2</x:v>
      </x:c>
      <x:c r="M29" s="267" t="n">
        <x:v>0</x:v>
      </x:c>
      <x:c r="N29" s="35" t="str">
        <x:v>statt PowerZyme</x:v>
      </x:c>
    </x:row>
    <x:row r="30">
      <x:c r="A30" s="34" t="str">
        <x:v>Bud Ignitor</x:v>
      </x:c>
      <x:c r="B30" s="267" t="n">
        <x:v>0</x:v>
      </x:c>
      <x:c r="C30" s="267" t="n">
        <x:v>0</x:v>
      </x:c>
      <x:c r="D30" s="267" t="n">
        <x:v>0</x:v>
      </x:c>
      <x:c r="E30" s="267" t="n">
        <x:v>0</x:v>
      </x:c>
      <x:c r="F30" s="267" t="n">
        <x:v>2</x:v>
      </x:c>
      <x:c r="G30" s="267" t="n">
        <x:v>2</x:v>
      </x:c>
      <x:c r="H30" s="267" t="n">
        <x:v>0</x:v>
      </x:c>
      <x:c r="I30" s="267" t="n">
        <x:v>0</x:v>
      </x:c>
      <x:c r="J30" s="267" t="n">
        <x:v>0</x:v>
      </x:c>
      <x:c r="K30" s="267" t="n">
        <x:v>0</x:v>
      </x:c>
      <x:c r="L30" s="267" t="n">
        <x:v>0</x:v>
      </x:c>
      <x:c r="M30" s="267" t="n">
        <x:v>0</x:v>
      </x:c>
      <x:c r="N30" s="35" t="str">
        <x:v>A/B Early Bloom</x:v>
      </x:c>
    </x:row>
    <x:row r="31">
      <x:c r="A31" s="34" t="str">
        <x:v>Rhino Skin</x:v>
      </x:c>
      <x:c r="B31" s="267" t="n">
        <x:v>2</x:v>
      </x:c>
      <x:c r="C31" s="267" t="n">
        <x:v>2</x:v>
      </x:c>
      <x:c r="D31" s="267" t="n">
        <x:v>2</x:v>
      </x:c>
      <x:c r="E31" s="267" t="n">
        <x:v>2</x:v>
      </x:c>
      <x:c r="F31" s="267" t="n">
        <x:v>2</x:v>
      </x:c>
      <x:c r="G31" s="267" t="n">
        <x:v>2</x:v>
      </x:c>
      <x:c r="H31" s="267" t="n">
        <x:v>2</x:v>
      </x:c>
      <x:c r="I31" s="267" t="n">
        <x:v>2</x:v>
      </x:c>
      <x:c r="J31" s="267" t="n">
        <x:v>2</x:v>
      </x:c>
      <x:c r="K31" s="267" t="n">
        <x:v>2</x:v>
      </x:c>
      <x:c r="L31" s="267" t="n">
        <x:v>2</x:v>
      </x:c>
      <x:c r="M31" s="267" t="n">
        <x:v>0</x:v>
      </x:c>
      <x:c r="N31" s="35" t="str">
        <x:v>AUS mit Athena Balance</x:v>
      </x:c>
    </x:row>
    <x:row r="32">
      <x:c r="A32" s="36" t="str">
        <x:v>Bud Factor X</x:v>
      </x:c>
      <x:c r="B32" s="268" t="n">
        <x:v>0</x:v>
      </x:c>
      <x:c r="C32" s="268" t="n">
        <x:v>2</x:v>
      </x:c>
      <x:c r="D32" s="268" t="n">
        <x:v>2</x:v>
      </x:c>
      <x:c r="E32" s="268" t="n">
        <x:v>2</x:v>
      </x:c>
      <x:c r="F32" s="268" t="n">
        <x:v>2</x:v>
      </x:c>
      <x:c r="G32" s="268" t="n">
        <x:v>2</x:v>
      </x:c>
      <x:c r="H32" s="268" t="n">
        <x:v>2</x:v>
      </x:c>
      <x:c r="I32" s="268" t="n">
        <x:v>2</x:v>
      </x:c>
      <x:c r="J32" s="268" t="n">
        <x:v>2</x:v>
      </x:c>
      <x:c r="K32" s="268" t="n">
        <x:v>2</x:v>
      </x:c>
      <x:c r="L32" s="268" t="n">
        <x:v>2</x:v>
      </x:c>
      <x:c r="M32" s="268" t="n">
        <x:v>0</x:v>
      </x:c>
      <x:c r="N32" s="37" t="str">
        <x:v>A/B only</x:v>
      </x:c>
    </x:row>
    <x:row r="35">
      <x:c r="A35" s="790" t="str">
        <x:v>Grand-Master-Einordnung 2026</x:v>
      </x:c>
      <x:c r="B35" s="790" t="str">
        <x:v>Befund</x:v>
      </x:c>
      <x:c r="C35" s="790" t="str">
        <x:v>UKD Schluss</x:v>
      </x:c>
      <x:c r="D35" s="790" t="str">
        <x:v>Evidenz</x:v>
      </x:c>
      <x:c r="E35" s="790" t="str">
        <x:v>Quelle</x:v>
      </x:c>
      <x:c r="F35" s="790" t="str">
        <x:v>Hinweis</x:v>
      </x:c>
    </x:row>
    <x:row r="36">
      <x:c r="A36" s="32" t="str">
        <x:v>Klassischer Level</x:v>
      </x:c>
      <x:c r="B36" s="62" t="str">
        <x:v>Händler führen Hobbyist→Expert→Professional→Grand Master weiter; Grand Master ist kumulativ</x:v>
      </x:c>
      <x:c r="C36" s="62" t="str">
        <x:v>alle 13 im Workbook, aber nicht als Zwangsstack</x:v>
      </x:c>
      <x:c r="D36" s="62" t="str">
        <x:v>B</x:v>
      </x:c>
      <x:c r="E36" s="62" t="str">
        <x:v>https://www.grow-shop24.de/advanced-nutrients-grand-master-grower-level-set</x:v>
      </x:c>
      <x:c r="F36" s="33" t="str">
        <x:v>aktuelles deutsches Händlerangebot</x:v>
      </x:c>
    </x:row>
    <x:row r="37">
      <x:c r="A37" s="34" t="str">
        <x:v>Aktuelle AN-Struktur</x:v>
      </x:c>
      <x:c r="B37" s="201" t="str">
        <x:v>AN-Website 2026 organisiert primär nach Produktklassen/Feed-Charts/Recipes</x:v>
      </x:c>
      <x:c r="C37" s="201" t="str">
        <x:v>Level-Taxonomie nicht als aktuelle wissenschaftliche Hierarchie behandeln</x:v>
      </x:c>
      <x:c r="D37" s="201" t="str">
        <x:v>A</x:v>
      </x:c>
      <x:c r="E37" s="201" t="str">
        <x:v>https://www.advancednutrients.com/de/feeding/</x:v>
      </x:c>
      <x:c r="F37" s="35" t="str">
        <x:v>Hersteller</x:v>
      </x:c>
    </x:row>
    <x:row r="38">
      <x:c r="A38" s="1154" t="str">
        <x:v>Praxis Full Stack</x:v>
      </x:c>
      <x:c r="B38" s="1204" t="str">
        <x:v>Communityberichte nennen sowohl erfolgreiche Nutzung als auch hohe EC/Komplexität</x:v>
      </x:c>
      <x:c r="C38" s="1204" t="str">
        <x:v>keine pauschale 25–50%-Regel als validierte Dosis verwenden</x:v>
      </x:c>
      <x:c r="D38" s="1204" t="str">
        <x:v>C</x:v>
      </x:c>
      <x:c r="E38" s="1204" t="str">
        <x:v>Communityquellen</x:v>
      </x:c>
      <x:c r="F38" s="1205" t="str">
        <x:v>qualitative Praxis, keine Dosierungsstudie</x:v>
      </x:c>
    </x:row>
    <x:row r="39">
      <x:c r="A39" s="1156" t="str">
        <x:v>Auto-spezifisch</x:v>
      </x:c>
      <x:c r="B39" s="201" t="str">
        <x:v>Herstellerchart ist phasenbezogen; UKD-Auto kann andere Zeitachse haben</x:v>
      </x:c>
      <x:c r="C39" s="201" t="str">
        <x:v>Bloom-Trigger und Pflanzenreaktion über starrem Kalender</x:v>
      </x:c>
      <x:c r="D39" s="201" t="str">
        <x:v>C/UKD</x:v>
      </x:c>
      <x:c r="E39" s="201" t="str">
        <x:v>Community + Methodik</x:v>
      </x:c>
      <x:c r="F39" s="1193" t="str">
        <x:v>keine Auto-spezifische Herstellervalidierung für HESI-Hybrid</x:v>
      </x:c>
    </x:row>
    <x:row r="40">
      <x:c r="A40" s="1158" t="str">
        <x:v>Referenzdesign</x:v>
      </x:c>
      <x:c r="B40" s="1194" t="str">
        <x:v>jede zusätzliche Flasche ist eine zusätzliche Variable</x:v>
      </x:c>
      <x:c r="C40" s="1194" t="str">
        <x:v>Reference minimal; Grand-Master-Produkte einzeln/repliziert testen</x:v>
      </x:c>
      <x:c r="D40" s="1194" t="str">
        <x:v>UKD Methodik</x:v>
      </x:c>
      <x:c r="E40" s="1194" t="str">
        <x:v>—</x:v>
      </x:c>
      <x:c r="F40" s="1195" t="str">
        <x:v>Reproduzierbarkeit &gt; Flaschenanzahl</x:v>
      </x:c>
    </x:row>
  </x:sheetData>
  <x:mergeCells>
    <x:mergeCell ref="A1:Q1"/>
  </x:mergeCells>
  <x:conditionalFormatting sqref="B20:M32">
    <x:cfRule type="expression" dxfId="32" priority="5">
      <x:formula>B20=2</x:formula>
    </x:cfRule>
    <x:cfRule type="expression" dxfId="33" priority="6">
      <x:formula>B20=0</x:formula>
    </x:cfRule>
  </x:conditionalFormatting>
  <x:conditionalFormatting sqref="G4:G16">
    <x:cfRule type="expression" dxfId="55" priority="7">
      <x:formula>ISNUMBER(SEARCH("JA",G4))</x:formula>
    </x:cfRule>
    <x:cfRule type="expression" dxfId="56" priority="8">
      <x:formula>ISNUMBER(SEARCH("A/B",G4))</x:formula>
    </x:cfRule>
    <x:cfRule type="expression" dxfId="57" priority="9">
      <x:formula>ISNUMBER(SEARCH("NEIN",G4))</x:formula>
    </x:cfRule>
    <x:cfRule type="expression" dxfId="58" priority="10">
      <x:formula>ISNUMBER(SEARCH("ALTERNATIVE",G4))</x:formula>
    </x:cfRule>
  </x:conditionalFormatting>
  <x:pageMargins left="0.7" right="0.7" top="0.75" bottom="0.75" header="0.3" footer="0.3"/>
</x:worksheet>
</file>

<file path=xl/worksheets/sheet27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2" hidden="0" customWidth="1"/>
    <x:col min="3" max="3" width="24" hidden="0" customWidth="1"/>
    <x:col min="4" max="4" width="48" hidden="0" customWidth="1"/>
    <x:col min="5" max="5" width="48" hidden="0" customWidth="1"/>
    <x:col min="6" max="6" width="48" hidden="0" customWidth="1"/>
    <x:col min="7" max="7" width="23" hidden="0" customWidth="1"/>
    <x:col min="8" max="8" width="11" hidden="0" customWidth="1"/>
    <x:col min="9" max="9" width="39" hidden="0" customWidth="1"/>
    <x:col min="10" max="10" width="9" hidden="0" customWidth="1"/>
    <x:col min="12" max="12" width="22" hidden="0" customWidth="1"/>
    <x:col min="13" max="13" width="12" hidden="0" customWidth="1"/>
    <x:col min="14" max="14" width="32" hidden="0" customWidth="1"/>
  </x:cols>
  <x:sheetData>
    <x:row r="1">
      <x:c r="A1" s="1528" t="str">
        <x:v>UKD v9 · FORENSISCHER CONTENT-/WORKBOOK-/UX-AUDIT — FINDINGS &amp; KORREKTUREN</x:v>
      </x:c>
      <x:c r="B1" s="1528" t="str">
        <x:v>UKD v6 · FORENSISCHER CONTENT-/WORKBOOK-AUDIT — FINDINGS &amp; KORREKTUREN</x:v>
      </x:c>
      <x:c r="C1" s="1528" t="str">
        <x:v>UKD v6 · FORENSISCHER CONTENT-/WORKBOOK-AUDIT — FINDINGS &amp; KORREKTUREN</x:v>
      </x:c>
      <x:c r="D1" s="1528" t="str">
        <x:v>UKD v6 · FORENSISCHER CONTENT-/WORKBOOK-AUDIT — FINDINGS &amp; KORREKTUREN</x:v>
      </x:c>
      <x:c r="E1" s="1528" t="str">
        <x:v>UKD v6 · FORENSISCHER CONTENT-/WORKBOOK-AUDIT — FINDINGS &amp; KORREKTUREN</x:v>
      </x:c>
      <x:c r="F1" s="1528" t="str">
        <x:v>UKD v6 · FORENSISCHER CONTENT-/WORKBOOK-AUDIT — FINDINGS &amp; KORREKTUREN</x:v>
      </x:c>
      <x:c r="G1" s="1528" t="str">
        <x:v>UKD v6 · FORENSISCHER CONTENT-/WORKBOOK-AUDIT — FINDINGS &amp; KORREKTUREN</x:v>
      </x:c>
      <x:c r="H1" s="1528" t="str">
        <x:v>UKD v6 · FORENSISCHER CONTENT-/WORKBOOK-AUDIT — FINDINGS &amp; KORREKTUREN</x:v>
      </x:c>
      <x:c r="I1" s="1528" t="str">
        <x:v>UKD v6 · FORENSISCHER CONTENT-/WORKBOOK-AUDIT — FINDINGS &amp; KORREKTUREN</x:v>
      </x:c>
      <x:c r="J1" s="1528" t="str">
        <x:v>UKD v6 · FORENSISCHER CONTENT-/WORKBOOK-AUDIT — FINDINGS &amp; KORREKTUREN</x:v>
      </x:c>
      <x:c r="K1" t="str">
        <x:v>UKD v6 · FORENSISCHER CONTENT-/WORKBOOK-AUDIT — FINDINGS &amp; KORREKTUREN</x:v>
      </x:c>
      <x:c r="L1" t="str">
        <x:v>UKD v6 · FORENSISCHER CONTENT-/WORKBOOK-AUDIT — FINDINGS &amp; KORREKTUREN</x:v>
      </x:c>
      <x:c r="M1" t="str">
        <x:v>UKD v6 · FORENSISCHER CONTENT-/WORKBOOK-AUDIT — FINDINGS &amp; KORREKTUREN</x:v>
      </x:c>
      <x:c r="N1" t="str">
        <x:v>UKD v6 · FORENSISCHER CONTENT-/WORKBOOK-AUDIT — FINDINGS &amp; KORREKTUREN</x:v>
      </x:c>
    </x:row>
    <x:row r="3">
      <x:c r="A3" s="1460" t="str">
        <x:v>ID</x:v>
      </x:c>
      <x:c r="B3" s="1460" t="str">
        <x:v>Schwere</x:v>
      </x:c>
      <x:c r="C3" s="1460" t="str">
        <x:v>Blatt/Bereich</x:v>
      </x:c>
      <x:c r="D3" s="1460" t="str">
        <x:v>Fund</x:v>
      </x:c>
      <x:c r="E3" s="1460" t="str">
        <x:v>Risiko</x:v>
      </x:c>
      <x:c r="F3" s="1460" t="str">
        <x:v>Korrektur v4</x:v>
      </x:c>
      <x:c r="G3" s="1460" t="str">
        <x:v>Evidenz</x:v>
      </x:c>
      <x:c r="H3" s="1460" t="str">
        <x:v>Status</x:v>
      </x:c>
      <x:c r="I3" s="1460" t="str">
        <x:v>Restunsicherheit</x:v>
      </x:c>
      <x:c r="J3" s="1460" t="str">
        <x:v>Priorität</x:v>
      </x:c>
      <x:c r="L3" s="1460" t="str">
        <x:v>Audit Summary</x:v>
      </x:c>
      <x:c r="M3" s="1460" t="str">
        <x:v>Wert</x:v>
      </x:c>
      <x:c r="N3" s="1460" t="str">
        <x:v>Kommentar</x:v>
      </x:c>
    </x:row>
    <x:row r="4">
      <x:c r="A4" s="1154" t="str">
        <x:v>A01</x:v>
      </x:c>
      <x:c r="B4" s="1204" t="str">
        <x:v>KRITISCH</x:v>
      </x:c>
      <x:c r="C4" s="1204" t="str">
        <x:v>09 / Dashboard / README</x:v>
      </x:c>
      <x:c r="D4" s="1204" t="str">
        <x:v>Tropf-Blumat wurde trotz ausdrücklichem Hersteller-Innenraumverbot weiter als operatives Reference-System behandelt.</x:v>
      </x:c>
      <x:c r="E4" s="1204" t="str">
        <x:v>Wasser-/Sachschaden; Widerspruch Herstellerstatus</x:v>
      </x:c>
      <x:c r="F4" s="1204" t="str">
        <x:v>Reference auf manuell/indoor-freigegeben geändert; Blumat nur Legacy/Risiko.</x:v>
      </x:c>
      <x:c r="G4" s="1204" t="str">
        <x:v>A Hersteller</x:v>
      </x:c>
      <x:c r="H4" s="1204" t="str">
        <x:v>FIXED</x:v>
      </x:c>
      <x:c r="I4" s="1204" t="str">
        <x:v>Kein spezifisches Alternativesystem ausgewählt</x:v>
      </x:c>
      <x:c r="J4" s="1205" t="str">
        <x:v>P0</x:v>
      </x:c>
      <x:c r="L4" s="1154" t="str">
        <x:v>Ausgangsblätter geprüft</x:v>
      </x:c>
      <x:c r="M4" s="1204" t="n">
        <x:v>26</x:v>
      </x:c>
      <x:c r="N4" s="1205" t="str">
        <x:v>vollständige Ausgangsmappe; Auditbericht ist zusätzliches 27. Blatt</x:v>
      </x:c>
    </x:row>
    <x:row r="5">
      <x:c r="A5" s="1156" t="str">
        <x:v>A02</x:v>
      </x:c>
      <x:c r="B5" s="201" t="str">
        <x:v>HOCH</x:v>
      </x:c>
      <x:c r="C5" s="201" t="str">
        <x:v>05_Mix_Calculator B4</x:v>
      </x:c>
      <x:c r="D5" s="201" t="str">
        <x:v>Mischer stand auf Tag 28, Run_Config auf Tag 0.</x:v>
      </x:c>
      <x:c r="E5" s="201" t="str">
        <x:v>falscher Feed zur aktuellen Phase</x:v>
      </x:c>
      <x:c r="F5" s="201" t="str">
        <x:v>B4 an Run_Config B5 gekoppelt.</x:v>
      </x:c>
      <x:c r="G5" s="201" t="str">
        <x:v>intern</x:v>
      </x:c>
      <x:c r="H5" s="201" t="str">
        <x:v>FIXED</x:v>
      </x:c>
      <x:c r="I5" s="201" t="str">
        <x:v>—</x:v>
      </x:c>
      <x:c r="J5" s="1193" t="str">
        <x:v>P0</x:v>
      </x:c>
      <x:c r="L5" s="1156" t="str">
        <x:v>Findings</x:v>
      </x:c>
      <x:c r="M5" s="201" t="n">
        <x:v>46</x:v>
      </x:c>
      <x:c r="N5" s="1193" t="str">
        <x:v>wesentliche dokumentierte Funde</x:v>
      </x:c>
    </x:row>
    <x:row r="6">
      <x:c r="A6" s="1156" t="str">
        <x:v>A03</x:v>
      </x:c>
      <x:c r="B6" s="201" t="str">
        <x:v>HOCH</x:v>
      </x:c>
      <x:c r="C6" s="201" t="str">
        <x:v>05 vs 01</x:v>
      </x:c>
      <x:c r="D6" s="201" t="str">
        <x:v>Athena/CalMag/GM/pH-Down waren doppelte Eingaben.</x:v>
      </x:c>
      <x:c r="E6" s="201" t="str">
        <x:v>driftende Single-Source-of-Truth</x:v>
      </x:c>
      <x:c r="F6" s="201" t="str">
        <x:v>Mix übernimmt Config; Batchvolumen bleibt lokale Eingabe.</x:v>
      </x:c>
      <x:c r="G6" s="201" t="str">
        <x:v>intern</x:v>
      </x:c>
      <x:c r="H6" s="201" t="str">
        <x:v>FIXED</x:v>
      </x:c>
      <x:c r="I6" s="201" t="str">
        <x:v>—</x:v>
      </x:c>
      <x:c r="J6" s="1193" t="str">
        <x:v>P0</x:v>
      </x:c>
      <x:c r="L6" s="1156" t="str">
        <x:v>Kritisch</x:v>
      </x:c>
      <x:c r="M6" s="201" t="n">
        <x:v>1</x:v>
      </x:c>
      <x:c r="N6" s="1193" t="str">
        <x:v>Blumat Reference-Konflikt</x:v>
      </x:c>
    </x:row>
    <x:row r="7">
      <x:c r="A7" s="1156" t="str">
        <x:v>A04</x:v>
      </x:c>
      <x:c r="B7" s="201" t="str">
        <x:v>HOCH</x:v>
      </x:c>
      <x:c r="C7" s="201" t="str">
        <x:v>02 Z</x:v>
      </x:c>
      <x:c r="D7" s="201" t="str">
        <x:v>Hesilicio wurde kalenderfest dosiert, obwohl Athena Balance Default-Si sein kann.</x:v>
      </x:c>
      <x:c r="E7" s="201" t="str">
        <x:v>Si/K-Duplikation</x:v>
      </x:c>
      <x:c r="F7" s="201" t="str">
        <x:v>Hesilicio nur bei expliziter Alternative in Config.</x:v>
      </x:c>
      <x:c r="G7" s="201" t="str">
        <x:v>Hersteller + Logik</x:v>
      </x:c>
      <x:c r="H7" s="201" t="str">
        <x:v>FIXED</x:v>
      </x:c>
      <x:c r="I7" s="201" t="str">
        <x:v>—</x:v>
      </x:c>
      <x:c r="J7" s="1193" t="str">
        <x:v>P0</x:v>
      </x:c>
      <x:c r="L7" s="1156" t="str">
        <x:v>Hoch</x:v>
      </x:c>
      <x:c r="M7" s="201" t="n">
        <x:v>20</x:v>
      </x:c>
      <x:c r="N7" s="1193" t="str">
        <x:v>operative/wissenschaftliche Risiken</x:v>
      </x:c>
    </x:row>
    <x:row r="8">
      <x:c r="A8" s="1156" t="str">
        <x:v>A05</x:v>
      </x:c>
      <x:c r="B8" s="201" t="str">
        <x:v>HOCH</x:v>
      </x:c>
      <x:c r="C8" s="201" t="str">
        <x:v>02 / README</x:v>
      </x:c>
      <x:c r="D8" s="201" t="str">
        <x:v>Blüte-Trigger war textlich gefordert, Fütterung aber kalenderhart.</x:v>
      </x:c>
      <x:c r="E8" s="201" t="str">
        <x:v>Auto-Phänologie vs. Feed widersprüchlich</x:v>
      </x:c>
      <x:c r="F8" s="201" t="str">
        <x:v>Blüte-Trigger als Eingabe; Basis/Boost/PK/Voodoo/AN-Fenster triggerrelativ.</x:v>
      </x:c>
      <x:c r="G8" s="201" t="str">
        <x:v>intern/Herstellerphasen</x:v>
      </x:c>
      <x:c r="H8" s="201" t="str">
        <x:v>FIXED</x:v>
      </x:c>
      <x:c r="I8" s="201" t="str">
        <x:v>Klima bleibt Plantrajektorie</x:v>
      </x:c>
      <x:c r="J8" s="1193" t="str">
        <x:v>P0</x:v>
      </x:c>
      <x:c r="L8" s="1156" t="str">
        <x:v>Mittel</x:v>
      </x:c>
      <x:c r="M8" s="201" t="n">
        <x:v>22</x:v>
      </x:c>
      <x:c r="N8" s="1193" t="str">
        <x:v>Logik/Evidenz/Querverweise</x:v>
      </x:c>
    </x:row>
    <x:row r="9">
      <x:c r="A9" s="1156" t="str">
        <x:v>A06</x:v>
      </x:c>
      <x:c r="B9" s="201" t="str">
        <x:v>HOCH</x:v>
      </x:c>
      <x:c r="C9" s="201" t="str">
        <x:v>02</x:v>
      </x:c>
      <x:c r="D9" s="201" t="str">
        <x:v>TNT startete automatisch Tag 4 ohne expliziten Sämlings-Trigger.</x:v>
      </x:c>
      <x:c r="E9" s="201" t="str">
        <x:v>zu frühe/zu starre Versorgung</x:v>
      </x:c>
      <x:c r="F9" s="201" t="str">
        <x:v>Nährstoffstart als Config-Eingabe; HESI-Saatreservehinweis dokumentiert.</x:v>
      </x:c>
      <x:c r="G9" s="201" t="str">
        <x:v>A Hersteller</x:v>
      </x:c>
      <x:c r="H9" s="201" t="str">
        <x:v>FIXED</x:v>
      </x:c>
      <x:c r="I9" s="201" t="str">
        <x:v>Default Tag4 bleibt Planannahme</x:v>
      </x:c>
      <x:c r="J9" s="1193" t="str">
        <x:v>P1</x:v>
      </x:c>
      <x:c r="L9" s="1156" t="str">
        <x:v>Niedrig</x:v>
      </x:c>
      <x:c r="M9" s="201" t="n">
        <x:v>3</x:v>
      </x:c>
      <x:c r="N9" s="1193" t="str">
        <x:v>Scope/Vollständigkeit</x:v>
      </x:c>
    </x:row>
    <x:row r="10">
      <x:c r="A10" s="1156" t="str">
        <x:v>A07</x:v>
      </x:c>
      <x:c r="B10" s="201" t="str">
        <x:v>MITTEL</x:v>
      </x:c>
      <x:c r="C10" s="201" t="str">
        <x:v>04 vs 02</x:v>
      </x:c>
      <x:c r="D10" s="201" t="str">
        <x:v>Monatsgrenzen 0–30/31–60 widersprachen Formel 0–29/30–59.</x:v>
      </x:c>
      <x:c r="E10" s="201" t="str">
        <x:v>Reporting inkonsistent</x:v>
      </x:c>
      <x:c r="F10" s="201" t="str">
        <x:v>04 auf 0–29/30–59/60–80 korrigiert.</x:v>
      </x:c>
      <x:c r="G10" s="201" t="str">
        <x:v>intern</x:v>
      </x:c>
      <x:c r="H10" s="201" t="str">
        <x:v>FIXED</x:v>
      </x:c>
      <x:c r="I10" s="201" t="str">
        <x:v>—</x:v>
      </x:c>
      <x:c r="J10" s="1193" t="str">
        <x:v>P1</x:v>
      </x:c>
      <x:c r="L10" s="1158" t="str">
        <x:v>Formelfehler vor Patch</x:v>
      </x:c>
      <x:c r="M10" s="1194" t="n">
        <x:v>0</x:v>
      </x:c>
      <x:c r="N10" s="1195" t="str">
        <x:v>keine #REF/#DIV0 etc.</x:v>
      </x:c>
    </x:row>
    <x:row r="11">
      <x:c r="A11" s="1156" t="str">
        <x:v>A08</x:v>
      </x:c>
      <x:c r="B11" s="201" t="str">
        <x:v>HOCH</x:v>
      </x:c>
      <x:c r="C11" s="201" t="str">
        <x:v>02 vs 03</x:v>
      </x:c>
      <x:c r="D11" s="201" t="str">
        <x:v>Tag 77–80 Daily blieb 500 PPFD/105W, Weekly W12 sagte 450/90.</x:v>
      </x:c>
      <x:c r="E11" s="201" t="str">
        <x:v>operative Sollwertkollision</x:v>
      </x:c>
      <x:c r="F11" s="201" t="str">
        <x:v>Daily 77–80 auf W12-Taper korrigiert; Climate ergänzt.</x:v>
      </x:c>
      <x:c r="G11" s="201" t="str">
        <x:v>intern</x:v>
      </x:c>
      <x:c r="H11" s="201" t="str">
        <x:v>FIXED</x:v>
      </x:c>
      <x:c r="I11" s="201" t="str">
        <x:v>Taper ist Plan, nicht nachgewiesenes Optimum</x:v>
      </x:c>
      <x:c r="J11" s="1193" t="str">
        <x:v>P1</x:v>
      </x:c>
    </x:row>
    <x:row r="12">
      <x:c r="A12" s="1156" t="str">
        <x:v>A09</x:v>
      </x:c>
      <x:c r="B12" s="201" t="str">
        <x:v>HOCH</x:v>
      </x:c>
      <x:c r="C12" s="201" t="str">
        <x:v>O / Climate</x:v>
      </x:c>
      <x:c r="D12" s="201" t="str">
        <x:v>VPD-Zahlen hatten keine explizite Blatt-Temperaturannahme.</x:v>
      </x:c>
      <x:c r="E12" s="201" t="str">
        <x:v>physiologisch unvollständige Kennzahl</x:v>
      </x:c>
      <x:c r="F12" s="201" t="str">
        <x:v>Leaf-VPD mathematisch aus Air T/RH + konfigurierbarem Leaf ΔT; Air-VPD ergänzt.</x:v>
      </x:c>
      <x:c r="G12" s="201" t="str">
        <x:v>Physik</x:v>
      </x:c>
      <x:c r="H12" s="201" t="str">
        <x:v>FIXED</x:v>
      </x:c>
      <x:c r="I12" s="201" t="str">
        <x:v>IR-Blatttemp vorzuziehen</x:v>
      </x:c>
      <x:c r="J12" s="1193" t="str">
        <x:v>P0</x:v>
      </x:c>
    </x:row>
    <x:row r="13">
      <x:c r="A13" s="1156" t="str">
        <x:v>A10</x:v>
      </x:c>
      <x:c r="B13" s="201" t="str">
        <x:v>HOCH</x:v>
      </x:c>
      <x:c r="C13" s="201" t="str">
        <x:v>12_Daily_Log</x:v>
      </x:c>
      <x:c r="D13" s="201" t="str">
        <x:v>Zukünftige, leere Zeilen standen auf OK.</x:v>
      </x:c>
      <x:c r="E13" s="201" t="str">
        <x:v>falsches Sicherheits-/QA-Signal</x:v>
      </x:c>
      <x:c r="F13" s="201" t="str">
        <x:v>Default OFFEN; Gesamtstatus aus Daten/Warnflags berechnet.</x:v>
      </x:c>
      <x:c r="G13" s="201" t="str">
        <x:v>intern</x:v>
      </x:c>
      <x:c r="H13" s="201" t="str">
        <x:v>FIXED</x:v>
      </x:c>
      <x:c r="I13" s="201" t="str">
        <x:v>—</x:v>
      </x:c>
      <x:c r="J13" s="1193" t="str">
        <x:v>P0</x:v>
      </x:c>
    </x:row>
    <x:row r="14">
      <x:c r="A14" s="1156" t="str">
        <x:v>A11</x:v>
      </x:c>
      <x:c r="B14" s="201" t="str">
        <x:v>HOCH</x:v>
      </x:c>
      <x:c r="C14" s="201" t="str">
        <x:v>08_Hybrid_AB</x:v>
      </x:c>
      <x:c r="D14" s="201" t="str">
        <x:v>Seed-grown Auto-Runs wurden wie kontrollierte kausale A/B-Tests beschrieben.</x:v>
      </x:c>
      <x:c r="E14" s="201" t="str">
        <x:v>wissenschaftliche Überinterpretation</x:v>
      </x:c>
      <x:c r="F14" s="201" t="str">
        <x:v>N-of-1/Quasi-Experiment explizit; Seedlot/Replikation/Confounder ergänzt.</x:v>
      </x:c>
      <x:c r="G14" s="201" t="str">
        <x:v>Methodik</x:v>
      </x:c>
      <x:c r="H14" s="201" t="str">
        <x:v>FIXED</x:v>
      </x:c>
      <x:c r="I14" s="201" t="str">
        <x:v>echte Replikation weiterhin nötig</x:v>
      </x:c>
      <x:c r="J14" s="1193" t="str">
        <x:v>P0</x:v>
      </x:c>
    </x:row>
    <x:row r="15">
      <x:c r="A15" s="1156" t="str">
        <x:v>A12</x:v>
      </x:c>
      <x:c r="B15" s="201" t="str">
        <x:v>MITTEL</x:v>
      </x:c>
      <x:c r="C15" s="201" t="str">
        <x:v>08 / 14</x:v>
      </x:c>
      <x:c r="D15" s="201" t="str">
        <x:v>g/W als Effizienzmetrik trotz variabler Wattkurve.</x:v>
      </x:c>
      <x:c r="E15" s="201" t="str">
        <x:v>Energieeffizienz verzerrt</x:v>
      </x:c>
      <x:c r="F15" s="201" t="str">
        <x:v>kWh/Tag + kumulative Licht-kWh; g/kWh als Hauptmetrik.</x:v>
      </x:c>
      <x:c r="G15" s="201" t="str">
        <x:v>Engineering</x:v>
      </x:c>
      <x:c r="H15" s="201" t="str">
        <x:v>FIXED</x:v>
      </x:c>
      <x:c r="I15" s="201" t="str">
        <x:v>sonstige Geräteenergie noch nicht integriert</x:v>
      </x:c>
      <x:c r="J15" s="1193" t="str">
        <x:v>P1</x:v>
      </x:c>
    </x:row>
    <x:row r="16">
      <x:c r="A16" s="1156" t="str">
        <x:v>A13</x:v>
      </x:c>
      <x:c r="B16" s="201" t="str">
        <x:v>HOCH</x:v>
      </x:c>
      <x:c r="C16" s="201" t="str">
        <x:v>24_Athena</x:v>
      </x:c>
      <x:c r="D16" s="201" t="str">
        <x:v>Ziel-pH 5.8–6.2 wurde Athena zugeschrieben, obwohl es sauberer HESI-Coco-Referenz ist.</x:v>
      </x:c>
      <x:c r="E16" s="201" t="str">
        <x:v>Quellenfehlattribution</x:v>
      </x:c>
      <x:c r="F16" s="201" t="str">
        <x:v>Attribution getrennt: HESI pH-Ziel; Athena = pH+ Conditioner.</x:v>
      </x:c>
      <x:c r="G16" s="201" t="str">
        <x:v>A Hersteller</x:v>
      </x:c>
      <x:c r="H16" s="201" t="str">
        <x:v>FIXED</x:v>
      </x:c>
      <x:c r="I16" s="201" t="str">
        <x:v>Wasserchemie entscheidet Balance-Bedarf</x:v>
      </x:c>
      <x:c r="J16" s="1193" t="str">
        <x:v>P1</x:v>
      </x:c>
    </x:row>
    <x:row r="17">
      <x:c r="A17" s="1156" t="str">
        <x:v>A14</x:v>
      </x:c>
      <x:c r="B17" s="201" t="str">
        <x:v>HOCH</x:v>
      </x:c>
      <x:c r="C17" s="201" t="str">
        <x:v>01 / 24</x:v>
      </x:c>
      <x:c r="D17" s="201" t="str">
        <x:v>Wasserchemie hatte nur Typ/EC, keine Ca/Mg/Alkalinität.</x:v>
      </x:c>
      <x:c r="E17" s="201" t="str">
        <x:v>CalMag-/Balance-Entscheidungen unterbestimmt</x:v>
      </x:c>
      <x:c r="F17" s="201" t="str">
        <x:v>Ca, Mg, HCO3/Alkalinität und source-pH ergänzt.</x:v>
      </x:c>
      <x:c r="G17" s="201" t="str">
        <x:v>Chemie</x:v>
      </x:c>
      <x:c r="H17" s="201" t="str">
        <x:v>FIXED</x:v>
      </x:c>
      <x:c r="I17" s="201" t="str">
        <x:v>Nutzerwerte noch unbekannt</x:v>
      </x:c>
      <x:c r="J17" s="1193" t="str">
        <x:v>P0</x:v>
      </x:c>
    </x:row>
    <x:row r="18">
      <x:c r="A18" s="1156" t="str">
        <x:v>A15</x:v>
      </x:c>
      <x:c r="B18" s="201" t="str">
        <x:v>MITTEL</x:v>
      </x:c>
      <x:c r="C18" s="201" t="str">
        <x:v>07 pHPerfect</x:v>
      </x:c>
      <x:c r="D18" s="201" t="str">
        <x:v>Cross-brand-Warnung war mit unscharfer Produktquelle verknüpft.</x:v>
      </x:c>
      <x:c r="E18" s="201" t="str">
        <x:v>Quellengüte</x:v>
      </x:c>
      <x:c r="F18" s="201" t="str">
        <x:v>in README/Sources auf AN FAQ/pH-Systemlogik konsolidiert.</x:v>
      </x:c>
      <x:c r="G18" s="201" t="str">
        <x:v>A Hersteller</x:v>
      </x:c>
      <x:c r="H18" s="201" t="str">
        <x:v>FIXED</x:v>
      </x:c>
      <x:c r="I18" s="201" t="str">
        <x:v>—</x:v>
      </x:c>
      <x:c r="J18" s="1193" t="str">
        <x:v>P2</x:v>
      </x:c>
    </x:row>
    <x:row r="19">
      <x:c r="A19" s="1156" t="str">
        <x:v>A16</x:v>
      </x:c>
      <x:c r="B19" s="201" t="str">
        <x:v>HOCH</x:v>
      </x:c>
      <x:c r="C19" s="201" t="str">
        <x:v>25 GM</x:v>
      </x:c>
      <x:c r="D19" s="201" t="str">
        <x:v>0.5–1 ml/L Hybridstart wirkte wie validierte allgemeine Empfehlung.</x:v>
      </x:c>
      <x:c r="E19" s="201" t="str">
        <x:v>Scheingenauigkeit</x:v>
      </x:c>
      <x:c r="F19" s="201" t="str">
        <x:v>Spalte als explorativ/nicht validiert markiert; universelle 25–50%-Regel entfernt.</x:v>
      </x:c>
      <x:c r="G19" s="201" t="str">
        <x:v>A Label + C/UKD</x:v>
      </x:c>
      <x:c r="H19" s="201" t="str">
        <x:v>FIXED</x:v>
      </x:c>
      <x:c r="I19" s="201" t="str">
        <x:v>keine kontrollierte HESI-Hybrid-Dosisstudie</x:v>
      </x:c>
      <x:c r="J19" s="1193" t="str">
        <x:v>P0</x:v>
      </x:c>
    </x:row>
    <x:row r="20">
      <x:c r="A20" s="1156" t="str">
        <x:v>A17</x:v>
      </x:c>
      <x:c r="B20" s="201" t="str">
        <x:v>MITTEL</x:v>
      </x:c>
      <x:c r="C20" s="201" t="str">
        <x:v>20 Praxis</x:v>
      </x:c>
      <x:c r="D20" s="201" t="str">
        <x:v>Einzelthreads wurden teils als B/wiederkehrende Profi-Erfahrung gewertet.</x:v>
      </x:c>
      <x:c r="E20" s="201" t="str">
        <x:v>Evidenzinflation</x:v>
      </x:c>
      <x:c r="F20" s="201" t="str">
        <x:v>Community überwiegend C/qualitativ; 'Profi' aus Header entfernt.</x:v>
      </x:c>
      <x:c r="G20" s="201" t="str">
        <x:v>Evidenzaudit</x:v>
      </x:c>
      <x:c r="H20" s="201" t="str">
        <x:v>FIXED</x:v>
      </x:c>
      <x:c r="I20" s="201" t="str">
        <x:v>Community bleibt selection-biased</x:v>
      </x:c>
      <x:c r="J20" s="1193" t="str">
        <x:v>P1</x:v>
      </x:c>
    </x:row>
    <x:row r="21">
      <x:c r="A21" s="1156" t="str">
        <x:v>A18</x:v>
      </x:c>
      <x:c r="B21" s="201" t="str">
        <x:v>MITTEL</x:v>
      </x:c>
      <x:c r="C21" s="201" t="str">
        <x:v>18 Mineral</x:v>
      </x:c>
      <x:c r="D21" s="201" t="str">
        <x:v>K↔Ca/Mg-Aussage war zu universal formuliert.</x:v>
      </x:c>
      <x:c r="E21" s="201" t="str">
        <x:v>Überverallgemeinerung</x:v>
      </x:c>
      <x:c r="F21" s="201" t="str">
        <x:v>cultivar-/systemabhängige Formulierung und Studienkontext ergänzt.</x:v>
      </x:c>
      <x:c r="G21" s="201" t="str">
        <x:v>A Primärliteratur</x:v>
      </x:c>
      <x:c r="H21" s="201" t="str">
        <x:v>FIXED</x:v>
      </x:c>
      <x:c r="I21" s="201" t="str">
        <x:v>Elementppm im echten Stack unbekannt</x:v>
      </x:c>
      <x:c r="J21" s="1193" t="str">
        <x:v>P1</x:v>
      </x:c>
    </x:row>
    <x:row r="22">
      <x:c r="A22" s="1156" t="str">
        <x:v>A19</x:v>
      </x:c>
      <x:c r="B22" s="201" t="str">
        <x:v>MITTEL</x:v>
      </x:c>
      <x:c r="C22" s="201" t="str">
        <x:v>10 Licht</x:v>
      </x:c>
      <x:c r="D22" s="201" t="str">
        <x:v>625 PPFD/18h konnte wie 'Optimum' gelesen werden.</x:v>
      </x:c>
      <x:c r="E22" s="201" t="str">
        <x:v>Übertragung 12h-Studien auf Autos</x:v>
      </x:c>
      <x:c r="F22" s="201" t="str">
        <x:v>als konservative UKD-Arbeitsobergrenze, nicht Optimum, gekennzeichnet.</x:v>
      </x:c>
      <x:c r="G22" s="201" t="str">
        <x:v>A Primärliteratur + Inferenz</x:v>
      </x:c>
      <x:c r="H22" s="201" t="str">
        <x:v>FIXED</x:v>
      </x:c>
      <x:c r="I22" s="201" t="str">
        <x:v>Auto-spezifische Optimumdaten begrenzt</x:v>
      </x:c>
      <x:c r="J22" s="1193" t="str">
        <x:v>P1</x:v>
      </x:c>
    </x:row>
    <x:row r="23">
      <x:c r="A23" s="1156" t="str">
        <x:v>A20</x:v>
      </x:c>
      <x:c r="B23" s="201" t="str">
        <x:v>MITTEL</x:v>
      </x:c>
      <x:c r="C23" s="201" t="str">
        <x:v>10 PPFD map</x:v>
      </x:c>
      <x:c r="D23" s="201" t="str">
        <x:v>9-Punkt-Mapping hatte keine Eingabefelder/QA-Metriken.</x:v>
      </x:c>
      <x:c r="E23" s="201" t="str">
        <x:v>nicht operativ reproduzierbar</x:v>
      </x:c>
      <x:c r="F23" s="201" t="str">
        <x:v>Istfelder, Mittel/Min/Max, min/avg, CV ergänzt.</x:v>
      </x:c>
      <x:c r="G23" s="201" t="str">
        <x:v>Engineering</x:v>
      </x:c>
      <x:c r="H23" s="201" t="str">
        <x:v>FIXED</x:v>
      </x:c>
      <x:c r="I23" s="201" t="str">
        <x:v>CV≤15% = UKD-Heuristik</x:v>
      </x:c>
      <x:c r="J23" s="1193" t="str">
        <x:v>P1</x:v>
      </x:c>
    </x:row>
    <x:row r="24">
      <x:c r="A24" s="1156" t="str">
        <x:v>A21</x:v>
      </x:c>
      <x:c r="B24" s="201" t="str">
        <x:v>MITTEL</x:v>
      </x:c>
      <x:c r="C24" s="201" t="str">
        <x:v>14 Dry</x:v>
      </x:c>
      <x:c r="D24" s="201" t="str">
        <x:v>18–20°C/55–60% wirkte wie universelles Trocknungsoptimum.</x:v>
      </x:c>
      <x:c r="E24" s="201" t="str">
        <x:v>Nachernte-Scheingenauigkeit</x:v>
      </x:c>
      <x:c r="F24" s="201" t="str">
        <x:v>Praxisrahmen + water activity 0.55–0.65 + Unsicherheit ergänzt.</x:v>
      </x:c>
      <x:c r="G24" s="201" t="str">
        <x:v>Review/Primär</x:v>
      </x:c>
      <x:c r="H24" s="201" t="str">
        <x:v>FIXED</x:v>
      </x:c>
      <x:c r="I24" s="201" t="str">
        <x:v>cultivarabhängig</x:v>
      </x:c>
      <x:c r="J24" s="1193" t="str">
        <x:v>P1</x:v>
      </x:c>
    </x:row>
    <x:row r="25">
      <x:c r="A25" s="1156" t="str">
        <x:v>A22</x:v>
      </x:c>
      <x:c r="B25" s="201" t="str">
        <x:v>HOCH</x:v>
      </x:c>
      <x:c r="C25" s="201" t="str">
        <x:v>15 Strains</x:v>
      </x:c>
      <x:c r="D25" s="201" t="str">
        <x:v>Banana Purple Punch war nicht auf aktuelle RF3-Daten/Höhe 80–150 cm aktualisiert.</x:v>
      </x:c>
      <x:c r="E25" s="201" t="str">
        <x:v>Zelthöhenrisiko unterschätzt</x:v>
      </x:c>
      <x:c r="F25" s="201" t="str">
        <x:v>RF3 aktualisiert; UKD-Fit abgewertet; Stretchwarnung.</x:v>
      </x:c>
      <x:c r="G25" s="201" t="str">
        <x:v>A Breeder</x:v>
      </x:c>
      <x:c r="H25" s="201" t="str">
        <x:v>FIXED</x:v>
      </x:c>
      <x:c r="I25" s="201" t="str">
        <x:v>Breederwerte keine Garantie</x:v>
      </x:c>
      <x:c r="J25" s="1193" t="str">
        <x:v>P1</x:v>
      </x:c>
    </x:row>
    <x:row r="26">
      <x:c r="A26" s="1156" t="str">
        <x:v>A23</x:v>
      </x:c>
      <x:c r="B26" s="201" t="str">
        <x:v>MITTEL</x:v>
      </x:c>
      <x:c r="C26" s="201" t="str">
        <x:v>15 Strains</x:v>
      </x:c>
      <x:c r="D26" s="201" t="str">
        <x:v>Auto Cinderella Jack Höhen-/Trainingstext war zu vage.</x:v>
      </x:c>
      <x:c r="E26" s="201" t="str">
        <x:v>Planungsunsicherheit</x:v>
      </x:c>
      <x:c r="F26" s="201" t="str">
        <x:v>typische Größenordnung + konservativeres Training eingetragen.</x:v>
      </x:c>
      <x:c r="G26" s="201" t="str">
        <x:v>A Breeder</x:v>
      </x:c>
      <x:c r="H26" s="201" t="str">
        <x:v>FIXED</x:v>
      </x:c>
      <x:c r="I26" s="201" t="str">
        <x:v>Phänotypstreuung bleibt</x:v>
      </x:c>
      <x:c r="J26" s="1193" t="str">
        <x:v>P2</x:v>
      </x:c>
    </x:row>
    <x:row r="27">
      <x:c r="A27" s="1156" t="str">
        <x:v>A24</x:v>
      </x:c>
      <x:c r="B27" s="201" t="str">
        <x:v>NIEDRIG</x:v>
      </x:c>
      <x:c r="C27" s="201" t="str">
        <x:v>15 Strains</x:v>
      </x:c>
      <x:c r="D27" s="201" t="str">
        <x:v>Extrem kompakte moderne Referenzoption fehlte.</x:v>
      </x:c>
      <x:c r="E27" s="201" t="str">
        <x:v>Auswahllücke</x:v>
      </x:c>
      <x:c r="F27" s="201" t="str">
        <x:v>Mephisto 24 Carat F7 ergänzt.</x:v>
      </x:c>
      <x:c r="G27" s="201" t="str">
        <x:v>A Breeder</x:v>
      </x:c>
      <x:c r="H27" s="201" t="str">
        <x:v>FIXED</x:v>
      </x:c>
      <x:c r="I27" s="201" t="str">
        <x:v>nur Kandidat, kein Muss</x:v>
      </x:c>
      <x:c r="J27" s="1193" t="str">
        <x:v>P3</x:v>
      </x:c>
    </x:row>
    <x:row r="28">
      <x:c r="A28" s="1156" t="str">
        <x:v>A25</x:v>
      </x:c>
      <x:c r="B28" s="201" t="str">
        <x:v>MITTEL</x:v>
      </x:c>
      <x:c r="C28" s="201" t="str">
        <x:v>17 Products</x:v>
      </x:c>
      <x:c r="D28" s="201" t="str">
        <x:v>'Alle Produkte' implizierte vollständige globale Inventarliste.</x:v>
      </x:c>
      <x:c r="E28" s="201" t="str">
        <x:v>Scope-Überclaim</x:v>
      </x:c>
      <x:c r="F28" s="201" t="str">
        <x:v>Scope-Hinweis: UKD-relevant/evaluiert, keine globale Vollständigkeitsgarantie.</x:v>
      </x:c>
      <x:c r="G28" s="201" t="str">
        <x:v>Katalogaudit</x:v>
      </x:c>
      <x:c r="H28" s="201" t="str">
        <x:v>FIXED</x:v>
      </x:c>
      <x:c r="I28" s="201" t="str">
        <x:v>Herstellerportfolio ändert sich</x:v>
      </x:c>
      <x:c r="J28" s="1193" t="str">
        <x:v>P2</x:v>
      </x:c>
    </x:row>
    <x:row r="29">
      <x:c r="A29" s="1156" t="str">
        <x:v>A26</x:v>
      </x:c>
      <x:c r="B29" s="201" t="str">
        <x:v>HOCH</x:v>
      </x:c>
      <x:c r="C29" s="201" t="str">
        <x:v>17 Flo &amp; Gro</x:v>
      </x:c>
      <x:c r="D29" s="201" t="str">
        <x:v>Regionale Verfügbarkeit fehlte/war missverständlich.</x:v>
      </x:c>
      <x:c r="E29" s="201" t="str">
        <x:v>Beschaffungs-/Einsatzfehler</x:v>
      </x:c>
      <x:c r="F29" s="201" t="str">
        <x:v>USA/Kanada-only 2026 markiert; Sanitizing vs Mikroben getrennt.</x:v>
      </x:c>
      <x:c r="G29" s="201" t="str">
        <x:v>A Hersteller</x:v>
      </x:c>
      <x:c r="H29" s="201" t="str">
        <x:v>FIXED</x:v>
      </x:c>
      <x:c r="I29" s="201" t="str">
        <x:v>Region kann sich ändern</x:v>
      </x:c>
      <x:c r="J29" s="1193" t="str">
        <x:v>P1</x:v>
      </x:c>
    </x:row>
    <x:row r="30">
      <x:c r="A30" s="1156" t="str">
        <x:v>A27</x:v>
      </x:c>
      <x:c r="B30" s="201" t="str">
        <x:v>MITTEL</x:v>
      </x:c>
      <x:c r="C30" s="201" t="str">
        <x:v>17 Reservoir</x:v>
      </x:c>
      <x:c r="D30" s="201" t="str">
        <x:v>Spalte klang nach offizieller Blumat-Freigabe.</x:v>
      </x:c>
      <x:c r="E30" s="201" t="str">
        <x:v>semantische Fehlinterpretation</x:v>
      </x:c>
      <x:c r="F30" s="201" t="str">
        <x:v>in UKD Reservoir-/Automationsbewertung umbenannt; Scope-Hinweis ergänzt.</x:v>
      </x:c>
      <x:c r="G30" s="201" t="str">
        <x:v>intern</x:v>
      </x:c>
      <x:c r="H30" s="201" t="str">
        <x:v>FIXED</x:v>
      </x:c>
      <x:c r="I30" s="201" t="str">
        <x:v>produktspezifische Automationsfreigaben variieren</x:v>
      </x:c>
      <x:c r="J30" s="1193" t="str">
        <x:v>P1</x:v>
      </x:c>
    </x:row>
    <x:row r="31">
      <x:c r="A31" s="1156" t="str">
        <x:v>A28</x:v>
      </x:c>
      <x:c r="B31" s="201" t="str">
        <x:v>MITTEL</x:v>
      </x:c>
      <x:c r="C31" s="201" t="str">
        <x:v>09 Runoff EC</x:v>
      </x:c>
      <x:c r="D31" s="201" t="str">
        <x:v>+0.3–0.4 mS/cm stand wie universelle harte Grenze.</x:v>
      </x:c>
      <x:c r="E31" s="201" t="str">
        <x:v>Scheingenauigkeit</x:v>
      </x:c>
      <x:c r="F31" s="201" t="str">
        <x:v>als UKD-Interventionsheuristik und wiederholte Messung gekennzeichnet.</x:v>
      </x:c>
      <x:c r="G31" s="201" t="str">
        <x:v>UKD Heuristik</x:v>
      </x:c>
      <x:c r="H31" s="201" t="str">
        <x:v>FIXED</x:v>
      </x:c>
      <x:c r="I31" s="201" t="str">
        <x:v>Sampling beeinflusst Runoff EC</x:v>
      </x:c>
      <x:c r="J31" s="1193" t="str">
        <x:v>P1</x:v>
      </x:c>
    </x:row>
    <x:row r="32">
      <x:c r="A32" s="1156" t="str">
        <x:v>A29</x:v>
      </x:c>
      <x:c r="B32" s="201" t="str">
        <x:v>MITTEL</x:v>
      </x:c>
      <x:c r="C32" s="201" t="str">
        <x:v>25 GM Levels</x:v>
      </x:c>
      <x:c r="D32" s="201" t="str">
        <x:v>Grand Master konnte wie aktuelle wissenschaftliche Herstellerhierarchie wirken.</x:v>
      </x:c>
      <x:c r="E32" s="201" t="str">
        <x:v>Marketing-/Legacy-Taxonomie</x:v>
      </x:c>
      <x:c r="F32" s="201" t="str">
        <x:v>als Händler-/Legacy-Level getrennt von aktueller AN Produkt/Feeding-Struktur.</x:v>
      </x:c>
      <x:c r="G32" s="201" t="str">
        <x:v>A/B</x:v>
      </x:c>
      <x:c r="H32" s="201" t="str">
        <x:v>FIXED</x:v>
      </x:c>
      <x:c r="I32" s="201" t="str">
        <x:v>Händlerangebote ändern sich</x:v>
      </x:c>
      <x:c r="J32" s="1193" t="str">
        <x:v>P2</x:v>
      </x:c>
    </x:row>
    <x:row r="33">
      <x:c r="A33" s="1156" t="str">
        <x:v>A30</x:v>
      </x:c>
      <x:c r="B33" s="201" t="str">
        <x:v>MITTEL</x:v>
      </x:c>
      <x:c r="C33" s="201" t="str">
        <x:v>20 Tasty Terpenes</x:v>
      </x:c>
      <x:c r="D33" s="201" t="str">
        <x:v>1:1 Nirvana-Umbenennung zu absolut formuliert.</x:v>
      </x:c>
      <x:c r="E33" s="201" t="str">
        <x:v>historische Übertragung unsicher</x:v>
      </x:c>
      <x:c r="F33" s="201" t="str">
        <x:v>Legacy-Berichte nur bei verifizierter identischer Formulierung übertragbar.</x:v>
      </x:c>
      <x:c r="G33" s="201" t="str">
        <x:v>A/C</x:v>
      </x:c>
      <x:c r="H33" s="201" t="str">
        <x:v>FIXED</x:v>
      </x:c>
      <x:c r="I33" s="201" t="str">
        <x:v>Formulierungs-Historie nicht vollständig unabhängig geprüft</x:v>
      </x:c>
      <x:c r="J33" s="1193" t="str">
        <x:v>P2</x:v>
      </x:c>
    </x:row>
    <x:row r="34">
      <x:c r="A34" s="1156" t="str">
        <x:v>A31</x:v>
      </x:c>
      <x:c r="B34" s="201" t="str">
        <x:v>MITTEL</x:v>
      </x:c>
      <x:c r="C34" s="201" t="str">
        <x:v>21 Legal</x:v>
      </x:c>
      <x:c r="D34" s="201" t="str">
        <x:v>Blumat-Sicherheitsmaßnahmen konnten wie Freigabe wirken.</x:v>
      </x:c>
      <x:c r="E34" s="201" t="str">
        <x:v>Safety framing</x:v>
      </x:c>
      <x:c r="F34" s="201" t="str">
        <x:v>klar: Maßnahmen ändern Herstellerverbot nicht.</x:v>
      </x:c>
      <x:c r="G34" s="201" t="str">
        <x:v>A Hersteller</x:v>
      </x:c>
      <x:c r="H34" s="201" t="str">
        <x:v>FIXED</x:v>
      </x:c>
      <x:c r="I34" s="201" t="str">
        <x:v>—</x:v>
      </x:c>
      <x:c r="J34" s="1193" t="str">
        <x:v>P0</x:v>
      </x:c>
    </x:row>
    <x:row r="35">
      <x:c r="A35" s="1156" t="str">
        <x:v>A32</x:v>
      </x:c>
      <x:c r="B35" s="201" t="str">
        <x:v>MITTEL</x:v>
      </x:c>
      <x:c r="C35" s="201" t="str">
        <x:v>Dashboard</x:v>
      </x:c>
      <x:c r="D35" s="201" t="str">
        <x:v>Log-Status, VPD und Bewässerungsstatus spiegelten alte Annahmen.</x:v>
      </x:c>
      <x:c r="E35" s="201" t="str">
        <x:v>Operator-Fehlinformation</x:v>
      </x:c>
      <x:c r="F35" s="201" t="str">
        <x:v>Dashboard auf OFFEN/Leaf-VPD/manuell-indoor-rated aktualisiert.</x:v>
      </x:c>
      <x:c r="G35" s="201" t="str">
        <x:v>intern</x:v>
      </x:c>
      <x:c r="H35" s="201" t="str">
        <x:v>FIXED</x:v>
      </x:c>
      <x:c r="I35" s="201" t="str">
        <x:v>—</x:v>
      </x:c>
      <x:c r="J35" s="1193" t="str">
        <x:v>P0</x:v>
      </x:c>
    </x:row>
    <x:row r="36">
      <x:c r="A36" s="1156" t="str">
        <x:v>A33</x:v>
      </x:c>
      <x:c r="B36" s="201" t="str">
        <x:v>MITTEL</x:v>
      </x:c>
      <x:c r="C36" s="201" t="str">
        <x:v>02/03</x:v>
      </x:c>
      <x:c r="D36" s="201" t="str">
        <x:v>Weekly und Daily Werte haben unterschiedliche Granularität.</x:v>
      </x:c>
      <x:c r="E36" s="201" t="str">
        <x:v>scheinbare Widersprüche</x:v>
      </x:c>
      <x:c r="F36" s="201" t="str">
        <x:v>Daily als authoritative; Weekly explizit Summary/Richtwert.</x:v>
      </x:c>
      <x:c r="G36" s="201" t="str">
        <x:v>intern</x:v>
      </x:c>
      <x:c r="H36" s="201" t="str">
        <x:v>FIXED</x:v>
      </x:c>
      <x:c r="I36" s="201" t="str">
        <x:v>—</x:v>
      </x:c>
      <x:c r="J36" s="1193" t="str">
        <x:v>P2</x:v>
      </x:c>
    </x:row>
    <x:row r="37">
      <x:c r="A37" s="1156" t="str">
        <x:v>A34</x:v>
      </x:c>
      <x:c r="B37" s="201" t="str">
        <x:v>MITTEL</x:v>
      </x:c>
      <x:c r="C37" s="201" t="str">
        <x:v>02/25</x:v>
      </x:c>
      <x:c r="D37" s="201" t="str">
        <x:v>Grand-Master-Fenster waren absolut datumsbasiert.</x:v>
      </x:c>
      <x:c r="E37" s="201" t="str">
        <x:v>Auto-Phänologie widersprüchlich</x:v>
      </x:c>
      <x:c r="F37" s="201" t="str">
        <x:v>GM Phase aus Blüte-Trigger abgeleitet.</x:v>
      </x:c>
      <x:c r="G37" s="201" t="str">
        <x:v>Herstellerphase + UKD</x:v>
      </x:c>
      <x:c r="H37" s="201" t="str">
        <x:v>FIXED</x:v>
      </x:c>
      <x:c r="I37" s="201" t="str">
        <x:v>Herstellerchart nicht HESI-Hybrid-validiert</x:v>
      </x:c>
      <x:c r="J37" s="1193" t="str">
        <x:v>P1</x:v>
      </x:c>
    </x:row>
    <x:row r="38">
      <x:c r="A38" s="1158" t="str">
        <x:v>A35</x:v>
      </x:c>
      <x:c r="B38" s="1194" t="str">
        <x:v>NIEDRIG</x:v>
      </x:c>
      <x:c r="C38" s="1194" t="str">
        <x:v>Sources</x:v>
      </x:c>
      <x:c r="D38" s="1194" t="str">
        <x:v>Audit-relevante Primärquellen fehlten zentral.</x:v>
      </x:c>
      <x:c r="E38" s="1194" t="str">
        <x:v>Nachvollziehbarkeit</x:v>
      </x:c>
      <x:c r="F38" s="1194" t="str">
        <x:v>Source-Liste um Blumat, Athena, Licht, Nutrient, aktuelle Genetik ergänzt.</x:v>
      </x:c>
      <x:c r="G38" s="1194" t="str">
        <x:v>Quellenaudit</x:v>
      </x:c>
      <x:c r="H38" s="1194" t="str">
        <x:v>FIXED</x:v>
      </x:c>
      <x:c r="I38" s="1194" t="str">
        <x:v>Webstände können später wechseln</x:v>
      </x:c>
      <x:c r="J38" s="1195" t="str">
        <x:v>P3</x:v>
      </x:c>
    </x:row>
    <x:row r="39">
      <x:c r="A39" s="1154" t="str">
        <x:v>A36</x:v>
      </x:c>
      <x:c r="B39" s="1204" t="str">
        <x:v>HOCH</x:v>
      </x:c>
      <x:c r="C39" s="1204" t="str">
        <x:v>02 / 06 HESI</x:v>
      </x:c>
      <x:c r="D39" s="1204" t="str">
        <x:v>Reduzierte UKD-Dosen/Cadences waren stellenweise als 'Reference' lesbar.</x:v>
      </x:c>
      <x:c r="E39" s="1204" t="str">
        <x:v>Herstellerdaten und Eigenplan wurden semantisch vermischt.</x:v>
      </x:c>
      <x:c r="F39" s="1204" t="str">
        <x:v>Planmodus in 'UKD HESI Conservative' umbenannt; Herstellerlabel vs UKD Custom Plan getrennt.</x:v>
      </x:c>
      <x:c r="G39" s="1204" t="str">
        <x:v>A Hersteller + UKD</x:v>
      </x:c>
      <x:c r="H39" s="1204" t="str">
        <x:v>FIXED</x:v>
      </x:c>
      <x:c r="I39" s="1204" t="str">
        <x:v>keine kontrollierte Studie zur UKD-Reduktion</x:v>
      </x:c>
      <x:c r="J39" s="1205" t="str">
        <x:v>P0</x:v>
      </x:c>
    </x:row>
    <x:row r="40">
      <x:c r="A40" s="1156" t="str">
        <x:v>A37</x:v>
      </x:c>
      <x:c r="B40" s="201" t="str">
        <x:v>HOCH</x:v>
      </x:c>
      <x:c r="C40" s="201" t="str">
        <x:v>06 PowerZyme/Boost</x:v>
      </x:c>
      <x:c r="D40" s="201" t="str">
        <x:v>PowerZyme wurde wöchentlich statt Hersteller 'durchgängig'; Boost wöchentlich statt 'regelmäßig/fortlaufend' geplant.</x:v>
      </x:c>
      <x:c r="E40" s="201" t="str">
        <x:v>mögliche Unterdosierung bzw. falsche Herstellerzuschreibung</x:v>
      </x:c>
      <x:c r="F40" s="201" t="str">
        <x:v>Cadence als bewusste unvalidierte UKD-Reduktion gekennzeichnet.</x:v>
      </x:c>
      <x:c r="G40" s="201" t="str">
        <x:v>A HESI</x:v>
      </x:c>
      <x:c r="H40" s="201" t="str">
        <x:v>FIXED</x:v>
      </x:c>
      <x:c r="I40" s="201" t="str">
        <x:v>optimaler Hybrid-Cadence unbekannt</x:v>
      </x:c>
      <x:c r="J40" s="1193" t="str">
        <x:v>P1</x:v>
      </x:c>
    </x:row>
    <x:row r="41">
      <x:c r="A41" s="1158" t="str">
        <x:v>A38</x:v>
      </x:c>
      <x:c r="B41" s="1194" t="str">
        <x:v>MITTEL</x:v>
      </x:c>
      <x:c r="C41" s="1194" t="str">
        <x:v>01/02/05/17</x:v>
      </x:c>
      <x:c r="D41" s="1194" t="str">
        <x:v>Restliche operative Blumat-Wörter blieben nach Systemwechsel in QA/Mix/Monatsplan.</x:v>
      </x:c>
      <x:c r="E41" s="1194" t="str">
        <x:v>kognitive Inkonsistenz</x:v>
      </x:c>
      <x:c r="F41" s="1194" t="str">
        <x:v>operative Texte auf Bewässerung/Reservoir/indoor-freigegeben bereinigt; Legacy-Blatt behält Blumat bewusst.</x:v>
      </x:c>
      <x:c r="G41" s="1194" t="str">
        <x:v>intern</x:v>
      </x:c>
      <x:c r="H41" s="1194" t="str">
        <x:v>FIXED</x:v>
      </x:c>
      <x:c r="I41" s="1194" t="str">
        <x:v>Legacy-/Quellenblätter nennen Blumat weiterhin absichtlich</x:v>
      </x:c>
      <x:c r="J41" s="1195" t="str">
        <x:v>P1</x:v>
      </x:c>
    </x:row>
    <x:row r="42">
      <x:c r="A42" s="1154" t="str">
        <x:v>A39</x:v>
      </x:c>
      <x:c r="B42" s="1204" t="str">
        <x:v>HOCH</x:v>
      </x:c>
      <x:c r="C42" s="1204" t="str">
        <x:v>01 B18 / Daily</x:v>
      </x:c>
      <x:c r="D42" s="1204" t="str">
        <x:v>Stack-Dropdown bot Full AN/Hybrid an, war aber kein aktiver Systemschalter; Daily blieb HESI.</x:v>
      </x:c>
      <x:c r="E42" s="1204" t="str">
        <x:v>stille Fehlbedienung</x:v>
      </x:c>
      <x:c r="F42" s="1204" t="str">
        <x:v>operativen Modus auf UKD HESI Conservative fixiert; Alternativen als Vergleichsblätter.</x:v>
      </x:c>
      <x:c r="G42" s="1204" t="str">
        <x:v>intern</x:v>
      </x:c>
      <x:c r="H42" s="1204" t="str">
        <x:v>FIXED</x:v>
      </x:c>
      <x:c r="I42" s="1204" t="str">
        <x:v>Multi-Stack-Engine bewusst nicht implementiert</x:v>
      </x:c>
      <x:c r="J42" s="1205" t="str">
        <x:v>P0</x:v>
      </x:c>
    </x:row>
    <x:row r="43">
      <x:c r="A43" s="1156" t="str">
        <x:v>A40</x:v>
      </x:c>
      <x:c r="B43" s="201" t="str">
        <x:v>HOCH</x:v>
      </x:c>
      <x:c r="C43" s="201" t="str">
        <x:v>12_Daily_Log Y</x:v>
      </x:c>
      <x:c r="D43" s="201" t="str">
        <x:v>Teilweise ausgefülltes Log konnte trotz OFFENer Pflichtchecks auf OK springen.</x:v>
      </x:c>
      <x:c r="E43" s="201" t="str">
        <x:v>falsches QA-Signal</x:v>
      </x:c>
      <x:c r="F43" s="201" t="str">
        <x:v>OFFEN dominiert, bis Bewässerung/Geruch/Pest bewertet sind.</x:v>
      </x:c>
      <x:c r="G43" s="201" t="str">
        <x:v>intern</x:v>
      </x:c>
      <x:c r="H43" s="201" t="str">
        <x:v>FIXED</x:v>
      </x:c>
      <x:c r="I43" s="201" t="str">
        <x:v>N/A nur sachlich begründet</x:v>
      </x:c>
      <x:c r="J43" s="1193" t="str">
        <x:v>P0</x:v>
      </x:c>
    </x:row>
    <x:row r="44">
      <x:c r="A44" s="1156" t="str">
        <x:v>A41</x:v>
      </x:c>
      <x:c r="B44" s="201" t="str">
        <x:v>HOCH</x:v>
      </x:c>
      <x:c r="C44" s="201" t="str">
        <x:v>02 AM/AJ</x:v>
      </x:c>
      <x:c r="D44" s="201" t="str">
        <x:v>Bloom-Wochenformel konnte zellähnliche Textliterale beim Fill-down verschieben.</x:v>
      </x:c>
      <x:c r="E44" s="201" t="str">
        <x:v>falsche Bloom-/GM-Anzeige</x:v>
      </x:c>
      <x:c r="F44" s="201" t="str">
        <x:v>B-Woche wird ohne B1/B7-Literal konstruiert; Entscheidungen nutzen numerische Bloom-Tage.</x:v>
      </x:c>
      <x:c r="G44" s="201" t="str">
        <x:v>Spreadsheet Forensics</x:v>
      </x:c>
      <x:c r="H44" s="201" t="str">
        <x:v>FIXED</x:v>
      </x:c>
      <x:c r="I44" s="201" t="str">
        <x:v>Engine-spezifisch</x:v>
      </x:c>
      <x:c r="J44" s="1193" t="str">
        <x:v>P0</x:v>
      </x:c>
    </x:row>
    <x:row r="45">
      <x:c r="A45" s="1156" t="str">
        <x:v>A42</x:v>
      </x:c>
      <x:c r="B45" s="201" t="str">
        <x:v>NIEDRIG</x:v>
      </x:c>
      <x:c r="C45" s="201" t="str">
        <x:v>01 B7</x:v>
      </x:c>
      <x:c r="D45" s="201" t="str">
        <x:v>„Ziel-Zyklus Tage 80“ war bei Tag-0-Zählung semantisch missverständlich.</x:v>
      </x:c>
      <x:c r="E45" s="201" t="str">
        <x:v>Zählkonfusion</x:v>
      </x:c>
      <x:c r="F45" s="201" t="str">
        <x:v>in Plan-Endtag (Tag 0 = Start) umbenannt.</x:v>
      </x:c>
      <x:c r="G45" s="201" t="str">
        <x:v>intern</x:v>
      </x:c>
      <x:c r="H45" s="201" t="str">
        <x:v>FIXED</x:v>
      </x:c>
      <x:c r="I45" s="201" t="str">
        <x:v>Breederdauer bleibt Bereich</x:v>
      </x:c>
      <x:c r="J45" s="1193" t="str">
        <x:v>P3</x:v>
      </x:c>
    </x:row>
    <x:row r="46">
      <x:c r="A46" s="1156" t="str">
        <x:v>A43</x:v>
      </x:c>
      <x:c r="B46" s="201" t="str">
        <x:v>MITTEL</x:v>
      </x:c>
      <x:c r="C46" s="201" t="str">
        <x:v>02 E/F</x:v>
      </x:c>
      <x:c r="D46" s="201" t="str">
        <x:v>Planphase blieb kalenderhart, während Feed triggerbasiert war.</x:v>
      </x:c>
      <x:c r="E46" s="201" t="str">
        <x:v>Phase/Feed konnten kollidieren</x:v>
      </x:c>
      <x:c r="F46" s="201" t="str">
        <x:v>Phase/Tagesziel jetzt vom Blüte-Trigger abgeleitet.</x:v>
      </x:c>
      <x:c r="G46" s="201" t="str">
        <x:v>intern</x:v>
      </x:c>
      <x:c r="H46" s="201" t="str">
        <x:v>FIXED</x:v>
      </x:c>
      <x:c r="I46" s="201" t="str">
        <x:v>Licht/Klima bleiben Plantrajektorie</x:v>
      </x:c>
      <x:c r="J46" s="1193" t="str">
        <x:v>P1</x:v>
      </x:c>
    </x:row>
    <x:row r="47">
      <x:c r="A47" s="1158" t="str">
        <x:v>A44</x:v>
      </x:c>
      <x:c r="B47" s="1194" t="str">
        <x:v>MITTEL</x:v>
      </x:c>
      <x:c r="C47" s="1194" t="str">
        <x:v>02 / 14</x:v>
      </x:c>
      <x:c r="D47" s="1194" t="str">
        <x:v>CalMag/Athena/pH-down nicht numerisch im Daily; g/kWh nur textlich.</x:v>
      </x:c>
      <x:c r="E47" s="1194" t="str">
        <x:v>Rückverfolgung unvollständig</x:v>
      </x:c>
      <x:c r="F47" s="1194" t="str">
        <x:v>AQ–AS und Energie-KPI ergänzt.</x:v>
      </x:c>
      <x:c r="G47" s="1194" t="str">
        <x:v>Engineering</x:v>
      </x:c>
      <x:c r="H47" s="1194" t="str">
        <x:v>FIXED</x:v>
      </x:c>
      <x:c r="I47" s="1194" t="str">
        <x:v>Gesamtstrom ohne Lüfter</x:v>
      </x:c>
      <x:c r="J47" s="1195" t="str">
        <x:v>P1</x:v>
      </x:c>
    </x:row>
    <x:row r="48">
      <x:c r="A48" t="str">
        <x:v>A45</x:v>
      </x:c>
      <x:c r="B48" t="str">
        <x:v>HOCH</x:v>
      </x:c>
      <x:c r="C48" t="str">
        <x:v>02 E/AD/AK/AM</x:v>
      </x:c>
      <x:c r="D48" t="str">
        <x:v>Fill-down behandelte Textliterale wie B1/B7+ als relative Zellreferenzen.</x:v>
      </x:c>
      <x:c r="E48" t="str">
        <x:v>falsche Anzeige und Entscheidungszweige</x:v>
      </x:c>
      <x:c r="F48" t="str">
        <x:v>B-Woche via CHAR/TEXT; Bedingungen numerisch.</x:v>
      </x:c>
      <x:c r="G48" t="str">
        <x:v>Spreadsheet Forensics</x:v>
      </x:c>
      <x:c r="H48" t="str">
        <x:v>FIXED</x:v>
      </x:c>
      <x:c r="I48" t="str">
        <x:v>zellähnliche Literale künftig vermeiden</x:v>
      </x:c>
      <x:c r="J48" t="str">
        <x:v>P0</x:v>
      </x:c>
    </x:row>
    <x:row r="49">
      <x:c r="A49" t="str">
        <x:v>A46</x:v>
      </x:c>
      <x:c r="B49" t="str">
        <x:v>MITTEL</x:v>
      </x:c>
      <x:c r="C49" t="str">
        <x:v>20 / 22 / 25 Tasty Terpenes</x:v>
      </x:c>
      <x:c r="D49" t="str">
        <x:v>Audit hatte die 1:1-Nirvana-Behauptung in der Praxistabelle bereits relativiert, während Grand-Master-/Quellentext sie noch absolut wiederholte.</x:v>
      </x:c>
      <x:c r="E49" t="str">
        <x:v>interne Evidenz- und Versionsinkonsistenz</x:v>
      </x:c>
      <x:c r="F49" t="str">
        <x:v>Legacy-Bezug überall auf versionsspezifische Formulierungsprüfung konditioniert; keine pauschale 1:1-Übertragung.</x:v>
      </x:c>
      <x:c r="G49" t="str">
        <x:v>A/C Evidenzaudit</x:v>
      </x:c>
      <x:c r="H49" t="str">
        <x:v>FIXED</x:v>
      </x:c>
      <x:c r="I49" t="str">
        <x:v>historische Rezepturversionen nicht vollständig unabhängig rekonstruiert</x:v>
      </x:c>
      <x:c r="J49" t="str">
        <x:v>P1</x:v>
      </x:c>
    </x:row>
    <x:row r="50">
      <x:c r="A50" s="60" t="str">
        <x:v>A47</x:v>
      </x:c>
      <x:c r="B50" s="60" t="str">
        <x:v>KRITISCH</x:v>
      </x:c>
      <x:c r="C50" s="60" t="str">
        <x:v>Deep Research / 21 Legal</x:v>
      </x:c>
      <x:c r="D50" s="60" t="str">
        <x:v>Research-Synthese behauptete sinngemäß eine pauschale Erlaubnispflicht für privaten Anbau.</x:v>
      </x:c>
      <x:c r="E50" s="60" t="str">
        <x:v>Nutzer könnte legales KCanG-Privatregime falsch verstehen.</x:v>
      </x:c>
      <x:c r="F50" s="60" t="str">
        <x:v>Verworfen; KCanG §§3,9,10 als Primärquelle. Privater Eigenanbau bis 3 Pflanzen für Volljährige am Wohnsitz/gewöhnlichen Aufenthalt im gesetzlichen Rahmen.</x:v>
      </x:c>
      <x:c r="G50" s="60" t="str">
        <x:v>A Gesetz</x:v>
      </x:c>
      <x:c r="H50" s="60" t="str">
        <x:v>FIXED</x:v>
      </x:c>
      <x:c r="I50" s="60" t="str">
        <x:v>Gesetz kann künftig geändert werden; Freshness prüfen.</x:v>
      </x:c>
      <x:c r="J50" s="60" t="str">
        <x:v>P0</x:v>
      </x:c>
      <x:c r="K50" s="60"/>
      <x:c r="L50" s="60"/>
      <x:c r="M50" s="60"/>
      <x:c r="N50" s="60"/>
    </x:row>
    <x:row r="51">
      <x:c r="A51" s="60" t="str">
        <x:v>A48</x:v>
      </x:c>
      <x:c r="B51" s="60" t="str">
        <x:v>HOCH</x:v>
      </x:c>
      <x:c r="C51" s="60" t="str">
        <x:v>Deep Research / 10 Climate</x:v>
      </x:c>
      <x:c r="D51" s="60" t="str">
        <x:v>37–58% Kontroll-RH aus einer 2025-Studie wurde zu universellen 40–60/40–50%-Optima verallgemeinert.</x:v>
      </x:c>
      <x:c r="E51" s="60" t="str">
        <x:v>Scheingenauigkeit; falsche Klimaentscheidungen.</x:v>
      </x:c>
      <x:c r="F51" s="60" t="str">
        <x:v>Studiengrenzen explizit gemacht: 78–98% extreme RH war schädlich; 37–58% war Kontrolle, ausdrücklich kein bewiesenes Optimum.</x:v>
      </x:c>
      <x:c r="G51" s="60" t="str">
        <x:v>A Primärliteratur</x:v>
      </x:c>
      <x:c r="H51" s="60" t="str">
        <x:v>FIXED</x:v>
      </x:c>
      <x:c r="I51" s="60" t="str">
        <x:v>nur ein CBD-dominanter Klon; keine Auto-Optimumstudie.</x:v>
      </x:c>
      <x:c r="J51" s="60" t="str">
        <x:v>P0</x:v>
      </x:c>
      <x:c r="K51" s="60"/>
      <x:c r="L51" s="60"/>
      <x:c r="M51" s="60"/>
      <x:c r="N51" s="60"/>
    </x:row>
    <x:row r="52">
      <x:c r="A52" s="60" t="str">
        <x:v>A49</x:v>
      </x:c>
      <x:c r="B52" s="60" t="str">
        <x:v>HOCH</x:v>
      </x:c>
      <x:c r="C52" s="60" t="str">
        <x:v>Deep Research / Nutrition</x:v>
      </x:c>
      <x:c r="D52" s="60" t="str">
        <x:v>212–283 mg N/L aus Caplan 2017 wurde als allgemeines Cannabis-N-Ziel interpretiert.</x:v>
      </x:c>
      <x:c r="E52" s="60" t="str">
        <x:v>Falsche Übertragung auf mineralisches HESI-Coco/Autoflower.</x:v>
      </x:c>
      <x:c r="F52" s="60" t="str">
        <x:v>Als kontextspezifisch verworfen; konkrete organische Formulierung, zwei coir-basierte organische Substrate, ein Cultivar.</x:v>
      </x:c>
      <x:c r="G52" s="60" t="str">
        <x:v>A Primärstudie</x:v>
      </x:c>
      <x:c r="H52" s="60" t="str">
        <x:v>FIXED</x:v>
      </x:c>
      <x:c r="I52" s="60" t="str">
        <x:v>Nährstoffoptima bleiben system-/cultivarabhängig.</x:v>
      </x:c>
      <x:c r="J52" s="60" t="str">
        <x:v>P0</x:v>
      </x:c>
      <x:c r="K52" s="60"/>
      <x:c r="L52" s="60"/>
      <x:c r="M52" s="60"/>
      <x:c r="N52" s="60"/>
    </x:row>
    <x:row r="53">
      <x:c r="A53" s="60" t="str">
        <x:v>A50</x:v>
      </x:c>
      <x:c r="B53" s="60" t="str">
        <x:v>HOCH</x:v>
      </x:c>
      <x:c r="C53" s="60" t="str">
        <x:v>Deep Research / Photoperiod</x:v>
      </x:c>
      <x:c r="D53" s="60" t="str">
        <x:v>12/12-Blüte wurde als Standardempfehlung in ein Autoflower-Projekt getragen.</x:v>
      </x:c>
      <x:c r="E53" s="60" t="str">
        <x:v>Auto könnte unnötig DLI verlieren; biologischer Scope-Fehler.</x:v>
      </x:c>
      <x:c r="F53" s="60" t="str">
        <x:v>Autoflower-Photoperiodinsensitivität dokumentiert; 18h bleibt UKD-Arbeitsannahme, nicht bewiesenes Optimum.</x:v>
      </x:c>
      <x:c r="G53" s="60" t="str">
        <x:v>A Primärliteratur</x:v>
      </x:c>
      <x:c r="H53" s="60" t="str">
        <x:v>FIXED</x:v>
      </x:c>
      <x:c r="I53" s="60" t="str">
        <x:v>keine robuste 18/20/24h-Optimumstudie für Double Grape/Setup.</x:v>
      </x:c>
      <x:c r="J53" s="60" t="str">
        <x:v>P1</x:v>
      </x:c>
      <x:c r="K53" s="60"/>
      <x:c r="L53" s="60"/>
      <x:c r="M53" s="60"/>
      <x:c r="N53" s="60"/>
    </x:row>
    <x:row r="54">
      <x:c r="A54" s="60" t="str">
        <x:v>A51</x:v>
      </x:c>
      <x:c r="B54" s="60" t="str">
        <x:v>HOCH</x:v>
      </x:c>
      <x:c r="C54" s="60" t="str">
        <x:v>02 P/V</x:v>
      </x:c>
      <x:c r="D54" s="60" t="str">
        <x:v>Pre-bloom EC- und Basisdosisformeln verwendeten teils absolute Run-Tage statt Abstand zum konfigurierten Nährstoffstart.</x:v>
      </x:c>
      <x:c r="E54" s="60" t="str">
        <x:v>Ändern von Nährstoffstart hätte EC/Dosis nicht sauber mitverschoben.</x:v>
      </x:c>
      <x:c r="F54" s="60" t="str">
        <x:v>Formeln triggerrelativ auf B32 umgebaut.</x:v>
      </x:c>
      <x:c r="G54" s="60" t="str">
        <x:v>Spreadsheet Forensics</x:v>
      </x:c>
      <x:c r="H54" s="60" t="str">
        <x:v>FIXED</x:v>
      </x:c>
      <x:c r="I54" s="60" t="str">
        <x:v>Defaultkurve bleibt UKD-Heuristik.</x:v>
      </x:c>
      <x:c r="J54" s="60" t="str">
        <x:v>P0</x:v>
      </x:c>
      <x:c r="K54" s="60"/>
      <x:c r="L54" s="60"/>
      <x:c r="M54" s="60"/>
      <x:c r="N54" s="60"/>
    </x:row>
    <x:row r="55">
      <x:c r="A55" s="60" t="str">
        <x:v>A52</x:v>
      </x:c>
      <x:c r="B55" s="60" t="str">
        <x:v>HOCH</x:v>
      </x:c>
      <x:c r="C55" s="60" t="str">
        <x:v>02/03/09/Dashboard</x:v>
      </x:c>
      <x:c r="D55" s="60" t="str">
        <x:v>Liter/Tag-Min/Max konnten als zu erzwingende Bewässerungsdosis gelesen werden.</x:v>
      </x:c>
      <x:c r="E55" s="60" t="str">
        <x:v>Über-/Unterbewässerung durch falsche Präzision.</x:v>
      </x:c>
      <x:c r="F55" s="60" t="str">
        <x:v>Überall als Start-/Beobachtungsband markiert; Stop-Regel: Band nie erzwingen, Pflanze/Topfmasse/Feuchte/Diagnose-Drain priorisieren.</x:v>
      </x:c>
      <x:c r="G55" s="60" t="str">
        <x:v>UKD Safety + horticultural principle</x:v>
      </x:c>
      <x:c r="H55" s="60" t="str">
        <x:v>FIXED</x:v>
      </x:c>
      <x:c r="I55" s="60" t="str">
        <x:v>Bandwerte selbst sind weiterhin Setup-Heuristik.</x:v>
      </x:c>
      <x:c r="J55" s="60" t="str">
        <x:v>P0</x:v>
      </x:c>
      <x:c r="K55" s="60"/>
      <x:c r="L55" s="60"/>
      <x:c r="M55" s="60"/>
      <x:c r="N55" s="60"/>
    </x:row>
    <x:row r="56">
      <x:c r="A56" s="60" t="str">
        <x:v>A56</x:v>
      </x:c>
      <x:c r="B56" s="60" t="str">
        <x:v>HIGH</x:v>
      </x:c>
      <x:c r="C56" s="60" t="str">
        <x:v>Product coverage gap</x:v>
      </x:c>
      <x:c r="D56" s="60" t="str">
        <x:v>Reference sheets contained products that were not guaranteed to reach Daily/Dashboard/Mix.</x:v>
      </x:c>
      <x:c r="E56" s="60" t="str">
        <x:v>FIXED v7</x:v>
      </x:c>
      <x:c r="F56" s="60" t="str">
        <x:v>Coverage gate + explicit Daily columns + Mix block.</x:v>
      </x:c>
      <x:c r="G56" s="60" t="str">
        <x:v>UKD audit</x:v>
      </x:c>
      <x:c r="H56" s="60" t="str">
        <x:v>Residual: app importer must preserve states.</x:v>
      </x:c>
      <x:c r="I56" s="60" t="str">
        <x:v>Cross-brand HESI+Athena bleibt unvalidiert.</x:v>
      </x:c>
      <x:c r="J56" s="60" t="str">
        <x:v>P0</x:v>
      </x:c>
      <x:c r="K56" s="60"/>
      <x:c r="L56" s="60"/>
      <x:c r="M56" s="60"/>
      <x:c r="N56" s="60"/>
    </x:row>
    <x:row r="57">
      <x:c r="A57" s="60" t="str">
        <x:v>A57</x:v>
      </x:c>
      <x:c r="B57" s="60" t="str">
        <x:v>HIGH</x:v>
      </x:c>
      <x:c r="C57" s="60" t="str">
        <x:v>HESI support visibility</x:v>
      </x:c>
      <x:c r="D57" s="60" t="str">
        <x:v>Root/SuperVit/PowerZyme were too sparse in the operational view relative to manufacturer guidance.</x:v>
      </x:c>
      <x:c r="E57" s="60" t="str">
        <x:v>FIXED v7</x:v>
      </x:c>
      <x:c r="F57" s="60" t="str">
        <x:v>Root frequent-use early path; SuperVit visible every watering; PowerZyme continuous-use path.</x:v>
      </x:c>
      <x:c r="G57" s="60" t="str">
        <x:v>HESI manufacturer</x:v>
      </x:c>
      <x:c r="H57" s="60" t="str">
        <x:v>Actual application still requires a watering event.</x:v>
      </x:c>
      <x:c r="I57" s="60" t="str">
        <x:v>Substrat/root-zone pH ≠ Tank-pH.</x:v>
      </x:c>
      <x:c r="J57" s="60" t="str">
        <x:v>P1</x:v>
      </x:c>
      <x:c r="K57" s="60"/>
      <x:c r="L57" s="60"/>
      <x:c r="M57" s="60"/>
      <x:c r="N57" s="60"/>
    </x:row>
    <x:row r="58">
      <x:c r="A58" s="60" t="str">
        <x:v>A58</x:v>
      </x:c>
      <x:c r="B58" s="60" t="str">
        <x:v>HIGH</x:v>
      </x:c>
      <x:c r="C58" s="60" t="str">
        <x:v>Grand Master products not operationally structured</x:v>
      </x:c>
      <x:c r="D58" s="60" t="str">
        <x:v>Most AN products existed only as text/reference.</x:v>
      </x:c>
      <x:c r="E58" s="60" t="str">
        <x:v>FIXED v7</x:v>
      </x:c>
      <x:c r="F58" s="60" t="str">
        <x:v>Explicit module columns and batch calculator.</x:v>
      </x:c>
      <x:c r="G58" s="60" t="str">
        <x:v>AN manufacturer</x:v>
      </x:c>
      <x:c r="H58" s="60" t="str">
        <x:v>Full GM still blocked as HESI add-on.</x:v>
      </x:c>
      <x:c r="I58" s="60" t="str">
        <x:v>Studienergebnisse nicht universal; Umwelt-/Inputeinsparung separat bewerten.</x:v>
      </x:c>
      <x:c r="J58" s="60" t="str">
        <x:v>P1</x:v>
      </x:c>
      <x:c r="K58" s="60"/>
      <x:c r="L58" s="60"/>
      <x:c r="M58" s="60"/>
      <x:c r="N58" s="60"/>
    </x:row>
    <x:row r="59">
      <x:c r="A59" t="str">
        <x:v>A59</x:v>
      </x:c>
      <x:c r="B59" t="str">
        <x:v>HIGH</x:v>
      </x:c>
      <x:c r="C59" t="str">
        <x:v>Compatibility != efficacy</x:v>
      </x:c>
      <x:c r="D59" t="str">
        <x:v>Cross-brand compatibility could be misread as proven benefit.</x:v>
      </x:c>
      <x:c r="E59" t="str">
        <x:v>FIXED v7</x:v>
      </x:c>
      <x:c r="F59" t="str">
        <x:v>Evidence text and experimental classes.</x:v>
      </x:c>
      <x:c r="G59" t="str">
        <x:v>AN manufacturer</x:v>
      </x:c>
      <x:c r="H59" t="str">
        <x:v>Independent hybrid trials largely absent.</x:v>
      </x:c>
    </x:row>
    <x:row r="60">
      <x:c r="A60" t="str">
        <x:v>A60</x:v>
      </x:c>
      <x:c r="B60" t="str">
        <x:v>HIGH</x:v>
      </x:c>
      <x:c r="C60" t="str">
        <x:v>Functional stacking</x:v>
      </x:c>
      <x:c r="D60" t="str">
        <x:v>Carbo/enzyme/silica/PK pathways could be duplicated.</x:v>
      </x:c>
      <x:c r="E60" t="str">
        <x:v>FIXED v7</x:v>
      </x:c>
      <x:c r="F60" t="str">
        <x:v>Mutually exclusive alternative modules.</x:v>
      </x:c>
      <x:c r="G60" t="str">
        <x:v>Manufacturer role mapping</x:v>
      </x:c>
      <x:c r="H60" t="str">
        <x:v>Overlap boundaries remain product-formulation dependent.</x:v>
      </x:c>
    </x:row>
    <x:row r="61">
      <x:c r="A61" t="str">
        <x:v>A61</x:v>
      </x:c>
      <x:c r="B61" t="str">
        <x:v>MEDIUM</x:v>
      </x:c>
      <x:c r="C61" t="str">
        <x:v>Microbiome redundancy</x:v>
      </x:c>
      <x:c r="D61" t="str">
        <x:v>Voodoo/Piranha/Tarantula can add variables in a biologically active medium.</x:v>
      </x:c>
      <x:c r="E61" t="str">
        <x:v>MITIGATED</x:v>
      </x:c>
      <x:c r="F61" t="str">
        <x:v>Voodoo only default; trio review/A-B.</x:v>
      </x:c>
      <x:c r="G61" t="str">
        <x:v>UKD evidence guard</x:v>
      </x:c>
      <x:c r="H61" t="str">
        <x:v>Medium inoculant composition should be reverified per product lot/version.</x:v>
      </x:c>
    </x:row>
    <x:row r="62">
      <x:c r="A62" t="str">
        <x:v>A62</x:v>
      </x:c>
      <x:c r="B62" t="str">
        <x:v>MEDIUM</x:v>
      </x:c>
      <x:c r="C62" t="str">
        <x:v>Plant-aid misuse</x:v>
      </x:c>
      <x:c r="D62" t="str">
        <x:v>CalMag/Revive could become calendar additives.</x:v>
      </x:c>
      <x:c r="E62" t="str">
        <x:v>FIXED v7</x:v>
      </x:c>
      <x:c r="F62" t="str">
        <x:v>Water-chemistry gate + diagnostic-only Revive.</x:v>
      </x:c>
      <x:c r="G62" t="str">
        <x:v>AN manufacturer</x:v>
      </x:c>
      <x:c r="H62" t="str">
        <x:v>Diagnosis quality depends on measurement quality.</x:v>
      </x:c>
    </x:row>
    <x:row r="63">
      <x:c r="A63" t="str">
        <x:v>A63</x:v>
      </x:c>
      <x:c r="B63" t="str">
        <x:v>MEDIUM</x:v>
      </x:c>
      <x:c r="C63" t="str">
        <x:v>Source/version drift</x:v>
      </x:c>
      <x:c r="D63" t="str">
        <x:v>AN/HESI product names and feed charts can change.</x:v>
      </x:c>
      <x:c r="E63" t="str">
        <x:v>MITIGATED</x:v>
      </x:c>
      <x:c r="F63" t="str">
        <x:v>Source ledger dated 2026-08-09; app import keys versioned.</x:v>
      </x:c>
      <x:c r="G63" t="str">
        <x:v>Manufacturer primary sources</x:v>
      </x:c>
      <x:c r="H63" t="str">
        <x:v>Recheck each release.</x:v>
      </x:c>
    </x:row>
    <x:row r="64">
      <x:c r="A64" t="str">
        <x:v>A64</x:v>
      </x:c>
      <x:c r="B64" t="str">
        <x:v>HIGH</x:v>
      </x:c>
      <x:c r="C64" t="str">
        <x:v>Inventory mismatch</x:v>
      </x:c>
      <x:c r="D64" t="str">
        <x:v>v7 default still referenced products the user does not own while owned Tarantula/Sensi CalMag were not selected.</x:v>
      </x:c>
      <x:c r="E64" t="str">
        <x:v>FIXED v8</x:v>
      </x:c>
      <x:c r="F64" t="str">
        <x:v>Owned-stock preset selects Voodoo+Tarantula, HESI Boost, Athena Balance, HESI PK, Sensi CalMag conditional.</x:v>
      </x:c>
      <x:c r="G64" t="str">
        <x:v>User inventory + manufacturer</x:v>
      </x:c>
      <x:c r="H64" t="str">
        <x:v>Stock is not efficacy evidence.</x:v>
      </x:c>
    </x:row>
    <x:row r="65">
      <x:c r="A65" t="str">
        <x:v>A65</x:v>
      </x:c>
      <x:c r="B65" t="str">
        <x:v>HIGH</x:v>
      </x:c>
      <x:c r="C65" t="str">
        <x:v>CalMag auto-dose risk</x:v>
      </x:c>
      <x:c r="D65" t="str">
        <x:v>v7 Sensi CalMag formula could produce label dose after chemistry became numeric.</x:v>
      </x:c>
      <x:c r="E65" t="str">
        <x:v>FIXED v8</x:v>
      </x:c>
      <x:c r="F65" t="str">
        <x:v>Sensi CalMag dose now equals explicit CalMag Plan only; default remains 0.</x:v>
      </x:c>
      <x:c r="G65" t="str">
        <x:v>AN manufacturer + UKD safety</x:v>
      </x:c>
      <x:c r="H65" t="str">
        <x:v>Need still requires diagnosis/water context.</x:v>
      </x:c>
    </x:row>
    <x:row r="66">
      <x:c r="A66" t="str">
        <x:v>A66</x:v>
      </x:c>
      <x:c r="B66" t="str">
        <x:v>MEDIUM</x:v>
      </x:c>
      <x:c r="C66" t="str">
        <x:v>CarboLoad repurchase pressure</x:v>
      </x:c>
      <x:c r="D66" t="str">
        <x:v>Small remaining stock could encourage redundant carbohydrate stacking.</x:v>
      </x:c>
      <x:c r="E66" t="str">
        <x:v>FIXED v8</x:v>
      </x:c>
      <x:c r="F66" t="str">
        <x:v>OFF; no repurchase while HESI Boost selected.</x:v>
      </x:c>
      <x:c r="G66" t="str">
        <x:v>HESI/AN manufacturer</x:v>
      </x:c>
      <x:c r="H66" t="str">
        <x:v>Future A/B remains possible.</x:v>
      </x:c>
    </x:row>
    <x:row r="67">
      <x:c r="A67" t="str">
        <x:v>A67</x:v>
      </x:c>
      <x:c r="B67" t="str">
        <x:v>MEDIUM</x:v>
      </x:c>
      <x:c r="C67" t="str">
        <x:v>Tarantula omission</x:v>
      </x:c>
      <x:c r="D67" t="str">
        <x:v>Owned Tarantula was not represented in selected core.</x:v>
      </x:c>
      <x:c r="E67" t="str">
        <x:v>FIXED v8</x:v>
      </x:c>
      <x:c r="F67" t="str">
        <x:v>Voodoo+Tarantula pair supported by manufacturer and modeled explicitly.</x:v>
      </x:c>
      <x:c r="G67" t="str">
        <x:v>AN manufacturer</x:v>
      </x:c>
      <x:c r="H67" t="str">
        <x:v>Incremental benefit vs Voodoo alone unproven independently.</x:v>
      </x:c>
    </x:row>
    <x:row r="68">
      <x:c r="A68" t="str">
        <x:v>A68</x:v>
      </x:c>
      <x:c r="B68" t="str">
        <x:v>MEDIUM</x:v>
      </x:c>
      <x:c r="C68" t="str">
        <x:v>Si purchase mismatch</x:v>
      </x:c>
      <x:c r="D68" t="str">
        <x:v>Alternative silicon paths were shown despite owned Athena Balance preference.</x:v>
      </x:c>
      <x:c r="E68" t="str">
        <x:v>FIXED v8</x:v>
      </x:c>
      <x:c r="F68" t="str">
        <x:v>Athena Balance is preferred selected path; Rhino/Hesilicio not purchase targets.</x:v>
      </x:c>
      <x:c r="G68" t="str">
        <x:v>Athena + inventory</x:v>
      </x:c>
      <x:c r="H68" t="str">
        <x:v>Athena dose remains conditional.</x:v>
      </x:c>
    </x:row>
    <x:row r="69">
      <x:c r="A69" t="str">
        <x:v>A69</x:v>
      </x:c>
      <x:c r="B69" t="str">
        <x:v>MEDIUM</x:v>
      </x:c>
      <x:c r="C69" t="str">
        <x:v>Tasty Terpenes stock pressure</x:v>
      </x:c>
      <x:c r="D69" t="str">
        <x:v>Owned product might be interpreted as mandatory.</x:v>
      </x:c>
      <x:c r="E69" t="str">
        <x:v>FIXED v8</x:v>
      </x:c>
      <x:c r="F69" t="str">
        <x:v>Owned but OFF/A-B only due overlap and uncertainty.</x:v>
      </x:c>
      <x:c r="G69" t="str">
        <x:v>AN manufacturer + UKD inference</x:v>
      </x:c>
      <x:c r="H69" t="str">
        <x:v>May be evaluated in a later isolated run.</x:v>
      </x:c>
    </x:row>
    <x:row r="70">
      <x:c r="A70" t="str">
        <x:v>A70</x:v>
      </x:c>
      <x:c r="B70" t="str">
        <x:v>LOW</x:v>
      </x:c>
      <x:c r="C70" t="str">
        <x:v>App inventory handoff</x:v>
      </x:c>
      <x:c r="D70" t="str">
        <x:v>No normalized current-stock table existed.</x:v>
      </x:c>
      <x:c r="E70" t="str">
        <x:v>FIXED v8</x:v>
      </x:c>
      <x:c r="F70" t="str">
        <x:v>Added 28_Current_Inventory and stock columns to 27_HESI_AN_Hybrid.</x:v>
      </x:c>
      <x:c r="G70" t="str">
        <x:v>UKD architecture</x:v>
      </x:c>
      <x:c r="H70" t="str">
        <x:v>Quantity/lot/expiry still user-entered.</x:v>
      </x:c>
    </x:row>
    <x:row r="71">
      <x:c r="A71" s="60" t="str">
        <x:v>A71</x:v>
      </x:c>
      <x:c r="B71" s="60" t="str">
        <x:v>CRITICAL</x:v>
      </x:c>
      <x:c r="C71" s="60" t="str">
        <x:v>Bloom-Tag formula-column bug</x:v>
      </x:c>
      <x:c r="D71" s="60" t="str">
        <x:v>11 Daily formula families used AJ (GM Phase text) as if it were numeric Bloom-Tag; PowerZyme/PK and optional AN windows could resolve to 0 incorrectly.</x:v>
      </x:c>
      <x:c r="E71" s="60" t="str">
        <x:v>FIXED v9</x:v>
      </x:c>
      <x:c r="F71" s="60" t="str">
        <x:v>All affected formulas now use AL numeric Bloom-Tag; no remaining AJ references in Daily formulas.</x:v>
      </x:c>
      <x:c r="G71" s="60" t="str">
        <x:v>Workbook formula audit</x:v>
      </x:c>
      <x:c r="H71" s="60" t="str">
        <x:v>Add golden parity tests in app/CI.</x:v>
      </x:c>
    </x:row>
    <x:row r="72">
      <x:c r="A72" s="60" t="str">
        <x:v>A72</x:v>
      </x:c>
      <x:c r="B72" s="60" t="str">
        <x:v>HIGH</x:v>
      </x:c>
      <x:c r="C72" s="60" t="str">
        <x:v>App/content version skew</x:v>
      </x:c>
      <x:c r="D72" s="60" t="str">
        <x:v>Archived app is package 6.0.0 and architecture snapshot points to workbook-v6 while operational artifacts reached v8.</x:v>
      </x:c>
      <x:c r="E72" s="60" t="str">
        <x:v>OPEN APP P0</x:v>
      </x:c>
      <x:c r="F72" s="60" t="str">
        <x:v>Introduce release manifest and migrate app data snapshot to current schema.</x:v>
      </x:c>
      <x:c r="G72" s="60" t="str">
        <x:v>package.json + ARCHITECTURE.md</x:v>
      </x:c>
      <x:c r="H72" s="60" t="str">
        <x:v>Do not claim v9 app until code/import/tests updated.</x:v>
      </x:c>
    </x:row>
    <x:row r="73">
      <x:c r="A73" s="60" t="str">
        <x:v>A73</x:v>
      </x:c>
      <x:c r="B73" s="60" t="str">
        <x:v>HIGH</x:v>
      </x:c>
      <x:c r="C73" s="60" t="str">
        <x:v>Incorrect nav-count assumption</x:v>
      </x:c>
      <x:c r="D73" s="60" t="str">
        <x:v>Proposed redesign states 21 navigation entries; current App.tsx NAV has 12.</x:v>
      </x:c>
      <x:c r="E73" s="60" t="str">
        <x:v>CORRECTED PLAN</x:v>
      </x:c>
      <x:c r="F73" s="60" t="str">
        <x:v>UX plan uses actual 12 current routes; target 14 after real Setup + Log implementation.</x:v>
      </x:c>
      <x:c r="G73" s="60" t="str">
        <x:v>src/App.tsx</x:v>
      </x:c>
      <x:c r="H73" s="60" t="str">
        <x:v>Avoid designing around mock/invented routes.</x:v>
      </x:c>
    </x:row>
    <x:row r="74">
      <x:c r="A74" s="60" t="str">
        <x:v>A74</x:v>
      </x:c>
      <x:c r="B74" s="60" t="str">
        <x:v>HIGH</x:v>
      </x:c>
      <x:c r="C74" s="60" t="str">
        <x:v>Missing Setup/Log routes</x:v>
      </x:c>
      <x:c r="D74" s="60" t="str">
        <x:v>Guided target assumes Setup and Log, but current app has neither as route/persistent workflow.</x:v>
      </x:c>
      <x:c r="E74" s="60" t="str">
        <x:v>OPEN APP P1</x:v>
      </x:c>
      <x:c r="F74" s="60" t="str">
        <x:v>Add Setup wizard + Journal/Event Log backed by versioned repository.</x:v>
      </x:c>
      <x:c r="G74" s="60" t="str">
        <x:v>src/App.tsx + MIGRATION.md</x:v>
      </x:c>
      <x:c r="H74" s="60" t="str">
        <x:v>Workbook/PDF can define contract now; app implementation separate.</x:v>
      </x:c>
    </x:row>
    <x:row r="75">
      <x:c r="A75" s="60" t="str">
        <x:v>A75</x:v>
      </x:c>
      <x:c r="B75" s="60" t="str">
        <x:v>HIGH</x:v>
      </x:c>
      <x:c r="C75" s="60" t="str">
        <x:v>Propagation path absent</x:v>
      </x:c>
      <x:c r="D75" s="60" t="str">
        <x:v>Eazy Plug/Block and final UGro Rhiza medium were not separate setup states.</x:v>
      </x:c>
      <x:c r="E75" s="60" t="str">
        <x:v>FIXED PLAN v9</x:v>
      </x:c>
      <x:c r="F75" s="60" t="str">
        <x:v>Added propagation/medium path, substrate references, feed gate and transplant trigger.</x:v>
      </x:c>
      <x:c r="G75" s="60" t="str">
        <x:v>Eazy Plug + UGro + HESI</x:v>
      </x:c>
      <x:c r="H75" s="60" t="str">
        <x:v>Exact product sizes still user-confirmed input.</x:v>
      </x:c>
    </x:row>
    <x:row r="76">
      <x:c r="A76" s="60" t="str">
        <x:v>A76</x:v>
      </x:c>
      <x:c r="B76" s="60" t="str">
        <x:v>HIGH</x:v>
      </x:c>
      <x:c r="C76" s="60" t="str">
        <x:v>Day-based early feed mental model</x:v>
      </x:c>
      <x:c r="D76" s="60" t="str">
        <x:v>Nutrient start day could be interpreted as automatic authorization despite seed reserves and pre-fertilised propagation media.</x:v>
      </x:c>
      <x:c r="E76" s="60" t="str">
        <x:v>MITIGATED v9</x:v>
      </x:c>
      <x:c r="F76" s="60" t="str">
        <x:v>Renamed to earliest reference day and added plant/medium gate.</x:v>
      </x:c>
      <x:c r="G76" s="60" t="str">
        <x:v>HESI TNT + Eazy Plug</x:v>
      </x:c>
      <x:c r="H76" s="60" t="str">
        <x:v>Daily formula still carries a reference schedule; UI must surface gate.</x:v>
      </x:c>
    </x:row>
    <x:row r="77">
      <x:c r="A77" s="60" t="str">
        <x:v>A77</x:v>
      </x:c>
      <x:c r="B77" s="60" t="str">
        <x:v>MEDIUM</x:v>
      </x:c>
      <x:c r="C77" s="60" t="str">
        <x:v>PDF operator orientation</x:v>
      </x:c>
      <x:c r="D77" s="60" t="str">
        <x:v>v8 full PDF was 231 pages with thin front matter and weak task orientation.</x:v>
      </x:c>
      <x:c r="E77" s="60" t="str">
        <x:v>FIXED PDF v9</x:v>
      </x:c>
      <x:c r="F77" s="60" t="str">
        <x:v>New operator front matter, visual flow, feed map, state legend and app transformation plan; detailed pages retained as appendix.</x:v>
      </x:c>
      <x:c r="G77" s="60" t="str">
        <x:v>PDF review</x:v>
      </x:c>
      <x:c r="H77" s="60" t="str">
        <x:v>Keep appendix searchable/bookmarked.</x:v>
      </x:c>
    </x:row>
    <x:row r="78">
      <x:c r="A78" s="60" t="str">
        <x:v>A78</x:v>
      </x:c>
      <x:c r="B78" s="60" t="str">
        <x:v>MEDIUM</x:v>
      </x:c>
      <x:c r="C78" s="60" t="str">
        <x:v>Workbook start-point ambiguity</x:v>
      </x:c>
      <x:c r="D78" s="60" t="str">
        <x:v>Dashboard was dense and assumed knowledge of tab structure.</x:v>
      </x:c>
      <x:c r="E78" s="60" t="str">
        <x:v>FIXED XLSX v9</x:v>
      </x:c>
      <x:c r="F78" s="60" t="str">
        <x:v>00_Dashboard transformed into Start Here with 3-step journey, current setup and legend.</x:v>
      </x:c>
      <x:c r="G78" s="60" t="str">
        <x:v>Workbook review</x:v>
      </x:c>
      <x:c r="H78" s="60" t="str">
        <x:v>Future app mirrors same journey.</x:v>
      </x:c>
    </x:row>
    <x:row r="79">
      <x:c r="A79" s="60" t="str">
        <x:v>A79</x:v>
      </x:c>
      <x:c r="B79" s="60" t="str">
        <x:v>MEDIUM</x:v>
      </x:c>
      <x:c r="C79" s="60" t="str">
        <x:v>Glossary/context gap</x:v>
      </x:c>
      <x:c r="D79" s="60" t="str">
        <x:v>Technical concepts were not normalized as structured reusable definitions.</x:v>
      </x:c>
      <x:c r="E79" s="60" t="str">
        <x:v>FIXED PLAN v9</x:v>
      </x:c>
      <x:c r="F79" s="60" t="str">
        <x:v>Added 32_GLOSSARY_STATES; app target is context wiki with tap/focus/hover preview.</x:v>
      </x:c>
      <x:c r="G79" s="60" t="str">
        <x:v>UX plan</x:v>
      </x:c>
      <x:c r="H79" s="60" t="str">
        <x:v>Critical meaning remains inline in Guided.</x:v>
      </x:c>
    </x:row>
    <x:row r="80">
      <x:c r="A80" s="60" t="str">
        <x:v>A80</x:v>
      </x:c>
      <x:c r="B80" s="60" t="str">
        <x:v>MEDIUM</x:v>
      </x:c>
      <x:c r="C80" s="60" t="str">
        <x:v>Release acceptance scattered</x:v>
      </x:c>
      <x:c r="D80" s="60" t="str">
        <x:v>Safety/UX/accessibility/data gates existed across docs but not as a single release matrix.</x:v>
      </x:c>
      <x:c r="E80" s="60" t="str">
        <x:v>FIXED PLAN v9</x:v>
      </x:c>
      <x:c r="F80" s="60" t="str">
        <x:v>Added 33_RELEASE_GATES with P0-P4 acceptance criteria.</x:v>
      </x:c>
      <x:c r="G80" s="60" t="str">
        <x:v>Docs + gap analysis</x:v>
      </x:c>
      <x:c r="H80" s="60" t="str">
        <x:v>CI implementation still pending for app.</x:v>
      </x:c>
    </x:row>
    <x:row r="81">
      <x:c r="A81" s="60" t="str">
        <x:v>A81</x:v>
      </x:c>
      <x:c r="B81" s="60" t="str">
        <x:v>LOW</x:v>
      </x:c>
      <x:c r="C81" s="60" t="str">
        <x:v>Inventory lifecycle metadata</x:v>
      </x:c>
      <x:c r="D81" s="60" t="str">
        <x:v>Inventory tracks presence/state but not quantity, lot, opened or expiry.</x:v>
      </x:c>
      <x:c r="E81" s="60" t="str">
        <x:v>MITIGATED v9</x:v>
      </x:c>
      <x:c r="F81" s="60" t="str">
        <x:v>Added lifecycle columns as UNKNOWN placeholders.</x:v>
      </x:c>
      <x:c r="G81" s="60" t="str">
        <x:v>28_Current_Inventory</x:v>
      </x:c>
      <x:c r="H81" s="60" t="str">
        <x:v>User can populate later; unknown is not fabricated.</x:v>
      </x:c>
    </x:row>
    <x:row r="82">
      <x:c r="A82" s="60" t="str">
        <x:v>A82</x:v>
      </x:c>
      <x:c r="B82" s="60" t="str">
        <x:v>HIGH</x:v>
      </x:c>
      <x:c r="C82" s="60" t="str">
        <x:v>Unexplained acronyms in operator flow</x:v>
      </x:c>
      <x:c r="D82" s="60" t="str">
        <x:v>EC, PPFD, DLI, VPD, LF/rF, BT/BW and decision-state terms can interrupt comprehension.</x:v>
      </x:c>
      <x:c r="E82" s="60" t="str">
        <x:v>FIXED v10</x:v>
      </x:c>
      <x:c r="F82" s="60" t="str">
        <x:v>Plain-German display labels + context-help registry + local operator explanations.</x:v>
      </x:c>
      <x:c r="G82" s="60" t="str">
        <x:v>UX audit</x:v>
      </x:c>
      <x:c r="H82" s="60" t="str">
        <x:v>Canonical technical keys preserved.</x:v>
      </x:c>
    </x:row>
    <x:row r="83">
      <x:c r="A83" s="60" t="str">
        <x:v>A83</x:v>
      </x:c>
      <x:c r="B83" s="60" t="str">
        <x:v>HIGH</x:v>
      </x:c>
      <x:c r="C83" s="60" t="str">
        <x:v>Section purpose ambiguity</x:v>
      </x:c>
      <x:c r="D83" s="60" t="str">
        <x:v>Users could know data but not where setup/today/mix/log/diagnosis/evidence belong.</x:v>
      </x:c>
      <x:c r="E83" s="60" t="str">
        <x:v>FIXED v10</x:v>
      </x:c>
      <x:c r="F83" s="60" t="str">
        <x:v>35_SECTION_GUIDE + Dashboard task map + section-purpose banners.</x:v>
      </x:c>
      <x:c r="G83" s="60" t="str">
        <x:v>UX audit</x:v>
      </x:c>
      <x:c r="H83" s="60" t="str">
        <x:v>App route metadata still to implement.</x:v>
      </x:c>
    </x:row>
    <x:row r="84">
      <x:c r="A84" s="60" t="str">
        <x:v>A84</x:v>
      </x:c>
      <x:c r="B84" s="60" t="str">
        <x:v>HIGH</x:v>
      </x:c>
      <x:c r="C84" s="60" t="str">
        <x:v>Glossary context switching</x:v>
      </x:c>
      <x:c r="D84" s="60" t="str">
        <x:v>Separate glossary alone is insufficient for an active decision.</x:v>
      </x:c>
      <x:c r="E84" s="60" t="str">
        <x:v>FIXED v10</x:v>
      </x:c>
      <x:c r="F84" s="60" t="str">
        <x:v>Relevant definitions appear on Today/Setup/Mix/Log views and PDF pages.</x:v>
      </x:c>
      <x:c r="G84" s="60" t="str">
        <x:v>Human factors</x:v>
      </x:c>
      <x:c r="H84" s="60" t="str">
        <x:v>Avoid hover-only critical help.</x:v>
      </x:c>
    </x:row>
    <x:row r="85">
      <x:c r="A85" s="60" t="str">
        <x:v>A85</x:v>
      </x:c>
      <x:c r="B85" s="60" t="str">
        <x:v>MEDIUM</x:v>
      </x:c>
      <x:c r="C85" s="60" t="str">
        <x:v>Color-only meaning risk</x:v>
      </x:c>
      <x:c r="D85" s="60" t="str">
        <x:v>Semantic colors can reduce accessibility if status is encoded only visually.</x:v>
      </x:c>
      <x:c r="E85" s="60" t="str">
        <x:v>MITIGATED v10</x:v>
      </x:c>
      <x:c r="F85" s="60" t="str">
        <x:v>Every color state also has text label and icon/content meaning.</x:v>
      </x:c>
      <x:c r="G85" s="60" t="str">
        <x:v>Accessibility</x:v>
      </x:c>
      <x:c r="H85" s="60" t="str">
        <x:v>Real AT/color vision review remains.</x:v>
      </x:c>
    </x:row>
    <x:row r="86">
      <x:c r="A86" s="60" t="str">
        <x:v>A86</x:v>
      </x:c>
      <x:c r="B86" s="60" t="str">
        <x:v>HIGH</x:v>
      </x:c>
      <x:c r="C86" s="60" t="str">
        <x:v>Operator label vs canonical key risk</x:v>
      </x:c>
      <x:c r="D86" s="60" t="str">
        <x:v>Global header renaming could break import/formula contracts.</x:v>
      </x:c>
      <x:c r="E86" s="60" t="str">
        <x:v>FIXED v10</x:v>
      </x:c>
      <x:c r="F86" s="60" t="str">
        <x:v>Canonical masters unchanged; display-label mapping/operator projections added.</x:v>
      </x:c>
      <x:c r="G86" s="60" t="str">
        <x:v>Architecture</x:v>
      </x:c>
      <x:c r="H86" s="60" t="str">
        <x:v>App should render from mapping, not duplicate strings.</x:v>
      </x:c>
    </x:row>
    <x:row r="87">
      <x:c r="A87" s="60" t="str">
        <x:v>A87</x:v>
      </x:c>
      <x:c r="B87" s="60" t="str">
        <x:v>HIGH</x:v>
      </x:c>
      <x:c r="C87" s="60" t="str">
        <x:v>Generated figure source confusion</x:v>
      </x:c>
      <x:c r="D87" s="60" t="str">
        <x:v>Generative infographic may contain plausible but noncanonical numbers.</x:v>
      </x:c>
      <x:c r="E87" s="60" t="str">
        <x:v>FIXED v10</x:v>
      </x:c>
      <x:c r="F87" s="60" t="str">
        <x:v>Exact plan figures generated programmatically; generative concept marked illustrative/noncanonical.</x:v>
      </x:c>
      <x:c r="G87" s="60" t="str">
        <x:v>Evidence/visual policy</x:v>
      </x:c>
      <x:c r="H87" s="60" t="str">
        <x:v>Never import generated numeric content.</x:v>
      </x:c>
    </x:row>
    <x:row r="88">
      <x:c r="A88" s="60" t="str">
        <x:v>A88</x:v>
      </x:c>
      <x:c r="B88" s="60" t="str">
        <x:v>MEDIUM</x:v>
      </x:c>
      <x:c r="C88" s="60" t="str">
        <x:v>Missing local navigation</x:v>
      </x:c>
      <x:c r="D88" s="60" t="str">
        <x:v>Users needed repeated task-to-section pointers rather than one global TOC.</x:v>
      </x:c>
      <x:c r="E88" s="60" t="str">
        <x:v>FIXED v10</x:v>
      </x:c>
      <x:c r="F88" s="60" t="str">
        <x:v>Every major operator section carries 'where to look' links/pointers.</x:v>
      </x:c>
      <x:c r="G88" s="60" t="str">
        <x:v>UX</x:v>
      </x:c>
      <x:c r="H88" s="60" t="str">
        <x:v>Future app deep-links should implement same contract.</x:v>
      </x:c>
    </x:row>
  </x:sheetData>
  <x:mergeCells>
    <x:mergeCell ref="A1:J1"/>
  </x:mergeCells>
  <x:conditionalFormatting sqref="B4:B38">
    <x:cfRule type="expression" dxfId="69" priority="1">
      <x:formula>B4="KRITISCH"</x:formula>
    </x:cfRule>
    <x:cfRule type="expression" dxfId="70" priority="2">
      <x:formula>B4="HOCH"</x:formula>
    </x:cfRule>
    <x:cfRule type="expression" dxfId="71" priority="3">
      <x:formula>B4="MITTEL"</x:formula>
    </x:cfRule>
    <x:cfRule type="expression" dxfId="72" priority="4">
      <x:formula>B4="NIEDRIG"</x:formula>
    </x:cfRule>
  </x:conditionalFormatting>
  <x:conditionalFormatting sqref="H4:H38">
    <x:cfRule type="expression" dxfId="73" priority="5">
      <x:formula>H4="FIXED"</x:formula>
    </x:cfRule>
  </x:conditionalFormatting>
  <x:conditionalFormatting sqref="B39:B41">
    <x:cfRule type="expression" dxfId="74" priority="6">
      <x:formula>B39="HOCH"</x:formula>
    </x:cfRule>
    <x:cfRule type="expression" dxfId="75" priority="7">
      <x:formula>B39="MITTEL"</x:formula>
    </x:cfRule>
  </x:conditionalFormatting>
  <x:conditionalFormatting sqref="H39:H41">
    <x:cfRule type="expression" dxfId="76" priority="8">
      <x:formula>H39="FIXED"</x:formula>
    </x:cfRule>
  </x:conditionalFormatting>
  <x:conditionalFormatting sqref="B42:B47">
    <x:cfRule type="expression" dxfId="77" priority="9">
      <x:formula>B42="HOCH"</x:formula>
    </x:cfRule>
    <x:cfRule type="expression" dxfId="78" priority="10">
      <x:formula>B42="MITTEL"</x:formula>
    </x:cfRule>
    <x:cfRule type="expression" dxfId="79" priority="11">
      <x:formula>B42="NIEDRIG"</x:formula>
    </x:cfRule>
  </x:conditionalFormatting>
  <x:conditionalFormatting sqref="H42:H47">
    <x:cfRule type="expression" dxfId="80" priority="12">
      <x:formula>H42="FIXED"</x:formula>
    </x:cfRule>
  </x:conditionalFormatting>
  <x:pageMargins left="0.7" right="0.7" top="0.75" bottom="0.75" header="0.3" footer="0.3"/>
</x:worksheet>
</file>

<file path=xl/worksheets/sheet28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8" hidden="0" customWidth="1"/>
    <x:col min="3" max="3" width="25" hidden="0" customWidth="1"/>
    <x:col min="4" max="4" width="18" hidden="0" customWidth="1"/>
    <x:col min="5" max="5" width="28" hidden="0" customWidth="1"/>
    <x:col min="6" max="6" width="25" hidden="0" customWidth="1"/>
    <x:col min="7" max="7" width="18" hidden="0" customWidth="1"/>
    <x:col min="8" max="8" width="16" hidden="0" customWidth="1"/>
    <x:col min="9" max="9" width="44" hidden="0" customWidth="1"/>
    <x:col min="10" max="10" width="14" hidden="0" customWidth="1"/>
    <x:col min="11" max="11" width="12" hidden="0" customWidth="1"/>
    <x:col min="12" max="12" width="16" hidden="0" customWidth="1"/>
    <x:col min="13" max="13" width="48" hidden="0" customWidth="1"/>
    <x:col min="14" max="14" width="28" hidden="0" customWidth="1"/>
    <x:col min="15" max="15" width="19" hidden="0" customWidth="1"/>
    <x:col min="16" max="16" width="19" hidden="0" customWidth="1"/>
    <x:col min="17" max="17" width="19" hidden="0" customWidth="1"/>
    <x:col min="18" max="18" width="38" hidden="0" customWidth="1"/>
  </x:cols>
  <x:sheetData>
    <x:row r="1">
      <x:c r="A1" s="1789" t="str">
        <x:v>Product</x:v>
      </x:c>
      <x:c r="B1" s="1789" t="str">
        <x:v>Vendor</x:v>
      </x:c>
      <x:c r="C1" s="1789" t="str">
        <x:v>Role</x:v>
      </x:c>
      <x:c r="D1" s="1789" t="str">
        <x:v>Manufacturer cross-brand</x:v>
      </x:c>
      <x:c r="E1" s="1789" t="str">
        <x:v>Label reference</x:v>
      </x:c>
      <x:c r="F1" s="1789" t="str">
        <x:v>Overlap in HESI</x:v>
      </x:c>
      <x:c r="G1" s="1789" t="str">
        <x:v>UKD class</x:v>
      </x:c>
      <x:c r="H1" s="1789" t="str">
        <x:v>Default state</x:v>
      </x:c>
      <x:c r="I1" s="1789" t="str">
        <x:v>Operational rule</x:v>
      </x:c>
      <x:c r="J1" s="1789" t="str">
        <x:v>Run_Config key</x:v>
      </x:c>
      <x:c r="K1" s="1789" t="str">
        <x:v>Daily column</x:v>
      </x:c>
      <x:c r="L1" s="1789" t="str">
        <x:v>Evidence class</x:v>
      </x:c>
      <x:c r="M1" s="1789" t="str">
        <x:v>Source</x:v>
      </x:c>
      <x:c r="N1" s="1789" t="str">
        <x:v>App import key</x:v>
      </x:c>
      <x:c r="O1" s="1801" t="str">
        <x:v>Current stock</x:v>
      </x:c>
      <x:c r="P1" s="1801" t="str">
        <x:v>v8 selected</x:v>
      </x:c>
      <x:c r="Q1" s="1801" t="str">
        <x:v>Repurchase</x:v>
      </x:c>
      <x:c r="R1" s="1801" t="str">
        <x:v>Inventory note</x:v>
      </x:c>
    </x:row>
    <x:row r="2">
      <x:c r="A2" s="60" t="str">
        <x:v>TNT Complex / HESI Coco</x:v>
      </x:c>
      <x:c r="B2" s="60" t="str">
        <x:v>HESI</x:v>
      </x:c>
      <x:c r="C2" s="60" t="str">
        <x:v>Base</x:v>
      </x:c>
      <x:c r="D2" s="60" t="str">
        <x:v>n/a</x:v>
      </x:c>
      <x:c r="E2" s="60" t="str">
        <x:v>HESI manufacturer</x:v>
      </x:c>
      <x:c r="F2" s="60" t="str">
        <x:v>none</x:v>
      </x:c>
      <x:c r="G2" s="60" t="str">
        <x:v>CORE</x:v>
      </x:c>
      <x:c r="H2" s="60" t="str">
        <x:v>ACTIVE</x:v>
      </x:c>
      <x:c r="I2" s="60" t="str">
        <x:v>Canonical HESI base by phase.</x:v>
      </x:c>
      <x:c r="J2" s="60" t="str">
        <x:v>base</x:v>
      </x:c>
      <x:c r="K2" s="60" t="str">
        <x:v>V</x:v>
      </x:c>
      <x:c r="L2" s="60" t="str">
        <x:v>A-MFR</x:v>
      </x:c>
      <x:c r="M2" s="60" t="str">
        <x:v>https://hesi.nl/de/StarterBox</x:v>
      </x:c>
      <x:c r="N2" s="60" t="str">
        <x:v>hesi.base</x:v>
      </x:c>
      <x:c r="O2" s="60" t="str">
        <x:v>available</x:v>
      </x:c>
      <x:c r="P2" s="60" t="str">
        <x:v>YES</x:v>
      </x:c>
      <x:c r="Q2" s="60" t="str">
        <x:v>NO</x:v>
      </x:c>
      <x:c r="R2" s="60" t="str">
        <x:v>HESI base owned</x:v>
      </x:c>
    </x:row>
    <x:row r="3">
      <x:c r="A3" s="60" t="str">
        <x:v>Wurzel Complex</x:v>
      </x:c>
      <x:c r="B3" s="60" t="str">
        <x:v>HESI</x:v>
      </x:c>
      <x:c r="C3" s="60" t="str">
        <x:v>Root/stress biostim</x:v>
      </x:c>
      <x:c r="D3" s="60" t="str">
        <x:v>HESI internal compatible</x:v>
      </x:c>
      <x:c r="E3" s="60" t="str">
        <x:v>5 ml/L; half for frequent use</x:v>
      </x:c>
      <x:c r="F3" s="60" t="str">
        <x:v>B-52 partial</x:v>
      </x:c>
      <x:c r="G3" s="60" t="str">
        <x:v>CORE</x:v>
      </x:c>
      <x:c r="H3" s="60" t="str">
        <x:v>ACTIVE EARLY</x:v>
      </x:c>
      <x:c r="I3" s="60" t="str">
        <x:v>UKD 2.5 ml/L frequent-use early path; actual watering required.</x:v>
      </x:c>
      <x:c r="J3" s="60" t="str">
        <x:v>root</x:v>
      </x:c>
      <x:c r="K3" s="60" t="str">
        <x:v>W</x:v>
      </x:c>
      <x:c r="L3" s="60" t="str">
        <x:v>A-MFR</x:v>
      </x:c>
      <x:c r="M3" s="60" t="str">
        <x:v>https://hesi.nl/de/Wurzel-Complex</x:v>
      </x:c>
      <x:c r="N3" s="60" t="str">
        <x:v>hesi.root_complex</x:v>
      </x:c>
      <x:c r="O3" s="60" t="str">
        <x:v>available</x:v>
      </x:c>
      <x:c r="P3" s="60" t="str">
        <x:v>YES</x:v>
      </x:c>
      <x:c r="Q3" s="60" t="str">
        <x:v>NO</x:v>
      </x:c>
      <x:c r="R3" s="60" t="str">
        <x:v>Root Complex owned</x:v>
      </x:c>
    </x:row>
    <x:row r="4">
      <x:c r="A4" s="60" t="str">
        <x:v>SuperVit</x:v>
      </x:c>
      <x:c r="B4" s="60" t="str">
        <x:v>HESI</x:v>
      </x:c>
      <x:c r="C4" s="60" t="str">
        <x:v>Microdose biostim</x:v>
      </x:c>
      <x:c r="D4" s="60" t="str">
        <x:v>HESI internal compatible</x:v>
      </x:c>
      <x:c r="E4" s="60" t="str">
        <x:v>1 ml/65 L; every watering/spraying</x:v>
      </x:c>
      <x:c r="F4" s="60" t="str">
        <x:v>B-52 partial</x:v>
      </x:c>
      <x:c r="G4" s="60" t="str">
        <x:v>CORE</x:v>
      </x:c>
      <x:c r="H4" s="60" t="str">
        <x:v>ACTIVE</x:v>
      </x:c>
      <x:c r="I4" s="60" t="str">
        <x:v>0.015 ml/L visible; no forced watering.</x:v>
      </x:c>
      <x:c r="J4" s="60" t="str">
        <x:v>supervit</x:v>
      </x:c>
      <x:c r="K4" s="60" t="str">
        <x:v>Y</x:v>
      </x:c>
      <x:c r="L4" s="60" t="str">
        <x:v>A-MFR</x:v>
      </x:c>
      <x:c r="M4" s="60" t="str">
        <x:v>https://hesi.nl/de/SUPERVIT</x:v>
      </x:c>
      <x:c r="N4" s="60" t="str">
        <x:v>hesi.supervit</x:v>
      </x:c>
      <x:c r="O4" s="60" t="str">
        <x:v>available</x:v>
      </x:c>
      <x:c r="P4" s="60" t="str">
        <x:v>YES</x:v>
      </x:c>
      <x:c r="Q4" s="60" t="str">
        <x:v>NO</x:v>
      </x:c>
      <x:c r="R4" s="60" t="str">
        <x:v>SuperVit owned</x:v>
      </x:c>
    </x:row>
    <x:row r="5">
      <x:c r="A5" s="60" t="str">
        <x:v>PowerZyme</x:v>
      </x:c>
      <x:c r="B5" s="60" t="str">
        <x:v>HESI</x:v>
      </x:c>
      <x:c r="C5" s="60" t="str">
        <x:v>Enzyme/root-zone conditioner</x:v>
      </x:c>
      <x:c r="D5" s="60" t="str">
        <x:v>HESI internal compatible</x:v>
      </x:c>
      <x:c r="E5" s="60" t="str">
        <x:v>2 ml/L continuous</x:v>
      </x:c>
      <x:c r="F5" s="60" t="str">
        <x:v>Sensizym</x:v>
      </x:c>
      <x:c r="G5" s="60" t="str">
        <x:v>CORE/ALT</x:v>
      </x:c>
      <x:c r="H5" s="60" t="str">
        <x:v>ACTIVE</x:v>
      </x:c>
      <x:c r="I5" s="60" t="str">
        <x:v>Disabled if Sensizym selected.</x:v>
      </x:c>
      <x:c r="J5" s="60" t="str">
        <x:v>enzyme</x:v>
      </x:c>
      <x:c r="K5" s="60" t="str">
        <x:v>X</x:v>
      </x:c>
      <x:c r="L5" s="60" t="str">
        <x:v>A-MFR</x:v>
      </x:c>
      <x:c r="M5" s="60" t="str">
        <x:v>https://hesi.nl/de/PowerZyme</x:v>
      </x:c>
      <x:c r="N5" s="60" t="str">
        <x:v>hesi.powerzyme</x:v>
      </x:c>
      <x:c r="O5" s="60" t="str">
        <x:v>available</x:v>
      </x:c>
      <x:c r="P5" s="60" t="str">
        <x:v>YES</x:v>
      </x:c>
      <x:c r="Q5" s="60" t="str">
        <x:v>NO</x:v>
      </x:c>
      <x:c r="R5" s="60" t="str">
        <x:v>PowerZyme owned</x:v>
      </x:c>
    </x:row>
    <x:row r="6">
      <x:c r="A6" s="60" t="str">
        <x:v>HESI Boost</x:v>
      </x:c>
      <x:c r="B6" s="60" t="str">
        <x:v>HESI</x:v>
      </x:c>
      <x:c r="C6" s="60" t="str">
        <x:v>Carbo/biostim + low PK</x:v>
      </x:c>
      <x:c r="D6" s="60" t="str">
        <x:v>HESI internal compatible</x:v>
      </x:c>
      <x:c r="E6" s="60" t="str">
        <x:v>2 ml/L regular</x:v>
      </x:c>
      <x:c r="F6" s="60" t="str">
        <x:v>Bud Candy/Tasty partial</x:v>
      </x:c>
      <x:c r="G6" s="60" t="str">
        <x:v>CORE/ALT</x:v>
      </x:c>
      <x:c r="H6" s="60" t="str">
        <x:v>ACTIVE</x:v>
      </x:c>
      <x:c r="I6" s="60" t="str">
        <x:v>Disabled if Bud Candy selected.</x:v>
      </x:c>
      <x:c r="J6" s="60" t="str">
        <x:v>carbo</x:v>
      </x:c>
      <x:c r="K6" s="60" t="str">
        <x:v>AA</x:v>
      </x:c>
      <x:c r="L6" s="60" t="str">
        <x:v>A-MFR</x:v>
      </x:c>
      <x:c r="M6" s="60" t="str">
        <x:v>https://hesi.nl/de/Boost</x:v>
      </x:c>
      <x:c r="N6" s="60" t="str">
        <x:v>hesi.boost</x:v>
      </x:c>
      <x:c r="O6" s="60" t="str">
        <x:v>available</x:v>
      </x:c>
      <x:c r="P6" s="60" t="str">
        <x:v>YES</x:v>
      </x:c>
      <x:c r="Q6" s="60" t="str">
        <x:v>NO</x:v>
      </x:c>
      <x:c r="R6" s="60" t="str">
        <x:v>Boost preferred</x:v>
      </x:c>
    </x:row>
    <x:row r="7">
      <x:c r="A7" s="60" t="str">
        <x:v>PK 13/14</x:v>
      </x:c>
      <x:c r="B7" s="60" t="str">
        <x:v>HESI</x:v>
      </x:c>
      <x:c r="C7" s="60" t="str">
        <x:v>Late bloom PK</x:v>
      </x:c>
      <x:c r="D7" s="60" t="str">
        <x:v>HESI internal compatible</x:v>
      </x:c>
      <x:c r="E7" s="60" t="str">
        <x:v>0.25-1.5 ml/L; progressive second half</x:v>
      </x:c>
      <x:c r="F7" s="60" t="str">
        <x:v>Bud Ignitor/Big Bud/Overdrive</x:v>
      </x:c>
      <x:c r="G7" s="60" t="str">
        <x:v>CORE/ALT</x:v>
      </x:c>
      <x:c r="H7" s="60" t="str">
        <x:v>ACTIVE</x:v>
      </x:c>
      <x:c r="I7" s="60" t="str">
        <x:v>Disabled if AN PK path selected.</x:v>
      </x:c>
      <x:c r="J7" s="60" t="str">
        <x:v>pk</x:v>
      </x:c>
      <x:c r="K7" s="60" t="str">
        <x:v>AB</x:v>
      </x:c>
      <x:c r="L7" s="60" t="str">
        <x:v>A-MFR</x:v>
      </x:c>
      <x:c r="M7" s="60" t="str">
        <x:v>https://hesi.nl/de/PK-13-14</x:v>
      </x:c>
      <x:c r="N7" s="60" t="str">
        <x:v>hesi.pk1314</x:v>
      </x:c>
      <x:c r="O7" s="60" t="str">
        <x:v>available</x:v>
      </x:c>
      <x:c r="P7" s="60" t="str">
        <x:v>YES</x:v>
      </x:c>
      <x:c r="Q7" s="60" t="str">
        <x:v>NO</x:v>
      </x:c>
      <x:c r="R7" s="60" t="str">
        <x:v>PK13/14 preferred</x:v>
      </x:c>
    </x:row>
    <x:row r="8">
      <x:c r="A8" s="60" t="str">
        <x:v>Voodoo Juice</x:v>
      </x:c>
      <x:c r="B8" s="60" t="str">
        <x:v>Advanced Nutrients</x:v>
      </x:c>
      <x:c r="C8" s="60" t="str">
        <x:v>Bacterial root inoculant</x:v>
      </x:c>
      <x:c r="D8" s="60" t="str">
        <x:v>YES</x:v>
      </x:c>
      <x:c r="E8" s="60" t="str">
        <x:v>2 ml/L early grow/bloom</x:v>
      </x:c>
      <x:c r="F8" s="60" t="str">
        <x:v>microbiome redundancy</x:v>
      </x:c>
      <x:c r="G8" s="60" t="str">
        <x:v>COMPLEMENT</x:v>
      </x:c>
      <x:c r="H8" s="60" t="str">
        <x:v>ON</x:v>
      </x:c>
      <x:c r="I8" s="60" t="str">
        <x:v>Default AN complementary module; fresh defined windows.</x:v>
      </x:c>
      <x:c r="J8" s="60" t="str">
        <x:v>B46</x:v>
      </x:c>
      <x:c r="K8" s="60" t="str">
        <x:v>AC</x:v>
      </x:c>
      <x:c r="L8" s="60" t="str">
        <x:v>A-MFR</x:v>
      </x:c>
      <x:c r="M8" s="60" t="str">
        <x:v>https://www.advancednutrients.com/de/products/voodoo-juice/</x:v>
      </x:c>
      <x:c r="N8" s="60" t="str">
        <x:v>an.voodoo</x:v>
      </x:c>
      <x:c r="O8" s="60" t="str">
        <x:v>available</x:v>
      </x:c>
      <x:c r="P8" s="60" t="str">
        <x:v>YES</x:v>
      </x:c>
      <x:c r="Q8" s="60" t="str">
        <x:v>NO</x:v>
      </x:c>
      <x:c r="R8" s="60" t="str">
        <x:v>Voodoo selected</x:v>
      </x:c>
    </x:row>
    <x:row r="9">
      <x:c r="A9" s="60" t="str">
        <x:v>Piranha</x:v>
      </x:c>
      <x:c r="B9" s="60" t="str">
        <x:v>Advanced Nutrients</x:v>
      </x:c>
      <x:c r="C9" s="60" t="str">
        <x:v>Beneficial fungi</x:v>
      </x:c>
      <x:c r="D9" s="60" t="str">
        <x:v>YES</x:v>
      </x:c>
      <x:c r="E9" s="60" t="str">
        <x:v>2 ml/L G1-G2/B1-B2</x:v>
      </x:c>
      <x:c r="F9" s="60" t="str">
        <x:v>biological medium / microbe trio</x:v>
      </x:c>
      <x:c r="G9" s="60" t="str">
        <x:v>OPTIONAL A-B</x:v>
      </x:c>
      <x:c r="H9" s="60" t="str">
        <x:v>OFF</x:v>
      </x:c>
      <x:c r="I9" s="60" t="str">
        <x:v>Only with explicit trio module.</x:v>
      </x:c>
      <x:c r="J9" s="60" t="str">
        <x:v>B46</x:v>
      </x:c>
      <x:c r="K9" s="60" t="str">
        <x:v>AT</x:v>
      </x:c>
      <x:c r="L9" s="60" t="str">
        <x:v>A-MFR</x:v>
      </x:c>
      <x:c r="M9" s="60" t="str">
        <x:v>https://www.advancednutrients.com/de/products/piranha/</x:v>
      </x:c>
      <x:c r="N9" s="60" t="str">
        <x:v>an.piranha</x:v>
      </x:c>
      <x:c r="O9" s="60" t="str">
        <x:v>not available</x:v>
      </x:c>
      <x:c r="P9" s="60" t="str">
        <x:v>NO</x:v>
      </x:c>
      <x:c r="Q9" s="60" t="str">
        <x:v>NO</x:v>
      </x:c>
      <x:c r="R9" s="60" t="str">
        <x:v>Piranha not needed for current pair</x:v>
      </x:c>
    </x:row>
    <x:row r="10">
      <x:c r="A10" s="60" t="str">
        <x:v>Tarantula</x:v>
      </x:c>
      <x:c r="B10" s="60" t="str">
        <x:v>Advanced Nutrients</x:v>
      </x:c>
      <x:c r="C10" s="60" t="str">
        <x:v>Beneficial bacteria</x:v>
      </x:c>
      <x:c r="D10" s="60" t="str">
        <x:v>YES</x:v>
      </x:c>
      <x:c r="E10" s="60" t="str">
        <x:v>2 ml/L G1-G2/B1-B2</x:v>
      </x:c>
      <x:c r="F10" s="60" t="str">
        <x:v>Voodoo/microbiome redundancy</x:v>
      </x:c>
      <x:c r="G10" s="60" t="str">
        <x:v>COMPLEMENT</x:v>
      </x:c>
      <x:c r="H10" s="60" t="str">
        <x:v>ON</x:v>
      </x:c>
      <x:c r="I10" s="60" t="str">
        <x:v>Selected with Voodoo; same conservative fresh UKD windows.</x:v>
      </x:c>
      <x:c r="J10" s="60" t="str">
        <x:v>B46</x:v>
      </x:c>
      <x:c r="K10" s="60" t="str">
        <x:v>AU</x:v>
      </x:c>
      <x:c r="L10" s="60" t="str">
        <x:v>A-MFR</x:v>
      </x:c>
      <x:c r="M10" s="60" t="str">
        <x:v>https://www.advancednutrients.com/de/products/tarantula/</x:v>
      </x:c>
      <x:c r="N10" s="60" t="str">
        <x:v>an.tarantula</x:v>
      </x:c>
      <x:c r="O10" s="60" t="str">
        <x:v>available</x:v>
      </x:c>
      <x:c r="P10" s="60" t="str">
        <x:v>YES</x:v>
      </x:c>
      <x:c r="Q10" s="60" t="str">
        <x:v>NO</x:v>
      </x:c>
      <x:c r="R10" s="60" t="str">
        <x:v>Tarantula selected with Voodoo</x:v>
      </x:c>
    </x:row>
    <x:row r="11">
      <x:c r="A11" s="60" t="str">
        <x:v>B-52</x:v>
      </x:c>
      <x:c r="B11" s="60" t="str">
        <x:v>Advanced Nutrients</x:v>
      </x:c>
      <x:c r="C11" s="60" t="str">
        <x:v>B vitamins/kelp/humic</x:v>
      </x:c>
      <x:c r="D11" s="60" t="str">
        <x:v>YES</x:v>
      </x:c>
      <x:c r="E11" s="60" t="str">
        <x:v>2 ml/L label windows</x:v>
      </x:c>
      <x:c r="F11" s="60" t="str">
        <x:v>Root Complex/SuperVit</x:v>
      </x:c>
      <x:c r="G11" s="60" t="str">
        <x:v>EXPERIMENTAL A-B</x:v>
      </x:c>
      <x:c r="H11" s="60" t="str">
        <x:v>OFF</x:v>
      </x:c>
      <x:c r="I11" s="60" t="str">
        <x:v>Do not make default stack; isolate test.</x:v>
      </x:c>
      <x:c r="J11" s="60" t="str">
        <x:v>B47</x:v>
      </x:c>
      <x:c r="K11" s="60" t="str">
        <x:v>AV</x:v>
      </x:c>
      <x:c r="L11" s="60" t="str">
        <x:v>A-MFR</x:v>
      </x:c>
      <x:c r="M11" s="60" t="str">
        <x:v>https://www.advancednutrients.com/de/products/b-52/</x:v>
      </x:c>
      <x:c r="N11" s="60" t="str">
        <x:v>an.b52</x:v>
      </x:c>
      <x:c r="O11" s="60" t="str">
        <x:v>not available</x:v>
      </x:c>
      <x:c r="P11" s="60" t="str">
        <x:v>NO</x:v>
      </x:c>
      <x:c r="Q11" s="60" t="str">
        <x:v>NO</x:v>
      </x:c>
      <x:c r="R11" s="60" t="str">
        <x:v>B-52 unnecessary purchase</x:v>
      </x:c>
    </x:row>
    <x:row r="12">
      <x:c r="A12" s="60" t="str">
        <x:v>Bud Candy</x:v>
      </x:c>
      <x:c r="B12" s="60" t="str">
        <x:v>Advanced Nutrients</x:v>
      </x:c>
      <x:c r="C12" s="60" t="str">
        <x:v>Carbohydrate + Mg</x:v>
      </x:c>
      <x:c r="D12" s="60" t="str">
        <x:v>YES</x:v>
      </x:c>
      <x:c r="E12" s="60" t="str">
        <x:v>2 ml/L</x:v>
      </x:c>
      <x:c r="F12" s="60" t="str">
        <x:v>HESI Boost</x:v>
      </x:c>
      <x:c r="G12" s="60" t="str">
        <x:v>ALTERNATIVE</x:v>
      </x:c>
      <x:c r="H12" s="60" t="str">
        <x:v>OFF</x:v>
      </x:c>
      <x:c r="I12" s="60" t="str">
        <x:v>Replaces HESI Boost when selected.</x:v>
      </x:c>
      <x:c r="J12" s="60" t="str">
        <x:v>B48</x:v>
      </x:c>
      <x:c r="K12" s="60" t="str">
        <x:v>AW</x:v>
      </x:c>
      <x:c r="L12" s="60" t="str">
        <x:v>A-MFR</x:v>
      </x:c>
      <x:c r="M12" s="60" t="str">
        <x:v>https://www.advancednutrients.com/de/products/bud-candy/</x:v>
      </x:c>
      <x:c r="N12" s="60" t="str">
        <x:v>an.bud_candy</x:v>
      </x:c>
      <x:c r="O12" s="60" t="str">
        <x:v>not available</x:v>
      </x:c>
      <x:c r="P12" s="60" t="str">
        <x:v>NO</x:v>
      </x:c>
      <x:c r="Q12" s="60" t="str">
        <x:v>NO</x:v>
      </x:c>
      <x:c r="R12" s="60" t="str">
        <x:v>Bud Candy unnecessary; Boost owned</x:v>
      </x:c>
    </x:row>
    <x:row r="13">
      <x:c r="A13" s="60" t="str">
        <x:v>Bud Factor X</x:v>
      </x:c>
      <x:c r="B13" s="60" t="str">
        <x:v>Advanced Nutrients</x:v>
      </x:c>
      <x:c r="C13" s="60" t="str">
        <x:v>Biostimulant/potency claim</x:v>
      </x:c>
      <x:c r="D13" s="60" t="str">
        <x:v>YES</x:v>
      </x:c>
      <x:c r="E13" s="60" t="str">
        <x:v>2 ml/L</x:v>
      </x:c>
      <x:c r="F13" s="60" t="str">
        <x:v>general biostim</x:v>
      </x:c>
      <x:c r="G13" s="60" t="str">
        <x:v>EXPERIMENTAL</x:v>
      </x:c>
      <x:c r="H13" s="60" t="str">
        <x:v>OFF</x:v>
      </x:c>
      <x:c r="I13" s="60" t="str">
        <x:v>Manufacturer-compatible; benefit in this hybrid not independently established.</x:v>
      </x:c>
      <x:c r="J13" s="60" t="str">
        <x:v>B49</x:v>
      </x:c>
      <x:c r="K13" s="60" t="str">
        <x:v>AX</x:v>
      </x:c>
      <x:c r="L13" s="60" t="str">
        <x:v>A-MFR</x:v>
      </x:c>
      <x:c r="M13" s="60" t="str">
        <x:v>https://www.advancednutrients.com/products/bud-factor-x/</x:v>
      </x:c>
      <x:c r="N13" s="60" t="str">
        <x:v>an.bud_factor_x</x:v>
      </x:c>
      <x:c r="O13" s="60" t="str">
        <x:v>not available</x:v>
      </x:c>
      <x:c r="P13" s="60" t="str">
        <x:v>NO</x:v>
      </x:c>
      <x:c r="Q13" s="60" t="str">
        <x:v>NO</x:v>
      </x:c>
      <x:c r="R13" s="60" t="str">
        <x:v>Bud Factor X not needed</x:v>
      </x:c>
    </x:row>
    <x:row r="14">
      <x:c r="A14" s="60" t="str">
        <x:v>Sensizym</x:v>
      </x:c>
      <x:c r="B14" s="60" t="str">
        <x:v>Advanced Nutrients</x:v>
      </x:c>
      <x:c r="C14" s="60" t="str">
        <x:v>Enzyme/root-zone conditioner</x:v>
      </x:c>
      <x:c r="D14" s="60" t="str">
        <x:v>YES</x:v>
      </x:c>
      <x:c r="E14" s="60" t="str">
        <x:v>2 ml/L</x:v>
      </x:c>
      <x:c r="F14" s="60" t="str">
        <x:v>PowerZyme</x:v>
      </x:c>
      <x:c r="G14" s="60" t="str">
        <x:v>ALTERNATIVE</x:v>
      </x:c>
      <x:c r="H14" s="60" t="str">
        <x:v>OFF</x:v>
      </x:c>
      <x:c r="I14" s="60" t="str">
        <x:v>Replaces PowerZyme.</x:v>
      </x:c>
      <x:c r="J14" s="60" t="str">
        <x:v>B50</x:v>
      </x:c>
      <x:c r="K14" s="60" t="str">
        <x:v>AY</x:v>
      </x:c>
      <x:c r="L14" s="60" t="str">
        <x:v>A-MFR</x:v>
      </x:c>
      <x:c r="M14" s="60" t="str">
        <x:v>https://www.advancednutrients.com/de/products/sensizym/</x:v>
      </x:c>
      <x:c r="N14" s="60" t="str">
        <x:v>an.sensizym</x:v>
      </x:c>
      <x:c r="O14" s="60" t="str">
        <x:v>not available</x:v>
      </x:c>
      <x:c r="P14" s="60" t="str">
        <x:v>NO</x:v>
      </x:c>
      <x:c r="Q14" s="60" t="str">
        <x:v>NO</x:v>
      </x:c>
      <x:c r="R14" s="60" t="str">
        <x:v>Sensizym unnecessary; PowerZyme owned</x:v>
      </x:c>
    </x:row>
    <x:row r="15">
      <x:c r="A15" s="60" t="str">
        <x:v>Rhino Skin</x:v>
      </x:c>
      <x:c r="B15" s="60" t="str">
        <x:v>Advanced Nutrients</x:v>
      </x:c>
      <x:c r="C15" s="60" t="str">
        <x:v>Potassium silicate</x:v>
      </x:c>
      <x:c r="D15" s="60" t="str">
        <x:v>YES</x:v>
      </x:c>
      <x:c r="E15" s="60" t="str">
        <x:v>2 ml/L</x:v>
      </x:c>
      <x:c r="F15" s="60" t="str">
        <x:v>Athena Balance/Hesilicio</x:v>
      </x:c>
      <x:c r="G15" s="60" t="str">
        <x:v>ALTERNATIVE</x:v>
      </x:c>
      <x:c r="H15" s="60" t="str">
        <x:v>OFF</x:v>
      </x:c>
      <x:c r="I15" s="60" t="str">
        <x:v>Single Si path only.</x:v>
      </x:c>
      <x:c r="J15" s="60" t="str">
        <x:v>B51</x:v>
      </x:c>
      <x:c r="K15" s="60" t="str">
        <x:v>AZ</x:v>
      </x:c>
      <x:c r="L15" s="60" t="str">
        <x:v>A-MFR</x:v>
      </x:c>
      <x:c r="M15" s="60" t="str">
        <x:v>https://www.advancednutrients.com/de/products/rhino-skin/</x:v>
      </x:c>
      <x:c r="N15" s="60" t="str">
        <x:v>an.rhino_skin</x:v>
      </x:c>
      <x:c r="O15" s="60" t="str">
        <x:v>not available</x:v>
      </x:c>
      <x:c r="P15" s="60" t="str">
        <x:v>NO</x:v>
      </x:c>
      <x:c r="Q15" s="60" t="str">
        <x:v>NO</x:v>
      </x:c>
      <x:c r="R15" s="60" t="str">
        <x:v>Rhino unnecessary; Athena owned</x:v>
      </x:c>
    </x:row>
    <x:row r="16">
      <x:c r="A16" s="60" t="str">
        <x:v>Bud Ignitor</x:v>
      </x:c>
      <x:c r="B16" s="60" t="str">
        <x:v>Advanced Nutrients</x:v>
      </x:c>
      <x:c r="C16" s="60" t="str">
        <x:v>Early bloom PK + kelp</x:v>
      </x:c>
      <x:c r="D16" s="60" t="str">
        <x:v>YES</x:v>
      </x:c>
      <x:c r="E16" s="60" t="str">
        <x:v>2 ml/L B1-B2</x:v>
      </x:c>
      <x:c r="F16" s="60" t="str">
        <x:v>HESI PK</x:v>
      </x:c>
      <x:c r="G16" s="60" t="str">
        <x:v>ALTERNATIVE PK</x:v>
      </x:c>
      <x:c r="H16" s="60" t="str">
        <x:v>OFF</x:v>
      </x:c>
      <x:c r="I16" s="60" t="str">
        <x:v>Part of AN PK replacement sequence.</x:v>
      </x:c>
      <x:c r="J16" s="60" t="str">
        <x:v>B52</x:v>
      </x:c>
      <x:c r="K16" s="60" t="str">
        <x:v>BA</x:v>
      </x:c>
      <x:c r="L16" s="60" t="str">
        <x:v>A-MFR</x:v>
      </x:c>
      <x:c r="M16" s="60" t="str">
        <x:v>https://www.advancednutrients.com/de/products/bud-ignitor/</x:v>
      </x:c>
      <x:c r="N16" s="60" t="str">
        <x:v>an.bud_ignitor</x:v>
      </x:c>
      <x:c r="O16" s="60" t="str">
        <x:v>not available</x:v>
      </x:c>
      <x:c r="P16" s="60" t="str">
        <x:v>NO</x:v>
      </x:c>
      <x:c r="Q16" s="60" t="str">
        <x:v>NO</x:v>
      </x:c>
      <x:c r="R16" s="60" t="str">
        <x:v>Bud Ignitor unnecessary; HESI PK path</x:v>
      </x:c>
    </x:row>
    <x:row r="17">
      <x:c r="A17" s="60" t="str">
        <x:v>Big Bud</x:v>
      </x:c>
      <x:c r="B17" s="60" t="str">
        <x:v>Advanced Nutrients</x:v>
      </x:c>
      <x:c r="C17" s="60" t="str">
        <x:v>Mid bloom PK</x:v>
      </x:c>
      <x:c r="D17" s="60" t="str">
        <x:v>YES</x:v>
      </x:c>
      <x:c r="E17" s="60" t="str">
        <x:v>2 ml/L B2-B5</x:v>
      </x:c>
      <x:c r="F17" s="60" t="str">
        <x:v>HESI PK</x:v>
      </x:c>
      <x:c r="G17" s="60" t="str">
        <x:v>ALTERNATIVE PK</x:v>
      </x:c>
      <x:c r="H17" s="60" t="str">
        <x:v>OFF</x:v>
      </x:c>
      <x:c r="I17" s="60" t="str">
        <x:v>Part of AN PK replacement sequence.</x:v>
      </x:c>
      <x:c r="J17" s="60" t="str">
        <x:v>B52</x:v>
      </x:c>
      <x:c r="K17" s="60" t="str">
        <x:v>BB</x:v>
      </x:c>
      <x:c r="L17" s="60" t="str">
        <x:v>A-MFR</x:v>
      </x:c>
      <x:c r="M17" s="60" t="str">
        <x:v>https://www.advancednutrients.com/de/products/big-bud/</x:v>
      </x:c>
      <x:c r="N17" s="60" t="str">
        <x:v>an.big_bud</x:v>
      </x:c>
      <x:c r="O17" s="60" t="str">
        <x:v>not available</x:v>
      </x:c>
      <x:c r="P17" s="60" t="str">
        <x:v>NO</x:v>
      </x:c>
      <x:c r="Q17" s="60" t="str">
        <x:v>NO</x:v>
      </x:c>
      <x:c r="R17" s="60" t="str">
        <x:v>Big Bud unnecessary; HESI PK path</x:v>
      </x:c>
    </x:row>
    <x:row r="18">
      <x:c r="A18" s="60" t="str">
        <x:v>Overdrive</x:v>
      </x:c>
      <x:c r="B18" s="60" t="str">
        <x:v>Advanced Nutrients</x:v>
      </x:c>
      <x:c r="C18" s="60" t="str">
        <x:v>Late bloom PK/Mg</x:v>
      </x:c>
      <x:c r="D18" s="60" t="str">
        <x:v>YES</x:v>
      </x:c>
      <x:c r="E18" s="60" t="str">
        <x:v>2 ml/L B6-B7</x:v>
      </x:c>
      <x:c r="F18" s="60" t="str">
        <x:v>HESI PK</x:v>
      </x:c>
      <x:c r="G18" s="60" t="str">
        <x:v>ALTERNATIVE PK</x:v>
      </x:c>
      <x:c r="H18" s="60" t="str">
        <x:v>OFF</x:v>
      </x:c>
      <x:c r="I18" s="60" t="str">
        <x:v>Part of AN PK replacement sequence.</x:v>
      </x:c>
      <x:c r="J18" s="60" t="str">
        <x:v>B52</x:v>
      </x:c>
      <x:c r="K18" s="60" t="str">
        <x:v>BC</x:v>
      </x:c>
      <x:c r="L18" s="60" t="str">
        <x:v>A-MFR</x:v>
      </x:c>
      <x:c r="M18" s="60" t="str">
        <x:v>https://www.advancednutrients.com/de/products/overdrive/</x:v>
      </x:c>
      <x:c r="N18" s="60" t="str">
        <x:v>an.overdrive</x:v>
      </x:c>
      <x:c r="O18" s="60" t="str">
        <x:v>not available</x:v>
      </x:c>
      <x:c r="P18" s="60" t="str">
        <x:v>NO</x:v>
      </x:c>
      <x:c r="Q18" s="60" t="str">
        <x:v>NO</x:v>
      </x:c>
      <x:c r="R18" s="60" t="str">
        <x:v>Overdrive unnecessary; HESI PK path</x:v>
      </x:c>
    </x:row>
    <x:row r="19">
      <x:c r="A19" s="60" t="str">
        <x:v>Tasty Terpenes</x:v>
      </x:c>
      <x:c r="B19" s="60" t="str">
        <x:v>Advanced Nutrients</x:v>
      </x:c>
      <x:c r="C19" s="60" t="str">
        <x:v>K/kelp/alfalfa biostim</x:v>
      </x:c>
      <x:c r="D19" s="60" t="str">
        <x:v>YES</x:v>
      </x:c>
      <x:c r="E19" s="60" t="str">
        <x:v>2 ml/L; current successor to Nirvana</x:v>
      </x:c>
      <x:c r="F19" s="60" t="str">
        <x:v>Boost/B-52/PK partial</x:v>
      </x:c>
      <x:c r="G19" s="60" t="str">
        <x:v>EXPERIMENTAL / OWNED</x:v>
      </x:c>
      <x:c r="H19" s="60" t="str">
        <x:v>OFF</x:v>
      </x:c>
      <x:c r="I19" s="60" t="str">
        <x:v>Owned but not scheduled; future A/B only.</x:v>
      </x:c>
      <x:c r="J19" s="60" t="str">
        <x:v>B53</x:v>
      </x:c>
      <x:c r="K19" s="60" t="str">
        <x:v>BD</x:v>
      </x:c>
      <x:c r="L19" s="60" t="str">
        <x:v>A-MFR</x:v>
      </x:c>
      <x:c r="M19" s="60" t="str">
        <x:v>https://www.advancednutrients.com/de/products/tasty-terpenes/</x:v>
      </x:c>
      <x:c r="N19" s="60" t="str">
        <x:v>an.tasty_terpenes</x:v>
      </x:c>
      <x:c r="O19" s="60" t="str">
        <x:v>available</x:v>
      </x:c>
      <x:c r="P19" s="60" t="str">
        <x:v>NO / A-B</x:v>
      </x:c>
      <x:c r="Q19" s="60" t="str">
        <x:v>NO</x:v>
      </x:c>
      <x:c r="R19" s="60" t="str">
        <x:v>Tasty Terpenes owned; reserve for future A/B</x:v>
      </x:c>
    </x:row>
    <x:row r="20">
      <x:c r="A20" s="60" t="str">
        <x:v>Sensi Cal Mag Xtra</x:v>
      </x:c>
      <x:c r="B20" s="60" t="str">
        <x:v>Advanced Nutrients</x:v>
      </x:c>
      <x:c r="C20" s="60" t="str">
        <x:v>Ca/Mg/Fe + kelp</x:v>
      </x:c>
      <x:c r="D20" s="60" t="str">
        <x:v>YES</x:v>
      </x:c>
      <x:c r="E20" s="60" t="str">
        <x:v>2 ml/L conditional</x:v>
      </x:c>
      <x:c r="F20" s="60" t="str">
        <x:v>HESI CalMag/water chemistry</x:v>
      </x:c>
      <x:c r="G20" s="60" t="str">
        <x:v>CONDITIONAL ALT</x:v>
      </x:c>
      <x:c r="H20" s="60" t="str">
        <x:v>OFF / DOSE 0</x:v>
      </x:c>
      <x:c r="I20" s="60" t="str">
        <x:v>Selected CalMag source, but only if explicit CalMag Plan &gt;0 after diagnostic/water gate.</x:v>
      </x:c>
      <x:c r="J20" s="60" t="str">
        <x:v>B54</x:v>
      </x:c>
      <x:c r="K20" s="60" t="str">
        <x:v>BE</x:v>
      </x:c>
      <x:c r="L20" s="60" t="str">
        <x:v>A-MFR</x:v>
      </x:c>
      <x:c r="M20" s="60" t="str">
        <x:v>https://www.advancednutrients.com/de/products/sensi-cal-mag-xtra/</x:v>
      </x:c>
      <x:c r="N20" s="60" t="str">
        <x:v>an.sensi_cal_mag_xtra</x:v>
      </x:c>
      <x:c r="O20" s="60" t="str">
        <x:v>available</x:v>
      </x:c>
      <x:c r="P20" s="60" t="str">
        <x:v>CONDITIONAL</x:v>
      </x:c>
      <x:c r="Q20" s="60" t="str">
        <x:v>NO</x:v>
      </x:c>
      <x:c r="R20" s="60" t="str">
        <x:v>Sensi CalMag Xtra owned; dose 0 by default</x:v>
      </x:c>
    </x:row>
    <x:row r="21">
      <x:c r="A21" s="60" t="str">
        <x:v>Revive</x:v>
      </x:c>
      <x:c r="B21" s="60" t="str">
        <x:v>Advanced Nutrients</x:v>
      </x:c>
      <x:c r="C21" s="60" t="str">
        <x:v>Plant aid/rescue</x:v>
      </x:c>
      <x:c r="D21" s="60" t="str">
        <x:v>YES</x:v>
      </x:c>
      <x:c r="E21" s="60" t="str">
        <x:v>5 ml/L deficiency; 1 ml/L regular label</x:v>
      </x:c>
      <x:c r="F21" s="60" t="str">
        <x:v>CalMag/Fe/N and diagnosis</x:v>
      </x:c>
      <x:c r="G21" s="60" t="str">
        <x:v>DIAGNOSTIC ONLY</x:v>
      </x:c>
      <x:c r="H21" s="60" t="str">
        <x:v>OFF</x:v>
      </x:c>
      <x:c r="I21" s="60" t="str">
        <x:v>No calendar dose. Must be tied to diagnosed incident.</x:v>
      </x:c>
      <x:c r="J21" s="60" t="str">
        <x:v>B55</x:v>
      </x:c>
      <x:c r="K21" s="60" t="str">
        <x:v>BF</x:v>
      </x:c>
      <x:c r="L21" s="60" t="str">
        <x:v>A-MFR</x:v>
      </x:c>
      <x:c r="M21" s="60" t="str">
        <x:v>https://www.advancednutrients.com/de/products/revive/</x:v>
      </x:c>
      <x:c r="N21" s="60" t="str">
        <x:v>an.revive</x:v>
      </x:c>
      <x:c r="O21" s="60" t="str">
        <x:v>not available</x:v>
      </x:c>
      <x:c r="P21" s="60" t="str">
        <x:v>NO</x:v>
      </x:c>
      <x:c r="Q21" s="60" t="str">
        <x:v>NO</x:v>
      </x:c>
      <x:c r="R21" s="60" t="str">
        <x:v>Revive not needed</x:v>
      </x:c>
    </x:row>
    <x:row r="22">
      <x:c r="A22" s="60" t="str">
        <x:v>Flawless Finish</x:v>
      </x:c>
      <x:c r="B22" s="60" t="str">
        <x:v>Advanced Nutrients</x:v>
      </x:c>
      <x:c r="C22" s="60" t="str">
        <x:v>Finish/flush</x:v>
      </x:c>
      <x:c r="D22" s="60" t="str">
        <x:v>YES</x:v>
      </x:c>
      <x:c r="E22" s="60" t="str">
        <x:v>2 ml/L flush</x:v>
      </x:c>
      <x:c r="F22" s="60" t="str">
        <x:v>HESI pure-water finish / evidence conflict</x:v>
      </x:c>
      <x:c r="G22" s="60" t="str">
        <x:v>NOT REFERENCE</x:v>
      </x:c>
      <x:c r="H22" s="60" t="str">
        <x:v>OFF</x:v>
      </x:c>
      <x:c r="I22" s="60" t="str">
        <x:v>Do not auto-enable.</x:v>
      </x:c>
      <x:c r="J22" s="60" t="str">
        <x:v>none</x:v>
      </x:c>
      <x:c r="K22" s="60" t="str">
        <x:v>none</x:v>
      </x:c>
      <x:c r="L22" s="60" t="str">
        <x:v>A-MFR + A-PRIM</x:v>
      </x:c>
      <x:c r="M22" s="60" t="str">
        <x:v>https://www.advancednutrients.com/de/products/flawless-finish/</x:v>
      </x:c>
      <x:c r="N22" s="60" t="str">
        <x:v>an.flawless_finish</x:v>
      </x:c>
      <x:c r="O22" s="60" t="str">
        <x:v>not available</x:v>
      </x:c>
      <x:c r="P22" s="60" t="str">
        <x:v>NO</x:v>
      </x:c>
      <x:c r="Q22" s="60" t="str">
        <x:v>NO</x:v>
      </x:c>
      <x:c r="R22" s="60" t="str">
        <x:v>Flawless Finish not needed</x:v>
      </x:c>
    </x:row>
    <x:row r="23">
      <x:c r="A23" s="60" t="str">
        <x:v>Voodoo Juice Plus</x:v>
      </x:c>
      <x:c r="B23" s="60" t="str">
        <x:v>Advanced Nutrients</x:v>
      </x:c>
      <x:c r="C23" s="60" t="str">
        <x:v>Combined microbe tablet</x:v>
      </x:c>
      <x:c r="D23" s="60" t="str">
        <x:v>YES</x:v>
      </x:c>
      <x:c r="E23" s="60" t="str">
        <x:v>tablet format; manufacturer combines Voodoo/Piranha/Tarantula strains</x:v>
      </x:c>
      <x:c r="F23" s="60" t="str">
        <x:v>liquid trio</x:v>
      </x:c>
      <x:c r="G23" s="60" t="str">
        <x:v>ALTERNATIVE FORMAT</x:v>
      </x:c>
      <x:c r="H23" s="60" t="str">
        <x:v>OFF</x:v>
      </x:c>
      <x:c r="I23" s="60" t="str">
        <x:v>Alternative to trio, never stack with trio; not numerically modeled.</x:v>
      </x:c>
      <x:c r="J23" s="60" t="str">
        <x:v>none</x:v>
      </x:c>
      <x:c r="K23" s="60" t="str">
        <x:v>none</x:v>
      </x:c>
      <x:c r="L23" s="60" t="str">
        <x:v>A-MFR</x:v>
      </x:c>
      <x:c r="M23" s="60" t="str">
        <x:v>https://www.advancednutrients.com/de/products/voodoo-juice-plus/</x:v>
      </x:c>
      <x:c r="N23" s="60" t="str">
        <x:v>an.voodoo_plus</x:v>
      </x:c>
      <x:c r="O23" s="60" t="str">
        <x:v>not available</x:v>
      </x:c>
      <x:c r="P23" s="60" t="str">
        <x:v>NO</x:v>
      </x:c>
      <x:c r="Q23" s="60" t="str">
        <x:v>NO</x:v>
      </x:c>
      <x:c r="R23" s="60" t="str">
        <x:v>Voodoo Plus not needed</x:v>
      </x:c>
    </x:row>
    <x:row r="24">
      <x:c r="A24" s="60" t="str">
        <x:v>CarboLoad</x:v>
      </x:c>
      <x:c r="B24" s="60" t="str">
        <x:v>Advanced Nutrients</x:v>
      </x:c>
      <x:c r="C24" s="60" t="str">
        <x:v>Carbohydrate/microbe feed</x:v>
      </x:c>
      <x:c r="D24" s="60" t="str">
        <x:v>YES</x:v>
      </x:c>
      <x:c r="E24" s="60" t="str">
        <x:v>2 ml/L</x:v>
      </x:c>
      <x:c r="F24" s="60" t="str">
        <x:v>HESI Boost/Bud Candy</x:v>
      </x:c>
      <x:c r="G24" s="60" t="str">
        <x:v>REJECT FOR CURRENT PRESET</x:v>
      </x:c>
      <x:c r="H24" s="60" t="str">
        <x:v>OFF</x:v>
      </x:c>
      <x:c r="I24" s="60" t="str">
        <x:v>Tiny remainder does not justify a third carbohydrate path; no repurchase now.</x:v>
      </x:c>
      <x:c r="J24" s="60" t="str">
        <x:v>none</x:v>
      </x:c>
      <x:c r="K24" s="60" t="str">
        <x:v>none</x:v>
      </x:c>
      <x:c r="L24" s="60" t="str">
        <x:v>A-MFR</x:v>
      </x:c>
      <x:c r="M24" s="60" t="str">
        <x:v>https://www.advancednutrients.com/de/secret-menu/carboload/</x:v>
      </x:c>
      <x:c r="N24" s="60" t="str">
        <x:v>an.carboload</x:v>
      </x:c>
      <x:c r="O24" s="60" t="str">
        <x:v>tiny remainder</x:v>
      </x:c>
      <x:c r="P24" s="60" t="str">
        <x:v>NO</x:v>
      </x:c>
      <x:c r="Q24" s="60" t="str">
        <x:v>NO</x:v>
      </x:c>
      <x:c r="R24" s="60" t="str">
        <x:v>CarboLoad: do not repurchase while HESI Boost selected</x:v>
      </x:c>
    </x:row>
    <x:row r="25">
      <x:c r="A25" s="60" t="str">
        <x:v>Ancient Earth</x:v>
      </x:c>
      <x:c r="B25" s="60" t="str">
        <x:v>Advanced Nutrients</x:v>
      </x:c>
      <x:c r="C25" s="60" t="str">
        <x:v>Humic acids / medium conditioner</x:v>
      </x:c>
      <x:c r="D25" s="60" t="str">
        <x:v>YES</x:v>
      </x:c>
      <x:c r="E25" s="60" t="str">
        <x:v>2 ml/L</x:v>
      </x:c>
      <x:c r="F25" s="60" t="str">
        <x:v>B-52/root-zone biostim</x:v>
      </x:c>
      <x:c r="G25" s="60" t="str">
        <x:v>STUDY ONLY</x:v>
      </x:c>
      <x:c r="H25" s="60" t="str">
        <x:v>OFF</x:v>
      </x:c>
      <x:c r="I25" s="60" t="str">
        <x:v>No need in default mineral coco hybrid; extra variable.</x:v>
      </x:c>
      <x:c r="J25" s="60" t="str">
        <x:v>none</x:v>
      </x:c>
      <x:c r="K25" s="60" t="str">
        <x:v>none</x:v>
      </x:c>
      <x:c r="L25" s="60" t="str">
        <x:v>A-MFR</x:v>
      </x:c>
      <x:c r="M25" s="60" t="str">
        <x:v>https://www.advancednutrients.com/de/products/og-organics-ancient-earth/</x:v>
      </x:c>
      <x:c r="N25" s="60" t="str">
        <x:v>an.ancient_earth</x:v>
      </x:c>
      <x:c r="O25" s="60" t="str">
        <x:v>not available</x:v>
      </x:c>
      <x:c r="P25" s="60" t="str">
        <x:v>NO</x:v>
      </x:c>
      <x:c r="Q25" s="60" t="str">
        <x:v>NO</x:v>
      </x:c>
      <x:c r="R25" s="60" t="str">
        <x:v>Ancient Earth not needed</x:v>
      </x:c>
    </x:row>
  </x:sheetData>
  <x:pageMargins left="0.7" right="0.7" top="0.75" bottom="0.75" header="0.3" footer="0.3"/>
</x:worksheet>
</file>

<file path=xl/worksheets/sheet29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8" hidden="0" customWidth="1"/>
    <x:col min="3" max="3" width="20" hidden="0" customWidth="1"/>
    <x:col min="4" max="4" width="16" hidden="0" customWidth="1"/>
    <x:col min="5" max="5" width="24" hidden="0" customWidth="1"/>
    <x:col min="6" max="6" width="20" hidden="0" customWidth="1"/>
    <x:col min="7" max="7" width="22" hidden="0" customWidth="1"/>
    <x:col min="8" max="8" width="32" hidden="0" customWidth="1"/>
    <x:col min="9" max="9" width="12" hidden="0" customWidth="1"/>
    <x:col min="10" max="10" width="40" hidden="0" customWidth="1"/>
    <x:col min="11" max="11" width="18" hidden="0" customWidth="1"/>
    <x:col min="12" max="12" width="28" hidden="0" customWidth="1"/>
    <x:col min="13" max="13" width="20" hidden="0" customWidth="1"/>
    <x:col min="14" max="14" width="18" hidden="0" customWidth="1"/>
    <x:col min="15" max="15" width="18" hidden="0" customWidth="1"/>
    <x:col min="16" max="16" width="22" hidden="0" customWidth="1"/>
  </x:cols>
  <x:sheetData>
    <x:row r="1">
      <x:c r="A1" s="1801" t="str">
        <x:v>Product</x:v>
      </x:c>
      <x:c r="B1" s="1801" t="str">
        <x:v>Vendor</x:v>
      </x:c>
      <x:c r="C1" s="1801" t="str">
        <x:v>Observed / user-stated</x:v>
      </x:c>
      <x:c r="D1" s="1801" t="str">
        <x:v>Stock state</x:v>
      </x:c>
      <x:c r="E1" s="1801" t="str">
        <x:v>Role</x:v>
      </x:c>
      <x:c r="F1" s="1801" t="str">
        <x:v>v8 plan state</x:v>
      </x:c>
      <x:c r="G1" s="1801" t="str">
        <x:v>Dose source</x:v>
      </x:c>
      <x:c r="H1" s="1801" t="str">
        <x:v>Current dose behavior</x:v>
      </x:c>
      <x:c r="I1" s="1801" t="str">
        <x:v>Repurchase?</x:v>
      </x:c>
      <x:c r="J1" s="1801" t="str">
        <x:v>Reason</x:v>
      </x:c>
      <x:c r="K1" s="1801" t="str">
        <x:v>Evidence</x:v>
      </x:c>
      <x:c r="L1" s="1801" t="str">
        <x:v>App key</x:v>
      </x:c>
      <x:c r="M1" s="2348" t="str">
        <x:v>Quantity remaining</x:v>
      </x:c>
      <x:c r="N1" s="2348" t="str">
        <x:v>Lot / batch</x:v>
      </x:c>
      <x:c r="O1" s="2348" t="str">
        <x:v>Opened date</x:v>
      </x:c>
      <x:c r="P1" s="2348" t="str">
        <x:v>Expiry / best-before</x:v>
      </x:c>
    </x:row>
    <x:row r="2">
      <x:c r="A2" s="60" t="str">
        <x:v>Balance</x:v>
      </x:c>
      <x:c r="B2" s="60" t="str">
        <x:v>Athena</x:v>
      </x:c>
      <x:c r="C2" s="60" t="str">
        <x:v>photo</x:v>
      </x:c>
      <x:c r="D2" s="60" t="str">
        <x:v>available</x:v>
      </x:c>
      <x:c r="E2" s="60" t="str">
        <x:v>Si / pH buffer</x:v>
      </x:c>
      <x:c r="F2" s="60" t="str">
        <x:v>PREFERRED / CONDITIONAL</x:v>
      </x:c>
      <x:c r="G2" s="60" t="str">
        <x:v>Titration only</x:v>
      </x:c>
      <x:c r="H2" s="60" t="str">
        <x:v>0 until gate; no calendar dose</x:v>
      </x:c>
      <x:c r="I2" s="60" t="str">
        <x:v>NO</x:v>
      </x:c>
      <x:c r="J2" s="60" t="str">
        <x:v>Owned preferred Si path; no need to buy Rhino/Hesilicio.</x:v>
      </x:c>
      <x:c r="K2" s="60" t="str">
        <x:v>A-MFR</x:v>
      </x:c>
      <x:c r="L2" s="60" t="str">
        <x:v>athena.balance</x:v>
      </x:c>
      <x:c r="M2" s="2338" t="str">
        <x:v>UNKNOWN</x:v>
      </x:c>
      <x:c r="N2" s="2338" t="str">
        <x:v>UNKNOWN</x:v>
      </x:c>
      <x:c r="O2" s="2338" t="str">
        <x:v>UNKNOWN</x:v>
      </x:c>
      <x:c r="P2" s="2338" t="str">
        <x:v>UNKNOWN</x:v>
      </x:c>
    </x:row>
    <x:row r="3">
      <x:c r="A3" s="60" t="str">
        <x:v>Boost</x:v>
      </x:c>
      <x:c r="B3" s="60" t="str">
        <x:v>HESI</x:v>
      </x:c>
      <x:c r="C3" s="60" t="str">
        <x:v>photo</x:v>
      </x:c>
      <x:c r="D3" s="60" t="str">
        <x:v>available</x:v>
      </x:c>
      <x:c r="E3" s="60" t="str">
        <x:v>Bloom biostim/carbo</x:v>
      </x:c>
      <x:c r="F3" s="60" t="str">
        <x:v>ACTIVE</x:v>
      </x:c>
      <x:c r="G3" s="60" t="str">
        <x:v>HESI label + UKD schedule</x:v>
      </x:c>
      <x:c r="H3" s="60" t="str">
        <x:v>Preferred bloom path</x:v>
      </x:c>
      <x:c r="I3" s="60" t="str">
        <x:v>NO</x:v>
      </x:c>
      <x:c r="J3" s="60" t="str">
        <x:v>Owned; replaces need for Bud Candy/CarboLoad in reference preset.</x:v>
      </x:c>
      <x:c r="K3" s="60" t="str">
        <x:v>A-MFR</x:v>
      </x:c>
      <x:c r="L3" s="60" t="str">
        <x:v>hesi.boost</x:v>
      </x:c>
      <x:c r="M3" s="2338" t="str">
        <x:v>UNKNOWN</x:v>
      </x:c>
      <x:c r="N3" s="2338" t="str">
        <x:v>UNKNOWN</x:v>
      </x:c>
      <x:c r="O3" s="2338" t="str">
        <x:v>UNKNOWN</x:v>
      </x:c>
      <x:c r="P3" s="2338" t="str">
        <x:v>UNKNOWN</x:v>
      </x:c>
    </x:row>
    <x:row r="4">
      <x:c r="A4" s="60" t="str">
        <x:v>PK 13/14</x:v>
      </x:c>
      <x:c r="B4" s="60" t="str">
        <x:v>HESI</x:v>
      </x:c>
      <x:c r="C4" s="60" t="str">
        <x:v>photo</x:v>
      </x:c>
      <x:c r="D4" s="60" t="str">
        <x:v>available</x:v>
      </x:c>
      <x:c r="E4" s="60" t="str">
        <x:v>Late bloom PK</x:v>
      </x:c>
      <x:c r="F4" s="60" t="str">
        <x:v>ACTIVE</x:v>
      </x:c>
      <x:c r="G4" s="60" t="str">
        <x:v>HESI label + UKD curve</x:v>
      </x:c>
      <x:c r="H4" s="60" t="str">
        <x:v>Late bloom only</x:v>
      </x:c>
      <x:c r="I4" s="60" t="str">
        <x:v>NO</x:v>
      </x:c>
      <x:c r="J4" s="60" t="str">
        <x:v>Owned canonical PK path; no Bud Ignitor/Big Bud/Overdrive purchase.</x:v>
      </x:c>
      <x:c r="K4" s="60" t="str">
        <x:v>A-MFR</x:v>
      </x:c>
      <x:c r="L4" s="60" t="str">
        <x:v>hesi.pk1314</x:v>
      </x:c>
      <x:c r="M4" s="2338" t="str">
        <x:v>UNKNOWN</x:v>
      </x:c>
      <x:c r="N4" s="2338" t="str">
        <x:v>UNKNOWN</x:v>
      </x:c>
      <x:c r="O4" s="2338" t="str">
        <x:v>UNKNOWN</x:v>
      </x:c>
      <x:c r="P4" s="2338" t="str">
        <x:v>UNKNOWN</x:v>
      </x:c>
    </x:row>
    <x:row r="5">
      <x:c r="A5" s="60" t="str">
        <x:v>Wurzel Complex</x:v>
      </x:c>
      <x:c r="B5" s="60" t="str">
        <x:v>HESI</x:v>
      </x:c>
      <x:c r="C5" s="60" t="str">
        <x:v>photo</x:v>
      </x:c>
      <x:c r="D5" s="60" t="str">
        <x:v>available</x:v>
      </x:c>
      <x:c r="E5" s="60" t="str">
        <x:v>Root/stress support</x:v>
      </x:c>
      <x:c r="F5" s="60" t="str">
        <x:v>ACTIVE EARLY</x:v>
      </x:c>
      <x:c r="G5" s="60" t="str">
        <x:v>HESI half-dose frequent-use</x:v>
      </x:c>
      <x:c r="H5" s="60" t="str">
        <x:v>2.5 ml/L planned on actual watering events</x:v>
      </x:c>
      <x:c r="I5" s="60" t="str">
        <x:v>NO</x:v>
      </x:c>
      <x:c r="J5" s="60" t="str">
        <x:v>Owned HESI support.</x:v>
      </x:c>
      <x:c r="K5" s="60" t="str">
        <x:v>A-MFR</x:v>
      </x:c>
      <x:c r="L5" s="60" t="str">
        <x:v>hesi.root_complex</x:v>
      </x:c>
      <x:c r="M5" s="2338" t="str">
        <x:v>UNKNOWN</x:v>
      </x:c>
      <x:c r="N5" s="2338" t="str">
        <x:v>UNKNOWN</x:v>
      </x:c>
      <x:c r="O5" s="2338" t="str">
        <x:v>UNKNOWN</x:v>
      </x:c>
      <x:c r="P5" s="2338" t="str">
        <x:v>UNKNOWN</x:v>
      </x:c>
    </x:row>
    <x:row r="6">
      <x:c r="A6" s="60" t="str">
        <x:v>Coco</x:v>
      </x:c>
      <x:c r="B6" s="60" t="str">
        <x:v>HESI</x:v>
      </x:c>
      <x:c r="C6" s="60" t="str">
        <x:v>photo</x:v>
      </x:c>
      <x:c r="D6" s="60" t="str">
        <x:v>available</x:v>
      </x:c>
      <x:c r="E6" s="60" t="str">
        <x:v>Bloom base</x:v>
      </x:c>
      <x:c r="F6" s="60" t="str">
        <x:v>ACTIVE</x:v>
      </x:c>
      <x:c r="G6" s="60" t="str">
        <x:v>HESI manufacturer + EC gate</x:v>
      </x:c>
      <x:c r="H6" s="60" t="str">
        <x:v>Trigger-based base</x:v>
      </x:c>
      <x:c r="I6" s="60" t="str">
        <x:v>NO</x:v>
      </x:c>
      <x:c r="J6" s="60" t="str">
        <x:v>Owned canonical bloom base.</x:v>
      </x:c>
      <x:c r="K6" s="60" t="str">
        <x:v>A-MFR</x:v>
      </x:c>
      <x:c r="L6" s="60" t="str">
        <x:v>hesi.coco</x:v>
      </x:c>
      <x:c r="M6" s="2338" t="str">
        <x:v>UNKNOWN</x:v>
      </x:c>
      <x:c r="N6" s="2338" t="str">
        <x:v>UNKNOWN</x:v>
      </x:c>
      <x:c r="O6" s="2338" t="str">
        <x:v>UNKNOWN</x:v>
      </x:c>
      <x:c r="P6" s="2338" t="str">
        <x:v>UNKNOWN</x:v>
      </x:c>
    </x:row>
    <x:row r="7">
      <x:c r="A7" s="60" t="str">
        <x:v>TNT Complex</x:v>
      </x:c>
      <x:c r="B7" s="60" t="str">
        <x:v>HESI</x:v>
      </x:c>
      <x:c r="C7" s="60" t="str">
        <x:v>photo</x:v>
      </x:c>
      <x:c r="D7" s="60" t="str">
        <x:v>available</x:v>
      </x:c>
      <x:c r="E7" s="60" t="str">
        <x:v>Vegetative base</x:v>
      </x:c>
      <x:c r="F7" s="60" t="str">
        <x:v>ACTIVE</x:v>
      </x:c>
      <x:c r="G7" s="60" t="str">
        <x:v>HESI manufacturer + EC gate</x:v>
      </x:c>
      <x:c r="H7" s="60" t="str">
        <x:v>Early/veg base</x:v>
      </x:c>
      <x:c r="I7" s="60" t="str">
        <x:v>NO</x:v>
      </x:c>
      <x:c r="J7" s="60" t="str">
        <x:v>Owned canonical early base.</x:v>
      </x:c>
      <x:c r="K7" s="60" t="str">
        <x:v>A-MFR</x:v>
      </x:c>
      <x:c r="L7" s="60" t="str">
        <x:v>hesi.tnt</x:v>
      </x:c>
      <x:c r="M7" s="2338" t="str">
        <x:v>UNKNOWN</x:v>
      </x:c>
      <x:c r="N7" s="2338" t="str">
        <x:v>UNKNOWN</x:v>
      </x:c>
      <x:c r="O7" s="2338" t="str">
        <x:v>UNKNOWN</x:v>
      </x:c>
      <x:c r="P7" s="2338" t="str">
        <x:v>UNKNOWN</x:v>
      </x:c>
    </x:row>
    <x:row r="8">
      <x:c r="A8" s="60" t="str">
        <x:v>PowerZyme</x:v>
      </x:c>
      <x:c r="B8" s="60" t="str">
        <x:v>HESI</x:v>
      </x:c>
      <x:c r="C8" s="60" t="str">
        <x:v>photo</x:v>
      </x:c>
      <x:c r="D8" s="60" t="str">
        <x:v>available</x:v>
      </x:c>
      <x:c r="E8" s="60" t="str">
        <x:v>Enzyme/root-zone conditioner</x:v>
      </x:c>
      <x:c r="F8" s="60" t="str">
        <x:v>ACTIVE</x:v>
      </x:c>
      <x:c r="G8" s="60" t="str">
        <x:v>HESI manufacturer</x:v>
      </x:c>
      <x:c r="H8" s="60" t="str">
        <x:v>2 ml/L plan unless alternative selected</x:v>
      </x:c>
      <x:c r="I8" s="60" t="str">
        <x:v>NO</x:v>
      </x:c>
      <x:c r="J8" s="60" t="str">
        <x:v>Owned; Sensizym purchase unnecessary.</x:v>
      </x:c>
      <x:c r="K8" s="60" t="str">
        <x:v>A-MFR</x:v>
      </x:c>
      <x:c r="L8" s="60" t="str">
        <x:v>hesi.powerzyme</x:v>
      </x:c>
      <x:c r="M8" s="2338" t="str">
        <x:v>UNKNOWN</x:v>
      </x:c>
      <x:c r="N8" s="2338" t="str">
        <x:v>UNKNOWN</x:v>
      </x:c>
      <x:c r="O8" s="2338" t="str">
        <x:v>UNKNOWN</x:v>
      </x:c>
      <x:c r="P8" s="2338" t="str">
        <x:v>UNKNOWN</x:v>
      </x:c>
    </x:row>
    <x:row r="9">
      <x:c r="A9" s="60" t="str">
        <x:v>SuperVit</x:v>
      </x:c>
      <x:c r="B9" s="60" t="str">
        <x:v>HESI</x:v>
      </x:c>
      <x:c r="C9" s="60" t="str">
        <x:v>user stated</x:v>
      </x:c>
      <x:c r="D9" s="60" t="str">
        <x:v>available</x:v>
      </x:c>
      <x:c r="E9" s="60" t="str">
        <x:v>Microdose biostim</x:v>
      </x:c>
      <x:c r="F9" s="60" t="str">
        <x:v>ACTIVE</x:v>
      </x:c>
      <x:c r="G9" s="60" t="str">
        <x:v>HESI manufacturer</x:v>
      </x:c>
      <x:c r="H9" s="60" t="str">
        <x:v>0.015 ml/L when actual watering occurs</x:v>
      </x:c>
      <x:c r="I9" s="60" t="str">
        <x:v>NO</x:v>
      </x:c>
      <x:c r="J9" s="60" t="str">
        <x:v>Owned core support.</x:v>
      </x:c>
      <x:c r="K9" s="60" t="str">
        <x:v>A-MFR</x:v>
      </x:c>
      <x:c r="L9" s="60" t="str">
        <x:v>hesi.supervit</x:v>
      </x:c>
      <x:c r="M9" s="2338" t="str">
        <x:v>UNKNOWN</x:v>
      </x:c>
      <x:c r="N9" s="2338" t="str">
        <x:v>UNKNOWN</x:v>
      </x:c>
      <x:c r="O9" s="2338" t="str">
        <x:v>UNKNOWN</x:v>
      </x:c>
      <x:c r="P9" s="2338" t="str">
        <x:v>UNKNOWN</x:v>
      </x:c>
    </x:row>
    <x:row r="10">
      <x:c r="A10" s="60" t="str">
        <x:v>Voodoo Juice</x:v>
      </x:c>
      <x:c r="B10" s="60" t="str">
        <x:v>Advanced Nutrients</x:v>
      </x:c>
      <x:c r="C10" s="60" t="str">
        <x:v>user stated</x:v>
      </x:c>
      <x:c r="D10" s="60" t="str">
        <x:v>available</x:v>
      </x:c>
      <x:c r="E10" s="60" t="str">
        <x:v>Root bacteria</x:v>
      </x:c>
      <x:c r="F10" s="60" t="str">
        <x:v>ACTIVE WINDOWS</x:v>
      </x:c>
      <x:c r="G10" s="60" t="str">
        <x:v>AN label / UKD conservative windows</x:v>
      </x:c>
      <x:c r="H10" s="60" t="str">
        <x:v>2 ml/L on defined fresh events</x:v>
      </x:c>
      <x:c r="I10" s="60" t="str">
        <x:v>NO</x:v>
      </x:c>
      <x:c r="J10" s="60" t="str">
        <x:v>Selected complement.</x:v>
      </x:c>
      <x:c r="K10" s="60" t="str">
        <x:v>A-MFR</x:v>
      </x:c>
      <x:c r="L10" s="60" t="str">
        <x:v>an.voodoo</x:v>
      </x:c>
      <x:c r="M10" s="2338" t="str">
        <x:v>UNKNOWN</x:v>
      </x:c>
      <x:c r="N10" s="2338" t="str">
        <x:v>UNKNOWN</x:v>
      </x:c>
      <x:c r="O10" s="2338" t="str">
        <x:v>UNKNOWN</x:v>
      </x:c>
      <x:c r="P10" s="2338" t="str">
        <x:v>UNKNOWN</x:v>
      </x:c>
    </x:row>
    <x:row r="11">
      <x:c r="A11" s="60" t="str">
        <x:v>Tarantula</x:v>
      </x:c>
      <x:c r="B11" s="60" t="str">
        <x:v>Advanced Nutrients</x:v>
      </x:c>
      <x:c r="C11" s="60" t="str">
        <x:v>user stated</x:v>
      </x:c>
      <x:c r="D11" s="60" t="str">
        <x:v>available</x:v>
      </x:c>
      <x:c r="E11" s="60" t="str">
        <x:v>Beneficial bacteria</x:v>
      </x:c>
      <x:c r="F11" s="60" t="str">
        <x:v>ACTIVE WINDOWS</x:v>
      </x:c>
      <x:c r="G11" s="60" t="str">
        <x:v>AN label / UKD conservative windows</x:v>
      </x:c>
      <x:c r="H11" s="60" t="str">
        <x:v>2 ml/L alongside Voodoo on defined fresh events</x:v>
      </x:c>
      <x:c r="I11" s="60" t="str">
        <x:v>NO</x:v>
      </x:c>
      <x:c r="J11" s="60" t="str">
        <x:v>AN explicitly recommends combination with Voodoo.</x:v>
      </x:c>
      <x:c r="K11" s="60" t="str">
        <x:v>A-MFR</x:v>
      </x:c>
      <x:c r="L11" s="60" t="str">
        <x:v>an.tarantula</x:v>
      </x:c>
      <x:c r="M11" s="2338" t="str">
        <x:v>UNKNOWN</x:v>
      </x:c>
      <x:c r="N11" s="2338" t="str">
        <x:v>UNKNOWN</x:v>
      </x:c>
      <x:c r="O11" s="2338" t="str">
        <x:v>UNKNOWN</x:v>
      </x:c>
      <x:c r="P11" s="2338" t="str">
        <x:v>UNKNOWN</x:v>
      </x:c>
    </x:row>
    <x:row r="12">
      <x:c r="A12" s="60" t="str">
        <x:v>Sensi Cal Mag Xtra</x:v>
      </x:c>
      <x:c r="B12" s="60" t="str">
        <x:v>Advanced Nutrients</x:v>
      </x:c>
      <x:c r="C12" s="60" t="str">
        <x:v>photo</x:v>
      </x:c>
      <x:c r="D12" s="60" t="str">
        <x:v>available</x:v>
      </x:c>
      <x:c r="E12" s="60" t="str">
        <x:v>Conditional Ca/Mg/Fe</x:v>
      </x:c>
      <x:c r="F12" s="60" t="str">
        <x:v>CONDITIONAL / DOSE 0</x:v>
      </x:c>
      <x:c r="G12" s="60" t="str">
        <x:v>AN label + UKD water gate</x:v>
      </x:c>
      <x:c r="H12" s="60" t="str">
        <x:v>Equals CalMag Plan ml/L; currently 0</x:v>
      </x:c>
      <x:c r="I12" s="60" t="str">
        <x:v>NO</x:v>
      </x:c>
      <x:c r="J12" s="60" t="str">
        <x:v>Owned source; availability alone does not establish need.</x:v>
      </x:c>
      <x:c r="K12" s="60" t="str">
        <x:v>A-MFR</x:v>
      </x:c>
      <x:c r="L12" s="60" t="str">
        <x:v>an.sensi_cal_mag_xtra</x:v>
      </x:c>
      <x:c r="M12" s="2338" t="str">
        <x:v>UNKNOWN</x:v>
      </x:c>
      <x:c r="N12" s="2338" t="str">
        <x:v>UNKNOWN</x:v>
      </x:c>
      <x:c r="O12" s="2338" t="str">
        <x:v>UNKNOWN</x:v>
      </x:c>
      <x:c r="P12" s="2338" t="str">
        <x:v>UNKNOWN</x:v>
      </x:c>
    </x:row>
    <x:row r="13">
      <x:c r="A13" s="60" t="str">
        <x:v>Tasty Terpenes</x:v>
      </x:c>
      <x:c r="B13" s="60" t="str">
        <x:v>Advanced Nutrients</x:v>
      </x:c>
      <x:c r="C13" s="60" t="str">
        <x:v>photo</x:v>
      </x:c>
      <x:c r="D13" s="60" t="str">
        <x:v>available</x:v>
      </x:c>
      <x:c r="E13" s="60" t="str">
        <x:v>K/kelp/alfalfa biostim</x:v>
      </x:c>
      <x:c r="F13" s="60" t="str">
        <x:v>OWNED / OFF</x:v>
      </x:c>
      <x:c r="G13" s="60" t="str">
        <x:v>AN label</x:v>
      </x:c>
      <x:c r="H13" s="60" t="str">
        <x:v>No calendar dose in reference run</x:v>
      </x:c>
      <x:c r="I13" s="60" t="str">
        <x:v>NO</x:v>
      </x:c>
      <x:c r="J13" s="60" t="str">
        <x:v>Keep for future isolated A/B; not needed on top of HESI Boost/PK.</x:v>
      </x:c>
      <x:c r="K13" s="60" t="str">
        <x:v>A-MFR + UKD</x:v>
      </x:c>
      <x:c r="L13" s="60" t="str">
        <x:v>an.tasty_terpenes</x:v>
      </x:c>
      <x:c r="M13" s="2338" t="str">
        <x:v>UNKNOWN</x:v>
      </x:c>
      <x:c r="N13" s="2338" t="str">
        <x:v>UNKNOWN</x:v>
      </x:c>
      <x:c r="O13" s="2338" t="str">
        <x:v>UNKNOWN</x:v>
      </x:c>
      <x:c r="P13" s="2338" t="str">
        <x:v>UNKNOWN</x:v>
      </x:c>
    </x:row>
    <x:row r="14">
      <x:c r="A14" s="60" t="str">
        <x:v>CarboLoad</x:v>
      </x:c>
      <x:c r="B14" s="60" t="str">
        <x:v>Advanced Nutrients</x:v>
      </x:c>
      <x:c r="C14" s="60" t="str">
        <x:v>photo + user stated</x:v>
      </x:c>
      <x:c r="D14" s="60" t="str">
        <x:v>tiny remainder</x:v>
      </x:c>
      <x:c r="E14" s="60" t="str">
        <x:v>Carbohydrate/microbe feed</x:v>
      </x:c>
      <x:c r="F14" s="60" t="str">
        <x:v>OFF</x:v>
      </x:c>
      <x:c r="G14" s="60" t="str">
        <x:v>AN label</x:v>
      </x:c>
      <x:c r="H14" s="60" t="str">
        <x:v>Do not add merely to finish bottle</x:v>
      </x:c>
      <x:c r="I14" s="60" t="str">
        <x:v>NO</x:v>
      </x:c>
      <x:c r="J14" s="60" t="str">
        <x:v>HESI Boost already selected; third carbohydrate path adds little interpretability.</x:v>
      </x:c>
      <x:c r="K14" s="60" t="str">
        <x:v>A-MFR + UKD</x:v>
      </x:c>
      <x:c r="L14" s="60" t="str">
        <x:v>an.carboload</x:v>
      </x:c>
      <x:c r="M14" s="2338" t="str">
        <x:v>UNKNOWN</x:v>
      </x:c>
      <x:c r="N14" s="2338" t="str">
        <x:v>UNKNOWN</x:v>
      </x:c>
      <x:c r="O14" s="2338" t="str">
        <x:v>UNKNOWN</x:v>
      </x:c>
      <x:c r="P14" s="2338" t="str">
        <x:v>UNKNOWN</x:v>
      </x:c>
    </x:row>
    <x:row r="17">
      <x:c r="A17" s="1804" t="str">
        <x:v>Inventory rules</x:v>
      </x:c>
      <x:c r="B17" s="1804"/>
      <x:c r="C17" s="1804"/>
      <x:c r="D17" s="1804"/>
      <x:c r="E17" s="1804"/>
      <x:c r="F17" s="1804"/>
      <x:c r="G17" s="1804"/>
      <x:c r="H17" s="1804"/>
      <x:c r="I17" s="1804"/>
      <x:c r="J17" s="1804"/>
      <x:c r="K17" s="1804"/>
      <x:c r="L17" s="1804"/>
    </x:row>
    <x:row r="18">
      <x:c r="A18" s="60" t="str">
        <x:v>1</x:v>
      </x:c>
      <x:c r="B18" s="60" t="str">
        <x:v>Availability is a setup fact, not evidence of benefit or need.</x:v>
      </x:c>
      <x:c r="C18" s="60"/>
      <x:c r="D18" s="60"/>
      <x:c r="E18" s="60"/>
      <x:c r="F18" s="60"/>
      <x:c r="G18" s="60"/>
      <x:c r="H18" s="60"/>
      <x:c r="I18" s="60"/>
      <x:c r="J18" s="60"/>
      <x:c r="K18" s="60"/>
      <x:c r="L18" s="60"/>
    </x:row>
    <x:row r="19">
      <x:c r="A19" s="60" t="str">
        <x:v>2</x:v>
      </x:c>
      <x:c r="B19" s="60" t="str">
        <x:v>Do not purchase alternatives when an owned, compatible canonical path is already selected unless an A/B experiment requires it.</x:v>
      </x:c>
      <x:c r="C19" s="60"/>
      <x:c r="D19" s="60"/>
      <x:c r="E19" s="60"/>
      <x:c r="F19" s="60"/>
      <x:c r="G19" s="60"/>
      <x:c r="H19" s="60"/>
      <x:c r="I19" s="60"/>
      <x:c r="J19" s="60"/>
      <x:c r="K19" s="60"/>
      <x:c r="L19" s="60"/>
    </x:row>
    <x:row r="20">
      <x:c r="A20" s="60" t="str">
        <x:v>3</x:v>
      </x:c>
      <x:c r="B20" s="60" t="str">
        <x:v>Lot, opening date, expiry and exact remaining quantity are still unknown and should be recorded before long-term inventory automation.</x:v>
      </x:c>
      <x:c r="C20" s="60"/>
      <x:c r="D20" s="60"/>
      <x:c r="E20" s="60"/>
      <x:c r="F20" s="60"/>
      <x:c r="G20" s="60"/>
      <x:c r="H20" s="60"/>
      <x:c r="I20" s="60"/>
      <x:c r="J20" s="60"/>
      <x:c r="K20" s="60"/>
      <x:c r="L20" s="60"/>
    </x:row>
  </x:sheetData>
  <x:pageMargins left="0.7" right="0.7" top="0.75" bottom="0.75" header="0.3" footer="0.3"/>
</x:worksheet>
</file>

<file path=xl/worksheets/sheet30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20" hidden="0" customWidth="1"/>
    <x:col min="3" max="3" width="34" hidden="0" customWidth="1"/>
    <x:col min="4" max="4" width="42" hidden="0" customWidth="1"/>
    <x:col min="5" max="5" width="44" hidden="0" customWidth="1"/>
    <x:col min="6" max="6" width="42" hidden="0" customWidth="1"/>
    <x:col min="7" max="7" width="34" hidden="0" customWidth="1"/>
    <x:col min="8" max="8" width="20" hidden="0" customWidth="1"/>
  </x:cols>
  <x:sheetData>
    <x:row r="1">
      <x:c r="A1" s="2348" t="str">
        <x:v>Priority</x:v>
      </x:c>
      <x:c r="B1" s="2348" t="str">
        <x:v>Layer</x:v>
      </x:c>
      <x:c r="C1" s="2348" t="str">
        <x:v>/GOAL</x:v>
      </x:c>
      <x:c r="D1" s="2348" t="str">
        <x:v>/PROBLEM</x:v>
      </x:c>
      <x:c r="E1" s="2348" t="str">
        <x:v>Transformation</x:v>
      </x:c>
      <x:c r="F1" s="2348" t="str">
        <x:v>Acceptance criterion</x:v>
      </x:c>
      <x:c r="G1" s="2348" t="str">
        <x:v>Source truth / evidence</x:v>
      </x:c>
      <x:c r="H1" s="2348" t="str">
        <x:v>v9 status</x:v>
      </x:c>
    </x:row>
    <x:row r="2" ht="54" customHeight="1">
      <x:c r="A2" s="1962" t="str">
        <x:v>P0</x:v>
      </x:c>
      <x:c r="B2" s="60" t="str">
        <x:v>Release truth</x:v>
      </x:c>
      <x:c r="C2" s="1880" t="str">
        <x:v>App, XLSX and PDF show the same release/version/data snapshot.</x:v>
      </x:c>
      <x:c r="D2" s="1962" t="str">
        <x:v>Current app source is version 6.0.0 and loads evidence-guarded-workbook-v6.json while the operational workbook/PDF had already moved to v8.</x:v>
      </x:c>
      <x:c r="E2" s="60" t="str">
        <x:v>Introduce one release manifest with version, schema, workbook hash, source review date, sheet/claim counts; app consumes it instead of hard-coded labels.</x:v>
      </x:c>
      <x:c r="F2" s="60" t="str">
        <x:v>No artifact may declare a different canonical content version; CI fails on mismatch.</x:v>
      </x:c>
      <x:c r="G2" s="60" t="str">
        <x:v>package.json; docs/ARCHITECTURE.md; src/App.tsx; current XLSX/PDF</x:v>
      </x:c>
      <x:c r="H2" s="60" t="str">
        <x:v>APP P0</x:v>
      </x:c>
    </x:row>
    <x:row r="3" ht="54" customHeight="1">
      <x:c r="A3" s="1962" t="str">
        <x:v>P0</x:v>
      </x:c>
      <x:c r="B3" s="60" t="str">
        <x:v>Formula correctness</x:v>
      </x:c>
      <x:c r="C3" s="1880" t="str">
        <x:v>Every dose window is derived from the intended biological/trigger variable.</x:v>
      </x:c>
      <x:c r="D3" s="1962" t="str">
        <x:v>v7/v8 formulas used AJ (GM Phase text) where AL (numeric Bloom-Tag) was intended, silently zeroing PowerZyme/PK and alternative AN windows.</x:v>
      </x:c>
      <x:c r="E3" s="60" t="str">
        <x:v>Correct all 11 affected Daily Master formula families; add parity/golden tests.</x:v>
      </x:c>
      <x:c r="F3" s="60" t="str">
        <x:v>0 formula errors; expected nonzero values appear in approved windows; regression fixture covers columns X, AB, AV:BD.</x:v>
      </x:c>
      <x:c r="G3" s="60" t="str">
        <x:v>02_Daily_Master formula audit</x:v>
      </x:c>
      <x:c r="H3" s="60" t="str">
        <x:v>FIXED XLSX v9 / APP TEST REQUIRED</x:v>
      </x:c>
    </x:row>
    <x:row r="4" ht="54" customHeight="1">
      <x:c r="A4" s="1962" t="str">
        <x:v>P0</x:v>
      </x:c>
      <x:c r="B4" s="60" t="str">
        <x:v>Propagation safety</x:v>
      </x:c>
      <x:c r="C4" s="1880" t="str">
        <x:v>Propagation medium is a first-class setup fact and blocks blind calendar feeding.</x:v>
      </x:c>
      <x:c r="D4" s="1962" t="str">
        <x:v>The plan treated UGro Rhiza as the only medium and a day-based nutrient start as if propagation media had no own pH/EC/nutrient state.</x:v>
      </x:c>
      <x:c r="E4" s="60" t="str">
        <x:v>Model Eazy Plug Mini -&gt; Eazy Block Standard -&gt; UGro Rhiza Coco; mark day 4 as earliest reference only; add plant/medium gate.</x:v>
      </x:c>
      <x:c r="F4" s="60" t="str">
        <x:v>Setup shows propagation stage, exact product/size, transplant event, and feed eligibility separately from day number.</x:v>
      </x:c>
      <x:c r="G4" s="60" t="str">
        <x:v>Eazy Plug manufacturer; HESI TNT; UGro COCO</x:v>
      </x:c>
      <x:c r="H4" s="60" t="str">
        <x:v>FIXED PLAN v9 / APP P1</x:v>
      </x:c>
    </x:row>
    <x:row r="5" ht="54" customHeight="1">
      <x:c r="A5" s="1962" t="str">
        <x:v>P0</x:v>
      </x:c>
      <x:c r="B5" s="60" t="str">
        <x:v>Evidence boundary</x:v>
      </x:c>
      <x:c r="C5" s="1880" t="str">
        <x:v>A user can always tell target vs measured vs user input vs manufacturer vs UKD inference.</x:v>
      </x:c>
      <x:c r="D5" s="1962" t="str">
        <x:v>The workbook contains these concepts, but they are not consistently visible at the point of action.</x:v>
      </x:c>
      <x:c r="E5" s="60" t="str">
        <x:v>Make status/provenance a mandatory field on cards, tasks, measurements, product states and overrides.</x:v>
      </x:c>
      <x:c r="F5" s="60" t="str">
        <x:v>Critical action cards visibly carry state + reason + evidence source; no silent fallback.</x:v>
      </x:c>
      <x:c r="G5" s="60" t="str">
        <x:v>docs/RULES_OF_EVIDENCE.md; docs/PRODUCT_SPEC.md</x:v>
      </x:c>
      <x:c r="H5" s="60" t="str">
        <x:v>APP P0/P1</x:v>
      </x:c>
    </x:row>
    <x:row r="6" ht="54" customHeight="1">
      <x:c r="A6" s="1962" t="str">
        <x:v>P0</x:v>
      </x:c>
      <x:c r="B6" s="60" t="str">
        <x:v>Product stack truth</x:v>
      </x:c>
      <x:c r="C6" s="1880" t="str">
        <x:v>One resolved stack drives Today, Mix, Dashboard, export and app.</x:v>
      </x:c>
      <x:c r="D6" s="1962" t="str">
        <x:v>Product state is still partly duplicated manually across Daily, Weekly, Mix, hybrid reference and app snapshot.</x:v>
      </x:c>
      <x:c r="E6" s="60" t="str">
        <x:v>Create a stack compiler: preset + run snapshot + phase + measurements + evidence rules -&gt; ResolvedDailyMixPlan.</x:v>
      </x:c>
      <x:c r="F6" s="60" t="str">
        <x:v>100% selected products resolve to ACTIVE/ZERO_BY_STAGE/CONDITIONAL/BLOCKED/REPLACED/EXPERIMENTAL and appear identically everywhere.</x:v>
      </x:c>
      <x:c r="G6" s="60" t="str">
        <x:v>27_HESI_AN_Hybrid; 28_Current_Inventory; prior audit</x:v>
      </x:c>
      <x:c r="H6" s="60" t="str">
        <x:v>APP P0</x:v>
      </x:c>
    </x:row>
    <x:row r="7" ht="54" customHeight="1">
      <x:c r="A7" s="1962" t="str">
        <x:v>P0</x:v>
      </x:c>
      <x:c r="B7" s="60" t="str">
        <x:v>Fail-closed chemistry</x:v>
      </x:c>
      <x:c r="C7" s="1880" t="str">
        <x:v>Unknown chemistry never creates a positive Athena/CalMag dose.</x:v>
      </x:c>
      <x:c r="D7" s="1962" t="str">
        <x:v>Water pH/EC alone do not resolve Ca/Mg/alkalinity; owned stock can create psychological pressure to dose.</x:v>
      </x:c>
      <x:c r="E7" s="60" t="str">
        <x:v>Readiness gate + explicit CalMag Plan + Athena titration workflow; inventory never overrides need.</x:v>
      </x:c>
      <x:c r="F7" s="60" t="str">
        <x:v>Dose stays 0 until required inputs/decision exist.</x:v>
      </x:c>
      <x:c r="G7" s="60" t="str">
        <x:v>01_Run_Config; 28_Current_Inventory</x:v>
      </x:c>
      <x:c r="H7" s="60" t="str">
        <x:v>FIXED XLSX/PDF v8-v9</x:v>
      </x:c>
    </x:row>
    <x:row r="8" ht="54" customHeight="1">
      <x:c r="A8" s="2064" t="str">
        <x:v>P1</x:v>
      </x:c>
      <x:c r="B8" s="60" t="str">
        <x:v>Orientation</x:v>
      </x:c>
      <x:c r="C8" s="1880" t="str">
        <x:v>A first-time user knows where to start and what the system is for.</x:v>
      </x:c>
      <x:c r="D8" s="1962" t="str">
        <x:v>Workbook/PDF are comprehensive but not self-explanatory; app has no first-run onboarding.</x:v>
      </x:c>
      <x:c r="E8" s="60" t="str">
        <x:v>Start Here / North Star, 3-step operator path, first-run welcome, setup readiness.</x:v>
      </x:c>
      <x:c r="F8" s="60" t="str">
        <x:v>New user can identify next action and blocker without opening raw tables.</x:v>
      </x:c>
      <x:c r="G8" s="60" t="str">
        <x:v>Current Dashboard/PDF; src/App.tsx</x:v>
      </x:c>
      <x:c r="H8" s="60" t="str">
        <x:v>FIXED XLSX/PDF v9 / APP P1</x:v>
      </x:c>
    </x:row>
    <x:row r="9" ht="54" customHeight="1">
      <x:c r="A9" s="2064" t="str">
        <x:v>P1</x:v>
      </x:c>
      <x:c r="B9" s="60" t="str">
        <x:v>Information architecture</x:v>
      </x:c>
      <x:c r="C9" s="1880" t="str">
        <x:v>Guided navigation exposes only core work; deep areas remain available.</x:v>
      </x:c>
      <x:c r="D9" s="1962" t="str">
        <x:v>User proposal assumed 21 nav entries, but current source has 12. Guided currently keeps the same sidebar and mainly adds a banner.</x:v>
      </x:c>
      <x:c r="E9" s="60" t="str">
        <x:v>Use 6 Guided core routes; collapsible groups in Advanced/Expert; 'All areas' for the rest.</x:v>
      </x:c>
      <x:c r="F9" s="60" t="str">
        <x:v>Guided default shows Cockpit, Heute, Setup, Mix, Log, Zeitachse; no critical route hidden behind hover.</x:v>
      </x:c>
      <x:c r="G9" s="60" t="str">
        <x:v>src/App.tsx NAV = 12 current routes</x:v>
      </x:c>
      <x:c r="H9" s="60" t="str">
        <x:v>APP P1</x:v>
      </x:c>
    </x:row>
    <x:row r="10" ht="54" customHeight="1">
      <x:c r="A10" s="2064" t="str">
        <x:v>P1</x:v>
      </x:c>
      <x:c r="B10" s="60" t="str">
        <x:v>Missing routes</x:v>
      </x:c>
      <x:c r="C10" s="1880" t="str">
        <x:v>Setup and Log are real workflows, not labels pointing to non-routes.</x:v>
      </x:c>
      <x:c r="D10" s="1962" t="str">
        <x:v>Current app has no Setup or Log route, although workbook has Run Config and Daily Log and the proposed Guided set assumes both.</x:v>
      </x:c>
      <x:c r="E10" s="60" t="str">
        <x:v>Add Setup wizard and Log/Journal routes backed by domain entities and repository.</x:v>
      </x:c>
      <x:c r="F10" s="60" t="str">
        <x:v>Route is keyboard/mobile accessible and persists run data; no fake navigation item.</x:v>
      </x:c>
      <x:c r="G10" s="60" t="str">
        <x:v>src/App.tsx; docs/MIGRATION.md</x:v>
      </x:c>
      <x:c r="H10" s="60" t="str">
        <x:v>APP P1</x:v>
      </x:c>
    </x:row>
    <x:row r="11" ht="54" customHeight="1">
      <x:c r="A11" s="2064" t="str">
        <x:v>P1</x:v>
      </x:c>
      <x:c r="B11" s="60" t="str">
        <x:v>Today/Now</x:v>
      </x:c>
      <x:c r="C11" s="1880" t="str">
        <x:v>The main screen answers 'what now?' before it shows analytics.</x:v>
      </x:c>
      <x:c r="D11" s="1962" t="str">
        <x:v>Current Cockpit is metric-heavy and exposes trajectory/charts before it has a single prioritized action model.</x:v>
      </x:c>
      <x:c r="E11" s="60" t="str">
        <x:v>Top section: 1 attention item, up to 3 required tasks, missing measurements, blocker, next trigger; metrics move below.</x:v>
      </x:c>
      <x:c r="F11" s="60" t="str">
        <x:v>Guided user sees no more than 3 required tasks at once and a persistent blocker if present.</x:v>
      </x:c>
      <x:c r="G11" s="60" t="str">
        <x:v>Current qa-desktop/mobile screenshots</x:v>
      </x:c>
      <x:c r="H11" s="60" t="str">
        <x:v>APP P1</x:v>
      </x:c>
    </x:row>
    <x:row r="12" ht="54" customHeight="1">
      <x:c r="A12" s="2064" t="str">
        <x:v>P1</x:v>
      </x:c>
      <x:c r="B12" s="60" t="str">
        <x:v>Typography/accessibility</x:v>
      </x:c>
      <x:c r="C12" s="1880" t="str">
        <x:v>All text and controls are comfortably readable on phone and desktop.</x:v>
      </x:c>
      <x:c r="D12" s="1962" t="str">
        <x:v>Current CSS contains many 7-9px labels despite the product's WCAG 2.2 AA goal.</x:v>
      </x:c>
      <x:c r="E12" s="60" t="str">
        <x:v>Visible text &gt;=11px, body 13-16px, touch targets &gt;=44px, zoom/reflow checks, real screen-reader review.</x:v>
      </x:c>
      <x:c r="F12" s="60" t="str">
        <x:v>No visible 7-9px text in production UI; manual 200% zoom and keyboard pass.</x:v>
      </x:c>
      <x:c r="G12" s="60" t="str">
        <x:v>src/styles.css; docs/ACCESSIBILITY_AND_TESTING.md</x:v>
      </x:c>
      <x:c r="H12" s="60" t="str">
        <x:v>APP P1</x:v>
      </x:c>
    </x:row>
    <x:row r="13" ht="54" customHeight="1">
      <x:c r="A13" s="2064" t="str">
        <x:v>P1</x:v>
      </x:c>
      <x:c r="B13" s="60" t="str">
        <x:v>Context help</x:v>
      </x:c>
      <x:c r="C13" s="1880" t="str">
        <x:v>Every technical term is understandable where it appears.</x:v>
      </x:c>
      <x:c r="D13" s="1962" t="str">
        <x:v>HELP exists per route, but definitions such as VPD/DLI/Drain-EC are not consistently inline and hover-only patterns would be unsafe.</x:v>
      </x:c>
      <x:c r="E13" s="60" t="str">
        <x:v>Context wiki entries with one-line, beginner, operational, technical, formula, mistakes, evidence; tap/focus/hover preview.</x:v>
      </x:c>
      <x:c r="F13" s="60" t="str">
        <x:v>Critical meaning remains inline in Guided; Expert can collapse but never deletes scope/provenance.</x:v>
      </x:c>
      <x:c r="G13" s="60" t="str">
        <x:v>HELP object; prior UX research</x:v>
      </x:c>
      <x:c r="H13" s="60" t="str">
        <x:v>XLSX GLOSSARY v9 / APP P1</x:v>
      </x:c>
    </x:row>
    <x:row r="14" ht="54" customHeight="1">
      <x:c r="A14" s="2064" t="str">
        <x:v>P1</x:v>
      </x:c>
      <x:c r="B14" s="60" t="str">
        <x:v>Actual vs plan</x:v>
      </x:c>
      <x:c r="C14" s="1880" t="str">
        <x:v>The system records what actually happened separately from what was planned.</x:v>
      </x:c>
      <x:c r="D14" s="1962" t="str">
        <x:v>Daily Master is strong on targets; app has no persistent run log and workbook logging is not a canonical event stream.</x:v>
      </x:c>
      <x:c r="E14" s="60" t="str">
        <x:v>Event log with Measurement, Watering, FeedBatch, Observation, Photo, Task, Override; corrections supersede rather than overwrite.</x:v>
      </x:c>
      <x:c r="F14" s="60" t="str">
        <x:v>Every action can be traced from plan -&gt; actual event -&gt; observation -&gt; retrospective.</x:v>
      </x:c>
      <x:c r="G14" s="60" t="str">
        <x:v>docs/MIGRATION.md; workbook Daily Log</x:v>
      </x:c>
      <x:c r="H14" s="60" t="str">
        <x:v>APP P1</x:v>
      </x:c>
    </x:row>
    <x:row r="15" ht="54" customHeight="1">
      <x:c r="A15" s="2064" t="str">
        <x:v>P1</x:v>
      </x:c>
      <x:c r="B15" s="60" t="str">
        <x:v>Setup readiness</x:v>
      </x:c>
      <x:c r="C15" s="1880" t="str">
        <x:v>Unknowns are explicit, allowed and actionable.</x:v>
      </x:c>
      <x:c r="D15" s="1962" t="str">
        <x:v>Setup facts are scattered across Run Config, inventory and notes; missing values are easy to miss.</x:v>
      </x:c>
      <x:c r="E15" s="60" t="str">
        <x:v>Pre-Setup wizard with Complete / Unknown / Warning / Blocker; immutable RunConfigurationSnapshot at activation.</x:v>
      </x:c>
      <x:c r="F15" s="60" t="str">
        <x:v>Run cannot activate with hard blocker; noncritical unknown remains visible.</x:v>
      </x:c>
      <x:c r="G15" s="60" t="str">
        <x:v>01_Run_Config; planned domain model</x:v>
      </x:c>
      <x:c r="H15" s="60" t="str">
        <x:v>APP P1</x:v>
      </x:c>
    </x:row>
    <x:row r="16" ht="54" customHeight="1">
      <x:c r="A16" s="2064" t="str">
        <x:v>P1</x:v>
      </x:c>
      <x:c r="B16" s="60" t="str">
        <x:v>PDF usability</x:v>
      </x:c>
      <x:c r="C16" s="1880" t="str">
        <x:v>PDF works as an operator guide, not only a printed database.</x:v>
      </x:c>
      <x:c r="D16" s="1962" t="str">
        <x:v>231-page v8 PDF front matter is thin; detailed daily pages start immediately and context is easily lost.</x:v>
      </x:c>
      <x:c r="E16" s="60" t="str">
        <x:v>Add operator front matter, visual flow, feed map, state legend, app/UX plan and a corrected TOC; detailed v8 pages become appendix.</x:v>
      </x:c>
      <x:c r="F16" s="60" t="str">
        <x:v>First 10 pages answer setup, today, mix, feed, evidence and navigation.</x:v>
      </x:c>
      <x:c r="G16" s="60" t="str">
        <x:v>v8 PDF review</x:v>
      </x:c>
      <x:c r="H16" s="60" t="str">
        <x:v>FIXED PDF v9</x:v>
      </x:c>
    </x:row>
    <x:row r="17" ht="54" customHeight="1">
      <x:c r="A17" s="2064" t="str">
        <x:v>P1</x:v>
      </x:c>
      <x:c r="B17" s="60" t="str">
        <x:v>Workbook usability</x:v>
      </x:c>
      <x:c r="C17" s="1880" t="str">
        <x:v>Workbook has one obvious starting surface.</x:v>
      </x:c>
      <x:c r="D17" s="1962" t="str">
        <x:v>Tab names alone require prior knowledge; README is deep in the workbook.</x:v>
      </x:c>
      <x:c r="E17" s="60" t="str">
        <x:v>Transform 00_Dashboard into Start Here, add GOAL/PROBLEM, App UX Plan, Feed Schema, Glossary and Release Gates sheets.</x:v>
      </x:c>
      <x:c r="F17" s="60" t="str">
        <x:v>User can operate from Dashboard -&gt; Setup -&gt; Daily -&gt; Mix -&gt; Log without reading every sheet.</x:v>
      </x:c>
      <x:c r="G17" s="60" t="str">
        <x:v>v8 workbook review</x:v>
      </x:c>
      <x:c r="H17" s="60" t="str">
        <x:v>FIXED XLSX v9</x:v>
      </x:c>
    </x:row>
    <x:row r="18" ht="54" customHeight="1">
      <x:c r="A18" s="2338" t="str">
        <x:v>P2</x:v>
      </x:c>
      <x:c r="B18" s="60" t="str">
        <x:v>Data lineage</x:v>
      </x:c>
      <x:c r="C18" s="1880" t="str">
        <x:v>Every measurement carries origin and transformation history.</x:v>
      </x:c>
      <x:c r="D18" s="1962" t="str">
        <x:v>Current product spec distinguishes data states but not full metrology lineage.</x:v>
      </x:c>
      <x:c r="E18" s="60" t="str">
        <x:v>Add source, method, timestamp, unit, precision, device, calibration, transform/formula version, supersession.</x:v>
      </x:c>
      <x:c r="F18" s="60" t="str">
        <x:v>Derived values are reproducible from stored inputs/version.</x:v>
      </x:c>
      <x:c r="G18" s="60" t="str">
        <x:v>system gap analysis</x:v>
      </x:c>
      <x:c r="H18" s="60" t="str">
        <x:v>APP P2</x:v>
      </x:c>
    </x:row>
    <x:row r="19" ht="54" customHeight="1">
      <x:c r="A19" s="2338" t="str">
        <x:v>P2</x:v>
      </x:c>
      <x:c r="B19" s="60" t="str">
        <x:v>Failure UX</x:v>
      </x:c>
      <x:c r="C19" s="1880" t="str">
        <x:v>The system explains why it cannot decide.</x:v>
      </x:c>
      <x:c r="D19" s="1962" t="str">
        <x:v>A blocked/unknown state can look like a missing feature rather than an intentional safety result.</x:v>
      </x:c>
      <x:c r="E19" s="60" t="str">
        <x:v>Dedicated failure states: what is missing, why it matters, how to resolve, safe fallback, retry.</x:v>
      </x:c>
      <x:c r="F19" s="60" t="str">
        <x:v>No empty state without reason/action.</x:v>
      </x:c>
      <x:c r="G19" s="60" t="str">
        <x:v>safety engineering backlog</x:v>
      </x:c>
      <x:c r="H19" s="60" t="str">
        <x:v>APP P2</x:v>
      </x:c>
    </x:row>
    <x:row r="20" ht="54" customHeight="1">
      <x:c r="A20" s="2338" t="str">
        <x:v>P2</x:v>
      </x:c>
      <x:c r="B20" s="60" t="str">
        <x:v>Persistence/recovery</x:v>
      </x:c>
      <x:c r="C20" s="1880" t="str">
        <x:v>Run history survives browser/device failure and schema upgrades.</x:v>
      </x:c>
      <x:c r="D20" s="1962" t="str">
        <x:v>Current app only persists lens/day/theme in localStorage; no run repository, backup or migrations.</x:v>
      </x:c>
      <x:c r="E20" s="60" t="str">
        <x:v>Versioned local repository, migrations, export/import archive, restore test, later optional encrypted sync.</x:v>
      </x:c>
      <x:c r="F20" s="60" t="str">
        <x:v>Recovery drill restores a run and event history on a clean profile.</x:v>
      </x:c>
      <x:c r="G20" s="60" t="str">
        <x:v>docs/ARCHITECTURE.md; docs/SECURITY.md</x:v>
      </x:c>
      <x:c r="H20" s="60" t="str">
        <x:v>APP P2</x:v>
      </x:c>
    </x:row>
    <x:row r="21" ht="54" customHeight="1">
      <x:c r="A21" s="2338" t="str">
        <x:v>P2</x:v>
      </x:c>
      <x:c r="B21" s="60" t="str">
        <x:v>Learning/comparison</x:v>
      </x:c>
      <x:c r="C21" s="1880" t="str">
        <x:v>History informs the user without claiming causation.</x:v>
      </x:c>
      <x:c r="D21" s="1962" t="str">
        <x:v>No structured retrospective, personal baseline or experiment ledger exists.</x:v>
      </x:c>
      <x:c r="E21" s="60" t="str">
        <x:v>Run retrospective, saved comparisons, personal medians/deviations, experiment hypothesis/control/variable/result.</x:v>
      </x:c>
      <x:c r="F21" s="60" t="str">
        <x:v>UI labels association != causation; low-n data never auto-optimizes targets.</x:v>
      </x:c>
      <x:c r="G21" s="60" t="str">
        <x:v>long-term roadmap</x:v>
      </x:c>
      <x:c r="H21" s="60" t="str">
        <x:v>APP P2</x:v>
      </x:c>
    </x:row>
    <x:row r="22" ht="54" customHeight="1">
      <x:c r="A22" s="2338" t="str">
        <x:v>P3</x:v>
      </x:c>
      <x:c r="B22" s="60" t="str">
        <x:v>Sensors</x:v>
      </x:c>
      <x:c r="C22" s="1880" t="str">
        <x:v>Sensor data enters through a normalized trust layer.</x:v>
      </x:c>
      <x:c r="D22" s="1962" t="str">
        <x:v>No live gateway exists; future sensors could be mistaken for authoritative live truth.</x:v>
      </x:c>
      <x:c r="E22" s="60" t="str">
        <x:v>Provider -&gt; adapter -&gt; normalization -&gt; measurement event -&gt; trust/calibration state.</x:v>
      </x:c>
      <x:c r="F22" s="60" t="str">
        <x:v>Every sensor value carries VALID/STALE/UNVERIFIED/CALIBRATION_DUE/OUTLIER/etc.</x:v>
      </x:c>
      <x:c r="G22" s="60" t="str">
        <x:v>capability roadmap</x:v>
      </x:c>
      <x:c r="H22" s="60" t="str">
        <x:v>APP P3</x:v>
      </x:c>
    </x:row>
    <x:row r="23" ht="54" customHeight="1">
      <x:c r="A23" s="2338" t="str">
        <x:v>P4</x:v>
      </x:c>
      <x:c r="B23" s="60" t="str">
        <x:v>Automation</x:v>
      </x:c>
      <x:c r="C23" s="1880" t="str">
        <x:v>Automation is reversible, acknowledged and verified.</x:v>
      </x:c>
      <x:c r="D23" s="1962" t="str">
        <x:v>Direct device control would create high-risk silent actions if added too early.</x:v>
      </x:c>
      <x:c r="E23" s="60" t="str">
        <x:v>REQUESTED -&gt; VALIDATED -&gt; USER CONFIRMED -&gt; SENT -&gt; ACKNOWLEDGED -&gt; VERIFIED; safe states for failure.</x:v>
      </x:c>
      <x:c r="F23" s="60" t="str">
        <x:v>No automatic dosing in initial automation release.</x:v>
      </x:c>
      <x:c r="G23" s="60" t="str">
        <x:v>automation safety plan</x:v>
      </x:c>
      <x:c r="H23" s="60" t="str">
        <x:v>APP P4</x:v>
      </x:c>
    </x:row>
    <x:row r="24" ht="56" customHeight="1">
      <x:c r="A24" s="60" t="str">
        <x:v>P1</x:v>
      </x:c>
      <x:c r="B24" s="60" t="str">
        <x:v>Terminology</x:v>
      </x:c>
      <x:c r="C24" s="60" t="str">
        <x:v>Fachbegriffe are understandable at the point of use without losing technical precision.</x:v>
      </x:c>
      <x:c r="D24" s="60" t="str">
        <x:v>Abbreviations and English/engineering labels such as PPFD, DLI, VPD, LF, Bloom-Tag, Conditional and Coverage can interrupt workflow comprehension.</x:v>
      </x:c>
      <x:c r="E24" s="60" t="str">
        <x:v>Display plain German first, canonical abbreviation second; local 1-2 sentence explanation; full technical definition via context help.</x:v>
      </x:c>
      <x:c r="F24" s="60" t="str">
        <x:v>Every operator-facing technical abbreviation has an inline plain-language label or nearby explanation; no unexplained acronym in Guided.</x:v>
      </x:c>
      <x:c r="G24" s="60" t="str">
        <x:v>34_CONTEXT_HELP_MAP + 36-39 operator sheets</x:v>
      </x:c>
      <x:c r="H24" s="60" t="str">
        <x:v>FIXED XLSX/PDF v10 / APP P1</x:v>
      </x:c>
    </x:row>
    <x:row r="25" ht="56" customHeight="1">
      <x:c r="A25" s="60" t="str">
        <x:v>P1</x:v>
      </x:c>
      <x:c r="B25" s="60" t="str">
        <x:v>Section discoverability</x:v>
      </x:c>
      <x:c r="C25" s="60" t="str">
        <x:v>Every section states purpose, action and where to look next.</x:v>
      </x:c>
      <x:c r="D25" s="60" t="str">
        <x:v>Users can understand individual data but still not know which section is for setup, today's action, mixing, logging, diagnosis or evidence.</x:v>
      </x:c>
      <x:c r="E25" s="60" t="str">
        <x:v>Add section-purpose banner, 'Here you do / here not', task-to-section map and consistent breadcrumbs.</x:v>
      </x:c>
      <x:c r="F25" s="60" t="str">
        <x:v>A first-time user can answer 'where do I enter/learn/check this?' without scanning all tabs/routes.</x:v>
      </x:c>
      <x:c r="G25" s="60" t="str">
        <x:v>35_SECTION_GUIDE + Dashboard</x:v>
      </x:c>
      <x:c r="H25" s="60" t="str">
        <x:v>FIXED XLSX/PDF v10 / APP P1</x:v>
      </x:c>
    </x:row>
    <x:row r="26" ht="56" customHeight="1">
      <x:c r="A26" s="60" t="str">
        <x:v>P1</x:v>
      </x:c>
      <x:c r="B26" s="60" t="str">
        <x:v>Visual language</x:v>
      </x:c>
      <x:c r="C26" s="60" t="str">
        <x:v>Color and iconography reinforce meaning instead of decorating it.</x:v>
      </x:c>
      <x:c r="D26" s="60" t="str">
        <x:v>Color can become ambiguous or inaccessible if it is the only carrier of state.</x:v>
      </x:c>
      <x:c r="E26" s="60" t="str">
        <x:v>Stable semantic colors + text labels + icon keys; green=action/known, blue=information/targets, amber=check/conditional, red=stop/blocker, purple=evidence/experiment.</x:v>
      </x:c>
      <x:c r="F26" s="60" t="str">
        <x:v>All status meaning remains understandable in grayscale and to screen-reader/keyboard users.</x:v>
      </x:c>
      <x:c r="G26" s="60" t="str">
        <x:v>v10 design system</x:v>
      </x:c>
      <x:c r="H26" s="60" t="str">
        <x:v>FIXED PDF/XLSX v10 / APP P1</x:v>
      </x:c>
    </x:row>
    <x:row r="27" ht="56" customHeight="1">
      <x:c r="A27" s="60" t="str">
        <x:v>P1</x:v>
      </x:c>
      <x:c r="B27" s="60" t="str">
        <x:v>Local help</x:v>
      </x:c>
      <x:c r="C27" s="60" t="str">
        <x:v>Help appears where a decision is made, not only in a separate glossary.</x:v>
      </x:c>
      <x:c r="D27" s="60" t="str">
        <x:v>A glossary alone forces context switching; current route-level HELP is too coarse.</x:v>
      </x:c>
      <x:c r="E27" s="60" t="str">
        <x:v>Add page/section-specific term chips, 'What does this mean?' callouts and direct pointers to full glossary/source.</x:v>
      </x:c>
      <x:c r="F27" s="60" t="str">
        <x:v>Today, Setup, Mix, Log and PDF daily pages expose relevant definitions locally.</x:v>
      </x:c>
      <x:c r="G27" s="60" t="str">
        <x:v>34_CONTEXT_HELP_MAP + operator sheets</x:v>
      </x:c>
      <x:c r="H27" s="60" t="str">
        <x:v>FIXED XLSX/PDF v10 / APP P1</x:v>
      </x:c>
    </x:row>
    <x:row r="28" ht="56" customHeight="1">
      <x:c r="A28" s="60" t="str">
        <x:v>P1</x:v>
      </x:c>
      <x:c r="B28" s="60" t="str">
        <x:v>Operator vs canonical view</x:v>
      </x:c>
      <x:c r="C28" s="60" t="str">
        <x:v>Simple display does not break machine-readable canonical keys.</x:v>
      </x:c>
      <x:c r="D28" s="60" t="str">
        <x:v>Renaming master columns for readability could break formulas/importers and provenance.</x:v>
      </x:c>
      <x:c r="E28" s="60" t="str">
        <x:v>Keep canonical master sheets/keys unchanged; add operator-facing views and display-label mapping.</x:v>
      </x:c>
      <x:c r="F28" s="60" t="str">
        <x:v>App import continues to consume canonical keys while UI renders human display labels.</x:v>
      </x:c>
      <x:c r="G28" s="60" t="str">
        <x:v>Master sheets + 34_CONTEXT_HELP_MAP</x:v>
      </x:c>
      <x:c r="H28" s="60" t="str">
        <x:v>FIXED XLSX v10 / APP contract</x:v>
      </x:c>
    </x:row>
    <x:row r="29" ht="56" customHeight="1">
      <x:c r="A29" s="60" t="str">
        <x:v>P2</x:v>
      </x:c>
      <x:c r="B29" s="60" t="str">
        <x:v>Visual reference integrity</x:v>
      </x:c>
      <x:c r="C29" s="60" t="str">
        <x:v>Generated/web graphics never silently become scientific source.</x:v>
      </x:c>
      <x:c r="D29" s="60" t="str">
        <x:v>Decorative or generated feeding graphics can contain plausible but incorrect numeric values.</x:v>
      </x:c>
      <x:c r="E29" s="60" t="str">
        <x:v>Separate visual-concept assets from canonical data graphics; exact diagrams are generated from workbook data; external images require source/scope labels.</x:v>
      </x:c>
      <x:c r="F29" s="60" t="str">
        <x:v>Every figure states whether it is canonical data, manufacturer reference or illustrative concept.</x:v>
      </x:c>
      <x:c r="G29" s="60" t="str">
        <x:v>v10 PDF figure policy</x:v>
      </x:c>
      <x:c r="H29" s="60" t="str">
        <x:v>FIXED PDF v10</x:v>
      </x:c>
    </x:row>
  </x:sheetData>
  <x:pageMargins left="0.7" right="0.7" top="0.75" bottom="0.75" header="0.3" footer="0.3"/>
</x:worksheet>
</file>

<file path=xl/worksheets/sheet3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8" hidden="0" customWidth="1"/>
    <x:col min="3" max="3" width="34" hidden="0" customWidth="1"/>
    <x:col min="4" max="4" width="40" hidden="0" customWidth="1"/>
    <x:col min="5" max="5" width="12" hidden="0" customWidth="1"/>
    <x:col min="6" max="6" width="12" hidden="0" customWidth="1"/>
    <x:col min="7" max="7" width="12" hidden="0" customWidth="1"/>
    <x:col min="8" max="8" width="24" hidden="0" customWidth="1"/>
    <x:col min="9" max="9" width="18" hidden="0" customWidth="1"/>
    <x:col min="10" max="10" width="38" hidden="0" customWidth="1"/>
  </x:cols>
  <x:sheetData>
    <x:row r="1">
      <x:c r="A1" s="2348" t="str">
        <x:v>Route / Feature</x:v>
      </x:c>
      <x:c r="B1" s="2348" t="str">
        <x:v>Current source truth</x:v>
      </x:c>
      <x:c r="C1" s="2348" t="str">
        <x:v>/GOAL</x:v>
      </x:c>
      <x:c r="D1" s="2348" t="str">
        <x:v>/PROBLEM</x:v>
      </x:c>
      <x:c r="E1" s="2348" t="str">
        <x:v>Guided</x:v>
      </x:c>
      <x:c r="F1" s="2348" t="str">
        <x:v>Advanced</x:v>
      </x:c>
      <x:c r="G1" s="2348" t="str">
        <x:v>Expert</x:v>
      </x:c>
      <x:c r="H1" s="2348" t="str">
        <x:v>Primary CTA</x:v>
      </x:c>
      <x:c r="I1" s="2348" t="str">
        <x:v>Implementation</x:v>
      </x:c>
      <x:c r="J1" s="2348" t="str">
        <x:v>Acceptance</x:v>
      </x:c>
    </x:row>
    <x:row r="2" ht="50" customHeight="1">
      <x:c r="A2" s="60" t="str">
        <x:v>Cockpit</x:v>
      </x:c>
      <x:c r="B2" s="60" t="str">
        <x:v>Implemented route</x:v>
      </x:c>
      <x:c r="C2" s="60" t="str">
        <x:v>One prioritized operating overview.</x:v>
      </x:c>
      <x:c r="D2" s="60" t="str">
        <x:v>Metrics and panels compete with the next action.</x:v>
      </x:c>
      <x:c r="E2" s="60" t="str">
        <x:v>VISIBLE</x:v>
      </x:c>
      <x:c r="F2" s="60" t="str">
        <x:v>VISIBLE</x:v>
      </x:c>
      <x:c r="G2" s="60" t="str">
        <x:v>VISIBLE</x:v>
      </x:c>
      <x:c r="H2" s="60" t="str">
        <x:v>Heute prüfen</x:v>
      </x:c>
      <x:c r="I2" s="60" t="str">
        <x:v>REDESIGN P1</x:v>
      </x:c>
      <x:c r="J2" s="60" t="str">
        <x:v>Top: attention + max 3 tasks + blocker; analytics below.</x:v>
      </x:c>
    </x:row>
    <x:row r="3" ht="50" customHeight="1">
      <x:c r="A3" s="60" t="str">
        <x:v>Heute</x:v>
      </x:c>
      <x:c r="B3" s="60" t="str">
        <x:v>Implemented route</x:v>
      </x:c>
      <x:c r="C3" s="60" t="str">
        <x:v>Complete but action-first daily card.</x:v>
      </x:c>
      <x:c r="D3" s="60" t="str">
        <x:v>Dense data can become a table reading exercise.</x:v>
      </x:c>
      <x:c r="E3" s="60" t="str">
        <x:v>VISIBLE</x:v>
      </x:c>
      <x:c r="F3" s="60" t="str">
        <x:v>VISIBLE</x:v>
      </x:c>
      <x:c r="G3" s="60" t="str">
        <x:v>VISIBLE</x:v>
      </x:c>
      <x:c r="H3" s="60" t="str">
        <x:v>Messen / Aufgabe abschließen</x:v>
      </x:c>
      <x:c r="I3" s="60" t="str">
        <x:v>REDESIGN P1</x:v>
      </x:c>
      <x:c r="J3" s="60" t="str">
        <x:v>Must / Measure / Observe / Optional sections; provenance on demand.</x:v>
      </x:c>
    </x:row>
    <x:row r="4" ht="50" customHeight="1">
      <x:c r="A4" s="60" t="str">
        <x:v>Setup</x:v>
      </x:c>
      <x:c r="B4" s="60" t="str">
        <x:v>NOT a current route</x:v>
      </x:c>
      <x:c r="C4" s="60" t="str">
        <x:v>Collect known/unknown setup facts before activation.</x:v>
      </x:c>
      <x:c r="D4" s="60" t="str">
        <x:v>Proposal assumes Setup exists; current app only has workbook Run Config/raw snapshot.</x:v>
      </x:c>
      <x:c r="E4" s="60" t="str">
        <x:v>VISIBLE</x:v>
      </x:c>
      <x:c r="F4" s="60" t="str">
        <x:v>VISIBLE</x:v>
      </x:c>
      <x:c r="G4" s="60" t="str">
        <x:v>VISIBLE</x:v>
      </x:c>
      <x:c r="H4" s="60" t="str">
        <x:v>Run aktivieren</x:v>
      </x:c>
      <x:c r="I4" s="60" t="str">
        <x:v>NEW P1</x:v>
      </x:c>
      <x:c r="J4" s="60" t="str">
        <x:v>Wizard + readiness + immutable RunConfigurationSnapshot.</x:v>
      </x:c>
    </x:row>
    <x:row r="5" ht="50" customHeight="1">
      <x:c r="A5" s="60" t="str">
        <x:v>Mischlabor</x:v>
      </x:c>
      <x:c r="B5" s="60" t="str">
        <x:v>Implemented route</x:v>
      </x:c>
      <x:c r="C5" s="60" t="str">
        <x:v>Resolve only today's safe active stack.</x:v>
      </x:c>
      <x:c r="D5" s="60" t="str">
        <x:v>Reference products and experimental modules can distract from operative mix.</x:v>
      </x:c>
      <x:c r="E5" s="60" t="str">
        <x:v>VISIBLE</x:v>
      </x:c>
      <x:c r="F5" s="60" t="str">
        <x:v>VISIBLE</x:v>
      </x:c>
      <x:c r="G5" s="60" t="str">
        <x:v>VISIBLE</x:v>
      </x:c>
      <x:c r="H5" s="60" t="str">
        <x:v>Batch berechnen</x:v>
      </x:c>
      <x:c r="I5" s="60" t="str">
        <x:v>REDESIGN P1</x:v>
      </x:c>
      <x:c r="J5" s="60" t="str">
        <x:v>Only resolved active/conditional/blocked items; source and sequence visible.</x:v>
      </x:c>
    </x:row>
    <x:row r="6" ht="50" customHeight="1">
      <x:c r="A6" s="60" t="str">
        <x:v>Log / Journal</x:v>
      </x:c>
      <x:c r="B6" s="60" t="str">
        <x:v>NOT a current route</x:v>
      </x:c>
      <x:c r="C6" s="60" t="str">
        <x:v>Capture what actually happened.</x:v>
      </x:c>
      <x:c r="D6" s="60" t="str">
        <x:v>Proposal assumes Log exists; current app has no persistent run event log.</x:v>
      </x:c>
      <x:c r="E6" s="60" t="str">
        <x:v>VISIBLE</x:v>
      </x:c>
      <x:c r="F6" s="60" t="str">
        <x:v>VISIBLE</x:v>
      </x:c>
      <x:c r="G6" s="60" t="str">
        <x:v>VISIBLE</x:v>
      </x:c>
      <x:c r="H6" s="60" t="str">
        <x:v>Ereignis erfassen</x:v>
      </x:c>
      <x:c r="I6" s="60" t="str">
        <x:v>NEW P1</x:v>
      </x:c>
      <x:c r="J6" s="60" t="str">
        <x:v>Fast actions: measurement/photo/watering/feed/observation/task; versioned storage.</x:v>
      </x:c>
    </x:row>
    <x:row r="7" ht="50" customHeight="1">
      <x:c r="A7" s="60" t="str">
        <x:v>Zeitachse</x:v>
      </x:c>
      <x:c r="B7" s="60" t="str">
        <x:v>Implemented route</x:v>
      </x:c>
      <x:c r="C7" s="60" t="str">
        <x:v>Show phase, triggers, next transition and deviations.</x:v>
      </x:c>
      <x:c r="D7" s="60" t="str">
        <x:v>81-day detail can be overwhelming in Guided.</x:v>
      </x:c>
      <x:c r="E7" s="60" t="str">
        <x:v>VISIBLE</x:v>
      </x:c>
      <x:c r="F7" s="60" t="str">
        <x:v>VISIBLE</x:v>
      </x:c>
      <x:c r="G7" s="60" t="str">
        <x:v>VISIBLE</x:v>
      </x:c>
      <x:c r="H7" s="60" t="str">
        <x:v>Nächsten Trigger prüfen</x:v>
      </x:c>
      <x:c r="I7" s="60" t="str">
        <x:v>REDESIGN P1</x:v>
      </x:c>
      <x:c r="J7" s="60" t="str">
        <x:v>Guided phase bands + +/-3 days; Advanced full 81 days; Expert raw trace.</x:v>
      </x:c>
    </x:row>
    <x:row r="8" ht="50" customHeight="1">
      <x:c r="A8" s="60" t="str">
        <x:v>Klima &amp; Licht</x:v>
      </x:c>
      <x:c r="B8" s="60" t="str">
        <x:v>Implemented route</x:v>
      </x:c>
      <x:c r="C8" s="60" t="str">
        <x:v>Explain targets vs measured trends.</x:v>
      </x:c>
      <x:c r="D8" s="60" t="str">
        <x:v>Currently plan-centric; no real measured stream.</x:v>
      </x:c>
      <x:c r="E8" s="60" t="str">
        <x:v>MORE</x:v>
      </x:c>
      <x:c r="F8" s="60" t="str">
        <x:v>VISIBLE</x:v>
      </x:c>
      <x:c r="G8" s="60" t="str">
        <x:v>VISIBLE</x:v>
      </x:c>
      <x:c r="H8" s="60" t="str">
        <x:v>Messung hinzufügen</x:v>
      </x:c>
      <x:c r="I8" s="60" t="str">
        <x:v>P2 DATA</x:v>
      </x:c>
      <x:c r="J8" s="60" t="str">
        <x:v>Never label simulated/target values as live.</x:v>
      </x:c>
    </x:row>
    <x:row r="9" ht="50" customHeight="1">
      <x:c r="A9" s="60" t="str">
        <x:v>Nährstoffsystem</x:v>
      </x:c>
      <x:c r="B9" s="60" t="str">
        <x:v>Implemented route</x:v>
      </x:c>
      <x:c r="C9" s="60" t="str">
        <x:v>Explain canonical stack and alternatives.</x:v>
      </x:c>
      <x:c r="D9" s="60" t="str">
        <x:v>Can look like a shopping/catalog view rather than a resolved system.</x:v>
      </x:c>
      <x:c r="E9" s="60" t="str">
        <x:v>MORE</x:v>
      </x:c>
      <x:c r="F9" s="60" t="str">
        <x:v>VISIBLE</x:v>
      </x:c>
      <x:c r="G9" s="60" t="str">
        <x:v>VISIBLE</x:v>
      </x:c>
      <x:c r="H9" s="60" t="str">
        <x:v>Stack erklären</x:v>
      </x:c>
      <x:c r="I9" s="60" t="str">
        <x:v>P1</x:v>
      </x:c>
      <x:c r="J9" s="60" t="str">
        <x:v>Show core / conditional / alternative / experimental / blocked.</x:v>
      </x:c>
    </x:row>
    <x:row r="10" ht="50" customHeight="1">
      <x:c r="A10" s="60" t="str">
        <x:v>Produkte</x:v>
      </x:c>
      <x:c r="B10" s="60" t="str">
        <x:v>Implemented route</x:v>
      </x:c>
      <x:c r="C10" s="60" t="str">
        <x:v>Reference catalog with provenance.</x:v>
      </x:c>
      <x:c r="D10" s="60" t="str">
        <x:v>Not needed for every Guided task.</x:v>
      </x:c>
      <x:c r="E10" s="60" t="str">
        <x:v>MORE</x:v>
      </x:c>
      <x:c r="F10" s="60" t="str">
        <x:v>VISIBLE</x:v>
      </x:c>
      <x:c r="G10" s="60" t="str">
        <x:v>VISIBLE</x:v>
      </x:c>
      <x:c r="H10" s="60" t="str">
        <x:v>Produkt nachschlagen</x:v>
      </x:c>
      <x:c r="I10" s="60" t="str">
        <x:v>KEEP</x:v>
      </x:c>
      <x:c r="J10" s="60" t="str">
        <x:v>Guided entry via context links, not primary nav.</x:v>
      </x:c>
    </x:row>
    <x:row r="11" ht="50" customHeight="1">
      <x:c r="A11" s="60" t="str">
        <x:v>Kompatibilität</x:v>
      </x:c>
      <x:c r="B11" s="60" t="str">
        <x:v>Implemented route</x:v>
      </x:c>
      <x:c r="C11" s="60" t="str">
        <x:v>Explain conflicts and replacements.</x:v>
      </x:c>
      <x:c r="D11" s="60" t="str">
        <x:v>Matrix is expert-heavy.</x:v>
      </x:c>
      <x:c r="E11" s="60" t="str">
        <x:v>MORE</x:v>
      </x:c>
      <x:c r="F11" s="60" t="str">
        <x:v>VISIBLE</x:v>
      </x:c>
      <x:c r="G11" s="60" t="str">
        <x:v>VISIBLE</x:v>
      </x:c>
      <x:c r="H11" s="60" t="str">
        <x:v>Konflikt prüfen</x:v>
      </x:c>
      <x:c r="I11" s="60" t="str">
        <x:v>KEEP</x:v>
      </x:c>
      <x:c r="J11" s="60" t="str">
        <x:v>Action links from Mix/Today.</x:v>
      </x:c>
    </x:row>
    <x:row r="12" ht="50" customHeight="1">
      <x:c r="A12" s="60" t="str">
        <x:v>Diagnose</x:v>
      </x:c>
      <x:c r="B12" s="60" t="str">
        <x:v>Implemented route</x:v>
      </x:c>
      <x:c r="C12" s="60" t="str">
        <x:v>Measurement-first triage.</x:v>
      </x:c>
      <x:c r="D12" s="60" t="str">
        <x:v>Risk of symptom guessing without measurements.</x:v>
      </x:c>
      <x:c r="E12" s="60" t="str">
        <x:v>MORE</x:v>
      </x:c>
      <x:c r="F12" s="60" t="str">
        <x:v>VISIBLE</x:v>
      </x:c>
      <x:c r="G12" s="60" t="str">
        <x:v>VISIBLE</x:v>
      </x:c>
      <x:c r="H12" s="60" t="str">
        <x:v>Messung erfassen</x:v>
      </x:c>
      <x:c r="I12" s="60" t="str">
        <x:v>P1/P2</x:v>
      </x:c>
      <x:c r="J12" s="60" t="str">
        <x:v>No diagnosis-as-fact; confidence, missing inputs and safe action.</x:v>
      </x:c>
    </x:row>
    <x:row r="13" ht="50" customHeight="1">
      <x:c r="A13" s="60" t="str">
        <x:v>Wissen &amp; Quellen</x:v>
      </x:c>
      <x:c r="B13" s="60" t="str">
        <x:v>Implemented route</x:v>
      </x:c>
      <x:c r="C13" s="60" t="str">
        <x:v>Context wiki and evidence drill-down.</x:v>
      </x:c>
      <x:c r="D13" s="60" t="str">
        <x:v>Current HELP is route-level, not concept-level.</x:v>
      </x:c>
      <x:c r="E13" s="60" t="str">
        <x:v>MORE</x:v>
      </x:c>
      <x:c r="F13" s="60" t="str">
        <x:v>VISIBLE</x:v>
      </x:c>
      <x:c r="G13" s="60" t="str">
        <x:v>VISIBLE</x:v>
      </x:c>
      <x:c r="H13" s="60" t="str">
        <x:v>Warum? öffnen</x:v>
      </x:c>
      <x:c r="I13" s="60" t="str">
        <x:v>P1</x:v>
      </x:c>
      <x:c r="J13" s="60" t="str">
        <x:v>Term pages + source scope + uncertainty + related concepts.</x:v>
      </x:c>
    </x:row>
    <x:row r="14" ht="50" customHeight="1">
      <x:c r="A14" s="60" t="str">
        <x:v>Audit Center</x:v>
      </x:c>
      <x:c r="B14" s="60" t="str">
        <x:v>Implemented route</x:v>
      </x:c>
      <x:c r="C14" s="60" t="str">
        <x:v>Expose corrections and unresolved risks.</x:v>
      </x:c>
      <x:c r="D14" s="60" t="str">
        <x:v>Too much for daily Guided operation.</x:v>
      </x:c>
      <x:c r="E14" s="60" t="str">
        <x:v>MORE</x:v>
      </x:c>
      <x:c r="F14" s="60" t="str">
        <x:v>VISIBLE</x:v>
      </x:c>
      <x:c r="G14" s="60" t="str">
        <x:v>VISIBLE</x:v>
      </x:c>
      <x:c r="H14" s="60" t="str">
        <x:v>Finding öffnen</x:v>
      </x:c>
      <x:c r="I14" s="60" t="str">
        <x:v>KEEP</x:v>
      </x:c>
      <x:c r="J14" s="60" t="str">
        <x:v>Persistent critical audit badge; deep details out of Guided primary nav.</x:v>
      </x:c>
    </x:row>
    <x:row r="15" ht="50" customHeight="1">
      <x:c r="A15" s="60" t="str">
        <x:v>Rohdaten</x:v>
      </x:c>
      <x:c r="B15" s="60" t="str">
        <x:v>Implemented route</x:v>
      </x:c>
      <x:c r="C15" s="60" t="str">
        <x:v>Full transparent source/formula view.</x:v>
      </x:c>
      <x:c r="D15" s="60" t="str">
        <x:v>Only useful for advanced auditing.</x:v>
      </x:c>
      <x:c r="E15" s="60" t="str">
        <x:v>MORE</x:v>
      </x:c>
      <x:c r="F15" s="60" t="str">
        <x:v>MORE</x:v>
      </x:c>
      <x:c r="G15" s="60" t="str">
        <x:v>VISIBLE</x:v>
      </x:c>
      <x:c r="H15" s="60" t="str">
        <x:v>Quelle / Formel öffnen</x:v>
      </x:c>
      <x:c r="I15" s="60" t="str">
        <x:v>KEEP</x:v>
      </x:c>
      <x:c r="J15" s="60" t="str">
        <x:v>Expert-only primary nav, still reachable through source links.</x:v>
      </x:c>
    </x:row>
    <x:row r="16">
      <x:c r="A16" s="60"/>
      <x:c r="B16" s="60"/>
      <x:c r="C16" s="60"/>
      <x:c r="D16" s="60"/>
      <x:c r="E16" s="60"/>
      <x:c r="F16" s="60"/>
      <x:c r="G16" s="60"/>
      <x:c r="H16" s="60"/>
      <x:c r="I16" s="60"/>
      <x:c r="J16" s="60"/>
    </x:row>
    <x:row r="17">
      <x:c r="A17" s="60"/>
      <x:c r="B17" s="60"/>
      <x:c r="C17" s="60"/>
      <x:c r="D17" s="60"/>
      <x:c r="E17" s="60"/>
      <x:c r="F17" s="60"/>
      <x:c r="G17" s="60"/>
      <x:c r="H17" s="60"/>
      <x:c r="I17" s="60"/>
      <x:c r="J17" s="60"/>
    </x:row>
    <x:row r="18">
      <x:c r="A18" s="2348" t="str">
        <x:v>SOURCE CORRECTIONS TO THE PROPOSED REDESIGN</x:v>
      </x:c>
      <x:c r="B18" s="2348"/>
      <x:c r="C18" s="2348"/>
      <x:c r="D18" s="2348"/>
      <x:c r="E18" s="2348"/>
      <x:c r="F18" s="2348"/>
      <x:c r="G18" s="2348"/>
      <x:c r="H18" s="2348"/>
      <x:c r="I18" s="2348"/>
      <x:c r="J18" s="2348"/>
    </x:row>
    <x:row r="19">
      <x:c r="A19" s="1962" t="str">
        <x:v>Navigation count</x:v>
      </x:c>
      <x:c r="B19" s="60" t="str">
        <x:v>Current App.tsx NAV contains 12 routes, not 21.</x:v>
      </x:c>
      <x:c r="C19" s="60" t="str">
        <x:v>Do not design around an invented route count.</x:v>
      </x:c>
      <x:c r="D19" s="60" t="str">
        <x:v>Use actual 12; target becomes 14 after real Setup + Log are implemented.</x:v>
      </x:c>
      <x:c r="E19" s="60"/>
      <x:c r="F19" s="60"/>
      <x:c r="G19" s="60"/>
      <x:c r="H19" s="60"/>
      <x:c r="I19" s="60"/>
      <x:c r="J19" s="60"/>
    </x:row>
    <x:row r="20">
      <x:c r="A20" s="1962" t="str">
        <x:v>Guided core</x:v>
      </x:c>
      <x:c r="B20" s="60" t="str">
        <x:v>Proposed six core views include Setup and Log.</x:v>
      </x:c>
      <x:c r="C20" s="60" t="str">
        <x:v>Both are absent as current routes.</x:v>
      </x:c>
      <x:c r="D20" s="60" t="str">
        <x:v>Implement workflows first; only then expose them as Guided core.</x:v>
      </x:c>
      <x:c r="E20" s="60"/>
      <x:c r="F20" s="60"/>
      <x:c r="G20" s="60"/>
      <x:c r="H20" s="60"/>
      <x:c r="I20" s="60"/>
      <x:c r="J20" s="60"/>
    </x:row>
    <x:row r="21">
      <x:c r="A21" s="1962" t="str">
        <x:v>Sidebar version</x:v>
      </x:c>
      <x:c r="B21" s="60" t="str">
        <x:v>Current source hardcodes v6 / 08.08.2026 / 27 sheets.</x:v>
      </x:c>
      <x:c r="C21" s="60" t="str">
        <x:v>Workbook/PDF are already newer.</x:v>
      </x:c>
      <x:c r="D21" s="60" t="str">
        <x:v>Read version/date/count from a release manifest; never hardcode.</x:v>
      </x:c>
      <x:c r="E21" s="60"/>
      <x:c r="F21" s="60"/>
      <x:c r="G21" s="60"/>
      <x:c r="H21" s="60"/>
      <x:c r="I21" s="60"/>
      <x:c r="J21" s="60"/>
    </x:row>
    <x:row r="22">
      <x:c r="A22" s="1962" t="str">
        <x:v>Daily column description</x:v>
      </x:c>
      <x:c r="B22" s="60" t="str">
        <x:v>HELP text says 45 Daily columns.</x:v>
      </x:c>
      <x:c r="C22" s="60" t="str">
        <x:v>v8 Daily Master has 60 columns.</x:v>
      </x:c>
      <x:c r="D22" s="60" t="str">
        <x:v>App schema/help must be generated from current manifest/DAILY_COLUMNS contract.</x:v>
      </x:c>
      <x:c r="E22" s="60"/>
      <x:c r="F22" s="60"/>
      <x:c r="G22" s="60"/>
      <x:c r="H22" s="60"/>
      <x:c r="I22" s="60"/>
      <x:c r="J22" s="60"/>
    </x:row>
    <x:row r="23">
      <x:c r="A23" s="1962" t="str">
        <x:v>Test count</x:v>
      </x:c>
      <x:c r="B23" s="60" t="str">
        <x:v>Do not hardcode '29 tests green' in UX plan.</x:v>
      </x:c>
      <x:c r="C23" s="60" t="str">
        <x:v>Actual suite composition can change.</x:v>
      </x:c>
      <x:c r="D23" s="60" t="str">
        <x:v>Acceptance criterion is all required CI gates green, with counts generated by CI.</x:v>
      </x:c>
      <x:c r="E23" s="60"/>
      <x:c r="F23" s="60"/>
      <x:c r="G23" s="60"/>
      <x:c r="H23" s="60"/>
      <x:c r="I23" s="60"/>
      <x:c r="J23" s="60"/>
    </x:row>
    <x:row r="24">
      <x:c r="A24" s="60"/>
      <x:c r="B24" s="60"/>
      <x:c r="C24" s="60"/>
      <x:c r="D24" s="60"/>
      <x:c r="E24" s="60"/>
      <x:c r="F24" s="60"/>
      <x:c r="G24" s="60"/>
      <x:c r="H24" s="60"/>
      <x:c r="I24" s="60"/>
      <x:c r="J24" s="60"/>
    </x:row>
    <x:row r="25">
      <x:c r="A25" s="2348" t="str">
        <x:v>IMPLEMENTATION PLAN · USER PROPOSAL + v9 EXTENSIONS</x:v>
      </x:c>
      <x:c r="B25" s="2348"/>
      <x:c r="C25" s="2348"/>
      <x:c r="D25" s="2348"/>
      <x:c r="E25" s="2348"/>
      <x:c r="F25" s="2348"/>
      <x:c r="G25" s="2348"/>
      <x:c r="H25" s="2348"/>
      <x:c r="I25" s="2348"/>
      <x:c r="J25" s="2348"/>
    </x:row>
    <x:row r="26">
      <x:c r="A26" s="60" t="str">
        <x:v>1</x:v>
      </x:c>
      <x:c r="B26" s="60" t="str">
        <x:v>Collapsible navigation groups</x:v>
      </x:c>
      <x:c r="C26" s="60" t="str">
        <x:v>P1</x:v>
      </x:c>
      <x:c r="D26" s="60" t="str">
        <x:v>Keep current 5 semantic groups but collapse inactive groups; Guided only 6 core routes + 'Alle Bereiche'.</x:v>
      </x:c>
      <x:c r="E26" s="60" t="str">
        <x:v>No route becomes inaccessible; active group auto-open.</x:v>
      </x:c>
      <x:c r="F26" s="60"/>
      <x:c r="G26" s="60"/>
      <x:c r="H26" s="60"/>
      <x:c r="I26" s="60"/>
      <x:c r="J26" s="60"/>
    </x:row>
    <x:row r="27">
      <x:c r="A27" s="60" t="str">
        <x:v>2</x:v>
      </x:c>
      <x:c r="B27" s="60" t="str">
        <x:v>Version/branding from manifest</x:v>
      </x:c>
      <x:c r="C27" s="60" t="str">
        <x:v>P0</x:v>
      </x:c>
      <x:c r="D27" s="60" t="str">
        <x:v>Replace hardcoded v6/date/sheet count with manifest fields.</x:v>
      </x:c>
      <x:c r="E27" s="60" t="str">
        <x:v>App, PDF, XLSX release identity identical.</x:v>
      </x:c>
      <x:c r="F27" s="60"/>
      <x:c r="G27" s="60"/>
      <x:c r="H27" s="60"/>
      <x:c r="I27" s="60"/>
      <x:c r="J27" s="60"/>
    </x:row>
    <x:row r="28">
      <x:c r="A28" s="60" t="str">
        <x:v>3</x:v>
      </x:c>
      <x:c r="B28" s="60" t="str">
        <x:v>Cockpit action hierarchy</x:v>
      </x:c>
      <x:c r="C28" s="60" t="str">
        <x:v>P1</x:v>
      </x:c>
      <x:c r="D28" s="60" t="str">
        <x:v>Welcome/phase/progress -&gt; attention -&gt; required tasks -&gt; missing measurements -&gt; blocker -&gt; metrics/charts.</x:v>
      </x:c>
      <x:c r="E28" s="60" t="str">
        <x:v>User identifies next action before scrolling.</x:v>
      </x:c>
      <x:c r="F28" s="60"/>
      <x:c r="G28" s="60"/>
      <x:c r="H28" s="60"/>
      <x:c r="I28" s="60"/>
      <x:c r="J28" s="60"/>
    </x:row>
    <x:row r="29">
      <x:c r="A29" s="60" t="str">
        <x:v>4</x:v>
      </x:c>
      <x:c r="B29" s="60" t="str">
        <x:v>Typography/touch</x:v>
      </x:c>
      <x:c r="C29" s="60" t="str">
        <x:v>P1</x:v>
      </x:c>
      <x:c r="D29" s="60" t="str">
        <x:v>Visible text &gt;=11px; body 13-16px; all interactive targets &gt;=44px.</x:v>
      </x:c>
      <x:c r="E29" s="60" t="str">
        <x:v>200% zoom, keyboard and mobile QA pass.</x:v>
      </x:c>
      <x:c r="F29" s="60"/>
      <x:c r="G29" s="60"/>
      <x:c r="H29" s="60"/>
      <x:c r="I29" s="60"/>
      <x:c r="J29" s="60"/>
    </x:row>
    <x:row r="30">
      <x:c r="A30" s="60" t="str">
        <x:v>5</x:v>
      </x:c>
      <x:c r="B30" s="60" t="str">
        <x:v>Guided mode 2.0</x:v>
      </x:c>
      <x:c r="C30" s="60" t="str">
        <x:v>P1</x:v>
      </x:c>
      <x:c r="D30" s="60" t="str">
        <x:v>Same calculations; reduced density, inline term definitions, one-action-at-a-time option, explain/block reasons.</x:v>
      </x:c>
      <x:c r="E30" s="60" t="str">
        <x:v>No scientific result differs between lenses.</x:v>
      </x:c>
      <x:c r="F30" s="60"/>
      <x:c r="G30" s="60"/>
      <x:c r="H30" s="60"/>
      <x:c r="I30" s="60"/>
      <x:c r="J30" s="60"/>
    </x:row>
    <x:row r="31">
      <x:c r="A31" s="60" t="str">
        <x:v>6</x:v>
      </x:c>
      <x:c r="B31" s="60" t="str">
        <x:v>Context-rich headers</x:v>
      </x:c>
      <x:c r="C31" s="60" t="str">
        <x:v>P1</x:v>
      </x:c>
      <x:c r="D31" s="60" t="str">
        <x:v>Breadcrumb + 2-3 sentence purpose + 'Was kann ich hier tun?' + next-step CTA.</x:v>
      </x:c>
      <x:c r="E31" s="60" t="str">
        <x:v>Every route has what/why/how/interpret and next step.</x:v>
      </x:c>
      <x:c r="F31" s="60"/>
      <x:c r="G31" s="60"/>
      <x:c r="H31" s="60"/>
      <x:c r="I31" s="60"/>
      <x:c r="J31" s="60"/>
    </x:row>
    <x:row r="32">
      <x:c r="A32" s="60" t="str">
        <x:v>7</x:v>
      </x:c>
      <x:c r="B32" s="60" t="str">
        <x:v>First-run onboarding</x:v>
      </x:c>
      <x:c r="C32" s="60" t="str">
        <x:v>P1</x:v>
      </x:c>
      <x:c r="D32" s="60" t="str">
        <x:v>Welcome -&gt; system idea -&gt; setup readiness -&gt; lens -&gt; demo option -&gt; activate run.</x:v>
      </x:c>
      <x:c r="E32" s="60" t="str">
        <x:v>Dismissible but restartable; not stored with sensitive data.</x:v>
      </x:c>
      <x:c r="F32" s="60"/>
      <x:c r="G32" s="60"/>
      <x:c r="H32" s="60"/>
      <x:c r="I32" s="60"/>
      <x:c r="J32" s="60"/>
    </x:row>
    <x:row r="33">
      <x:c r="A33" s="60" t="str">
        <x:v>8</x:v>
      </x:c>
      <x:c r="B33" s="60" t="str">
        <x:v>Semantic grouping/color</x:v>
      </x:c>
      <x:c r="C33" s="60" t="str">
        <x:v>P1</x:v>
      </x:c>
      <x:c r="D33" s="60" t="str">
        <x:v>Operator green, tools blue, library amber, evidence purple, system gray; text/icon always accompanies color.</x:v>
      </x:c>
      <x:c r="E33" s="60" t="str">
        <x:v>WCAG contrast and color-independent meaning.</x:v>
      </x:c>
      <x:c r="F33" s="60"/>
      <x:c r="G33" s="60"/>
      <x:c r="H33" s="60"/>
      <x:c r="I33" s="60"/>
      <x:c r="J33" s="60"/>
    </x:row>
    <x:row r="34">
      <x:c r="A34" s="60" t="str">
        <x:v>9</x:v>
      </x:c>
      <x:c r="B34" s="60" t="str">
        <x:v>Concept tooltip/wiki</x:v>
      </x:c>
      <x:c r="C34" s="60" t="str">
        <x:v>P1</x:v>
      </x:c>
      <x:c r="D34" s="60" t="str">
        <x:v>Tap/focus/hover preview + drill-down; critical meaning inline in Guided.</x:v>
      </x:c>
      <x:c r="E34" s="60" t="str">
        <x:v>No critical content hover-only.</x:v>
      </x:c>
      <x:c r="F34" s="60"/>
      <x:c r="G34" s="60"/>
      <x:c r="H34" s="60"/>
      <x:c r="I34" s="60"/>
      <x:c r="J34" s="60"/>
    </x:row>
    <x:row r="35">
      <x:c r="A35" s="60" t="str">
        <x:v>10</x:v>
      </x:c>
      <x:c r="B35" s="60" t="str">
        <x:v>Setup wizard</x:v>
      </x:c>
      <x:c r="C35" s="60" t="str">
        <x:v>P1</x:v>
      </x:c>
      <x:c r="D35" s="60" t="str">
        <x:v>Experience, units, space, lighting, propagation, root zone, water, nutrients, sensors, review.</x:v>
      </x:c>
      <x:c r="E35" s="60" t="str">
        <x:v>Known/unknown/warning/blocker summary before activation.</x:v>
      </x:c>
      <x:c r="F35" s="60"/>
      <x:c r="G35" s="60"/>
      <x:c r="H35" s="60"/>
      <x:c r="I35" s="60"/>
      <x:c r="J35" s="60"/>
    </x:row>
    <x:row r="36">
      <x:c r="A36" s="60" t="str">
        <x:v>11</x:v>
      </x:c>
      <x:c r="B36" s="60" t="str">
        <x:v>Today/Now 2.0</x:v>
      </x:c>
      <x:c r="C36" s="60" t="str">
        <x:v>P1</x:v>
      </x:c>
      <x:c r="D36" s="60" t="str">
        <x:v>1 attention, &lt;=3 required tasks, measurements, blockers, targets vs actual, observe list, next event.</x:v>
      </x:c>
      <x:c r="E36" s="60" t="str">
        <x:v>First action visible above fold on mobile.</x:v>
      </x:c>
      <x:c r="F36" s="60"/>
      <x:c r="G36" s="60"/>
      <x:c r="H36" s="60"/>
      <x:c r="I36" s="60"/>
      <x:c r="J36" s="60"/>
    </x:row>
    <x:row r="37">
      <x:c r="A37" s="60" t="str">
        <x:v>12</x:v>
      </x:c>
      <x:c r="B37" s="60" t="str">
        <x:v>Journal/event log</x:v>
      </x:c>
      <x:c r="C37" s="60" t="str">
        <x:v>P1</x:v>
      </x:c>
      <x:c r="D37" s="60" t="str">
        <x:v>Measurement, observation, photo, watering, feed batch, training, maintenance, problem, note.</x:v>
      </x:c>
      <x:c r="E37" s="60" t="str">
        <x:v>Corrections supersede; history immutable.</x:v>
      </x:c>
      <x:c r="F37" s="60"/>
      <x:c r="G37" s="60"/>
      <x:c r="H37" s="60"/>
      <x:c r="I37" s="60"/>
      <x:c r="J37" s="60"/>
    </x:row>
    <x:row r="38">
      <x:c r="A38" s="60" t="str">
        <x:v>13</x:v>
      </x:c>
      <x:c r="B38" s="60" t="str">
        <x:v>Single stack compiler</x:v>
      </x:c>
      <x:c r="C38" s="60" t="str">
        <x:v>P0</x:v>
      </x:c>
      <x:c r="D38" s="60" t="str">
        <x:v>Preset + RunSnapshot + phase + measurements + evidence rules -&gt; resolved daily stack.</x:v>
      </x:c>
      <x:c r="E38" s="60" t="str">
        <x:v>Dashboard/Daily/Mix/export parity test.</x:v>
      </x:c>
      <x:c r="F38" s="60"/>
      <x:c r="G38" s="60"/>
      <x:c r="H38" s="60"/>
      <x:c r="I38" s="60"/>
      <x:c r="J38" s="60"/>
    </x:row>
    <x:row r="39">
      <x:c r="A39" s="60" t="str">
        <x:v>14</x:v>
      </x:c>
      <x:c r="B39" s="60" t="str">
        <x:v>Failure UX</x:v>
      </x:c>
      <x:c r="C39" s="60" t="str">
        <x:v>P2</x:v>
      </x:c>
      <x:c r="D39" s="60" t="str">
        <x:v>Blocked/unknown states show missing input, reason, resolution, safe fallback.</x:v>
      </x:c>
      <x:c r="E39" s="60" t="str">
        <x:v>No blank/error state without action.</x:v>
      </x:c>
      <x:c r="F39" s="60"/>
      <x:c r="G39" s="60"/>
      <x:c r="H39" s="60"/>
      <x:c r="I39" s="60"/>
      <x:c r="J39" s="60"/>
    </x:row>
    <x:row r="40">
      <x:c r="A40" s="60" t="str">
        <x:v>15</x:v>
      </x:c>
      <x:c r="B40" s="60" t="str">
        <x:v>Backup/migrations</x:v>
      </x:c>
      <x:c r="C40" s="60" t="str">
        <x:v>P2</x:v>
      </x:c>
      <x:c r="D40" s="60" t="str">
        <x:v>Versioned local repository + export/import + migration/recovery tests.</x:v>
      </x:c>
      <x:c r="E40" s="60" t="str">
        <x:v>Clean-browser restore passes.</x:v>
      </x:c>
      <x:c r="F40" s="60"/>
      <x:c r="G40" s="60"/>
      <x:c r="H40" s="60"/>
      <x:c r="I40" s="60"/>
      <x:c r="J40" s="60"/>
    </x:row>
    <x:row r="41">
      <x:c r="A41" s="60" t="str">
        <x:v>16</x:v>
      </x:c>
      <x:c r="B41" s="60" t="str">
        <x:v>History/experiments</x:v>
      </x:c>
      <x:c r="C41" s="60" t="str">
        <x:v>P2</x:v>
      </x:c>
      <x:c r="D41" s="60" t="str">
        <x:v>Run retrospective, personal baselines, saved comparisons, controlled experiment records.</x:v>
      </x:c>
      <x:c r="E41" s="60" t="str">
        <x:v>Association explicitly separated from causation.</x:v>
      </x:c>
      <x:c r="F41" s="60"/>
      <x:c r="G41" s="60"/>
      <x:c r="H41" s="60"/>
      <x:c r="I41" s="60"/>
      <x:c r="J41" s="60"/>
    </x:row>
    <x:row r="55">
      <x:c r="A55" s="2348" t="str">
        <x:v>VISUAL REFERENCE ONLY — NOT A DOSING SOURCE</x:v>
      </x:c>
      <x:c r="B55" s="2348"/>
      <x:c r="C55" s="2348"/>
      <x:c r="D55" s="2348"/>
      <x:c r="E55" s="2348"/>
      <x:c r="F55" s="2348"/>
      <x:c r="G55" s="2348"/>
      <x:c r="H55" s="2348"/>
      <x:c r="I55" s="2348"/>
      <x:c r="J55" s="2348"/>
    </x:row>
    <x:row r="56">
      <x:c r="A56" s="60" t="str">
        <x:v>User example 1</x:v>
      </x:c>
      <x:c r="B56" s="60" t="str">
        <x:v>https://grower.com.pl/userdata/public/assets/tabele/Advanced%20Nutrients%202021.jpg</x:v>
      </x:c>
      <x:c r="C56" s="60" t="str">
        <x:v>Use: dense feed-chart visual language / phase bands.</x:v>
      </x:c>
      <x:c r="D56" s="60" t="str">
        <x:v>Do not copy numeric values into UKD.</x:v>
      </x:c>
    </x:row>
    <x:row r="57">
      <x:c r="A57" s="60" t="str">
        <x:v>User example 2</x:v>
      </x:c>
      <x:c r="B57" s="60" t="str">
        <x:v>https://tse2.mm.bing.net/th/id/OIP.Q7AQCDAjZv67yaGHUSw_6gHaFQ?r=0&amp;rs=1&amp;pid=ImgDetMain&amp;o=7&amp;rm=3</x:v>
      </x:c>
      <x:c r="C57" s="60" t="str">
        <x:v>Use: feeding-table visual pattern.</x:v>
      </x:c>
      <x:c r="D57" s="60" t="str">
        <x:v>Do not treat image as evidence.</x:v>
      </x:c>
    </x:row>
    <x:row r="58">
      <x:c r="A58" s="60" t="str">
        <x:v>Generated concept asset</x:v>
      </x:c>
      <x:c r="B58" s="60" t="str">
        <x:v>a_high_resolution_flat_graphic_infographic_layou.png</x:v>
      </x:c>
      <x:c r="C58" s="60" t="str">
        <x:v>Use: concept/communication only.</x:v>
      </x:c>
      <x:c r="D58" s="60" t="str">
        <x:v>Generated text/numbers are illustrative; canonical data stays in XLSX/PDF feed schema.</x:v>
      </x:c>
    </x:row>
    <x:row r="60">
      <x:c r="A60" s="2367" t="str">
        <x:v>v10 CONTEXT HELP + VISUAL LANGUAGE CONTRACT</x:v>
      </x:c>
      <x:c r="B60" s="2367"/>
      <x:c r="C60" s="2367"/>
      <x:c r="D60" s="2367"/>
      <x:c r="E60" s="2367"/>
      <x:c r="F60" s="2367"/>
      <x:c r="G60" s="2367"/>
      <x:c r="H60" s="2367"/>
      <x:c r="I60" s="2367"/>
      <x:c r="J60" s="2367"/>
    </x:row>
    <x:row r="61">
      <x:c r="A61" s="60" t="str">
        <x:v>Display terminology</x:v>
      </x:c>
      <x:c r="B61" s="60" t="str">
        <x:v>Plain German first</x:v>
      </x:c>
      <x:c r="C61" s="60" t="str">
        <x:v>Render 'Nährsalzstärke (EC)', not bare 'EC'; 'Luftfeuchtigkeit (rF)', not bare 'LF'.</x:v>
      </x:c>
      <x:c r="D61" s="60" t="str">
        <x:v>Canonical keys stay unchanged in domain/raw data.</x:v>
      </x:c>
      <x:c r="E61" s="60" t="str">
        <x:v>P1</x:v>
      </x:c>
    </x:row>
    <x:row r="62">
      <x:c r="A62" s="60" t="str">
        <x:v>Term help trigger</x:v>
      </x:c>
      <x:c r="B62" s="60" t="str">
        <x:v>On-site</x:v>
      </x:c>
      <x:c r="C62" s="60" t="str">
        <x:v>Small INFO affordance on focus/tap/click; Guided also shows one-line explanation inline.</x:v>
      </x:c>
      <x:c r="D62" s="60" t="str">
        <x:v>No critical meaning only on hover.</x:v>
      </x:c>
      <x:c r="E62" s="60" t="str">
        <x:v>P1</x:v>
      </x:c>
    </x:row>
    <x:row r="63">
      <x:c r="A63" s="60" t="str">
        <x:v>Term help content</x:v>
      </x:c>
      <x:c r="B63" s="60" t="str">
        <x:v>Progressive</x:v>
      </x:c>
      <x:c r="C63" s="60" t="str">
        <x:v>1 line plain -&gt; operational meaning -&gt; unit/example -&gt; common mistake -&gt; what to do if unknown -&gt; full source.</x:v>
      </x:c>
      <x:c r="D63" s="60" t="str">
        <x:v>One shared content model for app/PDF/XLSX.</x:v>
      </x:c>
      <x:c r="E63" s="60" t="str">
        <x:v>P1</x:v>
      </x:c>
    </x:row>
    <x:row r="64">
      <x:c r="A64" s="60" t="str">
        <x:v>Section header</x:v>
      </x:c>
      <x:c r="B64" s="60" t="str">
        <x:v>Purpose first</x:v>
      </x:c>
      <x:c r="C64" s="60" t="str">
        <x:v>Every page/route says: Wofür? Hier machst du. Hier nicht. Wenn du X suchst -&gt; Y.</x:v>
      </x:c>
      <x:c r="D64" s="60" t="str">
        <x:v>Avoid title-only headers.</x:v>
      </x:c>
      <x:c r="E64" s="60" t="str">
        <x:v>P1</x:v>
      </x:c>
    </x:row>
    <x:row r="65">
      <x:c r="A65" s="60" t="str">
        <x:v>Semantic colors</x:v>
      </x:c>
      <x:c r="B65" s="60" t="str">
        <x:v>Consistent</x:v>
      </x:c>
      <x:c r="C65" s="60" t="str">
        <x:v>Green action/known; blue target/info; amber check/conditional; red block/stop; purple evidence/experiment; gray system/raw.</x:v>
      </x:c>
      <x:c r="D65" s="60" t="str">
        <x:v>Text/icon always duplicates color meaning.</x:v>
      </x:c>
      <x:c r="E65" s="60" t="str">
        <x:v>P1</x:v>
      </x:c>
    </x:row>
    <x:row r="66">
      <x:c r="A66" s="60" t="str">
        <x:v>Icon keys</x:v>
      </x:c>
      <x:c r="B66" s="60" t="str">
        <x:v>Meaningful</x:v>
      </x:c>
      <x:c r="C66" s="60" t="str">
        <x:v>SUN light, DROP water, EC salts, PH acidity, RH humidity, VPD drying pressure, STOP blocker, BOOK knowledge, LOG actual event.</x:v>
      </x:c>
      <x:c r="D66" s="60" t="str">
        <x:v>Accessible label required in DOM.</x:v>
      </x:c>
      <x:c r="E66" s="60" t="str">
        <x:v>P1</x:v>
      </x:c>
    </x:row>
    <x:row r="67">
      <x:c r="A67" s="60" t="str">
        <x:v>Operator/raw split</x:v>
      </x:c>
      <x:c r="B67" s="60" t="str">
        <x:v>Stable</x:v>
      </x:c>
      <x:c r="C67" s="60" t="str">
        <x:v>Operator routes use display labels and summaries; Expert/raw exposes canonical keys/formulas.</x:v>
      </x:c>
      <x:c r="D67" s="60" t="str">
        <x:v>Never fork calculations.</x:v>
      </x:c>
      <x:c r="E67" s="60" t="str">
        <x:v>P0/P1</x:v>
      </x:c>
    </x:row>
    <x:row r="68">
      <x:c r="A68" s="60" t="str">
        <x:v>Figure provenance</x:v>
      </x:c>
      <x:c r="B68" s="60" t="str">
        <x:v>Required</x:v>
      </x:c>
      <x:c r="C68" s="60" t="str">
        <x:v>CANONICAL DATA / MANUFACTURER REFERENCE / ILLUSTRATIVE CONCEPT badge on every infographic.</x:v>
      </x:c>
      <x:c r="D68" s="60" t="str">
        <x:v>Generated figures cannot be numeric source.</x:v>
      </x:c>
      <x:c r="E68" s="60" t="str">
        <x:v>P1</x:v>
      </x:c>
    </x:row>
  </x:sheetData>
  <x:mergeCells>
    <x:mergeCell ref="A18:J18"/>
    <x:mergeCell ref="A25:J25"/>
    <x:mergeCell ref="A55:J55"/>
    <x:mergeCell ref="A60:J60"/>
  </x:mergeCells>
  <x:pageMargins left="0.7" right="0.7" top="0.75" bottom="0.75" header="0.3" footer="0.3"/>
</x:worksheet>
</file>

<file path=xl/worksheets/sheet3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0" hidden="0" customWidth="1"/>
    <x:col min="3" max="3" width="50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</x:cols>
  <x:sheetData>
    <x:row r="1" ht="26" customHeight="1">
      <x:c r="A1" s="2361" t="str">
        <x:v>UKD v11.2 AUTOFLOWER FEED MAP · Eazy Plug → Eazy Block → Final UGro Rhiza · event-gated</x:v>
      </x:c>
      <x:c r="B1" s="2361"/>
      <x:c r="C1" s="2361"/>
      <x:c r="D1" s="2361"/>
      <x:c r="E1" s="2361"/>
      <x:c r="F1" s="2361"/>
      <x:c r="G1" s="2361"/>
      <x:c r="H1" s="2361"/>
      <x:c r="I1" s="2361"/>
      <x:c r="J1" s="2361"/>
      <x:c r="K1" s="2361"/>
      <x:c r="L1" s="2361"/>
      <x:c r="M1" s="2361"/>
      <x:c r="N1" s="2361"/>
      <x:c r="O1" s="2361"/>
    </x:row>
    <x:row r="3">
      <x:c r="A3" s="2348" t="str">
        <x:v>Role / Product</x:v>
      </x:c>
      <x:c r="B3" s="2348" t="str">
        <x:v>Plan state</x:v>
      </x:c>
      <x:c r="C3" s="2348" t="str">
        <x:v>Gate / interpretation</x:v>
      </x:c>
      <x:c r="D3" s="2348" t="str">
        <x:v>W1</x:v>
      </x:c>
      <x:c r="E3" s="2348" t="str">
        <x:v>W2</x:v>
      </x:c>
      <x:c r="F3" s="2348" t="str">
        <x:v>W3</x:v>
      </x:c>
      <x:c r="G3" s="2348" t="str">
        <x:v>W4</x:v>
      </x:c>
      <x:c r="H3" s="2348" t="str">
        <x:v>W5</x:v>
      </x:c>
      <x:c r="I3" s="2348" t="str">
        <x:v>W6</x:v>
      </x:c>
      <x:c r="J3" s="2348" t="str">
        <x:v>W7</x:v>
      </x:c>
      <x:c r="K3" s="2348" t="str">
        <x:v>W8</x:v>
      </x:c>
      <x:c r="L3" s="2348" t="str">
        <x:v>W9</x:v>
      </x:c>
      <x:c r="M3" s="2348" t="str">
        <x:v>W10</x:v>
      </x:c>
      <x:c r="N3" s="2348" t="str">
        <x:v>W11</x:v>
      </x:c>
      <x:c r="O3" s="2348" t="str">
        <x:v>W12</x:v>
      </x:c>
    </x:row>
    <x:row r="4">
      <x:c r="A4" s="2356" t="str">
        <x:v>PHASE</x:v>
      </x:c>
      <x:c r="B4" s="2356" t="str">
        <x:v>Timeline</x:v>
      </x:c>
      <x:c r="C4" s="2356" t="str">
        <x:v>Calendar display only</x:v>
      </x:c>
      <x:c r="D4" s="2356" t="str">
        <x:v>Keimung / Etablierung</x:v>
      </x:c>
      <x:c r="E4" s="2356" t="str">
        <x:v>Etablierung / Early Veg</x:v>
      </x:c>
      <x:c r="F4" s="2356" t="str">
        <x:v>Early Veg / Veg / LST</x:v>
      </x:c>
      <x:c r="G4" s="2356" t="str">
        <x:v>Veg / LST / Preflower-Watch</x:v>
      </x:c>
      <x:c r="H4" s="2356" t="str">
        <x:v>Transition / Stretch (B1)</x:v>
      </x:c>
      <x:c r="I4" s="2356" t="str">
        <x:v>Early Flower (B2)</x:v>
      </x:c>
      <x:c r="J4" s="2356" t="str">
        <x:v>Flower I (B3)</x:v>
      </x:c>
      <x:c r="K4" s="2356" t="str">
        <x:v>Peak Flower (B4)</x:v>
      </x:c>
      <x:c r="L4" s="2356" t="str">
        <x:v>Peak Flower (B5)</x:v>
      </x:c>
      <x:c r="M4" s="2356" t="str">
        <x:v>Late Flower (B6)</x:v>
      </x:c>
      <x:c r="N4" s="2356" t="str">
        <x:v>Ripening (B7)</x:v>
      </x:c>
      <x:c r="O4" s="2356" t="str">
        <x:v>Harvest / Extension (B7+)</x:v>
      </x:c>
    </x:row>
    <x:row r="5" ht="44" customHeight="1">
      <x:c r="A5" s="2356" t="str">
        <x:v>Medium path</x:v>
      </x:c>
      <x:c r="B5" s="2356" t="str">
        <x:v>EVENT-BASED</x:v>
      </x:c>
      <x:c r="C5" s="2356" t="str">
        <x:v>Eazy Plug → Eazy Block → Final Coco; Block nur kurze Brücke. Wochenspalten zeigen keine 4-Wochen-Blockpflicht mehr.</x:v>
      </x:c>
      <x:c r="D5" s="2356" t="str">
        <x:v>Plug→Block→Final (event)</x:v>
      </x:c>
      <x:c r="E5" s="2356" t="str">
        <x:v>Final Coco expected / confirm actual event</x:v>
      </x:c>
      <x:c r="F5" s="2356" t="str">
        <x:v>Final Coco</x:v>
      </x:c>
      <x:c r="G5" s="2356" t="str">
        <x:v>Final Coco</x:v>
      </x:c>
      <x:c r="H5" s="2356" t="str">
        <x:v>Final Coco</x:v>
      </x:c>
      <x:c r="I5" s="2356" t="str">
        <x:v>Final Coco</x:v>
      </x:c>
      <x:c r="J5" s="2356" t="str">
        <x:v>Final Coco</x:v>
      </x:c>
      <x:c r="K5" s="2356" t="str">
        <x:v>Final Coco</x:v>
      </x:c>
      <x:c r="L5" s="2356" t="str">
        <x:v>Final Coco</x:v>
      </x:c>
      <x:c r="M5" s="2356" t="str">
        <x:v>Final Coco</x:v>
      </x:c>
      <x:c r="N5" s="2356" t="str">
        <x:v>Final Coco</x:v>
      </x:c>
      <x:c r="O5" s="2356" t="str">
        <x:v>Final Coco</x:v>
      </x:c>
    </x:row>
    <x:row r="6" ht="44" customHeight="1">
      <x:c r="A6" s="1880" t="str">
        <x:v>HESI Base</x:v>
      </x:c>
      <x:c r="B6" s="1880" t="str">
        <x:v>CORE</x:v>
      </x:c>
      <x:c r="C6" s="1880" t="str">
        <x:v>Kalenderdosen sind nur Eligibility/Projection. Basisstart benötigt Plant/Medium/Watering-Gate; Flower-Wechsel benötigt beobachteten FlowerInitiation-Trigger.</x:v>
      </x:c>
      <x:c r="D6" s="1880" t="str">
        <x:v>TNT 1.25</x:v>
      </x:c>
      <x:c r="E6" s="1880" t="str">
        <x:v>TNT 1.25 / TNT 2</x:v>
      </x:c>
      <x:c r="F6" s="1880" t="str">
        <x:v>TNT 2 / TNT 2.5</x:v>
      </x:c>
      <x:c r="G6" s="1880" t="str">
        <x:v>TNT 2.5</x:v>
      </x:c>
      <x:c r="H6" s="1880" t="str">
        <x:v>Coco 2.5</x:v>
      </x:c>
      <x:c r="I6" s="1880" t="str">
        <x:v>Coco 3.25</x:v>
      </x:c>
      <x:c r="J6" s="1880" t="str">
        <x:v>Coco 3.75</x:v>
      </x:c>
      <x:c r="K6" s="1880" t="str">
        <x:v>Coco 4</x:v>
      </x:c>
      <x:c r="L6" s="1880" t="str">
        <x:v>Coco 4</x:v>
      </x:c>
      <x:c r="M6" s="1880" t="str">
        <x:v>Coco 3.5</x:v>
      </x:c>
      <x:c r="N6" s="1880" t="str">
        <x:v>Coco 2.5</x:v>
      </x:c>
      <x:c r="O6" s="1880" t="str">
        <x:v>Coco 1.5</x:v>
      </x:c>
    </x:row>
    <x:row r="7" ht="44" customHeight="1">
      <x:c r="A7" s="1880" t="str">
        <x:v>Wurzel Complex</x:v>
      </x:c>
      <x:c r="B7" s="1880" t="str">
        <x:v>CORE EARLY</x:v>
      </x:c>
      <x:c r="C7" s="1880" t="str">
        <x:v>2.5 ml/L = half label dose for frequent/long-term use; actual watering event still gates application</x:v>
      </x:c>
      <x:c r="D7" s="1880" t="str">
        <x:v>2.5 ml/L · 7d</x:v>
      </x:c>
      <x:c r="E7" s="1880" t="str">
        <x:v>2.5 ml/L · 7d</x:v>
      </x:c>
      <x:c r="F7" s="1880" t="str">
        <x:v>2.5 ml/L · 1d</x:v>
      </x:c>
      <x:c r="G7" s="1880" t="str">
        <x:v>—</x:v>
      </x:c>
      <x:c r="H7" s="1880" t="str">
        <x:v>—</x:v>
      </x:c>
      <x:c r="I7" s="1880" t="str">
        <x:v>—</x:v>
      </x:c>
      <x:c r="J7" s="1880" t="str">
        <x:v>—</x:v>
      </x:c>
      <x:c r="K7" s="1880" t="str">
        <x:v>—</x:v>
      </x:c>
      <x:c r="L7" s="1880" t="str">
        <x:v>—</x:v>
      </x:c>
      <x:c r="M7" s="1880" t="str">
        <x:v>—</x:v>
      </x:c>
      <x:c r="N7" s="1880" t="str">
        <x:v>—</x:v>
      </x:c>
      <x:c r="O7" s="1880" t="str">
        <x:v>—</x:v>
      </x:c>
    </x:row>
    <x:row r="8" ht="44" customHeight="1">
      <x:c r="A8" s="1880" t="str">
        <x:v>PowerZyme</x:v>
      </x:c>
      <x:c r="B8" s="1880" t="str">
        <x:v>CORE</x:v>
      </x:c>
      <x:c r="C8" s="1880" t="str">
        <x:v>Current v9 resolves 2 ml/L from earliest nutrient day through Bloom-Tag 49; actual application/log remains separate</x:v>
      </x:c>
      <x:c r="D8" s="1880" t="str">
        <x:v>2 ml/L · 3d</x:v>
      </x:c>
      <x:c r="E8" s="1880" t="str">
        <x:v>2 ml/L · 7d</x:v>
      </x:c>
      <x:c r="F8" s="1880" t="str">
        <x:v>2 ml/L · 7d</x:v>
      </x:c>
      <x:c r="G8" s="1880" t="str">
        <x:v>2 ml/L · 7d</x:v>
      </x:c>
      <x:c r="H8" s="1880" t="str">
        <x:v>2 ml/L · 7d</x:v>
      </x:c>
      <x:c r="I8" s="1880" t="str">
        <x:v>2 ml/L · 7d</x:v>
      </x:c>
      <x:c r="J8" s="1880" t="str">
        <x:v>2 ml/L · 7d</x:v>
      </x:c>
      <x:c r="K8" s="1880" t="str">
        <x:v>2 ml/L · 7d</x:v>
      </x:c>
      <x:c r="L8" s="1880" t="str">
        <x:v>2 ml/L · 7d</x:v>
      </x:c>
      <x:c r="M8" s="1880" t="str">
        <x:v>2 ml/L · 7d</x:v>
      </x:c>
      <x:c r="N8" s="1880" t="str">
        <x:v>2 ml/L · 7d</x:v>
      </x:c>
      <x:c r="O8" s="1880" t="str">
        <x:v>—</x:v>
      </x:c>
    </x:row>
    <x:row r="9" ht="44" customHeight="1">
      <x:c r="A9" s="1880" t="str">
        <x:v>SuperVit</x:v>
      </x:c>
      <x:c r="B9" s="1880" t="str">
        <x:v>CORE</x:v>
      </x:c>
      <x:c r="C9" s="1880" t="str">
        <x:v>0.015 ml/L plan microdose; manufacturer reference is every watering/spraying; no forced watering</x:v>
      </x:c>
      <x:c r="D9" s="1880" t="str">
        <x:v>0.015 ml/L · 7d</x:v>
      </x:c>
      <x:c r="E9" s="1880" t="str">
        <x:v>0.015 ml/L · 7d</x:v>
      </x:c>
      <x:c r="F9" s="1880" t="str">
        <x:v>0.015 ml/L · 7d</x:v>
      </x:c>
      <x:c r="G9" s="1880" t="str">
        <x:v>0.015 ml/L · 7d</x:v>
      </x:c>
      <x:c r="H9" s="1880" t="str">
        <x:v>0.015 ml/L · 7d</x:v>
      </x:c>
      <x:c r="I9" s="1880" t="str">
        <x:v>0.015 ml/L · 7d</x:v>
      </x:c>
      <x:c r="J9" s="1880" t="str">
        <x:v>0.015 ml/L · 7d</x:v>
      </x:c>
      <x:c r="K9" s="1880" t="str">
        <x:v>0.015 ml/L · 7d</x:v>
      </x:c>
      <x:c r="L9" s="1880" t="str">
        <x:v>0.015 ml/L · 7d</x:v>
      </x:c>
      <x:c r="M9" s="1880" t="str">
        <x:v>0.015 ml/L · 7d</x:v>
      </x:c>
      <x:c r="N9" s="1880" t="str">
        <x:v>0.015 ml/L · 7d</x:v>
      </x:c>
      <x:c r="O9" s="1880" t="str">
        <x:v>0.015 ml/L · 4d</x:v>
      </x:c>
    </x:row>
    <x:row r="10" ht="44" customHeight="1">
      <x:c r="A10" s="1880" t="str">
        <x:v>HESI Boost</x:v>
      </x:c>
      <x:c r="B10" s="1880" t="str">
        <x:v>CORE BLOOM</x:v>
      </x:c>
      <x:c r="C10" s="1880" t="str">
        <x:v>HESI Boost bleibt owned bloom path; bei Autoflower an beobachteten Blütenstart koppeln, nicht an absoluten Run-Tag.</x:v>
      </x:c>
      <x:c r="D10" s="1880" t="str">
        <x:v>—</x:v>
      </x:c>
      <x:c r="E10" s="1880" t="str">
        <x:v>—</x:v>
      </x:c>
      <x:c r="F10" s="1880" t="str">
        <x:v>—</x:v>
      </x:c>
      <x:c r="G10" s="1880" t="str">
        <x:v>—</x:v>
      </x:c>
      <x:c r="H10" s="1880" t="str">
        <x:v>2 ml/L · 1d</x:v>
      </x:c>
      <x:c r="I10" s="1880" t="str">
        <x:v>2 ml/L · 1d</x:v>
      </x:c>
      <x:c r="J10" s="1880" t="str">
        <x:v>2 ml/L · 1d</x:v>
      </x:c>
      <x:c r="K10" s="1880" t="str">
        <x:v>2 ml/L · 1d</x:v>
      </x:c>
      <x:c r="L10" s="1880" t="str">
        <x:v>2 ml/L · 1d</x:v>
      </x:c>
      <x:c r="M10" s="1880" t="str">
        <x:v>2 ml/L · 1d</x:v>
      </x:c>
      <x:c r="N10" s="1880" t="str">
        <x:v>2 ml/L · 1d</x:v>
      </x:c>
      <x:c r="O10" s="1880" t="str">
        <x:v>2 ml/L · 1d</x:v>
      </x:c>
    </x:row>
    <x:row r="11" ht="44" customHeight="1">
      <x:c r="A11" s="1880" t="str">
        <x:v>HESI PK13/14</x:v>
      </x:c>
      <x:c r="B11" s="1880" t="str">
        <x:v>CORE LATE BLOOM</x:v>
      </x:c>
      <x:c r="C11" s="1880" t="str">
        <x:v>HESI PK bleibt Bloom-Tag-relativ; BT1 muss aus beobachtetem FlowerInitiation-Event kommen.</x:v>
      </x:c>
      <x:c r="D11" s="1880" t="str">
        <x:v>—</x:v>
      </x:c>
      <x:c r="E11" s="1880" t="str">
        <x:v>—</x:v>
      </x:c>
      <x:c r="F11" s="1880" t="str">
        <x:v>—</x:v>
      </x:c>
      <x:c r="G11" s="1880" t="str">
        <x:v>—</x:v>
      </x:c>
      <x:c r="H11" s="1880" t="str">
        <x:v>—</x:v>
      </x:c>
      <x:c r="I11" s="1880" t="str">
        <x:v>—</x:v>
      </x:c>
      <x:c r="J11" s="1880" t="str">
        <x:v>—</x:v>
      </x:c>
      <x:c r="K11" s="1880" t="str">
        <x:v>—</x:v>
      </x:c>
      <x:c r="L11" s="1880" t="str">
        <x:v>0.25–0.365 ml/L · 7d</x:v>
      </x:c>
      <x:c r="M11" s="1880" t="str">
        <x:v>0.385–0.5 ml/L · 7d</x:v>
      </x:c>
      <x:c r="N11" s="1880" t="str">
        <x:v>—</x:v>
      </x:c>
      <x:c r="O11" s="1880" t="str">
        <x:v>—</x:v>
      </x:c>
    </x:row>
    <x:row r="12" ht="44" customHeight="1">
      <x:c r="A12" s="2242" t="str">
        <x:v>Voodoo Juice</x:v>
      </x:c>
      <x:c r="B12" s="2242" t="str">
        <x:v>SELECTED COMPLEMENT</x:v>
      </x:c>
      <x:c r="C12" s="2242" t="str">
        <x:v>Fresh UKD event: bevorzugt nach finalem Coco-Transfer/Root establishment + optional early-flower event; kein Wirksamkeitsoptimum behauptet.</x:v>
      </x:c>
      <x:c r="D12" s="2242" t="str">
        <x:v>2 ml/L · 1d</x:v>
      </x:c>
      <x:c r="E12" s="2242" t="str">
        <x:v>2 ml/L · 1d</x:v>
      </x:c>
      <x:c r="F12" s="2242" t="str">
        <x:v>—</x:v>
      </x:c>
      <x:c r="G12" s="2242" t="str">
        <x:v>—</x:v>
      </x:c>
      <x:c r="H12" s="2242" t="str">
        <x:v>2 ml/L · 1d</x:v>
      </x:c>
      <x:c r="I12" s="2242" t="str">
        <x:v>2 ml/L · 1d</x:v>
      </x:c>
      <x:c r="J12" s="2242" t="str">
        <x:v>—</x:v>
      </x:c>
      <x:c r="K12" s="2242" t="str">
        <x:v>—</x:v>
      </x:c>
      <x:c r="L12" s="2242" t="str">
        <x:v>—</x:v>
      </x:c>
      <x:c r="M12" s="2242" t="str">
        <x:v>—</x:v>
      </x:c>
      <x:c r="N12" s="2242" t="str">
        <x:v>—</x:v>
      </x:c>
      <x:c r="O12" s="2242" t="str">
        <x:v>—</x:v>
      </x:c>
    </x:row>
    <x:row r="13" ht="44" customHeight="1">
      <x:c r="A13" s="2242" t="str">
        <x:v>Tarantula</x:v>
      </x:c>
      <x:c r="B13" s="2242" t="str">
        <x:v>SELECTED COMPLEMENT</x:v>
      </x:c>
      <x:c r="C13" s="2242" t="str">
        <x:v>Wie Voodoo; ausgewählte Ergänzung. UGro Rhiza enthält bereits Endomykorrhiza - AN microbes sind keine Voraussetzung.</x:v>
      </x:c>
      <x:c r="D13" s="2242" t="str">
        <x:v>2 ml/L · 1d</x:v>
      </x:c>
      <x:c r="E13" s="2242" t="str">
        <x:v>2 ml/L · 1d</x:v>
      </x:c>
      <x:c r="F13" s="2242" t="str">
        <x:v>—</x:v>
      </x:c>
      <x:c r="G13" s="2242" t="str">
        <x:v>—</x:v>
      </x:c>
      <x:c r="H13" s="2242" t="str">
        <x:v>2 ml/L · 1d</x:v>
      </x:c>
      <x:c r="I13" s="2242" t="str">
        <x:v>2 ml/L · 1d</x:v>
      </x:c>
      <x:c r="J13" s="2242" t="str">
        <x:v>—</x:v>
      </x:c>
      <x:c r="K13" s="2242" t="str">
        <x:v>—</x:v>
      </x:c>
      <x:c r="L13" s="2242" t="str">
        <x:v>—</x:v>
      </x:c>
      <x:c r="M13" s="2242" t="str">
        <x:v>—</x:v>
      </x:c>
      <x:c r="N13" s="2242" t="str">
        <x:v>—</x:v>
      </x:c>
      <x:c r="O13" s="2242" t="str">
        <x:v>—</x:v>
      </x:c>
    </x:row>
    <x:row r="14" ht="44" customHeight="1">
      <x:c r="A14" s="2064" t="str">
        <x:v>Athena Balance</x:v>
      </x:c>
      <x:c r="B14" s="2064" t="str">
        <x:v>CONDITIONAL</x:v>
      </x:c>
      <x:c r="C14" s="2064" t="str">
        <x:v>Preferred owned Si/pH path; no universal calendar rate; remains 0 until titration gate</x:v>
      </x:c>
      <x:c r="D14" s="2064" t="str">
        <x:v>—</x:v>
      </x:c>
      <x:c r="E14" s="2064" t="str">
        <x:v>—</x:v>
      </x:c>
      <x:c r="F14" s="2064" t="str">
        <x:v>—</x:v>
      </x:c>
      <x:c r="G14" s="2064" t="str">
        <x:v>—</x:v>
      </x:c>
      <x:c r="H14" s="2064" t="str">
        <x:v>—</x:v>
      </x:c>
      <x:c r="I14" s="2064" t="str">
        <x:v>—</x:v>
      </x:c>
      <x:c r="J14" s="2064" t="str">
        <x:v>—</x:v>
      </x:c>
      <x:c r="K14" s="2064" t="str">
        <x:v>—</x:v>
      </x:c>
      <x:c r="L14" s="2064" t="str">
        <x:v>—</x:v>
      </x:c>
      <x:c r="M14" s="2064" t="str">
        <x:v>—</x:v>
      </x:c>
      <x:c r="N14" s="2064" t="str">
        <x:v>—</x:v>
      </x:c>
      <x:c r="O14" s="2064" t="str">
        <x:v>—</x:v>
      </x:c>
    </x:row>
    <x:row r="15" ht="44" customHeight="1">
      <x:c r="A15" s="2064" t="str">
        <x:v>Sensi CalMag Xtra</x:v>
      </x:c>
      <x:c r="B15" s="2064" t="str">
        <x:v>CONDITIONAL</x:v>
      </x:c>
      <x:c r="C15" s="2064" t="str">
        <x:v>Owned source; dose equals explicit CalMag Plan only; current default 0</x:v>
      </x:c>
      <x:c r="D15" s="2064" t="str">
        <x:v>—</x:v>
      </x:c>
      <x:c r="E15" s="2064" t="str">
        <x:v>—</x:v>
      </x:c>
      <x:c r="F15" s="2064" t="str">
        <x:v>—</x:v>
      </x:c>
      <x:c r="G15" s="2064" t="str">
        <x:v>—</x:v>
      </x:c>
      <x:c r="H15" s="2064" t="str">
        <x:v>—</x:v>
      </x:c>
      <x:c r="I15" s="2064" t="str">
        <x:v>—</x:v>
      </x:c>
      <x:c r="J15" s="2064" t="str">
        <x:v>—</x:v>
      </x:c>
      <x:c r="K15" s="2064" t="str">
        <x:v>—</x:v>
      </x:c>
      <x:c r="L15" s="2064" t="str">
        <x:v>—</x:v>
      </x:c>
      <x:c r="M15" s="2064" t="str">
        <x:v>—</x:v>
      </x:c>
      <x:c r="N15" s="2064" t="str">
        <x:v>—</x:v>
      </x:c>
      <x:c r="O15" s="2064" t="str">
        <x:v>—</x:v>
      </x:c>
    </x:row>
    <x:row r="16" ht="44" customHeight="1">
      <x:c r="A16" s="2338" t="str">
        <x:v>Tasty Terpenes</x:v>
      </x:c>
      <x:c r="B16" s="2338" t="str">
        <x:v>OWNED / OFF</x:v>
      </x:c>
      <x:c r="C16" s="2338" t="str">
        <x:v>Future isolated A/B only; no reference-run calendar dose</x:v>
      </x:c>
      <x:c r="D16" s="2338" t="str">
        <x:v>—</x:v>
      </x:c>
      <x:c r="E16" s="2338" t="str">
        <x:v>—</x:v>
      </x:c>
      <x:c r="F16" s="2338" t="str">
        <x:v>—</x:v>
      </x:c>
      <x:c r="G16" s="2338" t="str">
        <x:v>—</x:v>
      </x:c>
      <x:c r="H16" s="2338" t="str">
        <x:v>—</x:v>
      </x:c>
      <x:c r="I16" s="2338" t="str">
        <x:v>—</x:v>
      </x:c>
      <x:c r="J16" s="2338" t="str">
        <x:v>—</x:v>
      </x:c>
      <x:c r="K16" s="2338" t="str">
        <x:v>—</x:v>
      </x:c>
      <x:c r="L16" s="2338" t="str">
        <x:v>—</x:v>
      </x:c>
      <x:c r="M16" s="2338" t="str">
        <x:v>—</x:v>
      </x:c>
      <x:c r="N16" s="2338" t="str">
        <x:v>—</x:v>
      </x:c>
      <x:c r="O16" s="2338" t="str">
        <x:v>—</x:v>
      </x:c>
    </x:row>
    <x:row r="17" ht="44" customHeight="1">
      <x:c r="A17" s="2338" t="str">
        <x:v>CarboLoad</x:v>
      </x:c>
      <x:c r="B17" s="2338" t="str">
        <x:v>TINY REMAINDER / OFF</x:v>
      </x:c>
      <x:c r="C17" s="2338" t="str">
        <x:v>No repurchase; do not add merely to use remainder while HESI Boost is selected</x:v>
      </x:c>
      <x:c r="D17" s="2338" t="str">
        <x:v>—</x:v>
      </x:c>
      <x:c r="E17" s="2338" t="str">
        <x:v>—</x:v>
      </x:c>
      <x:c r="F17" s="2338" t="str">
        <x:v>—</x:v>
      </x:c>
      <x:c r="G17" s="2338" t="str">
        <x:v>—</x:v>
      </x:c>
      <x:c r="H17" s="2338" t="str">
        <x:v>—</x:v>
      </x:c>
      <x:c r="I17" s="2338" t="str">
        <x:v>—</x:v>
      </x:c>
      <x:c r="J17" s="2338" t="str">
        <x:v>—</x:v>
      </x:c>
      <x:c r="K17" s="2338" t="str">
        <x:v>—</x:v>
      </x:c>
      <x:c r="L17" s="2338" t="str">
        <x:v>—</x:v>
      </x:c>
      <x:c r="M17" s="2338" t="str">
        <x:v>—</x:v>
      </x:c>
      <x:c r="N17" s="2338" t="str">
        <x:v>—</x:v>
      </x:c>
      <x:c r="O17" s="2338" t="str">
        <x:v>—</x:v>
      </x:c>
    </x:row>
    <x:row r="20">
      <x:c r="A20" s="2348" t="str">
        <x:v>HOW TO READ THE MAP</x:v>
      </x:c>
      <x:c r="B20" s="2348"/>
      <x:c r="C20" s="2348"/>
      <x:c r="D20" s="2348"/>
      <x:c r="E20" s="2348"/>
      <x:c r="F20" s="2348"/>
      <x:c r="G20" s="2348"/>
      <x:c r="H20" s="2348"/>
      <x:c r="I20" s="2348"/>
      <x:c r="J20" s="2348"/>
      <x:c r="K20" s="2348"/>
      <x:c r="L20" s="2348"/>
      <x:c r="M20" s="2348"/>
      <x:c r="N20" s="2348"/>
      <x:c r="O20" s="2348"/>
    </x:row>
    <x:row r="21">
      <x:c r="A21" s="2360" t="str">
        <x:v>Cells show the resolved v9 Daily Master dose and count of calendar days with a positive planned dose. '7d' does NOT mean 'force seven irrigations'; actual application occurs only when the watering/event is actually performed and logged. Conditional rows intentionally remain zero until their gate resolves. Medium pH/EC specifications are substrate references, not irrigation setpoints. The schedule is UKD-owned-stock operational logic; manufacturer label, research evidence and UKD adaptation remain separate.</x:v>
      </x:c>
      <x:c r="B21" s="2360"/>
      <x:c r="C21" s="2360"/>
      <x:c r="D21" s="2360"/>
      <x:c r="E21" s="2360"/>
      <x:c r="F21" s="2360"/>
      <x:c r="G21" s="2360"/>
      <x:c r="H21" s="2360"/>
      <x:c r="I21" s="2360"/>
      <x:c r="J21" s="2360"/>
      <x:c r="K21" s="2360"/>
      <x:c r="L21" s="2360"/>
      <x:c r="M21" s="2360"/>
      <x:c r="N21" s="2360"/>
      <x:c r="O21" s="2360"/>
    </x:row>
    <x:row r="22">
      <x:c r="A22" s="2360"/>
      <x:c r="B22" s="2360"/>
      <x:c r="C22" s="2360"/>
      <x:c r="D22" s="2360"/>
      <x:c r="E22" s="2360"/>
      <x:c r="F22" s="2360"/>
      <x:c r="G22" s="2360"/>
      <x:c r="H22" s="2360"/>
      <x:c r="I22" s="2360"/>
      <x:c r="J22" s="2360"/>
      <x:c r="K22" s="2360"/>
      <x:c r="L22" s="2360"/>
      <x:c r="M22" s="2360"/>
      <x:c r="N22" s="2360"/>
      <x:c r="O22" s="2360"/>
    </x:row>
    <x:row r="23">
      <x:c r="A23" s="2360"/>
      <x:c r="B23" s="2360"/>
      <x:c r="C23" s="2360"/>
      <x:c r="D23" s="2360"/>
      <x:c r="E23" s="2360"/>
      <x:c r="F23" s="2360"/>
      <x:c r="G23" s="2360"/>
      <x:c r="H23" s="2360"/>
      <x:c r="I23" s="2360"/>
      <x:c r="J23" s="2360"/>
      <x:c r="K23" s="2360"/>
      <x:c r="L23" s="2360"/>
      <x:c r="M23" s="2360"/>
      <x:c r="N23" s="2360"/>
      <x:c r="O23" s="2360"/>
    </x:row>
    <x:row r="25">
      <x:c r="A25" s="2348" t="str">
        <x:v>Source / scope</x:v>
      </x:c>
      <x:c r="B25" s="2348" t="str">
        <x:v>URL</x:v>
      </x:c>
      <x:c r="C25" s="2348" t="str">
        <x:v>Use</x:v>
      </x:c>
      <x:c r="D25" s="2348"/>
      <x:c r="E25" s="2348"/>
      <x:c r="F25" s="2348"/>
      <x:c r="G25" s="2348"/>
      <x:c r="H25" s="2348"/>
      <x:c r="I25" s="2348"/>
      <x:c r="J25" s="2348"/>
      <x:c r="K25" s="2348"/>
      <x:c r="L25" s="2348"/>
      <x:c r="M25" s="2348"/>
      <x:c r="N25" s="2348"/>
      <x:c r="O25" s="2348"/>
    </x:row>
    <x:row r="26">
      <x:c r="A26" s="60" t="str">
        <x:v>Eazy Plug technical specs / FAQ</x:v>
      </x:c>
      <x:c r="B26" s="60" t="str">
        <x:v>https://www.eazy-plug.com/eazy-plug-tech-specs/</x:v>
      </x:c>
      <x:c r="C26" s="60" t="str">
        <x:v>Predetermined/buffered pH/EC and no pre-correction requirement.</x:v>
      </x:c>
    </x:row>
    <x:row r="27">
      <x:c r="A27" s="60" t="str">
        <x:v>UGro COCO Rhiza</x:v>
      </x:c>
      <x:c r="B27" s="60" t="str">
        <x:v>https://simplyorganicsl.com/en/product/xl-rhiza/</x:v>
      </x:c>
      <x:c r="C27" s="60" t="str">
        <x:v>True-buffered Rhiza coco product reference; pH/EC are substrate specs.</x:v>
      </x:c>
    </x:row>
    <x:row r="28">
      <x:c r="A28" s="60" t="str">
        <x:v>HESI TNT</x:v>
      </x:c>
      <x:c r="B28" s="60" t="str">
        <x:v>https://hesi.nl/de/TNT-COMPLEX</x:v>
      </x:c>
      <x:c r="C28" s="60" t="str">
        <x:v>Half dose for very young seedlings; seeds initially carry nutrients.</x:v>
      </x:c>
    </x:row>
    <x:row r="29">
      <x:c r="A29" s="60" t="str">
        <x:v>HESI Root Complex</x:v>
      </x:c>
      <x:c r="B29" s="60" t="str">
        <x:v>https://hesi.nl/de/Wurzel-Complex</x:v>
      </x:c>
      <x:c r="C29" s="60" t="str">
        <x:v>5 ml/L label; half for frequent/long-term use.</x:v>
      </x:c>
    </x:row>
    <x:row r="30">
      <x:c r="A30" s="60" t="str">
        <x:v>HESI PowerZyme</x:v>
      </x:c>
      <x:c r="B30" s="60" t="str">
        <x:v>https://hesi.nl/de/PowerZyme</x:v>
      </x:c>
      <x:c r="C30" s="60" t="str">
        <x:v>2 ml/L; continuous-use product reference.</x:v>
      </x:c>
    </x:row>
    <x:row r="31">
      <x:c r="A31" s="60" t="str">
        <x:v>HESI Boost</x:v>
      </x:c>
      <x:c r="B31" s="60" t="str">
        <x:v>https://hesi.nl/de/Boost</x:v>
      </x:c>
      <x:c r="C31" s="60" t="str">
        <x:v>2 ml/L regular bloom use; UKD cadence is a conservative adaptation.</x:v>
      </x:c>
    </x:row>
    <x:row r="32">
      <x:c r="A32" s="60" t="str">
        <x:v>Advanced Nutrients feeding</x:v>
      </x:c>
      <x:c r="B32" s="60" t="str">
        <x:v>https://www.advancednutrients.com/de/feeding/</x:v>
      </x:c>
      <x:c r="C32" s="60" t="str">
        <x:v>Manufacturer reference/compatibility context; not the UKD HESI base.</x:v>
      </x:c>
    </x:row>
  </x:sheetData>
  <x:mergeCells>
    <x:mergeCell ref="A1:O1"/>
    <x:mergeCell ref="A20:O20"/>
    <x:mergeCell ref="A21:O23"/>
  </x:mergeCells>
  <x:pageMargins left="0.7" right="0.7" top="0.75" bottom="0.75" header="0.3" footer="0.3"/>
</x:worksheet>
</file>

<file path=xl/worksheets/sheet3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2" hidden="0" customWidth="1"/>
    <x:col min="3" max="3" width="42" hidden="0" customWidth="1"/>
    <x:col min="4" max="4" width="40" hidden="0" customWidth="1"/>
    <x:col min="5" max="5" width="42" hidden="0" customWidth="1"/>
    <x:col min="6" max="6" width="20" hidden="0" customWidth="1"/>
    <x:col min="7" max="7" width="30" hidden="0" customWidth="1"/>
  </x:cols>
  <x:sheetData>
    <x:row r="1">
      <x:c r="A1" s="2348" t="str">
        <x:v>Term</x:v>
      </x:c>
      <x:c r="B1" s="2348" t="str">
        <x:v>One-line / Guided</x:v>
      </x:c>
      <x:c r="C1" s="2348" t="str">
        <x:v>Operational meaning</x:v>
      </x:c>
      <x:c r="D1" s="2348" t="str">
        <x:v>Do / check</x:v>
      </x:c>
      <x:c r="E1" s="2348" t="str">
        <x:v>Do NOT infer</x:v>
      </x:c>
      <x:c r="F1" s="2348" t="str">
        <x:v>State / evidence</x:v>
      </x:c>
      <x:c r="G1" s="2348" t="str">
        <x:v>Source / note</x:v>
      </x:c>
    </x:row>
    <x:row r="2" ht="48" customHeight="1">
      <x:c r="A2" s="2356" t="str">
        <x:v>PPFD</x:v>
      </x:c>
      <x:c r="B2" s="60" t="str">
        <x:v>Lichtdichte am Canopy.</x:v>
      </x:c>
      <x:c r="C2" s="60" t="str">
        <x:v>Momentane Photonenflussdichte am Messpunkt.</x:v>
      </x:c>
      <x:c r="D2" s="60" t="str">
        <x:v>Messpunkt, Höhe, Sensor und Zeitpunkt dokumentieren.</x:v>
      </x:c>
      <x:c r="E2" s="60" t="str">
        <x:v>Watt oder Lampenabstand sind kein Ersatz für gemessenes PPFD.</x:v>
      </x:c>
      <x:c r="F2" s="60" t="str">
        <x:v>measurement/target</x:v>
      </x:c>
      <x:c r="G2" s="60" t="str">
        <x:v>UKD domain</x:v>
      </x:c>
    </x:row>
    <x:row r="3" ht="48" customHeight="1">
      <x:c r="A3" s="2356" t="str">
        <x:v>DLI</x:v>
      </x:c>
      <x:c r="B3" s="60" t="str">
        <x:v>Lichtmenge über einen ganzen Tag.</x:v>
      </x:c>
      <x:c r="C3" s="60" t="str">
        <x:v>Integral aus PPFD und Photoperiode.</x:v>
      </x:c>
      <x:c r="D3" s="60" t="str">
        <x:v>Photoperiode + PPFD prüfen; bei Änderung neu berechnen.</x:v>
      </x:c>
      <x:c r="E3" s="60" t="str">
        <x:v>Ein einzelner PPFD-Wert ist nicht automatisch DLI.</x:v>
      </x:c>
      <x:c r="F3" s="60" t="str">
        <x:v>derived/target</x:v>
      </x:c>
      <x:c r="G3" s="60" t="str">
        <x:v>UKD calculation</x:v>
      </x:c>
    </x:row>
    <x:row r="4" ht="48" customHeight="1">
      <x:c r="A4" s="2356" t="str">
        <x:v>EC</x:v>
      </x:c>
      <x:c r="B4" s="60" t="str">
        <x:v>Elektrische Leitfähigkeit der Lösung.</x:v>
      </x:c>
      <x:c r="C4" s="60" t="str">
        <x:v>Proxy für gelöste Ionen; Input und Drain getrennt betrachten.</x:v>
      </x:c>
      <x:c r="D4" s="60" t="str">
        <x:v>Gerät kalibrieren; Temperatur/Einheit/Probe loggen.</x:v>
      </x:c>
      <x:c r="E4" s="60" t="str">
        <x:v>EC sagt nicht, welches Ion fehlt oder zu viel ist.</x:v>
      </x:c>
      <x:c r="F4" s="60" t="str">
        <x:v>measured/target</x:v>
      </x:c>
      <x:c r="G4" s="60" t="str">
        <x:v>measurement principle</x:v>
      </x:c>
    </x:row>
    <x:row r="5" ht="48" customHeight="1">
      <x:c r="A5" s="2356" t="str">
        <x:v>pH</x:v>
      </x:c>
      <x:c r="B5" s="60" t="str">
        <x:v>Säure-/Basenzustand der fertigen Lösung.</x:v>
      </x:c>
      <x:c r="C5" s="60" t="str">
        <x:v>Endmix nach vollständigem Mischen beurteilen.</x:v>
      </x:c>
      <x:c r="D5" s="60" t="str">
        <x:v>Meter kalibrieren; nicht auf Nachkommastellen 'jagen'.</x:v>
      </x:c>
      <x:c r="E5" s="60" t="str">
        <x:v>Substrat-pH, Wasser-pH und Endmix-pH sind nicht dasselbe.</x:v>
      </x:c>
      <x:c r="F5" s="60" t="str">
        <x:v>measured/target</x:v>
      </x:c>
      <x:c r="G5" s="60" t="str">
        <x:v>HESI/UKD</x:v>
      </x:c>
    </x:row>
    <x:row r="6" ht="48" customHeight="1">
      <x:c r="A6" s="2356" t="str">
        <x:v>Leaf-VPD</x:v>
      </x:c>
      <x:c r="B6" s="60" t="str">
        <x:v>Geschätzter Dampfdruckunterschied Blatt-Luft.</x:v>
      </x:c>
      <x:c r="C6" s="60" t="str">
        <x:v>Abhängig von Lufttemp, rF und Blatt-Temperatur.</x:v>
      </x:c>
      <x:c r="D6" s="60" t="str">
        <x:v>IR-Blatttemperatur bevorzugen; Schätzung kennzeichnen.</x:v>
      </x:c>
      <x:c r="E6" s="60" t="str">
        <x:v>Feste Blatt-ΔT-Annahme ist keine Messung.</x:v>
      </x:c>
      <x:c r="F6" s="60" t="str">
        <x:v>derived/simulated</x:v>
      </x:c>
      <x:c r="G6" s="60" t="str">
        <x:v>UKD calculation</x:v>
      </x:c>
    </x:row>
    <x:row r="7" ht="48" customHeight="1">
      <x:c r="A7" s="2356" t="str">
        <x:v>Drain-EC</x:v>
      </x:c>
      <x:c r="B7" s="60" t="str">
        <x:v>EC einer definierten Drain-/Runoff-Probe.</x:v>
      </x:c>
      <x:c r="C7" s="60" t="str">
        <x:v>Diagnoseindikator für Salz-/Wasserhaushalt.</x:v>
      </x:c>
      <x:c r="D7" s="60" t="str">
        <x:v>Probenmethode, Volumen, Zeitpunkt und Input-EC gemeinsam loggen.</x:v>
      </x:c>
      <x:c r="E7" s="60" t="str">
        <x:v>Ein einzelner Drainwert ist keine automatische Spül-Anweisung.</x:v>
      </x:c>
      <x:c r="F7" s="60" t="str">
        <x:v>measured</x:v>
      </x:c>
      <x:c r="G7" s="60" t="str">
        <x:v>UKD safety</x:v>
      </x:c>
    </x:row>
    <x:row r="8" ht="48" customHeight="1">
      <x:c r="A8" s="2356" t="str">
        <x:v>Water band</x:v>
      </x:c>
      <x:c r="B8" s="60" t="str">
        <x:v>Start-/Beobachtungsbereich, keine Soll-Dosis.</x:v>
      </x:c>
      <x:c r="C8" s="60" t="str">
        <x:v>Hilft bei Planung, wird von Pflanzen-/Topfstatus überschrieben.</x:v>
      </x:c>
      <x:c r="D8" s="60" t="str">
        <x:v>Topfmasse/Feuchte/Pflanzenreaktion priorisieren.</x:v>
      </x:c>
      <x:c r="E8" s="60" t="str">
        <x:v>Liter/Tag nie erzwingen.</x:v>
      </x:c>
      <x:c r="F8" s="60" t="str">
        <x:v>target/heuristic</x:v>
      </x:c>
      <x:c r="G8" s="60" t="str">
        <x:v>UKD</x:v>
      </x:c>
    </x:row>
    <x:row r="9" ht="48" customHeight="1">
      <x:c r="A9" s="2356" t="str">
        <x:v>TARGET</x:v>
      </x:c>
      <x:c r="B9" s="60" t="str">
        <x:v>Geplanter Wert oder Bereich.</x:v>
      </x:c>
      <x:c r="C9" s="60" t="str">
        <x:v>Soll/Trajektorie, nicht Messung.</x:v>
      </x:c>
      <x:c r="D9" s="60" t="str">
        <x:v>Mit measured/actual vergleichen.</x:v>
      </x:c>
      <x:c r="E9" s="60" t="str">
        <x:v>Target != live/actual.</x:v>
      </x:c>
      <x:c r="F9" s="60" t="str">
        <x:v>data state</x:v>
      </x:c>
      <x:c r="G9" s="60" t="str">
        <x:v>Product spec</x:v>
      </x:c>
    </x:row>
    <x:row r="10" ht="48" customHeight="1">
      <x:c r="A10" s="2356" t="str">
        <x:v>MEASURED</x:v>
      </x:c>
      <x:c r="B10" s="60" t="str">
        <x:v>Tatsächlich gemessen.</x:v>
      </x:c>
      <x:c r="C10" s="60" t="str">
        <x:v>Braucht Zeitpunkt, Einheit, Gerät/Methode und Qualität.</x:v>
      </x:c>
      <x:c r="D10" s="60" t="str">
        <x:v>Kalibrierung/Staleness prüfen.</x:v>
      </x:c>
      <x:c r="E10" s="60" t="str">
        <x:v>Messwert ist nicht automatisch korrekt oder kausal.</x:v>
      </x:c>
      <x:c r="F10" s="60" t="str">
        <x:v>data state</x:v>
      </x:c>
      <x:c r="G10" s="60" t="str">
        <x:v>Product spec + metrology</x:v>
      </x:c>
    </x:row>
    <x:row r="11" ht="48" customHeight="1">
      <x:c r="A11" s="2356" t="str">
        <x:v>DERIVED</x:v>
      </x:c>
      <x:c r="B11" s="60" t="str">
        <x:v>Aus Messungen/Inputs berechnet.</x:v>
      </x:c>
      <x:c r="C11" s="60" t="str">
        <x:v>Formel + Version + Eingaben müssen nachvollziehbar sein.</x:v>
      </x:c>
      <x:c r="D11" s="60" t="str">
        <x:v>Inputs und Formelversion anzeigen.</x:v>
      </x:c>
      <x:c r="E11" s="60" t="str">
        <x:v>Derived != measured.</x:v>
      </x:c>
      <x:c r="F11" s="60" t="str">
        <x:v>data state</x:v>
      </x:c>
      <x:c r="G11" s="60" t="str">
        <x:v>v9 extension</x:v>
      </x:c>
    </x:row>
    <x:row r="12" ht="48" customHeight="1">
      <x:c r="A12" s="2356" t="str">
        <x:v>SIMULATED</x:v>
      </x:c>
      <x:c r="B12" s="60" t="str">
        <x:v>Modellierter Wert.</x:v>
      </x:c>
      <x:c r="C12" s="60" t="str">
        <x:v>Hypothetisches Ergebnis aus Annahmen.</x:v>
      </x:c>
      <x:c r="D12" s="60" t="str">
        <x:v>Annahmen/Unsicherheit anzeigen.</x:v>
      </x:c>
      <x:c r="E12" s="60" t="str">
        <x:v>Nie als live/measured darstellen.</x:v>
      </x:c>
      <x:c r="F12" s="60" t="str">
        <x:v>data state</x:v>
      </x:c>
      <x:c r="G12" s="60" t="str">
        <x:v>Product spec</x:v>
      </x:c>
    </x:row>
    <x:row r="13" ht="48" customHeight="1">
      <x:c r="A13" s="2356" t="str">
        <x:v>USER INPUT</x:v>
      </x:c>
      <x:c r="B13" s="60" t="str">
        <x:v>Nutzereingabe / Setup-Fakt.</x:v>
      </x:c>
      <x:c r="C13" s="60" t="str">
        <x:v>Konfiguration oder Beobachtung; keine Evidenzklasse.</x:v>
      </x:c>
      <x:c r="D13" s="60" t="str">
        <x:v>Quelle/Datum/Confidence speichern.</x:v>
      </x:c>
      <x:c r="E13" s="60" t="str">
        <x:v>User Input != Evidence.</x:v>
      </x:c>
      <x:c r="F13" s="60" t="str">
        <x:v>data state</x:v>
      </x:c>
      <x:c r="G13" s="60" t="str">
        <x:v>Rules of Evidence</x:v>
      </x:c>
    </x:row>
    <x:row r="14" ht="48" customHeight="1">
      <x:c r="A14" s="2356" t="str">
        <x:v>MISSING / UNKNOWN</x:v>
      </x:c>
      <x:c r="B14" s="60" t="str">
        <x:v>Noch nicht bekannt.</x:v>
      </x:c>
      <x:c r="C14" s="60" t="str">
        <x:v>Legitimer Zustand, der je nach Regel blockieren kann.</x:v>
      </x:c>
      <x:c r="D14" s="60" t="str">
        <x:v>Zeige warum relevant + wie ermittelbar.</x:v>
      </x:c>
      <x:c r="E14" s="60" t="str">
        <x:v>Niemals still schätzen.</x:v>
      </x:c>
      <x:c r="F14" s="60" t="str">
        <x:v>data state</x:v>
      </x:c>
      <x:c r="G14" s="60" t="str">
        <x:v>Fail-closed</x:v>
      </x:c>
    </x:row>
    <x:row r="15" ht="48" customHeight="1">
      <x:c r="A15" s="2356" t="str">
        <x:v>STALE</x:v>
      </x:c>
      <x:c r="B15" s="60" t="str">
        <x:v>Messung/Quelle ist zu alt für den aktuellen Zweck.</x:v>
      </x:c>
      <x:c r="C15" s="60" t="str">
        <x:v>Alter und Gültigkeitsfenster sind kontextabhängig.</x:v>
      </x:c>
      <x:c r="D15" s="60" t="str">
        <x:v>Refresh/remeasure action anbieten.</x:v>
      </x:c>
      <x:c r="E15" s="60" t="str">
        <x:v>Alt != falsch, aber evtl. nicht entscheidungsfähig.</x:v>
      </x:c>
      <x:c r="F15" s="60" t="str">
        <x:v>data state</x:v>
      </x:c>
      <x:c r="G15" s="60" t="str">
        <x:v>v9 extension</x:v>
      </x:c>
    </x:row>
    <x:row r="16" ht="48" customHeight="1">
      <x:c r="A16" s="2356" t="str">
        <x:v>CONDITIONAL</x:v>
      </x:c>
      <x:c r="B16" s="60" t="str">
        <x:v>Nur bei erfülltem Gate anwendbar.</x:v>
      </x:c>
      <x:c r="C16" s="60" t="str">
        <x:v>Produkt/Aktion existiert, aber Voraussetzung fehlt oder muss bestätigt werden.</x:v>
      </x:c>
      <x:c r="D16" s="60" t="str">
        <x:v>Gate und fehlende Inputs anzeigen.</x:v>
      </x:c>
      <x:c r="E16" s="60" t="str">
        <x:v>Conditional != recommended by default.</x:v>
      </x:c>
      <x:c r="F16" s="60" t="str">
        <x:v>decision state</x:v>
      </x:c>
      <x:c r="G16" s="60" t="str">
        <x:v>UKD</x:v>
      </x:c>
    </x:row>
    <x:row r="17" ht="48" customHeight="1">
      <x:c r="A17" s="2356" t="str">
        <x:v>BLOCKED</x:v>
      </x:c>
      <x:c r="B17" s="60" t="str">
        <x:v>Keine operative Freigabe.</x:v>
      </x:c>
      <x:c r="C17" s="60" t="str">
        <x:v>Regelkonflikt, fehlender Pflichtinput oder unsicherer Zustand.</x:v>
      </x:c>
      <x:c r="D17" s="60" t="str">
        <x:v>Grund, sichere Alternative und Auflösung anzeigen.</x:v>
      </x:c>
      <x:c r="E17" s="60" t="str">
        <x:v>Nicht durch 'trotzdem' oder Defaultwert umgehen.</x:v>
      </x:c>
      <x:c r="F17" s="60" t="str">
        <x:v>decision state</x:v>
      </x:c>
      <x:c r="G17" s="60" t="str">
        <x:v>UKD safety</x:v>
      </x:c>
    </x:row>
    <x:row r="18" ht="48" customHeight="1">
      <x:c r="A18" s="2356" t="str">
        <x:v>EXPERIMENTAL</x:v>
      </x:c>
      <x:c r="B18" s="60" t="str">
        <x:v>Bewusste Abweichung / A-B-Modul.</x:v>
      </x:c>
      <x:c r="C18" s="60" t="str">
        <x:v>Nicht Teil des Referenzpfads; braucht Hypothese und Log.</x:v>
      </x:c>
      <x:c r="D18" s="60" t="str">
        <x:v>Nur eine relevante Variable pro Pilot wenn möglich.</x:v>
      </x:c>
      <x:c r="E18" s="60" t="str">
        <x:v>Experiment != evidence-backed optimum.</x:v>
      </x:c>
      <x:c r="F18" s="60" t="str">
        <x:v>decision state</x:v>
      </x:c>
      <x:c r="G18" s="60" t="str">
        <x:v>UKD</x:v>
      </x:c>
    </x:row>
    <x:row r="19" ht="48" customHeight="1">
      <x:c r="A19" s="2356" t="str">
        <x:v>MANUFACTURER</x:v>
      </x:c>
      <x:c r="B19" s="60" t="str">
        <x:v>Primärquelle für Label/Kompatibilität.</x:v>
      </x:c>
      <x:c r="C19" s="60" t="str">
        <x:v>Stark für Produktidentität, Dosierlabel, Misch-/Freigabehinweise.</x:v>
      </x:c>
      <x:c r="D19" s="60" t="str">
        <x:v>Aktuelle Version/Datum speichern.</x:v>
      </x:c>
      <x:c r="E19" s="60" t="str">
        <x:v>Herstellerclaim != unabhängige Wirksamkeitsevidenz.</x:v>
      </x:c>
      <x:c r="F19" s="60" t="str">
        <x:v>evidence class</x:v>
      </x:c>
      <x:c r="G19" s="60" t="str">
        <x:v>Rules of Evidence</x:v>
      </x:c>
    </x:row>
    <x:row r="20" ht="48" customHeight="1">
      <x:c r="A20" s="2356" t="str">
        <x:v>UKD INFERENCE</x:v>
      </x:c>
      <x:c r="B20" s="60" t="str">
        <x:v>Engineering- oder Prozessregel.</x:v>
      </x:c>
      <x:c r="C20" s="60" t="str">
        <x:v>Aus Quellen/Constraints abgeleitete Operationalisierung.</x:v>
      </x:c>
      <x:c r="D20" s="60" t="str">
        <x:v>Als UKD kennzeichnen + Inputs/Reason.</x:v>
      </x:c>
      <x:c r="E20" s="60" t="str">
        <x:v>Nicht als Hersteller- oder Studienaussage ausgeben.</x:v>
      </x:c>
      <x:c r="F20" s="60" t="str">
        <x:v>evidence class</x:v>
      </x:c>
      <x:c r="G20" s="60" t="str">
        <x:v>Rules of Evidence</x:v>
      </x:c>
    </x:row>
    <x:row r="21" ht="48" customHeight="1">
      <x:c r="A21" s="2356" t="str">
        <x:v>A/B / N-of-1</x:v>
      </x:c>
      <x:c r="B21" s="60" t="str">
        <x:v>Persönlicher Vergleich unter begrenzter Kontrolle.</x:v>
      </x:c>
      <x:c r="C21" s="60" t="str">
        <x:v>Kann persönliche Hinweise liefern, ist aber oft confounded.</x:v>
      </x:c>
      <x:c r="D21" s="60" t="str">
        <x:v>Hypothese, variable, baseline, outcome und caveats loggen.</x:v>
      </x:c>
      <x:c r="E21" s="60" t="str">
        <x:v>Nicht zu universeller Kausalität hochstufen.</x:v>
      </x:c>
      <x:c r="F21" s="60" t="str">
        <x:v>experiment</x:v>
      </x:c>
      <x:c r="G21" s="60" t="str">
        <x:v>UKD research rules</x:v>
      </x:c>
    </x:row>
  </x:sheetData>
  <x:pageMargins left="0.7" right="0.7" top="0.75" bottom="0.75" header="0.3" footer="0.3"/>
</x:worksheet>
</file>

<file path=xl/worksheets/sheet3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0" hidden="0" customWidth="1"/>
    <x:col min="3" max="3" width="34" hidden="0" customWidth="1"/>
    <x:col min="4" max="4" width="42" hidden="0" customWidth="1"/>
    <x:col min="5" max="5" width="34" hidden="0" customWidth="1"/>
    <x:col min="6" max="6" width="34" hidden="0" customWidth="1"/>
    <x:col min="7" max="7" width="20" hidden="0" customWidth="1"/>
    <x:col min="8" max="8" width="24" hidden="0" customWidth="1"/>
  </x:cols>
  <x:sheetData>
    <x:row r="1">
      <x:c r="A1" s="2348" t="str">
        <x:v>Gate</x:v>
      </x:c>
      <x:c r="B1" s="2348" t="str">
        <x:v>Priority</x:v>
      </x:c>
      <x:c r="C1" s="2348" t="str">
        <x:v>/GOAL</x:v>
      </x:c>
      <x:c r="D1" s="2348" t="str">
        <x:v>Release block when</x:v>
      </x:c>
      <x:c r="E1" s="2348" t="str">
        <x:v>Automated check</x:v>
      </x:c>
      <x:c r="F1" s="2348" t="str">
        <x:v>Manual check</x:v>
      </x:c>
      <x:c r="G1" s="2348" t="str">
        <x:v>Owner / layer</x:v>
      </x:c>
      <x:c r="H1" s="2348" t="str">
        <x:v>v9 status</x:v>
      </x:c>
    </x:row>
    <x:row r="2" ht="50" customHeight="1">
      <x:c r="A2" s="60" t="str">
        <x:v>Release identity</x:v>
      </x:c>
      <x:c r="B2" s="1962" t="str">
        <x:v>P0</x:v>
      </x:c>
      <x:c r="C2" s="60" t="str">
        <x:v>App/PDF/XLSX same version + source manifest.</x:v>
      </x:c>
      <x:c r="D2" s="60" t="str">
        <x:v>Any version/date/schema/hash mismatch.</x:v>
      </x:c>
      <x:c r="E2" s="60" t="str">
        <x:v>CI manifest parity + artifact hash check.</x:v>
      </x:c>
      <x:c r="F2" s="60" t="str">
        <x:v>Spot-check visible labels.</x:v>
      </x:c>
      <x:c r="G2" s="60" t="str">
        <x:v>Build/content</x:v>
      </x:c>
      <x:c r="H2" s="60" t="str">
        <x:v>PLANNED APP; XLSX/PDF v9 labeled</x:v>
      </x:c>
    </x:row>
    <x:row r="3" ht="50" customHeight="1">
      <x:c r="A3" s="60" t="str">
        <x:v>Formula integrity</x:v>
      </x:c>
      <x:c r="B3" s="1962" t="str">
        <x:v>P0</x:v>
      </x:c>
      <x:c r="C3" s="60" t="str">
        <x:v>No broken references or semantic column misreferences.</x:v>
      </x:c>
      <x:c r="D3" s="60" t="str">
        <x:v>Formula error or golden fixture mismatch.</x:v>
      </x:c>
      <x:c r="E3" s="60" t="str">
        <x:v>Scan #REF/#VALUE/#NAME + formula fixtures.</x:v>
      </x:c>
      <x:c r="F3" s="60" t="str">
        <x:v>Review key day windows.</x:v>
      </x:c>
      <x:c r="G3" s="60" t="str">
        <x:v>Domain</x:v>
      </x:c>
      <x:c r="H3" s="60" t="str">
        <x:v>FIXED AJ-&gt;AL; tests planned</x:v>
      </x:c>
    </x:row>
    <x:row r="4" ht="50" customHeight="1">
      <x:c r="A4" s="60" t="str">
        <x:v>Product coverage</x:v>
      </x:c>
      <x:c r="B4" s="1962" t="str">
        <x:v>P0</x:v>
      </x:c>
      <x:c r="C4" s="60" t="str">
        <x:v>Every selected product resolves identically everywhere.</x:v>
      </x:c>
      <x:c r="D4" s="60" t="str">
        <x:v>Selected product disappears from Daily/Dashboard/Mix/export.</x:v>
      </x:c>
      <x:c r="E4" s="60" t="str">
        <x:v>Coverage validator.</x:v>
      </x:c>
      <x:c r="F4" s="60" t="str">
        <x:v>Spot-check current day and alternative preset.</x:v>
      </x:c>
      <x:c r="G4" s="60" t="str">
        <x:v>Domain/content</x:v>
      </x:c>
      <x:c r="H4" s="60" t="str">
        <x:v>Existing v8 gate + v9 extension</x:v>
      </x:c>
    </x:row>
    <x:row r="5" ht="50" customHeight="1">
      <x:c r="A5" s="60" t="str">
        <x:v>Fail-closed chemistry</x:v>
      </x:c>
      <x:c r="B5" s="1962" t="str">
        <x:v>P0</x:v>
      </x:c>
      <x:c r="C5" s="60" t="str">
        <x:v>Unknown chemistry stays zero/blocked.</x:v>
      </x:c>
      <x:c r="D5" s="60" t="str">
        <x:v>Positive Athena/CalMag dose from unknown inputs.</x:v>
      </x:c>
      <x:c r="E5" s="60" t="str">
        <x:v>Rule tests.</x:v>
      </x:c>
      <x:c r="F5" s="60" t="str">
        <x:v>Water profile review.</x:v>
      </x:c>
      <x:c r="G5" s="60" t="str">
        <x:v>Safety</x:v>
      </x:c>
      <x:c r="H5" s="60" t="str">
        <x:v>ACTIVE</x:v>
      </x:c>
    </x:row>
    <x:row r="6" ht="50" customHeight="1">
      <x:c r="A6" s="60" t="str">
        <x:v>Propagation gate</x:v>
      </x:c>
      <x:c r="B6" s="1962" t="str">
        <x:v>P0</x:v>
      </x:c>
      <x:c r="C6" s="60" t="str">
        <x:v>Pre-fertilised propagation media do not get blind calendar feed.</x:v>
      </x:c>
      <x:c r="D6" s="60" t="str">
        <x:v>Base action shown as GO without propagation/plant check.</x:v>
      </x:c>
      <x:c r="E6" s="60" t="str">
        <x:v>Run-config validation.</x:v>
      </x:c>
      <x:c r="F6" s="60" t="str">
        <x:v>Check first-run flow with Eazy Plug/Block.</x:v>
      </x:c>
      <x:c r="G6" s="60" t="str">
        <x:v>Safety/domain</x:v>
      </x:c>
      <x:c r="H6" s="60" t="str">
        <x:v>PLAN v9; app pending</x:v>
      </x:c>
    </x:row>
    <x:row r="7" ht="50" customHeight="1">
      <x:c r="A7" s="60" t="str">
        <x:v>Lens invariance</x:v>
      </x:c>
      <x:c r="B7" s="1962" t="str">
        <x:v>P0</x:v>
      </x:c>
      <x:c r="C7" s="60" t="str">
        <x:v>Guided/Advanced/Expert share calculations and decisions.</x:v>
      </x:c>
      <x:c r="D7" s="60" t="str">
        <x:v>Same inputs produce different result across lens.</x:v>
      </x:c>
      <x:c r="E7" s="60" t="str">
        <x:v>Cross-lens snapshot tests.</x:v>
      </x:c>
      <x:c r="F7" s="60" t="str">
        <x:v>Compare critical cards.</x:v>
      </x:c>
      <x:c r="G7" s="60" t="str">
        <x:v>UX/domain</x:v>
      </x:c>
      <x:c r="H7" s="60" t="str">
        <x:v>REQUIRED</x:v>
      </x:c>
    </x:row>
    <x:row r="8" ht="50" customHeight="1">
      <x:c r="A8" s="60" t="str">
        <x:v>Guided next action</x:v>
      </x:c>
      <x:c r="B8" s="2064" t="str">
        <x:v>P1</x:v>
      </x:c>
      <x:c r="C8" s="60" t="str">
        <x:v>First next action visible without analysis.</x:v>
      </x:c>
      <x:c r="D8" s="60" t="str">
        <x:v>No clear required action/blocker above fold.</x:v>
      </x:c>
      <x:c r="E8" s="60" t="str">
        <x:v>E2E locator assertions.</x:v>
      </x:c>
      <x:c r="F8" s="60" t="str">
        <x:v>5-user comprehension/usability test.</x:v>
      </x:c>
      <x:c r="G8" s="60" t="str">
        <x:v>UX</x:v>
      </x:c>
      <x:c r="H8" s="60" t="str">
        <x:v>PLANNED</x:v>
      </x:c>
    </x:row>
    <x:row r="9" ht="50" customHeight="1">
      <x:c r="A9" s="60" t="str">
        <x:v>Typography</x:v>
      </x:c>
      <x:c r="B9" s="2064" t="str">
        <x:v>P1</x:v>
      </x:c>
      <x:c r="C9" s="60" t="str">
        <x:v>Readable text and controls.</x:v>
      </x:c>
      <x:c r="D9" s="60" t="str">
        <x:v>Visible text &lt;11px or control target &lt;44px.</x:v>
      </x:c>
      <x:c r="E9" s="60" t="str">
        <x:v>CSS lint/custom check where feasible.</x:v>
      </x:c>
      <x:c r="F9" s="60" t="str">
        <x:v>200% zoom + mobile + touch audit.</x:v>
      </x:c>
      <x:c r="G9" s="60" t="str">
        <x:v>Design system</x:v>
      </x:c>
      <x:c r="H9" s="60" t="str">
        <x:v>PLANNED</x:v>
      </x:c>
    </x:row>
    <x:row r="10" ht="50" customHeight="1">
      <x:c r="A10" s="60" t="str">
        <x:v>No hover-only safety</x:v>
      </x:c>
      <x:c r="B10" s="2064" t="str">
        <x:v>P1</x:v>
      </x:c>
      <x:c r="C10" s="60" t="str">
        <x:v>Critical meaning available on touch/keyboard.</x:v>
      </x:c>
      <x:c r="D10" s="60" t="str">
        <x:v>Safety/source explanation only appears on hover.</x:v>
      </x:c>
      <x:c r="E10" s="60" t="str">
        <x:v>A11y tests for focus/tap pathways.</x:v>
      </x:c>
      <x:c r="F10" s="60" t="str">
        <x:v>Keyboard/screen-reader review.</x:v>
      </x:c>
      <x:c r="G10" s="60" t="str">
        <x:v>Accessibility</x:v>
      </x:c>
      <x:c r="H10" s="60" t="str">
        <x:v>REQUIRED</x:v>
      </x:c>
    </x:row>
    <x:row r="11" ht="50" customHeight="1">
      <x:c r="A11" s="60" t="str">
        <x:v>Setup readiness</x:v>
      </x:c>
      <x:c r="B11" s="2064" t="str">
        <x:v>P1</x:v>
      </x:c>
      <x:c r="C11" s="60" t="str">
        <x:v>Known/unknown/warnings/blockers explicit.</x:v>
      </x:c>
      <x:c r="D11" s="60" t="str">
        <x:v>Run activates through a hard blocker.</x:v>
      </x:c>
      <x:c r="E11" s="60" t="str">
        <x:v>State-machine tests.</x:v>
      </x:c>
      <x:c r="F11" s="60" t="str">
        <x:v>First-run walkthrough.</x:v>
      </x:c>
      <x:c r="G11" s="60" t="str">
        <x:v>Workflow</x:v>
      </x:c>
      <x:c r="H11" s="60" t="str">
        <x:v>PLANNED</x:v>
      </x:c>
    </x:row>
    <x:row r="12" ht="50" customHeight="1">
      <x:c r="A12" s="60" t="str">
        <x:v>Actual vs plan</x:v>
      </x:c>
      <x:c r="B12" s="2064" t="str">
        <x:v>P1</x:v>
      </x:c>
      <x:c r="C12" s="60" t="str">
        <x:v>Actions create immutable actual events.</x:v>
      </x:c>
      <x:c r="D12" s="60" t="str">
        <x:v>Plan cell silently overwritten with actual data.</x:v>
      </x:c>
      <x:c r="E12" s="60" t="str">
        <x:v>Repository/event tests.</x:v>
      </x:c>
      <x:c r="F12" s="60" t="str">
        <x:v>Edit/correction workflow review.</x:v>
      </x:c>
      <x:c r="G12" s="60" t="str">
        <x:v>Data</x:v>
      </x:c>
      <x:c r="H12" s="60" t="str">
        <x:v>PLANNED</x:v>
      </x:c>
    </x:row>
    <x:row r="13" ht="50" customHeight="1">
      <x:c r="A13" s="60" t="str">
        <x:v>Persistence migration</x:v>
      </x:c>
      <x:c r="B13" s="2338" t="str">
        <x:v>P2</x:v>
      </x:c>
      <x:c r="C13" s="60" t="str">
        <x:v>Historic runs survive schema changes.</x:v>
      </x:c>
      <x:c r="D13" s="60" t="str">
        <x:v>Migration loses/corrupts events.</x:v>
      </x:c>
      <x:c r="E13" s="60" t="str">
        <x:v>Migration + round-trip fixtures.</x:v>
      </x:c>
      <x:c r="F13" s="60" t="str">
        <x:v>Restore test on clean profile.</x:v>
      </x:c>
      <x:c r="G13" s="60" t="str">
        <x:v>Storage</x:v>
      </x:c>
      <x:c r="H13" s="60" t="str">
        <x:v>PLANNED</x:v>
      </x:c>
    </x:row>
    <x:row r="14" ht="50" customHeight="1">
      <x:c r="A14" s="60" t="str">
        <x:v>Backup/recovery</x:v>
      </x:c>
      <x:c r="B14" s="2338" t="str">
        <x:v>P2</x:v>
      </x:c>
      <x:c r="C14" s="60" t="str">
        <x:v>User can restore exported run archive.</x:v>
      </x:c>
      <x:c r="D14" s="60" t="str">
        <x:v>No tested restore path.</x:v>
      </x:c>
      <x:c r="E14" s="60" t="str">
        <x:v>Export/import checksum tests.</x:v>
      </x:c>
      <x:c r="F14" s="60" t="str">
        <x:v>Disaster-recovery drill.</x:v>
      </x:c>
      <x:c r="G14" s="60" t="str">
        <x:v>Storage</x:v>
      </x:c>
      <x:c r="H14" s="60" t="str">
        <x:v>PLANNED</x:v>
      </x:c>
    </x:row>
    <x:row r="15" ht="50" customHeight="1">
      <x:c r="A15" s="60" t="str">
        <x:v>Source freshness</x:v>
      </x:c>
      <x:c r="B15" s="1962" t="str">
        <x:v>P0</x:v>
      </x:c>
      <x:c r="C15" s="60" t="str">
        <x:v>Time-sensitive manufacturer/legal claims reviewed.</x:v>
      </x:c>
      <x:c r="D15" s="60" t="str">
        <x:v>checkedAt expired or source conflict unresolved.</x:v>
      </x:c>
      <x:c r="E15" s="60" t="str">
        <x:v>Content validator.</x:v>
      </x:c>
      <x:c r="F15" s="60" t="str">
        <x:v>Reviewer sign-off.</x:v>
      </x:c>
      <x:c r="G15" s="60" t="str">
        <x:v>Evidence</x:v>
      </x:c>
      <x:c r="H15" s="60" t="str">
        <x:v>EXISTING, extend to v9</x:v>
      </x:c>
    </x:row>
    <x:row r="16" ht="50" customHeight="1">
      <x:c r="A16" s="60" t="str">
        <x:v>Accessibility</x:v>
      </x:c>
      <x:c r="B16" s="2064" t="str">
        <x:v>P1</x:v>
      </x:c>
      <x:c r="C16" s="60" t="str">
        <x:v>WCAG 2.2 AA release target.</x:v>
      </x:c>
      <x:c r="D16" s="60" t="str">
        <x:v>Critical axe issue or keyboard blocker.</x:v>
      </x:c>
      <x:c r="E16" s="60" t="str">
        <x:v>axe/Playwright.</x:v>
      </x:c>
      <x:c r="F16" s="60" t="str">
        <x:v>Real AT + zoom + contrast.</x:v>
      </x:c>
      <x:c r="G16" s="60" t="str">
        <x:v>Accessibility</x:v>
      </x:c>
      <x:c r="H16" s="60" t="str">
        <x:v>EXISTING automation; manual needed</x:v>
      </x:c>
    </x:row>
    <x:row r="17" ht="50" customHeight="1">
      <x:c r="A17" s="60" t="str">
        <x:v>Performance</x:v>
      </x:c>
      <x:c r="B17" s="2338" t="str">
        <x:v>P2</x:v>
      </x:c>
      <x:c r="C17" s="60" t="str">
        <x:v>UI remains responsive on mobile.</x:v>
      </x:c>
      <x:c r="D17" s="60" t="str">
        <x:v>Budget regression beyond agreed thresholds.</x:v>
      </x:c>
      <x:c r="E17" s="60" t="str">
        <x:v>Build size/perf budget.</x:v>
      </x:c>
      <x:c r="F17" s="60" t="str">
        <x:v>Mid-range mobile check.</x:v>
      </x:c>
      <x:c r="G17" s="60" t="str">
        <x:v>Platform</x:v>
      </x:c>
      <x:c r="H17" s="60" t="str">
        <x:v>EXISTING goals</x:v>
      </x:c>
    </x:row>
    <x:row r="18" ht="50" customHeight="1">
      <x:c r="A18" s="60" t="str">
        <x:v>Security/privacy</x:v>
      </x:c>
      <x:c r="B18" s="2338" t="str">
        <x:v>P2</x:v>
      </x:c>
      <x:c r="C18" s="60" t="str">
        <x:v>No sensitive grow/legal data leaks to URL/localStorage/telemetry.</x:v>
      </x:c>
      <x:c r="D18" s="60" t="str">
        <x:v>Sensitive fields stored in prohibited channel.</x:v>
      </x:c>
      <x:c r="E18" s="60" t="str">
        <x:v>Static checks / threat model gates.</x:v>
      </x:c>
      <x:c r="F18" s="60" t="str">
        <x:v>Privacy review.</x:v>
      </x:c>
      <x:c r="G18" s="60" t="str">
        <x:v>Security</x:v>
      </x:c>
      <x:c r="H18" s="60" t="str">
        <x:v>EXISTING principle</x:v>
      </x:c>
    </x:row>
    <x:row r="19" ht="50" customHeight="1">
      <x:c r="A19" s="60" t="str">
        <x:v>Sensor trust</x:v>
      </x:c>
      <x:c r="B19" s="2338" t="str">
        <x:v>P3</x:v>
      </x:c>
      <x:c r="C19" s="60" t="str">
        <x:v>Sensor values carry trust/calibration/staleness.</x:v>
      </x:c>
      <x:c r="D19" s="60" t="str">
        <x:v>Unverified sensor displayed as authoritative live truth.</x:v>
      </x:c>
      <x:c r="E19" s="60" t="str">
        <x:v>Adapter/contract tests.</x:v>
      </x:c>
      <x:c r="F19" s="60" t="str">
        <x:v>Calibration/failure injection.</x:v>
      </x:c>
      <x:c r="G19" s="60" t="str">
        <x:v>Integrations</x:v>
      </x:c>
      <x:c r="H19" s="60" t="str">
        <x:v>FUTURE</x:v>
      </x:c>
    </x:row>
    <x:row r="20" ht="50" customHeight="1">
      <x:c r="A20" s="60" t="str">
        <x:v>Automation safety</x:v>
      </x:c>
      <x:c r="B20" s="2338" t="str">
        <x:v>P4</x:v>
      </x:c>
      <x:c r="C20" s="60" t="str">
        <x:v>Commands require validation/confirmation/ack/verify.</x:v>
      </x:c>
      <x:c r="D20" s="60" t="str">
        <x:v>Actuator action can occur without state transition.</x:v>
      </x:c>
      <x:c r="E20" s="60" t="str">
        <x:v>State-machine tests/failure injection.</x:v>
      </x:c>
      <x:c r="F20" s="60" t="str">
        <x:v>Safe-state drill.</x:v>
      </x:c>
      <x:c r="G20" s="60" t="str">
        <x:v>Automation</x:v>
      </x:c>
      <x:c r="H20" s="60" t="str">
        <x:v>FUTURE</x:v>
      </x:c>
    </x:row>
    <x:row r="21">
      <x:c r="A21" s="60" t="str">
        <x:v>Terminology clarity</x:v>
      </x:c>
      <x:c r="B21" s="60" t="str">
        <x:v>P1</x:v>
      </x:c>
      <x:c r="C21" s="60" t="str">
        <x:v>No unexplained operator-facing acronym.</x:v>
      </x:c>
      <x:c r="D21" s="60" t="str">
        <x:v>Bare technical acronym appears in Guided without local explanation or plain-language label.</x:v>
      </x:c>
      <x:c r="E21" s="60" t="str">
        <x:v>UI/content lint against context-help registry.</x:v>
      </x:c>
      <x:c r="F21" s="60" t="str">
        <x:v>Beginner comprehension test.</x:v>
      </x:c>
      <x:c r="G21" s="60" t="str">
        <x:v>UX/content</x:v>
      </x:c>
      <x:c r="H21" s="60" t="str">
        <x:v>ACTIVE v10 contract</x:v>
      </x:c>
    </x:row>
    <x:row r="22">
      <x:c r="A22" s="60" t="str">
        <x:v>Section orientation</x:v>
      </x:c>
      <x:c r="B22" s="60" t="str">
        <x:v>P1</x:v>
      </x:c>
      <x:c r="C22" s="60" t="str">
        <x:v>Every route/page states purpose and next lookup path.</x:v>
      </x:c>
      <x:c r="D22" s="60" t="str">
        <x:v>User must infer what a section is for or where to continue.</x:v>
      </x:c>
      <x:c r="E22" s="60" t="str">
        <x:v>Presence of section metadata in route registry.</x:v>
      </x:c>
      <x:c r="F22" s="60" t="str">
        <x:v>Task-to-section usability test.</x:v>
      </x:c>
      <x:c r="G22" s="60" t="str">
        <x:v>UX/IA</x:v>
      </x:c>
      <x:c r="H22" s="60" t="str">
        <x:v>ACTIVE v10 contract</x:v>
      </x:c>
    </x:row>
    <x:row r="23">
      <x:c r="A23" s="60" t="str">
        <x:v>Figure provenance</x:v>
      </x:c>
      <x:c r="B23" s="60" t="str">
        <x:v>P1</x:v>
      </x:c>
      <x:c r="C23" s="60" t="str">
        <x:v>Every graphic declares source type/scope.</x:v>
      </x:c>
      <x:c r="D23" s="60" t="str">
        <x:v>Generated/decorative graphic could be mistaken for canonical data.</x:v>
      </x:c>
      <x:c r="E23" s="60" t="str">
        <x:v>Figure metadata/schema check.</x:v>
      </x:c>
      <x:c r="F23" s="60" t="str">
        <x:v>PDF/app spot-check.</x:v>
      </x:c>
      <x:c r="G23" s="60" t="str">
        <x:v>Content/evidence</x:v>
      </x:c>
      <x:c r="H23" s="60" t="str">
        <x:v>ACTIVE v10 contract</x:v>
      </x:c>
    </x:row>
    <x:row r="24">
      <x:c r="A24" s="60" t="str">
        <x:v>Operator-canonical parity</x:v>
      </x:c>
      <x:c r="B24" s="60" t="str">
        <x:v>P0</x:v>
      </x:c>
      <x:c r="C24" s="60" t="str">
        <x:v>Readable operator view is a projection of canonical data.</x:v>
      </x:c>
      <x:c r="D24" s="60" t="str">
        <x:v>Operator sheet/card value diverges from canonical master.</x:v>
      </x:c>
      <x:c r="E24" s="60" t="str">
        <x:v>Parity formulas/snapshot tests.</x:v>
      </x:c>
      <x:c r="F24" s="60" t="str">
        <x:v>Spot-check days and mix.</x:v>
      </x:c>
      <x:c r="G24" s="60" t="str">
        <x:v>Domain/UI</x:v>
      </x:c>
      <x:c r="H24" s="60" t="str">
        <x:v>REQUIRED</x:v>
      </x:c>
    </x:row>
  </x:sheetData>
  <x:pageMargins left="0.7" right="0.7" top="0.75" bottom="0.75" header="0.3" footer="0.3"/>
</x:worksheet>
</file>

<file path=xl/worksheets/sheet3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4" hidden="0" customWidth="1"/>
    <x:col min="3" max="3" width="48" hidden="0" customWidth="1"/>
    <x:col min="4" max="4" width="22" hidden="0" customWidth="1"/>
    <x:col min="5" max="5" width="44" hidden="0" customWidth="1"/>
    <x:col min="6" max="6" width="42" hidden="0" customWidth="1"/>
    <x:col min="7" max="7" width="34" hidden="0" customWidth="1"/>
    <x:col min="8" max="8" width="14" hidden="0" customWidth="1"/>
    <x:col min="9" max="9" width="14" hidden="0" customWidth="1"/>
  </x:cols>
  <x:sheetData>
    <x:row r="1">
      <x:c r="A1" s="2367" t="str">
        <x:v>Canonical term / key</x:v>
      </x:c>
      <x:c r="B1" s="2367" t="str">
        <x:v>Display label (plain German)</x:v>
      </x:c>
      <x:c r="C1" s="2367" t="str">
        <x:v>Kurz erklärt</x:v>
      </x:c>
      <x:c r="D1" s="2367" t="str">
        <x:v>Einheit / Beispiel</x:v>
      </x:c>
      <x:c r="E1" s="2367" t="str">
        <x:v>Typischer Fehler</x:v>
      </x:c>
      <x:c r="F1" s="2367" t="str">
        <x:v>Was tun wenn unklar?</x:v>
      </x:c>
      <x:c r="G1" s="2367" t="str">
        <x:v>Wo nachsehen?</x:v>
      </x:c>
      <x:c r="H1" s="2367" t="str">
        <x:v>Color role</x:v>
      </x:c>
      <x:c r="I1" s="2367" t="str">
        <x:v>Icon key</x:v>
      </x:c>
    </x:row>
    <x:row r="2" ht="48" customHeight="1">
      <x:c r="A2" s="60" t="str">
        <x:v>PPFD</x:v>
      </x:c>
      <x:c r="B2" s="2369" t="str">
        <x:v>Lichtstärke am Blätterdach (PPFD)</x:v>
      </x:c>
      <x:c r="C2" s="2369" t="str">
        <x:v>Wie viel pflanzenwirksames Licht pro Sekunde am Messpunkt ankommt.</x:v>
      </x:c>
      <x:c r="D2" s="60" t="str">
        <x:v>µmol/m²/s</x:v>
      </x:c>
      <x:c r="E2" s="60" t="str">
        <x:v>Watt oder Lampenabstand mit echter Lichtmessung verwechseln.</x:v>
      </x:c>
      <x:c r="F2" s="60" t="str">
        <x:v>Messpunkt/Höhe notieren und mit geeignetem Sensor messen.</x:v>
      </x:c>
      <x:c r="G2" s="60" t="str">
        <x:v>10_Climate_Light · 32_GLOSSARY_STATES</x:v>
      </x:c>
      <x:c r="H2" s="60" t="str">
        <x:v>blue</x:v>
      </x:c>
      <x:c r="I2" s="60" t="str">
        <x:v>SUN</x:v>
      </x:c>
    </x:row>
    <x:row r="3" ht="48" customHeight="1">
      <x:c r="A3" s="60" t="str">
        <x:v>DLI</x:v>
      </x:c>
      <x:c r="B3" s="2369" t="str">
        <x:v>Tageslichtmenge (DLI)</x:v>
      </x:c>
      <x:c r="C3" s="2369" t="str">
        <x:v>Die gesamte pflanzenwirksame Lichtmenge über einen kompletten Tag.</x:v>
      </x:c>
      <x:c r="D3" s="60" t="str">
        <x:v>mol/m²/Tag</x:v>
      </x:c>
      <x:c r="E3" s="60" t="str">
        <x:v>DLI mit einem einzelnen PPFD-Wert verwechseln.</x:v>
      </x:c>
      <x:c r="F3" s="60" t="str">
        <x:v>PPFD + Beleuchtungsdauer prüfen.</x:v>
      </x:c>
      <x:c r="G3" s="60" t="str">
        <x:v>10_Climate_Light · 32_GLOSSARY_STATES</x:v>
      </x:c>
      <x:c r="H3" s="60" t="str">
        <x:v>blue</x:v>
      </x:c>
      <x:c r="I3" s="60" t="str">
        <x:v>DAY</x:v>
      </x:c>
    </x:row>
    <x:row r="4" ht="48" customHeight="1">
      <x:c r="A4" s="60" t="str">
        <x:v>EC</x:v>
      </x:c>
      <x:c r="B4" s="2371" t="str">
        <x:v>Nährsalzstärke (EC)</x:v>
      </x:c>
      <x:c r="C4" s="2371" t="str">
        <x:v>Zeigt vereinfacht, wie viele gelöste Ionen/Salze in der Lösung sind.</x:v>
      </x:c>
      <x:c r="D4" s="60" t="str">
        <x:v>mS/cm</x:v>
      </x:c>
      <x:c r="E4" s="60" t="str">
        <x:v>EC als genaue Nährstoffanalyse verstehen.</x:v>
      </x:c>
      <x:c r="F4" s="60" t="str">
        <x:v>Messgerät kalibrieren; Input und Drain getrennt messen.</x:v>
      </x:c>
      <x:c r="G4" s="60" t="str">
        <x:v>02_Daily_Master · 12_Daily_Log · 32_GLOSSARY_STATES</x:v>
      </x:c>
      <x:c r="H4" s="60" t="str">
        <x:v>green</x:v>
      </x:c>
      <x:c r="I4" s="60" t="str">
        <x:v>EC</x:v>
      </x:c>
    </x:row>
    <x:row r="5" ht="48" customHeight="1">
      <x:c r="A5" s="60" t="str">
        <x:v>pH</x:v>
      </x:c>
      <x:c r="B5" s="2371" t="str">
        <x:v>Säure-/Basenwert (pH)</x:v>
      </x:c>
      <x:c r="C5" s="2371" t="str">
        <x:v>Zeigt, wie sauer oder basisch die fertige Lösung ist.</x:v>
      </x:c>
      <x:c r="D5" s="60" t="str">
        <x:v>pH 0–14</x:v>
      </x:c>
      <x:c r="E5" s="60" t="str">
        <x:v>Wasser-pH, Substrat-pH und fertigen Nährmix gleichsetzen.</x:v>
      </x:c>
      <x:c r="F5" s="60" t="str">
        <x:v>Erst vollständigen Mix beurteilen; Meterkalibrierung prüfen.</x:v>
      </x:c>
      <x:c r="G5" s="60" t="str">
        <x:v>05_Mix_Calculator · 32_GLOSSARY_STATES</x:v>
      </x:c>
      <x:c r="H5" s="60" t="str">
        <x:v>green</x:v>
      </x:c>
      <x:c r="I5" s="60" t="str">
        <x:v>PH</x:v>
      </x:c>
    </x:row>
    <x:row r="6" ht="48" customHeight="1">
      <x:c r="A6" s="60" t="str">
        <x:v>LF / rF</x:v>
      </x:c>
      <x:c r="B6" s="2373" t="str">
        <x:v>Luftfeuchtigkeit (rF)</x:v>
      </x:c>
      <x:c r="C6" s="2373" t="str">
        <x:v>Anteil der aktuell enthaltenen Feuchte relativ zum möglichen Maximum.</x:v>
      </x:c>
      <x:c r="D6" s="60" t="str">
        <x:v>% rF</x:v>
      </x:c>
      <x:c r="E6" s="60" t="str">
        <x:v>Nur auf einen Sollwert schauen und Blatt-/Lufttemperatur ignorieren.</x:v>
      </x:c>
      <x:c r="F6" s="60" t="str">
        <x:v>Mit Temperatur und Blattzustand zusammen beurteilen.</x:v>
      </x:c>
      <x:c r="G6" s="60" t="str">
        <x:v>10_Climate_Light · 12_Daily_Log</x:v>
      </x:c>
      <x:c r="H6" s="60" t="str">
        <x:v>amber</x:v>
      </x:c>
      <x:c r="I6" s="60" t="str">
        <x:v>RH</x:v>
      </x:c>
    </x:row>
    <x:row r="7" ht="48" customHeight="1">
      <x:c r="A7" s="60" t="str">
        <x:v>VPD</x:v>
      </x:c>
      <x:c r="B7" s="2373" t="str">
        <x:v>Trocknungsdruck der Luft (VPD)</x:v>
      </x:c>
      <x:c r="C7" s="2373" t="str">
        <x:v>Beschreibt vereinfacht, wie stark die Luft Feuchtigkeit aus dem Blatt ziehen kann.</x:v>
      </x:c>
      <x:c r="D7" s="60" t="str">
        <x:v>kPa</x:v>
      </x:c>
      <x:c r="E7" s="60" t="str">
        <x:v>VPD als direkt gemessenen Pflanzenwert verstehen.</x:v>
      </x:c>
      <x:c r="F7" s="60" t="str">
        <x:v>Bei Blatt-VPD Blatttemperatur messen oder Schätzung klar markieren.</x:v>
      </x:c>
      <x:c r="G7" s="60" t="str">
        <x:v>10_Climate_Light · 32_GLOSSARY_STATES</x:v>
      </x:c>
      <x:c r="H7" s="60" t="str">
        <x:v>amber</x:v>
      </x:c>
      <x:c r="I7" s="60" t="str">
        <x:v>VPD</x:v>
      </x:c>
    </x:row>
    <x:row r="8" ht="48" customHeight="1">
      <x:c r="A8" s="60" t="str">
        <x:v>Leaf-VPD</x:v>
      </x:c>
      <x:c r="B8" s="2373" t="str">
        <x:v>Blatt-VPD (geschätzt)</x:v>
      </x:c>
      <x:c r="C8" s="2373" t="str">
        <x:v>VPD mit Blatt- statt nur Lufttemperatur; hier häufig geschätzt.</x:v>
      </x:c>
      <x:c r="D8" s="60" t="str">
        <x:v>kPa</x:v>
      </x:c>
      <x:c r="E8" s="60" t="str">
        <x:v>Feste Blatt-Temperaturdifferenz als Messung behandeln.</x:v>
      </x:c>
      <x:c r="F8" s="60" t="str">
        <x:v>Wenn möglich IR-Blatttemperatur messen.</x:v>
      </x:c>
      <x:c r="G8" s="60" t="str">
        <x:v>02_Daily_Master · 32_GLOSSARY_STATES</x:v>
      </x:c>
      <x:c r="H8" s="60" t="str">
        <x:v>amber</x:v>
      </x:c>
      <x:c r="I8" s="60" t="str">
        <x:v>LEAF</x:v>
      </x:c>
    </x:row>
    <x:row r="9" ht="48" customHeight="1">
      <x:c r="A9" s="60" t="str">
        <x:v>Drain-EC</x:v>
      </x:c>
      <x:c r="B9" s="2371" t="str">
        <x:v>EC der Drain-/Ablauflösung</x:v>
      </x:c>
      <x:c r="C9" s="2371" t="str">
        <x:v>Leitfähigkeit einer definierten Ablaufprobe zur Diagnose der Wurzelzone.</x:v>
      </x:c>
      <x:c r="D9" s="60" t="str">
        <x:v>mS/cm</x:v>
      </x:c>
      <x:c r="E9" s="60" t="str">
        <x:v>Einzelwert automatisch als Spül-Anweisung interpretieren.</x:v>
      </x:c>
      <x:c r="F9" s="60" t="str">
        <x:v>Zusammen mit Input-EC, Probenmenge und Zeitpunkt loggen.</x:v>
      </x:c>
      <x:c r="G9" s="60" t="str">
        <x:v>12_Daily_Log · 13_Diagnostics</x:v>
      </x:c>
      <x:c r="H9" s="60" t="str">
        <x:v>green</x:v>
      </x:c>
      <x:c r="I9" s="60" t="str">
        <x:v>DRAIN</x:v>
      </x:c>
    </x:row>
    <x:row r="10" ht="48" customHeight="1">
      <x:c r="A10" s="60" t="str">
        <x:v>Water band</x:v>
      </x:c>
      <x:c r="B10" s="2369" t="str">
        <x:v>Wasser-Startbereich</x:v>
      </x:c>
      <x:c r="C10" s="2369" t="str">
        <x:v>Planungsbereich für eine mögliche Wassermenge - keine Pflichtmenge.</x:v>
      </x:c>
      <x:c r="D10" s="60" t="str">
        <x:v>Liter</x:v>
      </x:c>
      <x:c r="E10" s="60" t="str">
        <x:v>Literzahl erzwingen, obwohl Topf/Pflanze anders reagieren.</x:v>
      </x:c>
      <x:c r="F10" s="60" t="str">
        <x:v>Topfmasse/Feuchte und Pflanze haben Vorrang.</x:v>
      </x:c>
      <x:c r="G10" s="60" t="str">
        <x:v>02_Daily_Master · 12_Daily_Log</x:v>
      </x:c>
      <x:c r="H10" s="60" t="str">
        <x:v>blue</x:v>
      </x:c>
      <x:c r="I10" s="60" t="str">
        <x:v>DROP</x:v>
      </x:c>
    </x:row>
    <x:row r="11" ht="48" customHeight="1">
      <x:c r="A11" s="60" t="str">
        <x:v>Bloom-Tag</x:v>
      </x:c>
      <x:c r="B11" s="2375" t="str">
        <x:v>Blütetag (BT)</x:v>
      </x:c>
      <x:c r="C11" s="2375" t="str">
        <x:v>Tage seit dem konfigurierten biologischen Blüte-Trigger.</x:v>
      </x:c>
      <x:c r="D11" s="60" t="str">
        <x:v>BT 1, BT 2 ...</x:v>
      </x:c>
      <x:c r="E11" s="60" t="str">
        <x:v>Kalenderalter und Blütetag verwechseln.</x:v>
      </x:c>
      <x:c r="F11" s="60" t="str">
        <x:v>Triggerdatum in Setup prüfen.</x:v>
      </x:c>
      <x:c r="G11" s="60" t="str">
        <x:v>01_Run_Config · 02_Daily_Master</x:v>
      </x:c>
      <x:c r="H11" s="60" t="str">
        <x:v>purple</x:v>
      </x:c>
      <x:c r="I11" s="60" t="str">
        <x:v>FLOWER</x:v>
      </x:c>
    </x:row>
    <x:row r="12" ht="48" customHeight="1">
      <x:c r="A12" s="60" t="str">
        <x:v>Bloom-Woche</x:v>
      </x:c>
      <x:c r="B12" s="2375" t="str">
        <x:v>Blütewoche (BW)</x:v>
      </x:c>
      <x:c r="C12" s="2375" t="str">
        <x:v>Woche seit dem biologischen Blüte-Trigger.</x:v>
      </x:c>
      <x:c r="D12" s="60" t="str">
        <x:v>BW1, BW2 ...</x:v>
      </x:c>
      <x:c r="E12" s="60" t="str">
        <x:v>Mit allgemeiner Run-Woche verwechseln.</x:v>
      </x:c>
      <x:c r="F12" s="60" t="str">
        <x:v>BT/BW gemeinsam mit Phase anzeigen.</x:v>
      </x:c>
      <x:c r="G12" s="60" t="str">
        <x:v>02_Daily_Master · 03_Weekly_Master</x:v>
      </x:c>
      <x:c r="H12" s="60" t="str">
        <x:v>purple</x:v>
      </x:c>
      <x:c r="I12" s="60" t="str">
        <x:v>WEEK</x:v>
      </x:c>
    </x:row>
    <x:row r="13" ht="48" customHeight="1">
      <x:c r="A13" s="60" t="str">
        <x:v>Target</x:v>
      </x:c>
      <x:c r="B13" s="2369" t="str">
        <x:v>Planwert / Ziel</x:v>
      </x:c>
      <x:c r="C13" s="2369" t="str">
        <x:v>Ein gewünschter oder geplanter Wert, kein Ist-Messwert.</x:v>
      </x:c>
      <x:c r="D13" s="60" t="str">
        <x:v>z. B. EC-Ziel 1,4</x:v>
      </x:c>
      <x:c r="E13" s="60" t="str">
        <x:v>Planwert als Live-Sensorwert darstellen.</x:v>
      </x:c>
      <x:c r="F13" s="60" t="str">
        <x:v>Mit tatsächlicher Messung vergleichen.</x:v>
      </x:c>
      <x:c r="G13" s="60" t="str">
        <x:v>00_Dashboard · 32_GLOSSARY_STATES</x:v>
      </x:c>
      <x:c r="H13" s="60" t="str">
        <x:v>blue</x:v>
      </x:c>
      <x:c r="I13" s="60" t="str">
        <x:v>TARGET</x:v>
      </x:c>
    </x:row>
    <x:row r="14" ht="48" customHeight="1">
      <x:c r="A14" s="60" t="str">
        <x:v>Measured</x:v>
      </x:c>
      <x:c r="B14" s="2371" t="str">
        <x:v>Gemessen / Istwert</x:v>
      </x:c>
      <x:c r="C14" s="2371" t="str">
        <x:v>Ein tatsächlich gemessener Wert mit Zeitpunkt und Methode.</x:v>
      </x:c>
      <x:c r="D14" s="60" t="str">
        <x:v>z. B. EC in 1,32</x:v>
      </x:c>
      <x:c r="E14" s="60" t="str">
        <x:v>Messwert automatisch als korrekt/kausal ansehen.</x:v>
      </x:c>
      <x:c r="F14" s="60" t="str">
        <x:v>Kalibrierung, Zeitpunkt und Plausibilität prüfen.</x:v>
      </x:c>
      <x:c r="G14" s="60" t="str">
        <x:v>12_Daily_Log · 32_GLOSSARY_STATES</x:v>
      </x:c>
      <x:c r="H14" s="60" t="str">
        <x:v>green</x:v>
      </x:c>
      <x:c r="I14" s="60" t="str">
        <x:v>MEASURE</x:v>
      </x:c>
    </x:row>
    <x:row r="15" ht="48" customHeight="1">
      <x:c r="A15" s="60" t="str">
        <x:v>Conditional</x:v>
      </x:c>
      <x:c r="B15" s="2373" t="str">
        <x:v>Nur bei Bedarf / Bedingung</x:v>
      </x:c>
      <x:c r="C15" s="2373" t="str">
        <x:v>Produkt oder Aktion ist vorhanden, aber erst bei erfüllter Voraussetzung aktiv.</x:v>
      </x:c>
      <x:c r="D15" s="60" t="str">
        <x:v>z. B. CalMag</x:v>
      </x:c>
      <x:c r="E15" s="60" t="str">
        <x:v>'vorhanden' mit 'benötigt' gleichsetzen.</x:v>
      </x:c>
      <x:c r="F15" s="60" t="str">
        <x:v>Bedingung/Gate öffnen und fehlenden Input erfassen.</x:v>
      </x:c>
      <x:c r="G15" s="60" t="str">
        <x:v>01_Run_Config · 05_Mix_Calculator</x:v>
      </x:c>
      <x:c r="H15" s="60" t="str">
        <x:v>amber</x:v>
      </x:c>
      <x:c r="I15" s="60" t="str">
        <x:v>COND</x:v>
      </x:c>
    </x:row>
    <x:row r="16" ht="48" customHeight="1">
      <x:c r="A16" s="60" t="str">
        <x:v>Blocked</x:v>
      </x:c>
      <x:c r="B16" s="2377" t="str">
        <x:v>Gesperrt / nicht freigegeben</x:v>
      </x:c>
      <x:c r="C16" s="2377" t="str">
        <x:v>Es fehlt ein Pflichtinput oder eine Regel verhindert die Aktion.</x:v>
      </x:c>
      <x:c r="D16" s="60" t="str">
        <x:v>BLOCK</x:v>
      </x:c>
      <x:c r="E16" s="60" t="str">
        <x:v>Trotzdem mit Defaultwert fortfahren.</x:v>
      </x:c>
      <x:c r="F16" s="60" t="str">
        <x:v>Blockgrund lesen und fehlende Messung/Entscheidung nachholen.</x:v>
      </x:c>
      <x:c r="G16" s="60" t="str">
        <x:v>00_Dashboard · 33_RELEASE_GATES</x:v>
      </x:c>
      <x:c r="H16" s="60" t="str">
        <x:v>red</x:v>
      </x:c>
      <x:c r="I16" s="60" t="str">
        <x:v>STOP</x:v>
      </x:c>
    </x:row>
    <x:row r="17" ht="48" customHeight="1">
      <x:c r="A17" s="60" t="str">
        <x:v>Experimental</x:v>
      </x:c>
      <x:c r="B17" s="2375" t="str">
        <x:v>Experiment / A-B-Test</x:v>
      </x:c>
      <x:c r="C17" s="2375" t="str">
        <x:v>Bewusste Abweichung vom Referenzpfad; Ergebnis muss protokolliert werden.</x:v>
      </x:c>
      <x:c r="D17" s="60" t="str">
        <x:v>A/B</x:v>
      </x:c>
      <x:c r="E17" s="60" t="str">
        <x:v>Experiment als erwiesenes Optimum behandeln.</x:v>
      </x:c>
      <x:c r="F17" s="60" t="str">
        <x:v>Hypothese, Variable und Ergebnis dokumentieren.</x:v>
      </x:c>
      <x:c r="G17" s="60" t="str">
        <x:v>08_Hybrid_AB · 20_Practice_Evidence</x:v>
      </x:c>
      <x:c r="H17" s="60" t="str">
        <x:v>purple</x:v>
      </x:c>
      <x:c r="I17" s="60" t="str">
        <x:v>TEST</x:v>
      </x:c>
    </x:row>
    <x:row r="18" ht="48" customHeight="1">
      <x:c r="A18" s="60" t="str">
        <x:v>AKF</x:v>
      </x:c>
      <x:c r="B18" s="2379" t="str">
        <x:v>Aktivkohlefilter (AKF)</x:v>
      </x:c>
      <x:c r="C18" s="2379" t="str">
        <x:v>Filtert Geruch aus dem Abluftstrom.</x:v>
      </x:c>
      <x:c r="D18" s="60" t="str">
        <x:v>—</x:v>
      </x:c>
      <x:c r="E18" s="60" t="str">
        <x:v>AKF als Umluftfilter verstehen.</x:v>
      </x:c>
      <x:c r="F18" s="60" t="str">
        <x:v>Unterdruck/Abluftweg prüfen.</x:v>
      </x:c>
      <x:c r="G18" s="60" t="str">
        <x:v>Setup / Lüftung</x:v>
      </x:c>
      <x:c r="H18" s="60" t="str">
        <x:v>gray</x:v>
      </x:c>
      <x:c r="I18" s="60" t="str">
        <x:v>FILTER</x:v>
      </x:c>
    </x:row>
    <x:row r="19" ht="48" customHeight="1">
      <x:c r="A19" s="60" t="str">
        <x:v>PWM</x:v>
      </x:c>
      <x:c r="B19" s="2379" t="str">
        <x:v>Lüfter-Drehzahlsteuerung (PWM)</x:v>
      </x:c>
      <x:c r="C19" s="2379" t="str">
        <x:v>Elektronische Steuerung der Lüfterdrehzahl.</x:v>
      </x:c>
      <x:c r="D19" s="60" t="str">
        <x:v>% PWM</x:v>
      </x:c>
      <x:c r="E19" s="60" t="str">
        <x:v>PWM-Prozent direkt als Luftmenge oder dB interpretieren.</x:v>
      </x:c>
      <x:c r="F19" s="60" t="str">
        <x:v>Tatsächliche Drehzahl/Luftbewegung beobachten oder messen.</x:v>
      </x:c>
      <x:c r="G19" s="60" t="str">
        <x:v>Setup / Hardwareprofil</x:v>
      </x:c>
      <x:c r="H19" s="60" t="str">
        <x:v>gray</x:v>
      </x:c>
      <x:c r="I19" s="60" t="str">
        <x:v>FAN</x:v>
      </x:c>
    </x:row>
  </x:sheetData>
  <x:pageMargins left="0.7" right="0.7" top="0.75" bottom="0.75" header="0.3" footer="0.3"/>
</x:worksheet>
</file>

<file path=xl/worksheets/sheet36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42" hidden="0" customWidth="1"/>
    <x:col min="3" max="3" width="42" hidden="0" customWidth="1"/>
    <x:col min="4" max="4" width="42" hidden="0" customWidth="1"/>
    <x:col min="5" max="5" width="34" hidden="0" customWidth="1"/>
    <x:col min="6" max="6" width="38" hidden="0" customWidth="1"/>
    <x:col min="7" max="7" width="36" hidden="0" customWidth="1"/>
    <x:col min="8" max="8" width="14" hidden="0" customWidth="1"/>
    <x:col min="9" max="9" width="20" hidden="0" customWidth="1"/>
  </x:cols>
  <x:sheetData>
    <x:row r="1">
      <x:c r="A1" s="2367" t="str">
        <x:v>Sektion / Arbeitsbereich</x:v>
      </x:c>
      <x:c r="B1" s="2367" t="str">
        <x:v>Wofür ist das?</x:v>
      </x:c>
      <x:c r="C1" s="2367" t="str">
        <x:v>Hier machst du</x:v>
      </x:c>
      <x:c r="D1" s="2367" t="str">
        <x:v>Hier NICHT</x:v>
      </x:c>
      <x:c r="E1" s="2367" t="str">
        <x:v>Wenn du ... suchst</x:v>
      </x:c>
      <x:c r="F1" s="2367" t="str">
        <x:v>Dann gehe zu</x:v>
      </x:c>
      <x:c r="G1" s="2367" t="str">
        <x:v>Wichtige Begriffe vor Ort</x:v>
      </x:c>
      <x:c r="H1" s="2367" t="str">
        <x:v>Farbcode</x:v>
      </x:c>
      <x:c r="I1" s="2367" t="str">
        <x:v>App Zielroute</x:v>
      </x:c>
    </x:row>
    <x:row r="2" ht="58" customHeight="1">
      <x:c r="A2" s="60" t="str">
        <x:v>START HERE / Dashboard</x:v>
      </x:c>
      <x:c r="B2" s="60" t="str">
        <x:v>Orientierung und nächste Entscheidung.</x:v>
      </x:c>
      <x:c r="C2" s="60" t="str">
        <x:v>Blocker prüfen, heutigen Schritt finden, Setup-Status sehen.</x:v>
      </x:c>
      <x:c r="D2" s="60" t="str">
        <x:v>Keine tiefen Rohdaten bearbeiten.</x:v>
      </x:c>
      <x:c r="E2" s="60" t="str">
        <x:v>'Was muss ich jetzt tun?'</x:v>
      </x:c>
      <x:c r="F2" s="60" t="str">
        <x:v>00_Dashboard / 36_TODAY_OPERATOR</x:v>
      </x:c>
      <x:c r="G2" s="60" t="str">
        <x:v>Target, Measured, Conditional, Blocked</x:v>
      </x:c>
      <x:c r="H2" s="60" t="str">
        <x:v>green</x:v>
      </x:c>
      <x:c r="I2" s="60" t="str">
        <x:v>Cockpit</x:v>
      </x:c>
    </x:row>
    <x:row r="3" ht="58" customHeight="1">
      <x:c r="A3" s="60" t="str">
        <x:v>SETUP</x:v>
      </x:c>
      <x:c r="B3" s="60" t="str">
        <x:v>Alle Fakten vor dem Run erfassen.</x:v>
      </x:c>
      <x:c r="C3" s="60" t="str">
        <x:v>Propagation, Medium, Wasser, Geräte, Produkte, Trigger, Unknowns prüfen.</x:v>
      </x:c>
      <x:c r="D3" s="60" t="str">
        <x:v>Keine Tagesdosis aus Inventar ableiten.</x:v>
      </x:c>
      <x:c r="E3" s="60" t="str">
        <x:v>'Was ist noch unbekannt?'</x:v>
      </x:c>
      <x:c r="F3" s="60" t="str">
        <x:v>37_SETUP_OPERATOR / 01_Run_Config</x:v>
      </x:c>
      <x:c r="G3" s="60" t="str">
        <x:v>pH, EC, Wasserchemie, Propagation Gate</x:v>
      </x:c>
      <x:c r="H3" s="60" t="str">
        <x:v>amber</x:v>
      </x:c>
      <x:c r="I3" s="60" t="str">
        <x:v>Setup</x:v>
      </x:c>
    </x:row>
    <x:row r="4" ht="58" customHeight="1">
      <x:c r="A4" s="60" t="str">
        <x:v>TODAY / NOW</x:v>
      </x:c>
      <x:c r="B4" s="60" t="str">
        <x:v>Nur die heutige Lage und Aufgabe.</x:v>
      </x:c>
      <x:c r="C4" s="60" t="str">
        <x:v>Messen -&gt; entscheiden -&gt; ausführen -&gt; loggen.</x:v>
      </x:c>
      <x:c r="D4" s="60" t="str">
        <x:v>Nicht den ganzen 81-Tage-Plan analysieren.</x:v>
      </x:c>
      <x:c r="E4" s="60" t="str">
        <x:v>'Was heute geben/messen?'</x:v>
      </x:c>
      <x:c r="F4" s="60" t="str">
        <x:v>36_TODAY_OPERATOR / 02_Daily_Master</x:v>
      </x:c>
      <x:c r="G4" s="60" t="str">
        <x:v>PPFD, DLI, EC, rF, VPD, Wasserband</x:v>
      </x:c>
      <x:c r="H4" s="60" t="str">
        <x:v>green</x:v>
      </x:c>
      <x:c r="I4" s="60" t="str">
        <x:v>Heute</x:v>
      </x:c>
    </x:row>
    <x:row r="5" ht="58" customHeight="1">
      <x:c r="A5" s="60" t="str">
        <x:v>MIX</x:v>
      </x:c>
      <x:c r="B5" s="60" t="str">
        <x:v>Heutigen Nährmix sicher herstellen.</x:v>
      </x:c>
      <x:c r="C5" s="60" t="str">
        <x:v>Aktive Produkte, Mengen, Reihenfolge und Gates prüfen.</x:v>
      </x:c>
      <x:c r="D5" s="60" t="str">
        <x:v>Keine OFF/Conditional-Produkte 'vorsorglich' hinzufügen.</x:v>
      </x:c>
      <x:c r="E5" s="60" t="str">
        <x:v>'Wie mische ich heute?'</x:v>
      </x:c>
      <x:c r="F5" s="60" t="str">
        <x:v>38_MIX_OPERATOR / 05_Mix_Calculator</x:v>
      </x:c>
      <x:c r="G5" s="60" t="str">
        <x:v>EC, pH, Batch, Conditional, Blocked</x:v>
      </x:c>
      <x:c r="H5" s="60" t="str">
        <x:v>blue</x:v>
      </x:c>
      <x:c r="I5" s="60" t="str">
        <x:v>Mischlabor</x:v>
      </x:c>
    </x:row>
    <x:row r="6" ht="58" customHeight="1">
      <x:c r="A6" s="60" t="str">
        <x:v>LOG</x:v>
      </x:c>
      <x:c r="B6" s="60" t="str">
        <x:v>Was wirklich passiert ist dokumentieren.</x:v>
      </x:c>
      <x:c r="C6" s="60" t="str">
        <x:v>Messwerte, Gießen, Feed, Foto, Beobachtung und Abweichung erfassen.</x:v>
      </x:c>
      <x:c r="D6" s="60" t="str">
        <x:v>Planwerte nicht mit Istwerten überschreiben.</x:v>
      </x:c>
      <x:c r="E6" s="60" t="str">
        <x:v>'Wo trage ich Messwerte ein?'</x:v>
      </x:c>
      <x:c r="F6" s="60" t="str">
        <x:v>39_LOG_GUIDE / 12_Daily_Log</x:v>
      </x:c>
      <x:c r="G6" s="60" t="str">
        <x:v>Measured, Drain-EC, Istwert, Ereignis</x:v>
      </x:c>
      <x:c r="H6" s="60" t="str">
        <x:v>amber</x:v>
      </x:c>
      <x:c r="I6" s="60" t="str">
        <x:v>Log / Journal</x:v>
      </x:c>
    </x:row>
    <x:row r="7" ht="58" customHeight="1">
      <x:c r="A7" s="60" t="str">
        <x:v>ZEITACHSE / WEEKLY</x:v>
      </x:c>
      <x:c r="B7" s="60" t="str">
        <x:v>Phasen und nächste Übergänge verstehen.</x:v>
      </x:c>
      <x:c r="C7" s="60" t="str">
        <x:v>Trend, Trigger, kommende Änderungen und Abweichungen sehen.</x:v>
      </x:c>
      <x:c r="D7" s="60" t="str">
        <x:v>Keine einzelne Tagesaktion nur aus Wochenübersicht ableiten.</x:v>
      </x:c>
      <x:c r="E7" s="60" t="str">
        <x:v>'Wann ändert sich Phase/Licht/Feed?'</x:v>
      </x:c>
      <x:c r="F7" s="60" t="str">
        <x:v>03_Weekly_Master / Zeitachse</x:v>
      </x:c>
      <x:c r="G7" s="60" t="str">
        <x:v>BT, BW, Phase, Trigger</x:v>
      </x:c>
      <x:c r="H7" s="60" t="str">
        <x:v>blue</x:v>
      </x:c>
      <x:c r="I7" s="60" t="str">
        <x:v>Zeitachse</x:v>
      </x:c>
    </x:row>
    <x:row r="8" ht="58" customHeight="1">
      <x:c r="A8" s="60" t="str">
        <x:v>DIAGNOSE</x:v>
      </x:c>
      <x:c r="B8" s="60" t="str">
        <x:v>Abweichungen strukturiert untersuchen.</x:v>
      </x:c>
      <x:c r="C8" s="60" t="str">
        <x:v>Messung, Symptome, Kontext und sichere nächste Prüfung verbinden.</x:v>
      </x:c>
      <x:c r="D8" s="60" t="str">
        <x:v>Symptom nie als sichere Ursache behandeln.</x:v>
      </x:c>
      <x:c r="E8" s="60" t="str">
        <x:v>'Warum sieht die Pflanze so aus?'</x:v>
      </x:c>
      <x:c r="F8" s="60" t="str">
        <x:v>13_Diagnostics</x:v>
      </x:c>
      <x:c r="G8" s="60" t="str">
        <x:v>Drain-EC, Stress, Confidence, Missing</x:v>
      </x:c>
      <x:c r="H8" s="60" t="str">
        <x:v>red</x:v>
      </x:c>
      <x:c r="I8" s="60" t="str">
        <x:v>Diagnose</x:v>
      </x:c>
    </x:row>
    <x:row r="9" ht="58" customHeight="1">
      <x:c r="A9" s="60" t="str">
        <x:v>WISSEN / GLOSSAR</x:v>
      </x:c>
      <x:c r="B9" s="60" t="str">
        <x:v>Begriffe und Hintergründe verstehen.</x:v>
      </x:c>
      <x:c r="C9" s="60" t="str">
        <x:v>Kurzerklärung -&gt; operative Bedeutung -&gt; technische Tiefe öffnen.</x:v>
      </x:c>
      <x:c r="D9" s="60" t="str">
        <x:v>Kritische Info nicht nur als Tooltip verstecken.</x:v>
      </x:c>
      <x:c r="E9" s="60" t="str">
        <x:v>'Was bedeutet VPD/EC/DLI?'</x:v>
      </x:c>
      <x:c r="F9" s="60" t="str">
        <x:v>34_CONTEXT_HELP_MAP / 32_GLOSSARY_STATES</x:v>
      </x:c>
      <x:c r="G9" s="60" t="str">
        <x:v>alle Fachbegriffe</x:v>
      </x:c>
      <x:c r="H9" s="60" t="str">
        <x:v>purple</x:v>
      </x:c>
      <x:c r="I9" s="60" t="str">
        <x:v>Wissen &amp; Quellen</x:v>
      </x:c>
    </x:row>
    <x:row r="10" ht="58" customHeight="1">
      <x:c r="A10" s="60" t="str">
        <x:v>EVIDENZ / AUDIT</x:v>
      </x:c>
      <x:c r="B10" s="60" t="str">
        <x:v>Nachvollziehen warum eine Regel existiert.</x:v>
      </x:c>
      <x:c r="C10" s="60" t="str">
        <x:v>Hersteller, Forschung, UKD-Inferenz, Unsicherheit und Korrekturen prüfen.</x:v>
      </x:c>
      <x:c r="D10" s="60" t="str">
        <x:v>Quelle und Interpretation nicht vermischen.</x:v>
      </x:c>
      <x:c r="E10" s="60" t="str">
        <x:v>'Woher kommt diese Aussage?'</x:v>
      </x:c>
      <x:c r="F10" s="60" t="str">
        <x:v>20_Practice_Evidence / 22_Sources / 26_Audit_Report</x:v>
      </x:c>
      <x:c r="G10" s="60" t="str">
        <x:v>Manufacturer, UKD Inference, Experimental</x:v>
      </x:c>
      <x:c r="H10" s="60" t="str">
        <x:v>purple</x:v>
      </x:c>
      <x:c r="I10" s="60" t="str">
        <x:v>Audit Center</x:v>
      </x:c>
    </x:row>
    <x:row r="11" ht="58" customHeight="1">
      <x:c r="A11" s="60" t="str">
        <x:v>ROHDATEN</x:v>
      </x:c>
      <x:c r="B11" s="60" t="str">
        <x:v>Technische Detailprüfung.</x:v>
      </x:c>
      <x:c r="C11" s="60" t="str">
        <x:v>Formeln, Spalten, Quellen, Exportdaten prüfen.</x:v>
      </x:c>
      <x:c r="D11" s="60" t="str">
        <x:v>Nicht als Anfänger-Startseite nutzen.</x:v>
      </x:c>
      <x:c r="E11" s="60" t="str">
        <x:v>'Welche Zelle/Formel steckt dahinter?'</x:v>
      </x:c>
      <x:c r="F11" s="60" t="str">
        <x:v>02_Daily_Master / Rohdaten</x:v>
      </x:c>
      <x:c r="G11" s="60" t="str">
        <x:v>canonical key, derived, formula version</x:v>
      </x:c>
      <x:c r="H11" s="60" t="str">
        <x:v>gray</x:v>
      </x:c>
      <x:c r="I11" s="60" t="str">
        <x:v>Rohdaten</x:v>
      </x:c>
    </x:row>
  </x:sheetData>
  <x:pageMargins left="0.7" right="0.7" top="0.75" bottom="0.75" header="0.3" footer="0.3"/>
</x:worksheet>
</file>

<file path=xl/worksheets/sheet37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</x:cols>
  <x:sheetData>
    <x:row r="1" ht="28" customHeight="1">
      <x:c r="A1" s="2398" t="str">
        <x:v>TODAY / NOW · heute verstehen, handeln und dokumentieren</x:v>
      </x:c>
      <x:c r="B1" s="2398"/>
      <x:c r="C1" s="2398"/>
      <x:c r="D1" s="2398"/>
      <x:c r="E1" s="2398"/>
      <x:c r="F1" s="2398"/>
      <x:c r="G1" s="2398"/>
      <x:c r="H1" s="2398"/>
      <x:c r="I1" s="2398"/>
      <x:c r="J1" s="2398"/>
      <x:c r="K1" s="2398"/>
      <x:c r="L1" s="2398"/>
    </x:row>
    <x:row r="2">
      <x:c r="A2" s="2371" t="str">
        <x:v>Diese Seite beantwortet nur 5 Fragen: Wo bin ich? Was muss ich prüfen? Was ist heute erlaubt? Was ist blockiert? Was muss ich danach loggen?</x:v>
      </x:c>
      <x:c r="B2" s="2371"/>
      <x:c r="C2" s="2371"/>
      <x:c r="D2" s="2371"/>
      <x:c r="E2" s="2371"/>
      <x:c r="F2" s="2371"/>
      <x:c r="G2" s="2371"/>
      <x:c r="H2" s="2371"/>
      <x:c r="I2" s="2371"/>
      <x:c r="J2" s="2371"/>
      <x:c r="K2" s="2371"/>
      <x:c r="L2" s="2371"/>
    </x:row>
    <x:row r="3">
      <x:c r="A3" s="60"/>
      <x:c r="B3" s="60"/>
      <x:c r="C3" s="60"/>
      <x:c r="D3" s="60"/>
      <x:c r="E3" s="60"/>
      <x:c r="F3" s="60"/>
      <x:c r="G3" s="60"/>
      <x:c r="H3" s="60"/>
      <x:c r="I3" s="60"/>
      <x:c r="J3" s="60"/>
      <x:c r="K3" s="60"/>
      <x:c r="L3" s="60"/>
    </x:row>
    <x:row r="4">
      <x:c r="A4" s="2367" t="str">
        <x:v>WO BIN ICH?</x:v>
      </x:c>
      <x:c r="B4" s="2367"/>
      <x:c r="C4" s="2367"/>
      <x:c r="D4" s="2367"/>
      <x:c r="E4" s="2367" t="str">
        <x:v>WAS MUSS ICH PRÜFEN?</x:v>
      </x:c>
      <x:c r="F4" s="2367"/>
      <x:c r="G4" s="2367"/>
      <x:c r="H4" s="2367"/>
      <x:c r="I4" s="2367" t="str">
        <x:v>WAS IST GESPERRT / NUR BEDINGT?</x:v>
      </x:c>
      <x:c r="J4" s="2367"/>
      <x:c r="K4" s="2367"/>
      <x:c r="L4" s="2367"/>
    </x:row>
    <x:row r="5">
      <x:c r="A5" s="2369" t="str">
        <x:f>"Run-Tag: "&amp;'01_Run_Config'!$B$5&amp;" / "&amp;'01_Run_Config'!$B$7&amp;CHAR(10)&amp;"Phase: "&amp;INDEX('02_Daily_Master'!$E$2:$E$82,'01_Run_Config'!$B$5+1)&amp;CHAR(10)&amp;"Tagesziel: "&amp;INDEX('02_Daily_Master'!$F$2:$F$82,'01_Run_Config'!$B$5+1)&amp;CHAR(10)&amp;"Blütetag (BT): "&amp;IF(INDEX('02_Daily_Master'!$AL$2:$AL$82,'01_Run_Config'!$B$5+1)="","noch nicht gestartet",INDEX('02_Daily_Master'!$AL$2:$AL$82,'01_Run_Config'!$B$5+1))&amp;CHAR(10)&amp;"Blütewoche (BW): "&amp;IF(INDEX('02_Daily_Master'!$AM$2:$AM$82,'01_Run_Config'!$B$5+1)="","—",INDEX('02_Daily_Master'!$AM$2:$AM$82,'01_Run_Config'!$B$5+1))</x:f>
        <x:v>Run-Tag: 0 / 80
Phase: Keimung
Tagesziel: Keimung + Wurzelstart
Blütetag (BT): noch nicht gestartet
Blütewoche (BW): —</x:v>
      </x:c>
      <x:c r="B5" s="2369"/>
      <x:c r="C5" s="2369"/>
      <x:c r="D5" s="2369"/>
      <x:c r="E5" s="2373" t="str">
        <x:v>1. Pflanze vital? Blattstellung/Farbe/Stress prüfen.
2. Topf/Block: Feuchte/Topfmasse bzw. tatsächlichen Gießbedarf prüfen.
3. pH-/EC-Meter: Kalibrierung plausibel?
4. Klima: Temperatur + Luftfeuchte gemeinsam beurteilen.
5. Wenn eine Pflichtmessung fehlt: erst messen, dann entscheiden.</x:v>
      </x:c>
      <x:c r="F5" s="2373"/>
      <x:c r="G5" s="2373"/>
      <x:c r="H5" s="2373"/>
      <x:c r="I5" s="2377" t="str">
        <x:f>"Vollständigkeitsprüfung: "&amp;'01_Run_Config'!$E$57&amp;CHAR(10)&amp;"Wasserchemie: "&amp;'01_Run_Config'!$E$34&amp;CHAR(10)&amp;"Athena Balance: "&amp;'01_Run_Config'!$E$35&amp;CHAR(10)&amp;"CalMag: "&amp;'01_Run_Config'!$E$54&amp;CHAR(10)&amp;"Anzucht-/Setup-Freigabe: "&amp;'01_Run_Config'!$E$75</x:f>
        <x:v>Vollständigkeitsprüfung: OK
Wasserchemie: UNKNOWN
Athena Balance: OFF/SAFE
CalMag: SAFE / DOSE 0
Anzucht-/Setup-Freigabe: OPEN</x:v>
      </x:c>
      <x:c r="J5" s="2377"/>
      <x:c r="K5" s="2377"/>
      <x:c r="L5" s="2377"/>
    </x:row>
    <x:row r="6">
      <x:c r="A6" s="2369"/>
      <x:c r="B6" s="2369"/>
      <x:c r="C6" s="2369"/>
      <x:c r="D6" s="2369"/>
      <x:c r="E6" s="2373"/>
      <x:c r="F6" s="2373"/>
      <x:c r="G6" s="2373"/>
      <x:c r="H6" s="2373"/>
      <x:c r="I6" s="2377"/>
      <x:c r="J6" s="2377"/>
      <x:c r="K6" s="2377"/>
      <x:c r="L6" s="2377"/>
    </x:row>
    <x:row r="7">
      <x:c r="A7" s="2369"/>
      <x:c r="B7" s="2369"/>
      <x:c r="C7" s="2369"/>
      <x:c r="D7" s="2369"/>
      <x:c r="E7" s="2373"/>
      <x:c r="F7" s="2373"/>
      <x:c r="G7" s="2373"/>
      <x:c r="H7" s="2373"/>
      <x:c r="I7" s="2377"/>
      <x:c r="J7" s="2377"/>
      <x:c r="K7" s="2377"/>
      <x:c r="L7" s="2377"/>
    </x:row>
    <x:row r="8">
      <x:c r="A8" s="2369"/>
      <x:c r="B8" s="2369"/>
      <x:c r="C8" s="2369"/>
      <x:c r="D8" s="2369"/>
      <x:c r="E8" s="2373"/>
      <x:c r="F8" s="2373"/>
      <x:c r="G8" s="2373"/>
      <x:c r="H8" s="2373"/>
      <x:c r="I8" s="2377"/>
      <x:c r="J8" s="2377"/>
      <x:c r="K8" s="2377"/>
      <x:c r="L8" s="2377"/>
    </x:row>
    <x:row r="9">
      <x:c r="A9" s="2369"/>
      <x:c r="B9" s="2369"/>
      <x:c r="C9" s="2369"/>
      <x:c r="D9" s="2369"/>
      <x:c r="E9" s="2373"/>
      <x:c r="F9" s="2373"/>
      <x:c r="G9" s="2373"/>
      <x:c r="H9" s="2373"/>
      <x:c r="I9" s="2377"/>
      <x:c r="J9" s="2377"/>
      <x:c r="K9" s="2377"/>
      <x:c r="L9" s="2377"/>
    </x:row>
    <x:row r="10">
      <x:c r="A10" s="60"/>
      <x:c r="B10" s="60"/>
      <x:c r="C10" s="60"/>
      <x:c r="D10" s="60"/>
      <x:c r="E10" s="60"/>
      <x:c r="F10" s="60"/>
      <x:c r="G10" s="60"/>
      <x:c r="H10" s="60"/>
      <x:c r="I10" s="60"/>
      <x:c r="J10" s="60"/>
      <x:c r="K10" s="60"/>
      <x:c r="L10" s="60"/>
    </x:row>
    <x:row r="11">
      <x:c r="A11" s="2399" t="str">
        <x:v>HEUTIGE ZIELWERTE · Planwert ≠ Messwert</x:v>
      </x:c>
      <x:c r="B11" s="2399"/>
      <x:c r="C11" s="2399"/>
      <x:c r="D11" s="2399"/>
      <x:c r="E11" s="2399"/>
      <x:c r="F11" s="2399"/>
      <x:c r="G11" s="2399"/>
      <x:c r="H11" s="2399"/>
      <x:c r="I11" s="2399"/>
      <x:c r="J11" s="2399"/>
      <x:c r="K11" s="2399"/>
      <x:c r="L11" s="2399"/>
    </x:row>
    <x:row r="12">
      <x:c r="A12" s="2369" t="str">
        <x:f>"LICHTSTÄRKE (PPFD)"&amp;CHAR(10)&amp;CHAR(10)&amp;"Soll: "&amp;TEXT(INDEX('02_Daily_Master'!$I$2:$I$82,'01_Run_Config'!$B$5+1),"0")&amp;" µmol/m²/s"&amp;CHAR(10)&amp;"Kurz: Licht pro Sekunde am Blätterdach."</x:f>
        <x:v>LICHTSTÄRKE (PPFD)
Soll: 160 µmol/m²/s
Kurz: Licht pro Sekunde am Blätterdach.</x:v>
      </x:c>
      <x:c r="B12" s="2369"/>
      <x:c r="C12" s="2369"/>
      <x:c r="D12" s="2369" t="str">
        <x:f>"TAGESLICHTMENGE (DLI)"&amp;CHAR(10)&amp;CHAR(10)&amp;"Soll: "&amp;TEXT(INDEX('02_Daily_Master'!$J$2:$J$82,'01_Run_Config'!$B$5+1),"0.0")&amp;" mol/m²/Tag"&amp;CHAR(10)&amp;"Kurz: gesamte Lichtmenge über den Tag."</x:f>
        <x:v>TAGESLICHTMENGE (DLI)
Soll: 10.4 mol/m²/Tag
Kurz: gesamte Lichtmenge über den Tag.</x:v>
      </x:c>
      <x:c r="E12" s="2369"/>
      <x:c r="F12" s="2369"/>
      <x:c r="G12" s="2369" t="str">
        <x:f>"NÄHRSALZSTÄRKE (EC)"&amp;CHAR(10)&amp;CHAR(10)&amp;"Soll: "&amp;TEXT(INDEX('02_Daily_Master'!$P$2:$P$82,'01_Run_Config'!$B$5+1),"0.00")&amp;" mS/cm"&amp;CHAR(10)&amp;"Kurz: Leitfähigkeit als grober Salz-/Ionenindikator."</x:f>
        <x:v>NÄHRSALZSTÄRKE (EC)
Soll: 0.55 mS/cm
Kurz: Leitfähigkeit als grober Salz-/Ionenindikator.</x:v>
      </x:c>
      <x:c r="H12" s="2369"/>
      <x:c r="I12" s="2369"/>
      <x:c r="J12" s="2369" t="str">
        <x:f>"SÄURE-/BASENWERT (pH)"&amp;CHAR(10)&amp;CHAR(10)&amp;"Arbeitswert: "&amp;TEXT(INDEX('02_Daily_Master'!$Q$2:$Q$82,'01_Run_Config'!$B$5+1),"0.0")&amp;CHAR(10)&amp;"Kurz: pH des fertigen Mixes - nicht Block-/Substrat-pH."</x:f>
        <x:v>SÄURE-/BASENWERT (pH)
Arbeitswert: 5.9
Kurz: pH des fertigen Mixes - nicht Block-/Substrat-pH.</x:v>
      </x:c>
      <x:c r="K12" s="2369"/>
      <x:c r="L12" s="2369"/>
    </x:row>
    <x:row r="13">
      <x:c r="A13" s="2369"/>
      <x:c r="B13" s="2369"/>
      <x:c r="C13" s="2369"/>
      <x:c r="D13" s="2369"/>
      <x:c r="E13" s="2369"/>
      <x:c r="F13" s="2369"/>
      <x:c r="G13" s="2369"/>
      <x:c r="H13" s="2369"/>
      <x:c r="I13" s="2369"/>
      <x:c r="J13" s="2369"/>
      <x:c r="K13" s="2369"/>
      <x:c r="L13" s="2369"/>
    </x:row>
    <x:row r="14">
      <x:c r="A14" s="2369"/>
      <x:c r="B14" s="2369"/>
      <x:c r="C14" s="2369"/>
      <x:c r="D14" s="2369"/>
      <x:c r="E14" s="2369"/>
      <x:c r="F14" s="2369"/>
      <x:c r="G14" s="2369"/>
      <x:c r="H14" s="2369"/>
      <x:c r="I14" s="2369"/>
      <x:c r="J14" s="2369"/>
      <x:c r="K14" s="2369"/>
      <x:c r="L14" s="2369"/>
    </x:row>
    <x:row r="15">
      <x:c r="A15" s="2369"/>
      <x:c r="B15" s="2369"/>
      <x:c r="C15" s="2369"/>
      <x:c r="D15" s="2369"/>
      <x:c r="E15" s="2369"/>
      <x:c r="F15" s="2369"/>
      <x:c r="G15" s="2369"/>
      <x:c r="H15" s="2369"/>
      <x:c r="I15" s="2369"/>
      <x:c r="J15" s="2369"/>
      <x:c r="K15" s="2369"/>
      <x:c r="L15" s="2369"/>
    </x:row>
    <x:row r="16">
      <x:c r="A16" s="2369"/>
      <x:c r="B16" s="2369"/>
      <x:c r="C16" s="2369"/>
      <x:c r="D16" s="2369"/>
      <x:c r="E16" s="2369"/>
      <x:c r="F16" s="2369"/>
      <x:c r="G16" s="2369"/>
      <x:c r="H16" s="2369"/>
      <x:c r="I16" s="2369"/>
      <x:c r="J16" s="2369"/>
      <x:c r="K16" s="2369"/>
      <x:c r="L16" s="2369"/>
    </x:row>
    <x:row r="17">
      <x:c r="A17" s="60"/>
      <x:c r="B17" s="60"/>
      <x:c r="C17" s="60"/>
      <x:c r="D17" s="60"/>
      <x:c r="E17" s="60"/>
      <x:c r="F17" s="60"/>
      <x:c r="G17" s="60"/>
      <x:c r="H17" s="60"/>
      <x:c r="I17" s="60"/>
      <x:c r="J17" s="60"/>
      <x:c r="K17" s="60"/>
      <x:c r="L17" s="60"/>
    </x:row>
    <x:row r="18">
      <x:c r="A18" s="2367" t="str">
        <x:v>KLIMA</x:v>
      </x:c>
      <x:c r="B18" s="2367"/>
      <x:c r="C18" s="2367"/>
      <x:c r="D18" s="2367"/>
      <x:c r="E18" s="2367"/>
      <x:c r="F18" s="2367"/>
      <x:c r="G18" s="2367" t="str">
        <x:v>WASSER / WURZELZONE</x:v>
      </x:c>
      <x:c r="H18" s="2367"/>
      <x:c r="I18" s="2367"/>
      <x:c r="J18" s="2367"/>
      <x:c r="K18" s="2367"/>
      <x:c r="L18" s="2367"/>
    </x:row>
    <x:row r="19">
      <x:c r="A19" s="2373" t="str">
        <x:f>"Temperatur Licht: "&amp;TEXT(INDEX('02_Daily_Master'!$L$2:$L$82,'01_Run_Config'!$B$5+1),"0.0")&amp;" °C"&amp;CHAR(10)&amp;"Luftfeuchte (rF): "&amp;TEXT(INDEX('02_Daily_Master'!$N$2:$N$82,'01_Run_Config'!$B$5+1),"0")&amp;" %"&amp;CHAR(10)&amp;"Blatt-VPD geschätzt: "&amp;TEXT(INDEX('02_Daily_Master'!$O$2:$O$82,'01_Run_Config'!$B$5+1),"0.00")&amp;" kPa"&amp;CHAR(10)&amp;CHAR(10)&amp;"VPD = vereinfacht der Trocknungsdruck der Luft. Bei Blatt-VPD ist eine gemessene Blatttemperatur besser als eine Annahme."</x:f>
        <x:v>Temperatur Licht: 25.0 °C
Luftfeuchte (rF): 73 %
Blatt-VPD geschätzt: 0.67 kPa
VPD = vereinfacht der Trocknungsdruck der Luft. Bei Blatt-VPD ist eine gemessene Blatttemperatur besser als eine Annahme.</x:v>
      </x:c>
      <x:c r="B19" s="2373"/>
      <x:c r="C19" s="2373"/>
      <x:c r="D19" s="2373"/>
      <x:c r="E19" s="2373"/>
      <x:c r="F19" s="2373"/>
      <x:c r="G19" s="2371" t="str">
        <x:f>"Wasser-Startbereich: "&amp;TEXT(INDEX('02_Daily_Master'!$R$2:$R$82,'01_Run_Config'!$B$5+1),"0.00")&amp;"–"&amp;TEXT(INDEX('02_Daily_Master'!$S$2:$S$82,'01_Run_Config'!$B$5+1),"0.00")&amp;" L"&amp;CHAR(10)&amp;"Modus: "&amp;INDEX('02_Daily_Master'!$T$2:$T$82,'01_Run_Config'!$B$5+1)&amp;CHAR(10)&amp;CHAR(10)&amp;"Wasser-Startbereich = Planung, keine Pflichtmenge. Topf/Block/Pflanze entscheiden, ob tatsächlich gegossen wird."</x:f>
        <x:v>Wasser-Startbereich: 0.03–0.08 L
Modus: Manuell
Wasser-Startbereich = Planung, keine Pflichtmenge. Topf/Block/Pflanze entscheiden, ob tatsächlich gegossen wird.</x:v>
      </x:c>
      <x:c r="H19" s="2371"/>
      <x:c r="I19" s="2371"/>
      <x:c r="J19" s="2371"/>
      <x:c r="K19" s="2371"/>
      <x:c r="L19" s="2371"/>
    </x:row>
    <x:row r="20">
      <x:c r="A20" s="2373"/>
      <x:c r="B20" s="2373"/>
      <x:c r="C20" s="2373"/>
      <x:c r="D20" s="2373"/>
      <x:c r="E20" s="2373"/>
      <x:c r="F20" s="2373"/>
      <x:c r="G20" s="2371"/>
      <x:c r="H20" s="2371"/>
      <x:c r="I20" s="2371"/>
      <x:c r="J20" s="2371"/>
      <x:c r="K20" s="2371"/>
      <x:c r="L20" s="2371"/>
    </x:row>
    <x:row r="21">
      <x:c r="A21" s="2373"/>
      <x:c r="B21" s="2373"/>
      <x:c r="C21" s="2373"/>
      <x:c r="D21" s="2373"/>
      <x:c r="E21" s="2373"/>
      <x:c r="F21" s="2373"/>
      <x:c r="G21" s="2371"/>
      <x:c r="H21" s="2371"/>
      <x:c r="I21" s="2371"/>
      <x:c r="J21" s="2371"/>
      <x:c r="K21" s="2371"/>
      <x:c r="L21" s="2371"/>
    </x:row>
    <x:row r="22">
      <x:c r="A22" s="2373"/>
      <x:c r="B22" s="2373"/>
      <x:c r="C22" s="2373"/>
      <x:c r="D22" s="2373"/>
      <x:c r="E22" s="2373"/>
      <x:c r="F22" s="2373"/>
      <x:c r="G22" s="2371"/>
      <x:c r="H22" s="2371"/>
      <x:c r="I22" s="2371"/>
      <x:c r="J22" s="2371"/>
      <x:c r="K22" s="2371"/>
      <x:c r="L22" s="2371"/>
    </x:row>
    <x:row r="23">
      <x:c r="A23" s="2373"/>
      <x:c r="B23" s="2373"/>
      <x:c r="C23" s="2373"/>
      <x:c r="D23" s="2373"/>
      <x:c r="E23" s="2373"/>
      <x:c r="F23" s="2373"/>
      <x:c r="G23" s="2371"/>
      <x:c r="H23" s="2371"/>
      <x:c r="I23" s="2371"/>
      <x:c r="J23" s="2371"/>
      <x:c r="K23" s="2371"/>
      <x:c r="L23" s="2371"/>
    </x:row>
    <x:row r="24">
      <x:c r="A24" s="60"/>
      <x:c r="B24" s="60"/>
      <x:c r="C24" s="60"/>
      <x:c r="D24" s="60"/>
      <x:c r="E24" s="60"/>
      <x:c r="F24" s="60"/>
      <x:c r="G24" s="60"/>
      <x:c r="H24" s="60"/>
      <x:c r="I24" s="60"/>
      <x:c r="J24" s="60"/>
      <x:c r="K24" s="60"/>
      <x:c r="L24" s="60"/>
    </x:row>
    <x:row r="25">
      <x:c r="A25" s="2400" t="str">
        <x:v>HEUTE MISCHEN / GEBEN · nur wenn tatsächliche Bewässerung ansteht</x:v>
      </x:c>
      <x:c r="B25" s="2400"/>
      <x:c r="C25" s="2400"/>
      <x:c r="D25" s="2400"/>
      <x:c r="E25" s="2400"/>
      <x:c r="F25" s="2400"/>
      <x:c r="G25" s="2400"/>
      <x:c r="H25" s="2400"/>
      <x:c r="I25" s="2400"/>
      <x:c r="J25" s="2400"/>
      <x:c r="K25" s="2400"/>
      <x:c r="L25" s="2400"/>
    </x:row>
    <x:row r="26">
      <x:c r="A26" s="2375" t="str">
        <x:f>"Basis: "&amp;INDEX('02_Daily_Master'!$U$2:$U$82,'01_Run_Config'!$B$5+1)&amp;" · "&amp;TEXT(INDEX('02_Daily_Master'!$V$2:$V$82,'01_Run_Config'!$B$5+1),"0.00")&amp;" ml/L"&amp;CHAR(10)&amp;"Wurzel Complex: "&amp;TEXT(INDEX('02_Daily_Master'!$W$2:$W$82,'01_Run_Config'!$B$5+1),"0.00")&amp;" ml/L"&amp;CHAR(10)&amp;"PowerZyme: "&amp;TEXT(INDEX('02_Daily_Master'!$X$2:$X$82,'01_Run_Config'!$B$5+1),"0.00")&amp;" ml/L"&amp;CHAR(10)&amp;"SuperVit: "&amp;TEXT(INDEX('02_Daily_Master'!$Y$2:$Y$82,'01_Run_Config'!$B$5+1),"0.000")&amp;" ml/L"&amp;CHAR(10)&amp;"HESI Boost: "&amp;TEXT(INDEX('02_Daily_Master'!$AA$2:$AA$82,'01_Run_Config'!$B$5+1),"0.00")&amp;" ml/L"&amp;CHAR(10)&amp;"HESI PK13/14: "&amp;TEXT(INDEX('02_Daily_Master'!$AB$2:$AB$82,'01_Run_Config'!$B$5+1),"0.000")&amp;" ml/L"&amp;CHAR(10)&amp;"AN heute: "&amp;INDEX('02_Daily_Master'!$BH$2:$BH$82,'01_Run_Config'!$B$5+1)</x:f>
        <x:v>Basis: Kein Basisdünger · 0.00 ml/L
Wurzel Complex: 2.50 ml/L
PowerZyme: 0.00 ml/L
SuperVit: 0.015 ml/L
HESI Boost: 0.00 ml/L
HESI PK13/14: 0.000 ml/L
AN heute: keine AN-Dosis heute</x:v>
      </x:c>
      <x:c r="B26" s="2375"/>
      <x:c r="C26" s="2375"/>
      <x:c r="D26" s="2375"/>
      <x:c r="E26" s="2375"/>
      <x:c r="F26" s="2375"/>
      <x:c r="G26" s="2375"/>
      <x:c r="H26" s="2375"/>
      <x:c r="I26" s="2379" t="str">
        <x:v>BEGRIFFE HIER
ml/L = Milliliter Produkt pro Liter Wasser.
Nur bedingt = erst nach erfüllter Voraussetzung.
Vollständigkeitsprüfung = kontrolliert, ob kein ausgewähltes Produkt im Plan 'verschwindet'.
AKTIV = heute operativ aktiv.
AUS = bewusst nicht im Referenzpfad.
Mehr: 34_CONTEXT_HELP_MAP</x:v>
      </x:c>
      <x:c r="J26" s="2379"/>
      <x:c r="K26" s="2379"/>
      <x:c r="L26" s="2379"/>
    </x:row>
    <x:row r="27">
      <x:c r="A27" s="2375"/>
      <x:c r="B27" s="2375"/>
      <x:c r="C27" s="2375"/>
      <x:c r="D27" s="2375"/>
      <x:c r="E27" s="2375"/>
      <x:c r="F27" s="2375"/>
      <x:c r="G27" s="2375"/>
      <x:c r="H27" s="2375"/>
      <x:c r="I27" s="2379"/>
      <x:c r="J27" s="2379"/>
      <x:c r="K27" s="2379"/>
      <x:c r="L27" s="2379"/>
    </x:row>
    <x:row r="28">
      <x:c r="A28" s="2375"/>
      <x:c r="B28" s="2375"/>
      <x:c r="C28" s="2375"/>
      <x:c r="D28" s="2375"/>
      <x:c r="E28" s="2375"/>
      <x:c r="F28" s="2375"/>
      <x:c r="G28" s="2375"/>
      <x:c r="H28" s="2375"/>
      <x:c r="I28" s="2379"/>
      <x:c r="J28" s="2379"/>
      <x:c r="K28" s="2379"/>
      <x:c r="L28" s="2379"/>
    </x:row>
    <x:row r="29">
      <x:c r="A29" s="2375"/>
      <x:c r="B29" s="2375"/>
      <x:c r="C29" s="2375"/>
      <x:c r="D29" s="2375"/>
      <x:c r="E29" s="2375"/>
      <x:c r="F29" s="2375"/>
      <x:c r="G29" s="2375"/>
      <x:c r="H29" s="2375"/>
      <x:c r="I29" s="2379"/>
      <x:c r="J29" s="2379"/>
      <x:c r="K29" s="2379"/>
      <x:c r="L29" s="2379"/>
    </x:row>
    <x:row r="30">
      <x:c r="A30" s="2375"/>
      <x:c r="B30" s="2375"/>
      <x:c r="C30" s="2375"/>
      <x:c r="D30" s="2375"/>
      <x:c r="E30" s="2375"/>
      <x:c r="F30" s="2375"/>
      <x:c r="G30" s="2375"/>
      <x:c r="H30" s="2375"/>
      <x:c r="I30" s="2379"/>
      <x:c r="J30" s="2379"/>
      <x:c r="K30" s="2379"/>
      <x:c r="L30" s="2379"/>
    </x:row>
    <x:row r="31">
      <x:c r="A31" s="2375"/>
      <x:c r="B31" s="2375"/>
      <x:c r="C31" s="2375"/>
      <x:c r="D31" s="2375"/>
      <x:c r="E31" s="2375"/>
      <x:c r="F31" s="2375"/>
      <x:c r="G31" s="2375"/>
      <x:c r="H31" s="2375"/>
      <x:c r="I31" s="2379"/>
      <x:c r="J31" s="2379"/>
      <x:c r="K31" s="2379"/>
      <x:c r="L31" s="2379"/>
    </x:row>
    <x:row r="32">
      <x:c r="A32" s="2375"/>
      <x:c r="B32" s="2375"/>
      <x:c r="C32" s="2375"/>
      <x:c r="D32" s="2375"/>
      <x:c r="E32" s="2375"/>
      <x:c r="F32" s="2375"/>
      <x:c r="G32" s="2375"/>
      <x:c r="H32" s="2375"/>
      <x:c r="I32" s="2379"/>
      <x:c r="J32" s="2379"/>
      <x:c r="K32" s="2379"/>
      <x:c r="L32" s="2379"/>
    </x:row>
    <x:row r="33">
      <x:c r="A33" s="2375"/>
      <x:c r="B33" s="2375"/>
      <x:c r="C33" s="2375"/>
      <x:c r="D33" s="2375"/>
      <x:c r="E33" s="2375"/>
      <x:c r="F33" s="2375"/>
      <x:c r="G33" s="2375"/>
      <x:c r="H33" s="2375"/>
      <x:c r="I33" s="2379"/>
      <x:c r="J33" s="2379"/>
      <x:c r="K33" s="2379"/>
      <x:c r="L33" s="2379"/>
    </x:row>
    <x:row r="34">
      <x:c r="A34" s="60"/>
      <x:c r="B34" s="60"/>
      <x:c r="C34" s="60"/>
      <x:c r="D34" s="60"/>
      <x:c r="E34" s="60"/>
      <x:c r="F34" s="60"/>
      <x:c r="G34" s="60"/>
      <x:c r="H34" s="60"/>
      <x:c r="I34" s="60"/>
      <x:c r="J34" s="60"/>
      <x:c r="K34" s="60"/>
      <x:c r="L34" s="60"/>
    </x:row>
    <x:row r="35">
      <x:c r="A35" s="2367" t="str">
        <x:v>NACH DER AKTION LOGGEN</x:v>
      </x:c>
      <x:c r="B35" s="2367"/>
      <x:c r="C35" s="2367"/>
      <x:c r="D35" s="2367"/>
      <x:c r="E35" s="2367"/>
      <x:c r="F35" s="2367"/>
      <x:c r="G35" s="2367"/>
      <x:c r="H35" s="2367"/>
      <x:c r="I35" s="2367"/>
      <x:c r="J35" s="2367"/>
      <x:c r="K35" s="2367"/>
      <x:c r="L35" s="2367"/>
    </x:row>
    <x:row r="36">
      <x:c r="A36" s="2371" t="str">
        <x:v>Eintragen in 12_Daily_Log: tatsächliche Temperatur/Luftfeuchte, pH in, EC in, ggf. pH/EC Drain, Wasser L, Pflanzen-/Stressbeobachtung und Notiz.
Wenn du nicht weißt, welches Feld gemeint ist: 39_LOG_GUIDE öffnen. Wenn du einen Begriff nicht verstehst: 34_CONTEXT_HELP_MAP öffnen.</x:v>
      </x:c>
      <x:c r="B36" s="2371"/>
      <x:c r="C36" s="2371"/>
      <x:c r="D36" s="2371"/>
      <x:c r="E36" s="2371"/>
      <x:c r="F36" s="2371"/>
      <x:c r="G36" s="2371"/>
      <x:c r="H36" s="2371"/>
      <x:c r="I36" s="2371"/>
      <x:c r="J36" s="2371"/>
      <x:c r="K36" s="2371"/>
      <x:c r="L36" s="2371"/>
    </x:row>
    <x:row r="37">
      <x:c r="A37" s="2371"/>
      <x:c r="B37" s="2371"/>
      <x:c r="C37" s="2371"/>
      <x:c r="D37" s="2371"/>
      <x:c r="E37" s="2371"/>
      <x:c r="F37" s="2371"/>
      <x:c r="G37" s="2371"/>
      <x:c r="H37" s="2371"/>
      <x:c r="I37" s="2371"/>
      <x:c r="J37" s="2371"/>
      <x:c r="K37" s="2371"/>
      <x:c r="L37" s="2371"/>
    </x:row>
    <x:row r="38">
      <x:c r="A38" s="2371"/>
      <x:c r="B38" s="2371"/>
      <x:c r="C38" s="2371"/>
      <x:c r="D38" s="2371"/>
      <x:c r="E38" s="2371"/>
      <x:c r="F38" s="2371"/>
      <x:c r="G38" s="2371"/>
      <x:c r="H38" s="2371"/>
      <x:c r="I38" s="2371"/>
      <x:c r="J38" s="2371"/>
      <x:c r="K38" s="2371"/>
      <x:c r="L38" s="2371"/>
    </x:row>
    <x:row r="39">
      <x:c r="A39" s="2371"/>
      <x:c r="B39" s="2371"/>
      <x:c r="C39" s="2371"/>
      <x:c r="D39" s="2371"/>
      <x:c r="E39" s="2371"/>
      <x:c r="F39" s="2371"/>
      <x:c r="G39" s="2371"/>
      <x:c r="H39" s="2371"/>
      <x:c r="I39" s="2371"/>
      <x:c r="J39" s="2371"/>
      <x:c r="K39" s="2371"/>
      <x:c r="L39" s="2371"/>
    </x:row>
    <x:row r="40">
      <x:c r="A40" s="2371"/>
      <x:c r="B40" s="2371"/>
      <x:c r="C40" s="2371"/>
      <x:c r="D40" s="2371"/>
      <x:c r="E40" s="2371"/>
      <x:c r="F40" s="2371"/>
      <x:c r="G40" s="2371"/>
      <x:c r="H40" s="2371"/>
      <x:c r="I40" s="2371"/>
      <x:c r="J40" s="2371"/>
      <x:c r="K40" s="2371"/>
      <x:c r="L40" s="2371"/>
    </x:row>
  </x:sheetData>
  <x:mergeCells>
    <x:mergeCell ref="A1:L1"/>
    <x:mergeCell ref="A2:L2"/>
    <x:mergeCell ref="A4:D4"/>
    <x:mergeCell ref="A5:D9"/>
    <x:mergeCell ref="E4:H4"/>
    <x:mergeCell ref="E5:H9"/>
    <x:mergeCell ref="I4:L4"/>
    <x:mergeCell ref="I5:L9"/>
    <x:mergeCell ref="A11:L11"/>
    <x:mergeCell ref="A12:C16"/>
    <x:mergeCell ref="D12:F16"/>
    <x:mergeCell ref="G12:I16"/>
    <x:mergeCell ref="J12:L16"/>
    <x:mergeCell ref="A18:F18"/>
    <x:mergeCell ref="A19:F23"/>
    <x:mergeCell ref="G18:L18"/>
    <x:mergeCell ref="G19:L23"/>
    <x:mergeCell ref="A25:L25"/>
    <x:mergeCell ref="A26:H33"/>
    <x:mergeCell ref="I26:L33"/>
    <x:mergeCell ref="A35:L35"/>
    <x:mergeCell ref="A36:L40"/>
  </x:mergeCells>
  <x:pageMargins left="0.7" right="0.7" top="0.75" bottom="0.75" header="0.3" footer="0.3"/>
</x:worksheet>
</file>

<file path=xl/worksheets/sheet38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</x:cols>
  <x:sheetData>
    <x:row r="1" ht="28" customHeight="1">
      <x:c r="A1" s="2406" t="str">
        <x:v>SETUP · bekannte Fakten, offene Punkte und Freigaben vor dem Run</x:v>
      </x:c>
      <x:c r="B1" s="2406"/>
      <x:c r="C1" s="2406"/>
      <x:c r="D1" s="2406"/>
      <x:c r="E1" s="2406"/>
      <x:c r="F1" s="2406"/>
      <x:c r="G1" s="2406"/>
      <x:c r="H1" s="2406"/>
      <x:c r="I1" s="2406"/>
      <x:c r="J1" s="2406"/>
    </x:row>
    <x:row r="2">
      <x:c r="A2" s="2373" t="str">
        <x:v>Wofür? Hier wird NICHT gedüngt. Hier wird festgelegt, womit du arbeitest, was sicher bekannt ist, was noch gemessen werden muss und was den Start blockiert.</x:v>
      </x:c>
      <x:c r="B2" s="2373"/>
      <x:c r="C2" s="2373"/>
      <x:c r="D2" s="2373"/>
      <x:c r="E2" s="2373"/>
      <x:c r="F2" s="2373"/>
      <x:c r="G2" s="2373"/>
      <x:c r="H2" s="2373"/>
      <x:c r="I2" s="2373"/>
      <x:c r="J2" s="2373"/>
    </x:row>
    <x:row r="3">
      <x:c r="A3" s="60"/>
      <x:c r="B3" s="60"/>
      <x:c r="C3" s="60"/>
      <x:c r="D3" s="60"/>
      <x:c r="E3" s="60"/>
      <x:c r="F3" s="60"/>
      <x:c r="G3" s="60"/>
      <x:c r="H3" s="60"/>
      <x:c r="I3" s="60"/>
      <x:c r="J3" s="60"/>
    </x:row>
    <x:row r="4">
      <x:c r="A4" s="2367" t="str">
        <x:v>Bereich</x:v>
      </x:c>
      <x:c r="B4" s="2367" t="str">
        <x:v>Status</x:v>
      </x:c>
      <x:c r="C4" s="2367" t="str">
        <x:v>Was ist aktuell bekannt?</x:v>
      </x:c>
      <x:c r="D4" s="2367"/>
      <x:c r="E4" s="2367"/>
      <x:c r="F4" s="2367" t="str">
        <x:v>Was fehlt / was bedeutet das?</x:v>
      </x:c>
      <x:c r="G4" s="2367"/>
      <x:c r="H4" s="2367"/>
      <x:c r="I4" s="2367" t="str">
        <x:v>Wo nachsehen?</x:v>
      </x:c>
      <x:c r="J4" s="2367"/>
    </x:row>
    <x:row r="5" ht="42" customHeight="1">
      <x:c r="A5" s="2405" t="str">
        <x:v>Propagation / Anzucht</x:v>
      </x:c>
      <x:c r="B5" s="2373" t="str">
        <x:v>PRÜFEN</x:v>
      </x:c>
      <x:c r="C5" s="60" t="str">
        <x:v>Eazy Plug Mini -&gt; Eazy Block Standard -&gt; UGro Rhiza Coco</x:v>
      </x:c>
      <x:c r="D5" s="60"/>
      <x:c r="E5" s="60"/>
      <x:c r="F5" s="60" t="str">
        <x:v>Exakte Eazy-Größe und tatsächliches Umtopf-Ereignis noch bestätigen.</x:v>
      </x:c>
      <x:c r="G5" s="60"/>
      <x:c r="H5" s="60"/>
      <x:c r="I5" s="60" t="str">
        <x:v>01_Run_Config A66:H76</x:v>
      </x:c>
      <x:c r="J5" s="60"/>
    </x:row>
    <x:row r="6" ht="42" customHeight="1">
      <x:c r="A6" s="2405" t="str">
        <x:v>Finales Medium</x:v>
      </x:c>
      <x:c r="B6" s="2371" t="str">
        <x:v>BEKANNT</x:v>
      </x:c>
      <x:c r="C6" s="60" t="str">
        <x:v>UGro Rhiza Coco</x:v>
      </x:c>
      <x:c r="D6" s="60"/>
      <x:c r="E6" s="60"/>
      <x:c r="F6" s="60" t="str">
        <x:v>Exaktes UGro-Format und tatsächliches Füllvolumen bleiben Setup-Fakten.</x:v>
      </x:c>
      <x:c r="G6" s="60"/>
      <x:c r="H6" s="60"/>
      <x:c r="I6" s="60" t="str">
        <x:v>01_Run_Config / Produktprofil</x:v>
      </x:c>
      <x:c r="J6" s="60"/>
    </x:row>
    <x:row r="7" ht="42" customHeight="1">
      <x:c r="A7" s="2405" t="str">
        <x:v>Wasserchemie</x:v>
      </x:c>
      <x:c r="B7" s="2377" t="str">
        <x:v>UNBEKANNT</x:v>
      </x:c>
      <x:c r="C7" s="60" t="str">
        <x:v>pH/EC des Ausgangswassers teilweise bekannt oder vom Nutzer eingetragen</x:v>
      </x:c>
      <x:c r="D7" s="60"/>
      <x:c r="E7" s="60"/>
      <x:c r="F7" s="60" t="str">
        <x:v>Calcium (Ca), Magnesium (Mg) und Hydrogencarbonat/Alkalinität fehlen für chemieabhängige Entscheidungen.</x:v>
      </x:c>
      <x:c r="G7" s="60"/>
      <x:c r="H7" s="60"/>
      <x:c r="I7" s="60" t="str">
        <x:v>01_Run_Config · Wasser-Gate</x:v>
      </x:c>
      <x:c r="J7" s="60"/>
    </x:row>
    <x:row r="8" ht="42" customHeight="1">
      <x:c r="A8" s="2405" t="str">
        <x:v>pH-Meter</x:v>
      </x:c>
      <x:c r="B8" s="2373" t="str">
        <x:v>OFFEN</x:v>
      </x:c>
      <x:c r="C8" s="60" t="str">
        <x:v>Messgerät vorhanden</x:v>
      </x:c>
      <x:c r="D8" s="60"/>
      <x:c r="E8" s="60"/>
      <x:c r="F8" s="60" t="str">
        <x:v>Kalibrierstatus und Datum noch protokollieren.</x:v>
      </x:c>
      <x:c r="G8" s="60"/>
      <x:c r="H8" s="60"/>
      <x:c r="I8" s="60" t="str">
        <x:v>12_Daily_Log / späteres Geräteprofil</x:v>
      </x:c>
      <x:c r="J8" s="60"/>
    </x:row>
    <x:row r="9" ht="42" customHeight="1">
      <x:c r="A9" s="2405" t="str">
        <x:v>EC-Meter</x:v>
      </x:c>
      <x:c r="B9" s="2373" t="str">
        <x:v>OFFEN</x:v>
      </x:c>
      <x:c r="C9" s="60" t="str">
        <x:v>Messgerät vorhanden</x:v>
      </x:c>
      <x:c r="D9" s="60"/>
      <x:c r="E9" s="60"/>
      <x:c r="F9" s="60" t="str">
        <x:v>Kalibrierstatus und Datum noch protokollieren.</x:v>
      </x:c>
      <x:c r="G9" s="60"/>
      <x:c r="H9" s="60"/>
      <x:c r="I9" s="60" t="str">
        <x:v>12_Daily_Log / späteres Geräteprofil</x:v>
      </x:c>
      <x:c r="J9" s="60"/>
    </x:row>
    <x:row r="10" ht="42" customHeight="1">
      <x:c r="A10" s="2405" t="str">
        <x:v>Nährstoffsystem</x:v>
      </x:c>
      <x:c r="B10" s="2371" t="str">
        <x:v>BEKANNT</x:v>
      </x:c>
      <x:c r="C10" s="60" t="str">
        <x:v>HESI-Basis + Voodoo/Tarantula</x:v>
      </x:c>
      <x:c r="D10" s="60"/>
      <x:c r="E10" s="60"/>
      <x:c r="F10" s="60" t="str">
        <x:v>Alternativen bleiben AUS oder bedingt. Bestand allein beweist keinen Bedarf.</x:v>
      </x:c>
      <x:c r="G10" s="60"/>
      <x:c r="H10" s="60"/>
      <x:c r="I10" s="60" t="str">
        <x:v>27_HESI_AN_Hybrid</x:v>
      </x:c>
      <x:c r="J10" s="60"/>
    </x:row>
    <x:row r="11" ht="42" customHeight="1">
      <x:c r="A11" s="2405" t="str">
        <x:v>Silizium-/pH-Pfad</x:v>
      </x:c>
      <x:c r="B11" s="2373" t="str">
        <x:v>BEDINGT</x:v>
      </x:c>
      <x:c r="C11" s="60" t="str">
        <x:v>Athena Balance ausgewählt</x:v>
      </x:c>
      <x:c r="D11" s="60"/>
      <x:c r="E11" s="60"/>
      <x:c r="F11" s="60" t="str">
        <x:v>Keine universelle Kalenderdosis; erst nach Wasser-/Endmix-Prüfung einsetzen.</x:v>
      </x:c>
      <x:c r="G11" s="60"/>
      <x:c r="H11" s="60"/>
      <x:c r="I11" s="60" t="str">
        <x:v>24_Athena_Balance</x:v>
      </x:c>
      <x:c r="J11" s="60"/>
    </x:row>
    <x:row r="12" ht="42" customHeight="1">
      <x:c r="A12" s="2405" t="str">
        <x:v>CalMag</x:v>
      </x:c>
      <x:c r="B12" s="2373" t="str">
        <x:v>BEDINGT</x:v>
      </x:c>
      <x:c r="C12" s="60" t="str">
        <x:v>Sensi CalMag Xtra vorhanden</x:v>
      </x:c>
      <x:c r="D12" s="60"/>
      <x:c r="E12" s="60"/>
      <x:c r="F12" s="60" t="str">
        <x:v>Aktuelle Plan-Dosis bleibt 0, bis ein Bedarf ausdrücklich freigegeben ist.</x:v>
      </x:c>
      <x:c r="G12" s="60"/>
      <x:c r="H12" s="60"/>
      <x:c r="I12" s="60" t="str">
        <x:v>28_Current_Inventory</x:v>
      </x:c>
      <x:c r="J12" s="60"/>
    </x:row>
    <x:row r="13" ht="42" customHeight="1">
      <x:c r="A13" s="2405" t="str">
        <x:v>Licht</x:v>
      </x:c>
      <x:c r="B13" s="2373" t="str">
        <x:v>TEILWEISE</x:v>
      </x:c>
      <x:c r="C13" s="60" t="str">
        <x:v>140-W-Plantrajektorie</x:v>
      </x:c>
      <x:c r="D13" s="60"/>
      <x:c r="E13" s="60"/>
      <x:c r="F13" s="60" t="str">
        <x:v>Exaktes Lampenmodell und PPFD-Karte fehlen als strukturierte Setup-Fakten.</x:v>
      </x:c>
      <x:c r="G13" s="60"/>
      <x:c r="H13" s="60"/>
      <x:c r="I13" s="60" t="str">
        <x:v>10_Climate_Light</x:v>
      </x:c>
      <x:c r="J13" s="60"/>
    </x:row>
    <x:row r="14" ht="42" customHeight="1">
      <x:c r="A14" s="2405" t="str">
        <x:v>Lüftung / Umluft</x:v>
      </x:c>
      <x:c r="B14" s="2373" t="str">
        <x:v>TEILWEISE</x:v>
      </x:c>
      <x:c r="C14" s="60" t="str">
        <x:v>AC Infinity T4 + geplante große, langsam laufende Umluftlüfter</x:v>
      </x:c>
      <x:c r="D14" s="60"/>
      <x:c r="E14" s="60"/>
      <x:c r="F14" s="60" t="str">
        <x:v>Exakte Geräteprofile und Positionen fehlen noch im kanonischen Setup-Modell.</x:v>
      </x:c>
      <x:c r="G14" s="60"/>
      <x:c r="H14" s="60"/>
      <x:c r="I14" s="60" t="str">
        <x:v>späteres SetupProfile</x:v>
      </x:c>
      <x:c r="J14" s="60"/>
    </x:row>
    <x:row r="15" ht="42" customHeight="1">
      <x:c r="A15" s="2405" t="str">
        <x:v>Run-/Phasentrigger</x:v>
      </x:c>
      <x:c r="B15" s="2371" t="str">
        <x:v>BEKANNT</x:v>
      </x:c>
      <x:c r="C15" s="60" t="str">
        <x:v>Zellen für Nährstoff- und Blüte-Trigger vorhanden</x:v>
      </x:c>
      <x:c r="D15" s="60"/>
      <x:c r="E15" s="60"/>
      <x:c r="F15" s="60" t="str">
        <x:v>Kalendertrigger ist kein biologischer Beweis; Pflanzen-/Medium-Gate bleibt vorrangig.</x:v>
      </x:c>
      <x:c r="G15" s="60"/>
      <x:c r="H15" s="60"/>
      <x:c r="I15" s="60" t="str">
        <x:v>01_Run_Config</x:v>
      </x:c>
      <x:c r="J15" s="60"/>
    </x:row>
    <x:row r="16">
      <x:c r="A16" s="60"/>
      <x:c r="B16" s="60"/>
      <x:c r="C16" s="60"/>
      <x:c r="D16" s="60"/>
      <x:c r="E16" s="60"/>
      <x:c r="F16" s="60"/>
      <x:c r="G16" s="60"/>
      <x:c r="H16" s="60"/>
      <x:c r="I16" s="60"/>
      <x:c r="J16" s="60"/>
    </x:row>
    <x:row r="17">
      <x:c r="A17" s="60"/>
      <x:c r="B17" s="60"/>
      <x:c r="C17" s="60"/>
      <x:c r="D17" s="60"/>
      <x:c r="E17" s="60"/>
      <x:c r="F17" s="60"/>
      <x:c r="G17" s="60"/>
      <x:c r="H17" s="60"/>
      <x:c r="I17" s="60"/>
      <x:c r="J17" s="60"/>
    </x:row>
    <x:row r="18">
      <x:c r="A18" s="2367" t="str">
        <x:v>FACHBEGRIFFE DIREKT HIER</x:v>
      </x:c>
      <x:c r="B18" s="2367"/>
      <x:c r="C18" s="2367"/>
      <x:c r="D18" s="2367"/>
      <x:c r="E18" s="2367"/>
      <x:c r="F18" s="2367"/>
      <x:c r="G18" s="2367"/>
      <x:c r="H18" s="2367"/>
      <x:c r="I18" s="2367"/>
      <x:c r="J18" s="2367"/>
    </x:row>
    <x:row r="19">
      <x:c r="A19" s="2369" t="str">
        <x:v>Wasserchemie
Ca = Calcium
Mg = Magnesium
HCO3 / Alkalinität = Pufferwirkung des Wassers.
Warum wichtig? Zwei Wasserproben können denselben pH und EC haben, aber völlig verschieden auf pH-Korrektur und CalMag reagieren.</x:v>
      </x:c>
      <x:c r="B19" s="2369"/>
      <x:c r="C19" s="2369"/>
      <x:c r="D19" s="2369"/>
      <x:c r="E19" s="2369"/>
      <x:c r="F19" s="2371" t="str">
        <x:v>Propagation Gate
Bedeutet: Der Kalender allein darf einen frühen Düngerstart nicht freigeben.
Zusätzlich werden Mediumstufe und Pflanzenzustand geprüft.
Eazy Plug/Block sind bereits gepuffert; der Block selbst wird nicht aggressiv auf einen anderen pH 'eingestellt'.</x:v>
      </x:c>
      <x:c r="G19" s="2371"/>
      <x:c r="H19" s="2371"/>
      <x:c r="I19" s="2371"/>
      <x:c r="J19" s="2371"/>
    </x:row>
    <x:row r="20">
      <x:c r="A20" s="2369"/>
      <x:c r="B20" s="2369"/>
      <x:c r="C20" s="2369"/>
      <x:c r="D20" s="2369"/>
      <x:c r="E20" s="2369"/>
      <x:c r="F20" s="2371"/>
      <x:c r="G20" s="2371"/>
      <x:c r="H20" s="2371"/>
      <x:c r="I20" s="2371"/>
      <x:c r="J20" s="2371"/>
    </x:row>
    <x:row r="21">
      <x:c r="A21" s="2369"/>
      <x:c r="B21" s="2369"/>
      <x:c r="C21" s="2369"/>
      <x:c r="D21" s="2369"/>
      <x:c r="E21" s="2369"/>
      <x:c r="F21" s="2371"/>
      <x:c r="G21" s="2371"/>
      <x:c r="H21" s="2371"/>
      <x:c r="I21" s="2371"/>
      <x:c r="J21" s="2371"/>
    </x:row>
    <x:row r="22">
      <x:c r="A22" s="2369"/>
      <x:c r="B22" s="2369"/>
      <x:c r="C22" s="2369"/>
      <x:c r="D22" s="2369"/>
      <x:c r="E22" s="2369"/>
      <x:c r="F22" s="2371"/>
      <x:c r="G22" s="2371"/>
      <x:c r="H22" s="2371"/>
      <x:c r="I22" s="2371"/>
      <x:c r="J22" s="2371"/>
    </x:row>
    <x:row r="23">
      <x:c r="A23" s="2369"/>
      <x:c r="B23" s="2369"/>
      <x:c r="C23" s="2369"/>
      <x:c r="D23" s="2369"/>
      <x:c r="E23" s="2369"/>
      <x:c r="F23" s="2371"/>
      <x:c r="G23" s="2371"/>
      <x:c r="H23" s="2371"/>
      <x:c r="I23" s="2371"/>
      <x:c r="J23" s="2371"/>
    </x:row>
    <x:row r="24">
      <x:c r="A24" s="2369"/>
      <x:c r="B24" s="2369"/>
      <x:c r="C24" s="2369"/>
      <x:c r="D24" s="2369"/>
      <x:c r="E24" s="2369"/>
      <x:c r="F24" s="2371"/>
      <x:c r="G24" s="2371"/>
      <x:c r="H24" s="2371"/>
      <x:c r="I24" s="2371"/>
      <x:c r="J24" s="2371"/>
    </x:row>
    <x:row r="25">
      <x:c r="A25" s="2369"/>
      <x:c r="B25" s="2369"/>
      <x:c r="C25" s="2369"/>
      <x:c r="D25" s="2369"/>
      <x:c r="E25" s="2369"/>
      <x:c r="F25" s="2371"/>
      <x:c r="G25" s="2371"/>
      <x:c r="H25" s="2371"/>
      <x:c r="I25" s="2371"/>
      <x:c r="J25" s="2371"/>
    </x:row>
    <x:row r="26">
      <x:c r="A26" s="60"/>
      <x:c r="B26" s="60"/>
      <x:c r="C26" s="60"/>
      <x:c r="D26" s="60"/>
      <x:c r="E26" s="60"/>
      <x:c r="F26" s="60"/>
      <x:c r="G26" s="60"/>
      <x:c r="H26" s="60"/>
      <x:c r="I26" s="60"/>
      <x:c r="J26" s="60"/>
    </x:row>
    <x:row r="27">
      <x:c r="A27" s="60"/>
      <x:c r="B27" s="60"/>
      <x:c r="C27" s="60"/>
      <x:c r="D27" s="60"/>
      <x:c r="E27" s="60"/>
      <x:c r="F27" s="60"/>
      <x:c r="G27" s="60"/>
      <x:c r="H27" s="60"/>
      <x:c r="I27" s="60"/>
      <x:c r="J27" s="60"/>
    </x:row>
    <x:row r="28">
      <x:c r="A28" s="2379" t="str">
        <x:v>WO FINDE ICH WAS?
Produktbestand -&gt; 28_Current_Inventory · Hybridregeln -&gt; 27_HESI_AN_Hybrid · Quellen -&gt; 22_Sources · Begriffe -&gt; 34_CONTEXT_HELP_MAP · Systemweite offene Probleme -&gt; 29_GOAL_PROBLEM</x:v>
      </x:c>
      <x:c r="B28" s="2379"/>
      <x:c r="C28" s="2379"/>
      <x:c r="D28" s="2379"/>
      <x:c r="E28" s="2379"/>
      <x:c r="F28" s="2379"/>
      <x:c r="G28" s="2379"/>
      <x:c r="H28" s="2379"/>
      <x:c r="I28" s="2379"/>
      <x:c r="J28" s="2379"/>
    </x:row>
    <x:row r="29">
      <x:c r="A29" s="2379"/>
      <x:c r="B29" s="2379"/>
      <x:c r="C29" s="2379"/>
      <x:c r="D29" s="2379"/>
      <x:c r="E29" s="2379"/>
      <x:c r="F29" s="2379"/>
      <x:c r="G29" s="2379"/>
      <x:c r="H29" s="2379"/>
      <x:c r="I29" s="2379"/>
      <x:c r="J29" s="2379"/>
    </x:row>
    <x:row r="30">
      <x:c r="A30" s="2379"/>
      <x:c r="B30" s="2379"/>
      <x:c r="C30" s="2379"/>
      <x:c r="D30" s="2379"/>
      <x:c r="E30" s="2379"/>
      <x:c r="F30" s="2379"/>
      <x:c r="G30" s="2379"/>
      <x:c r="H30" s="2379"/>
      <x:c r="I30" s="2379"/>
      <x:c r="J30" s="2379"/>
    </x:row>
    <x:row r="31">
      <x:c r="A31" s="2379"/>
      <x:c r="B31" s="2379"/>
      <x:c r="C31" s="2379"/>
      <x:c r="D31" s="2379"/>
      <x:c r="E31" s="2379"/>
      <x:c r="F31" s="2379"/>
      <x:c r="G31" s="2379"/>
      <x:c r="H31" s="2379"/>
      <x:c r="I31" s="2379"/>
      <x:c r="J31" s="2379"/>
    </x:row>
    <x:row r="32">
      <x:c r="A32" s="2379"/>
      <x:c r="B32" s="2379"/>
      <x:c r="C32" s="2379"/>
      <x:c r="D32" s="2379"/>
      <x:c r="E32" s="2379"/>
      <x:c r="F32" s="2379"/>
      <x:c r="G32" s="2379"/>
      <x:c r="H32" s="2379"/>
      <x:c r="I32" s="2379"/>
      <x:c r="J32" s="2379"/>
    </x:row>
    <x:row r="33">
      <x:c r="A33" s="60"/>
      <x:c r="B33" s="60"/>
      <x:c r="C33" s="60"/>
      <x:c r="D33" s="60"/>
      <x:c r="E33" s="60"/>
      <x:c r="F33" s="60"/>
      <x:c r="G33" s="60"/>
      <x:c r="H33" s="60"/>
      <x:c r="I33" s="60"/>
      <x:c r="J33" s="60"/>
    </x:row>
    <x:row r="34">
      <x:c r="A34" s="60"/>
      <x:c r="B34" s="60"/>
      <x:c r="C34" s="60"/>
      <x:c r="D34" s="60"/>
      <x:c r="E34" s="60"/>
      <x:c r="F34" s="60"/>
      <x:c r="G34" s="60"/>
      <x:c r="H34" s="60"/>
      <x:c r="I34" s="60"/>
      <x:c r="J34" s="60"/>
    </x:row>
    <x:row r="35">
      <x:c r="A35" s="60"/>
      <x:c r="B35" s="60"/>
      <x:c r="C35" s="60"/>
      <x:c r="D35" s="60"/>
      <x:c r="E35" s="60"/>
      <x:c r="F35" s="60"/>
      <x:c r="G35" s="60"/>
      <x:c r="H35" s="60"/>
      <x:c r="I35" s="60"/>
      <x:c r="J35" s="60"/>
    </x:row>
    <x:row r="36">
      <x:c r="A36" s="60"/>
      <x:c r="B36" s="60"/>
      <x:c r="C36" s="60"/>
      <x:c r="D36" s="60"/>
      <x:c r="E36" s="60"/>
      <x:c r="F36" s="60"/>
      <x:c r="G36" s="60"/>
      <x:c r="H36" s="60"/>
      <x:c r="I36" s="60"/>
      <x:c r="J36" s="60"/>
    </x:row>
    <x:row r="37">
      <x:c r="A37" s="60"/>
      <x:c r="B37" s="60"/>
      <x:c r="C37" s="60"/>
      <x:c r="D37" s="60"/>
      <x:c r="E37" s="60"/>
      <x:c r="F37" s="60"/>
      <x:c r="G37" s="60"/>
      <x:c r="H37" s="60"/>
      <x:c r="I37" s="60"/>
      <x:c r="J37" s="60"/>
    </x:row>
    <x:row r="38">
      <x:c r="A38" s="60"/>
      <x:c r="B38" s="60"/>
      <x:c r="C38" s="60"/>
      <x:c r="D38" s="60"/>
      <x:c r="E38" s="60"/>
      <x:c r="F38" s="60"/>
      <x:c r="G38" s="60"/>
      <x:c r="H38" s="60"/>
      <x:c r="I38" s="60"/>
      <x:c r="J38" s="60"/>
    </x:row>
    <x:row r="39">
      <x:c r="A39" s="60"/>
      <x:c r="B39" s="60"/>
      <x:c r="C39" s="60"/>
      <x:c r="D39" s="60"/>
      <x:c r="E39" s="60"/>
      <x:c r="F39" s="60"/>
      <x:c r="G39" s="60"/>
      <x:c r="H39" s="60"/>
      <x:c r="I39" s="60"/>
      <x:c r="J39" s="60"/>
    </x:row>
    <x:row r="40">
      <x:c r="A40" s="60"/>
      <x:c r="B40" s="60"/>
      <x:c r="C40" s="60"/>
      <x:c r="D40" s="60"/>
      <x:c r="E40" s="60"/>
      <x:c r="F40" s="60"/>
      <x:c r="G40" s="60"/>
      <x:c r="H40" s="60"/>
      <x:c r="I40" s="60"/>
      <x:c r="J40" s="60"/>
    </x:row>
  </x:sheetData>
  <x:mergeCells>
    <x:mergeCell ref="A1:J1"/>
    <x:mergeCell ref="A2:J2"/>
    <x:mergeCell ref="C4:E4"/>
    <x:mergeCell ref="F4:H4"/>
    <x:mergeCell ref="I4:J4"/>
    <x:mergeCell ref="C5:E5"/>
    <x:mergeCell ref="F5:H5"/>
    <x:mergeCell ref="I5:J5"/>
    <x:mergeCell ref="C6:E6"/>
    <x:mergeCell ref="F6:H6"/>
    <x:mergeCell ref="I6:J6"/>
    <x:mergeCell ref="C7:E7"/>
    <x:mergeCell ref="F7:H7"/>
    <x:mergeCell ref="I7:J7"/>
    <x:mergeCell ref="C8:E8"/>
    <x:mergeCell ref="F8:H8"/>
    <x:mergeCell ref="I8:J8"/>
    <x:mergeCell ref="C9:E9"/>
    <x:mergeCell ref="F9:H9"/>
    <x:mergeCell ref="I9:J9"/>
    <x:mergeCell ref="C10:E10"/>
    <x:mergeCell ref="F10:H10"/>
    <x:mergeCell ref="I10:J10"/>
    <x:mergeCell ref="C11:E11"/>
    <x:mergeCell ref="F11:H11"/>
    <x:mergeCell ref="I11:J11"/>
    <x:mergeCell ref="C12:E12"/>
    <x:mergeCell ref="F12:H12"/>
    <x:mergeCell ref="I12:J12"/>
    <x:mergeCell ref="C13:E13"/>
    <x:mergeCell ref="F13:H13"/>
    <x:mergeCell ref="I13:J13"/>
    <x:mergeCell ref="C14:E14"/>
    <x:mergeCell ref="F14:H14"/>
    <x:mergeCell ref="I14:J14"/>
    <x:mergeCell ref="C15:E15"/>
    <x:mergeCell ref="F15:H15"/>
    <x:mergeCell ref="I15:J15"/>
    <x:mergeCell ref="A18:J18"/>
    <x:mergeCell ref="A19:E25"/>
    <x:mergeCell ref="F19:J25"/>
    <x:mergeCell ref="A28:J32"/>
  </x:mergeCells>
  <x:pageMargins left="0.7" right="0.7" top="0.75" bottom="0.75" header="0.3" footer="0.3"/>
</x:worksheet>
</file>

<file path=xl/worksheets/sheet39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</x:cols>
  <x:sheetData>
    <x:row r="1" ht="28" customHeight="1">
      <x:c r="A1" s="2408" t="str">
        <x:v>MIX · heutigen Nährmix verständlich und in richtiger Reihenfolge herstellen</x:v>
      </x:c>
      <x:c r="B1" s="2408"/>
      <x:c r="C1" s="2408"/>
      <x:c r="D1" s="2408"/>
      <x:c r="E1" s="2408"/>
      <x:c r="F1" s="2408"/>
      <x:c r="G1" s="2408"/>
      <x:c r="H1" s="2408"/>
      <x:c r="I1" s="2408"/>
      <x:c r="J1" s="2408"/>
      <x:c r="K1" s="2408"/>
      <x:c r="L1" s="2408"/>
    </x:row>
    <x:row r="2">
      <x:c r="A2" s="2369" t="str">
        <x:v>Wofür? Diese Seite ist nur für einen tatsächlich anstehenden Mix. Wenn heute nicht gegossen wird, wird auch keine Plan-Dosis 'vorsorglich' angemischt.</x:v>
      </x:c>
      <x:c r="B2" s="2369"/>
      <x:c r="C2" s="2369"/>
      <x:c r="D2" s="2369"/>
      <x:c r="E2" s="2369"/>
      <x:c r="F2" s="2369"/>
      <x:c r="G2" s="2369"/>
      <x:c r="H2" s="2369"/>
      <x:c r="I2" s="2369"/>
      <x:c r="J2" s="2369"/>
      <x:c r="K2" s="2369"/>
      <x:c r="L2" s="2369"/>
    </x:row>
    <x:row r="3">
      <x:c r="A3" s="60"/>
      <x:c r="B3" s="60"/>
      <x:c r="C3" s="60"/>
      <x:c r="D3" s="60"/>
      <x:c r="E3" s="60"/>
      <x:c r="F3" s="60"/>
      <x:c r="G3" s="60"/>
      <x:c r="H3" s="60"/>
      <x:c r="I3" s="60"/>
      <x:c r="J3" s="60"/>
      <x:c r="K3" s="60"/>
      <x:c r="L3" s="60"/>
    </x:row>
    <x:row r="4">
      <x:c r="A4" s="2367" t="str">
        <x:v>HEUTE AKTIVE PRODUKTE</x:v>
      </x:c>
      <x:c r="B4" s="2367"/>
      <x:c r="C4" s="2367"/>
      <x:c r="D4" s="2367"/>
      <x:c r="E4" s="2367"/>
      <x:c r="F4" s="2367"/>
      <x:c r="G4" s="2367" t="str">
        <x:v>FREIGABEN / BEDINGUNGEN VOR DEM MISCHEN</x:v>
      </x:c>
      <x:c r="H4" s="2367"/>
      <x:c r="I4" s="2367"/>
      <x:c r="J4" s="2367"/>
      <x:c r="K4" s="2367"/>
      <x:c r="L4" s="2367"/>
    </x:row>
    <x:row r="5">
      <x:c r="A5" s="2375" t="str">
        <x:f>"Tag "&amp;'01_Run_Config'!$B$5&amp;CHAR(10)&amp;CHAR(10)&amp;"Basis: "&amp;INDEX('02_Daily_Master'!$U$2:$U$82,'01_Run_Config'!$B$5+1)&amp;" · "&amp;TEXT(INDEX('02_Daily_Master'!$V$2:$V$82,'01_Run_Config'!$B$5+1),"0.00")&amp;" ml/L"&amp;CHAR(10)&amp;"Wurzel Complex: "&amp;TEXT(INDEX('02_Daily_Master'!$W$2:$W$82,'01_Run_Config'!$B$5+1),"0.00")&amp;CHAR(10)&amp;"PowerZyme: "&amp;TEXT(INDEX('02_Daily_Master'!$X$2:$X$82,'01_Run_Config'!$B$5+1),"0.00")&amp;CHAR(10)&amp;"SuperVit: "&amp;TEXT(INDEX('02_Daily_Master'!$Y$2:$Y$82,'01_Run_Config'!$B$5+1),"0.000")&amp;CHAR(10)&amp;"Boost: "&amp;TEXT(INDEX('02_Daily_Master'!$AA$2:$AA$82,'01_Run_Config'!$B$5+1),"0.00")&amp;CHAR(10)&amp;"PK13/14: "&amp;TEXT(INDEX('02_Daily_Master'!$AB$2:$AB$82,'01_Run_Config'!$B$5+1),"0.000")&amp;CHAR(10)&amp;"Voodoo/Tarantula: "&amp;TEXT(INDEX('02_Daily_Master'!$AC$2:$AC$82,'01_Run_Config'!$B$5+1),"0.00")&amp;" / "&amp;TEXT(INDEX('02_Daily_Master'!$AU$2:$AU$82,'01_Run_Config'!$B$5+1),"0.00")</x:f>
        <x:v>Tag 0
Basis: Kein Basisdünger · 0.00 ml/L
Wurzel Complex: 2.50
PowerZyme: 0.00
SuperVit: 0.015
Boost: 0.00
PK13/14: 0.000
Voodoo/Tarantula: 0.00 / 0.00</x:v>
      </x:c>
      <x:c r="B5" s="2375"/>
      <x:c r="C5" s="2375"/>
      <x:c r="D5" s="2375"/>
      <x:c r="E5" s="2375"/>
      <x:c r="F5" s="2375"/>
      <x:c r="G5" s="2377" t="str">
        <x:f>"Vollständigkeitsprüfung: "&amp;'01_Run_Config'!$E$57&amp;CHAR(10)&amp;"Wasserchemie: "&amp;'01_Run_Config'!$E$34&amp;CHAR(10)&amp;"Athena Balance: "&amp;'01_Run_Config'!$E$35&amp;CHAR(10)&amp;"CalMag: "&amp;'01_Run_Config'!$E$54&amp;CHAR(10)&amp;"Anzucht/Setup: "&amp;'01_Run_Config'!$E$75&amp;CHAR(10)&amp;CHAR(10)&amp;"GESPERRT = nicht mischen. NUR BEDINGT = erst Voraussetzung erfüllen. 0 ml/L kann der korrekte sichere Wert sein."</x:f>
        <x:v>Vollständigkeitsprüfung: OK
Wasserchemie: UNKNOWN
Athena Balance: OFF/SAFE
CalMag: SAFE / DOSE 0
Anzucht/Setup: OPEN
GESPERRT = nicht mischen. NUR BEDINGT = erst Voraussetzung erfüllen. 0 ml/L kann der korrekte sichere Wert sein.</x:v>
      </x:c>
      <x:c r="H5" s="2377"/>
      <x:c r="I5" s="2377"/>
      <x:c r="J5" s="2377"/>
      <x:c r="K5" s="2377"/>
      <x:c r="L5" s="2377"/>
    </x:row>
    <x:row r="6">
      <x:c r="A6" s="2375"/>
      <x:c r="B6" s="2375"/>
      <x:c r="C6" s="2375"/>
      <x:c r="D6" s="2375"/>
      <x:c r="E6" s="2375"/>
      <x:c r="F6" s="2375"/>
      <x:c r="G6" s="2377"/>
      <x:c r="H6" s="2377"/>
      <x:c r="I6" s="2377"/>
      <x:c r="J6" s="2377"/>
      <x:c r="K6" s="2377"/>
      <x:c r="L6" s="2377"/>
    </x:row>
    <x:row r="7">
      <x:c r="A7" s="2375"/>
      <x:c r="B7" s="2375"/>
      <x:c r="C7" s="2375"/>
      <x:c r="D7" s="2375"/>
      <x:c r="E7" s="2375"/>
      <x:c r="F7" s="2375"/>
      <x:c r="G7" s="2377"/>
      <x:c r="H7" s="2377"/>
      <x:c r="I7" s="2377"/>
      <x:c r="J7" s="2377"/>
      <x:c r="K7" s="2377"/>
      <x:c r="L7" s="2377"/>
    </x:row>
    <x:row r="8">
      <x:c r="A8" s="2375"/>
      <x:c r="B8" s="2375"/>
      <x:c r="C8" s="2375"/>
      <x:c r="D8" s="2375"/>
      <x:c r="E8" s="2375"/>
      <x:c r="F8" s="2375"/>
      <x:c r="G8" s="2377"/>
      <x:c r="H8" s="2377"/>
      <x:c r="I8" s="2377"/>
      <x:c r="J8" s="2377"/>
      <x:c r="K8" s="2377"/>
      <x:c r="L8" s="2377"/>
    </x:row>
    <x:row r="9">
      <x:c r="A9" s="2375"/>
      <x:c r="B9" s="2375"/>
      <x:c r="C9" s="2375"/>
      <x:c r="D9" s="2375"/>
      <x:c r="E9" s="2375"/>
      <x:c r="F9" s="2375"/>
      <x:c r="G9" s="2377"/>
      <x:c r="H9" s="2377"/>
      <x:c r="I9" s="2377"/>
      <x:c r="J9" s="2377"/>
      <x:c r="K9" s="2377"/>
      <x:c r="L9" s="2377"/>
    </x:row>
    <x:row r="10">
      <x:c r="A10" s="2375"/>
      <x:c r="B10" s="2375"/>
      <x:c r="C10" s="2375"/>
      <x:c r="D10" s="2375"/>
      <x:c r="E10" s="2375"/>
      <x:c r="F10" s="2375"/>
      <x:c r="G10" s="2377"/>
      <x:c r="H10" s="2377"/>
      <x:c r="I10" s="2377"/>
      <x:c r="J10" s="2377"/>
      <x:c r="K10" s="2377"/>
      <x:c r="L10" s="2377"/>
    </x:row>
    <x:row r="11">
      <x:c r="A11" s="2375"/>
      <x:c r="B11" s="2375"/>
      <x:c r="C11" s="2375"/>
      <x:c r="D11" s="2375"/>
      <x:c r="E11" s="2375"/>
      <x:c r="F11" s="2375"/>
      <x:c r="G11" s="2377"/>
      <x:c r="H11" s="2377"/>
      <x:c r="I11" s="2377"/>
      <x:c r="J11" s="2377"/>
      <x:c r="K11" s="2377"/>
      <x:c r="L11" s="2377"/>
    </x:row>
    <x:row r="12">
      <x:c r="A12" s="2375"/>
      <x:c r="B12" s="2375"/>
      <x:c r="C12" s="2375"/>
      <x:c r="D12" s="2375"/>
      <x:c r="E12" s="2375"/>
      <x:c r="F12" s="2375"/>
      <x:c r="G12" s="2377"/>
      <x:c r="H12" s="2377"/>
      <x:c r="I12" s="2377"/>
      <x:c r="J12" s="2377"/>
      <x:c r="K12" s="2377"/>
      <x:c r="L12" s="2377"/>
    </x:row>
    <x:row r="13">
      <x:c r="A13" s="2375"/>
      <x:c r="B13" s="2375"/>
      <x:c r="C13" s="2375"/>
      <x:c r="D13" s="2375"/>
      <x:c r="E13" s="2375"/>
      <x:c r="F13" s="2375"/>
      <x:c r="G13" s="2377"/>
      <x:c r="H13" s="2377"/>
      <x:c r="I13" s="2377"/>
      <x:c r="J13" s="2377"/>
      <x:c r="K13" s="2377"/>
      <x:c r="L13" s="2377"/>
    </x:row>
    <x:row r="14">
      <x:c r="A14" s="2375"/>
      <x:c r="B14" s="2375"/>
      <x:c r="C14" s="2375"/>
      <x:c r="D14" s="2375"/>
      <x:c r="E14" s="2375"/>
      <x:c r="F14" s="2375"/>
      <x:c r="G14" s="2377"/>
      <x:c r="H14" s="2377"/>
      <x:c r="I14" s="2377"/>
      <x:c r="J14" s="2377"/>
      <x:c r="K14" s="2377"/>
      <x:c r="L14" s="2377"/>
    </x:row>
    <x:row r="15">
      <x:c r="A15" s="60"/>
      <x:c r="B15" s="60"/>
      <x:c r="C15" s="60"/>
      <x:c r="D15" s="60"/>
      <x:c r="E15" s="60"/>
      <x:c r="F15" s="60"/>
      <x:c r="G15" s="60"/>
      <x:c r="H15" s="60"/>
      <x:c r="I15" s="60"/>
      <x:c r="J15" s="60"/>
      <x:c r="K15" s="60"/>
      <x:c r="L15" s="60"/>
    </x:row>
    <x:row r="16">
      <x:c r="A16" s="2399" t="str">
        <x:v>MISCHREIHENFOLGE · in normaler Sprache</x:v>
      </x:c>
      <x:c r="B16" s="2399"/>
      <x:c r="C16" s="2399"/>
      <x:c r="D16" s="2399"/>
      <x:c r="E16" s="2399"/>
      <x:c r="F16" s="2399"/>
      <x:c r="G16" s="2399"/>
      <x:c r="H16" s="2399"/>
      <x:c r="I16" s="2399"/>
      <x:c r="J16" s="2399"/>
      <x:c r="K16" s="2399"/>
      <x:c r="L16" s="2399"/>
    </x:row>
    <x:row r="17">
      <x:c r="A17" s="60"/>
      <x:c r="B17" s="60"/>
      <x:c r="C17" s="60"/>
      <x:c r="D17" s="60"/>
      <x:c r="E17" s="60"/>
      <x:c r="F17" s="60"/>
      <x:c r="G17" s="60"/>
      <x:c r="H17" s="60"/>
      <x:c r="I17" s="60"/>
      <x:c r="J17" s="60"/>
      <x:c r="K17" s="60"/>
      <x:c r="L17" s="60"/>
    </x:row>
    <x:row r="18" ht="34" customHeight="1">
      <x:c r="A18" s="2405" t="str">
        <x:v>1</x:v>
      </x:c>
      <x:c r="B18" s="2405" t="str">
        <x:v>Wasser vorbereiten</x:v>
      </x:c>
      <x:c r="C18" s="2371" t="str">
        <x:v>Frisches Wasser verwenden. Ausgangs-pH, EC und Temperatur messen.</x:v>
      </x:c>
      <x:c r="D18" s="2371"/>
      <x:c r="E18" s="2371"/>
      <x:c r="F18" s="2371"/>
      <x:c r="G18" s="2371"/>
      <x:c r="H18" s="2371"/>
      <x:c r="I18" s="2371"/>
      <x:c r="J18" s="2371"/>
      <x:c r="K18" s="2371"/>
      <x:c r="L18" s="2371"/>
    </x:row>
    <x:row r="19" ht="34" customHeight="1">
      <x:c r="A19" s="2405" t="str">
        <x:v>2</x:v>
      </x:c>
      <x:c r="B19" s="2405" t="str">
        <x:v>Athena nur wenn freigegeben</x:v>
      </x:c>
      <x:c r="C19" s="2371" t="str">
        <x:v>Athena Balance zuerst ins Wasser - aber nur wenn das Wasser-/Endmix-Gate es wirklich verlangt.</x:v>
      </x:c>
      <x:c r="D19" s="2371"/>
      <x:c r="E19" s="2371"/>
      <x:c r="F19" s="2371"/>
      <x:c r="G19" s="2371"/>
      <x:c r="H19" s="2371"/>
      <x:c r="I19" s="2371"/>
      <x:c r="J19" s="2371"/>
      <x:c r="K19" s="2371"/>
      <x:c r="L19" s="2371"/>
    </x:row>
    <x:row r="20" ht="34" customHeight="1">
      <x:c r="A20" s="2405" t="str">
        <x:v>3</x:v>
      </x:c>
      <x:c r="B20" s="2405" t="str">
        <x:v>CalMag nur bei bestätigtem Bedarf</x:v>
      </x:c>
      <x:c r="C20" s="2371" t="str">
        <x:v>Sensi CalMag Xtra bleibt sonst 0. Vorhanden bedeutet nicht benötigt.</x:v>
      </x:c>
      <x:c r="D20" s="2371"/>
      <x:c r="E20" s="2371"/>
      <x:c r="F20" s="2371"/>
      <x:c r="G20" s="2371"/>
      <x:c r="H20" s="2371"/>
      <x:c r="I20" s="2371"/>
      <x:c r="J20" s="2371"/>
      <x:c r="K20" s="2371"/>
      <x:c r="L20" s="2371"/>
    </x:row>
    <x:row r="21" ht="34" customHeight="1">
      <x:c r="A21" s="2405" t="str">
        <x:v>4</x:v>
      </x:c>
      <x:c r="B21" s="2405" t="str">
        <x:v>HESI Basis einmischen</x:v>
      </x:c>
      <x:c r="C21" s="2371" t="str">
        <x:v>TNT oder Coco vollständig einrühren.</x:v>
      </x:c>
      <x:c r="D21" s="2371"/>
      <x:c r="E21" s="2371"/>
      <x:c r="F21" s="2371"/>
      <x:c r="G21" s="2371"/>
      <x:c r="H21" s="2371"/>
      <x:c r="I21" s="2371"/>
      <x:c r="J21" s="2371"/>
      <x:c r="K21" s="2371"/>
      <x:c r="L21" s="2371"/>
    </x:row>
    <x:row r="22" ht="34" customHeight="1">
      <x:c r="A22" s="2405" t="str">
        <x:v>5</x:v>
      </x:c>
      <x:c r="B22" s="2405" t="str">
        <x:v>HESI Support ergänzen</x:v>
      </x:c>
      <x:c r="C22" s="2371" t="str">
        <x:v>Wurzel Complex, PowerZyme, SuperVit und in der Blüte Boost/PK nach dem heutigen Plan.</x:v>
      </x:c>
      <x:c r="D22" s="2371"/>
      <x:c r="E22" s="2371"/>
      <x:c r="F22" s="2371"/>
      <x:c r="G22" s="2371"/>
      <x:c r="H22" s="2371"/>
      <x:c r="I22" s="2371"/>
      <x:c r="J22" s="2371"/>
      <x:c r="K22" s="2371"/>
      <x:c r="L22" s="2371"/>
    </x:row>
    <x:row r="23" ht="34" customHeight="1">
      <x:c r="A23" s="2405" t="str">
        <x:v>6</x:v>
      </x:c>
      <x:c r="B23" s="2405" t="str">
        <x:v>EC prüfen</x:v>
      </x:c>
      <x:c r="C23" s="2371" t="str">
        <x:v>Nährsalzstärke messen. Nicht nur nach ml/L urteilen.</x:v>
      </x:c>
      <x:c r="D23" s="2371"/>
      <x:c r="E23" s="2371"/>
      <x:c r="F23" s="2371"/>
      <x:c r="G23" s="2371"/>
      <x:c r="H23" s="2371"/>
      <x:c r="I23" s="2371"/>
      <x:c r="J23" s="2371"/>
      <x:c r="K23" s="2371"/>
      <x:c r="L23" s="2371"/>
    </x:row>
    <x:row r="24" ht="34" customHeight="1">
      <x:c r="A24" s="2405" t="str">
        <x:v>7</x:v>
      </x:c>
      <x:c r="B24" s="2405" t="str">
        <x:v>Mischen / warten</x:v>
      </x:c>
      <x:c r="C24" s="2371" t="str">
        <x:v>5–10 Minuten homogenisieren, dann den fertigen Mix beurteilen.</x:v>
      </x:c>
      <x:c r="D24" s="2371"/>
      <x:c r="E24" s="2371"/>
      <x:c r="F24" s="2371"/>
      <x:c r="G24" s="2371"/>
      <x:c r="H24" s="2371"/>
      <x:c r="I24" s="2371"/>
      <x:c r="J24" s="2371"/>
      <x:c r="K24" s="2371"/>
      <x:c r="L24" s="2371"/>
    </x:row>
    <x:row r="25" ht="34" customHeight="1">
      <x:c r="A25" s="2405" t="str">
        <x:v>8</x:v>
      </x:c>
      <x:c r="B25" s="2405" t="str">
        <x:v>pH erst jetzt korrigieren</x:v>
      </x:c>
      <x:c r="C25" s="2371" t="str">
        <x:v>Nur den fertigen Mix korrigieren. Kein Hin-und-her zwischen Athena und pH Down.</x:v>
      </x:c>
      <x:c r="D25" s="2371"/>
      <x:c r="E25" s="2371"/>
      <x:c r="F25" s="2371"/>
      <x:c r="G25" s="2371"/>
      <x:c r="H25" s="2371"/>
      <x:c r="I25" s="2371"/>
      <x:c r="J25" s="2371"/>
      <x:c r="K25" s="2371"/>
      <x:c r="L25" s="2371"/>
    </x:row>
    <x:row r="26" ht="34" customHeight="1">
      <x:c r="A26" s="2405" t="str">
        <x:v>9</x:v>
      </x:c>
      <x:c r="B26" s="2405" t="str">
        <x:v>Voodoo + Tarantula zuletzt</x:v>
      </x:c>
      <x:c r="C26" s="2371" t="str">
        <x:v>Biologische Zusätze erst nach der finalen pH-Korrektur in stark verdünnter Umgebung zugeben.</x:v>
      </x:c>
      <x:c r="D26" s="2371"/>
      <x:c r="E26" s="2371"/>
      <x:c r="F26" s="2371"/>
      <x:c r="G26" s="2371"/>
      <x:c r="H26" s="2371"/>
      <x:c r="I26" s="2371"/>
      <x:c r="J26" s="2371"/>
      <x:c r="K26" s="2371"/>
      <x:c r="L26" s="2371"/>
    </x:row>
    <x:row r="27">
      <x:c r="A27" s="60"/>
      <x:c r="B27" s="60"/>
      <x:c r="C27" s="60"/>
      <x:c r="D27" s="60"/>
      <x:c r="E27" s="60"/>
      <x:c r="F27" s="60"/>
      <x:c r="G27" s="60"/>
      <x:c r="H27" s="60"/>
      <x:c r="I27" s="60"/>
      <x:c r="J27" s="60"/>
      <x:c r="K27" s="60"/>
      <x:c r="L27" s="60"/>
    </x:row>
    <x:row r="28">
      <x:c r="A28" s="60"/>
      <x:c r="B28" s="60"/>
      <x:c r="C28" s="60"/>
      <x:c r="D28" s="60"/>
      <x:c r="E28" s="60"/>
      <x:c r="F28" s="60"/>
      <x:c r="G28" s="60"/>
      <x:c r="H28" s="60"/>
      <x:c r="I28" s="60"/>
      <x:c r="J28" s="60"/>
      <x:c r="K28" s="60"/>
      <x:c r="L28" s="60"/>
    </x:row>
    <x:row r="29">
      <x:c r="A29" s="2379" t="str">
        <x:v>BEGRIFFE HIER
Batch = die konkret angemischte Wassermenge.
EC = Nährsalzstärke / Leitfähigkeit.
Endmix = fertige Lösung nach allen mineralischen Zusätzen.
Titration = kleine schrittweise Zugabe mit erneuter Messung.
pH Down = Säureprodukt zur Senkung des finalen pH.</x:v>
      </x:c>
      <x:c r="B29" s="2379"/>
      <x:c r="C29" s="2379"/>
      <x:c r="D29" s="2379"/>
      <x:c r="E29" s="2379"/>
      <x:c r="F29" s="2379"/>
      <x:c r="G29" s="2369" t="str">
        <x:v>WO NACHSEHEN?
Exakte Batch-Mengen -&gt; 05_Mix_Calculator
Produktregeln -&gt; 27_HESI_AN_Hybrid
Do-not-stack -&gt; 19_Do_Not_Stack
Warum ein Produkt 0/blocked ist -&gt; 01_Run_Config
Begriffe -&gt; 34_CONTEXT_HELP_MAP</x:v>
      </x:c>
      <x:c r="H29" s="2369"/>
      <x:c r="I29" s="2369"/>
      <x:c r="J29" s="2369"/>
      <x:c r="K29" s="2369"/>
      <x:c r="L29" s="2369"/>
    </x:row>
    <x:row r="30">
      <x:c r="A30" s="2379"/>
      <x:c r="B30" s="2379"/>
      <x:c r="C30" s="2379"/>
      <x:c r="D30" s="2379"/>
      <x:c r="E30" s="2379"/>
      <x:c r="F30" s="2379"/>
      <x:c r="G30" s="2369"/>
      <x:c r="H30" s="2369"/>
      <x:c r="I30" s="2369"/>
      <x:c r="J30" s="2369"/>
      <x:c r="K30" s="2369"/>
      <x:c r="L30" s="2369"/>
    </x:row>
    <x:row r="31">
      <x:c r="A31" s="2379"/>
      <x:c r="B31" s="2379"/>
      <x:c r="C31" s="2379"/>
      <x:c r="D31" s="2379"/>
      <x:c r="E31" s="2379"/>
      <x:c r="F31" s="2379"/>
      <x:c r="G31" s="2369"/>
      <x:c r="H31" s="2369"/>
      <x:c r="I31" s="2369"/>
      <x:c r="J31" s="2369"/>
      <x:c r="K31" s="2369"/>
      <x:c r="L31" s="2369"/>
    </x:row>
    <x:row r="32">
      <x:c r="A32" s="2379"/>
      <x:c r="B32" s="2379"/>
      <x:c r="C32" s="2379"/>
      <x:c r="D32" s="2379"/>
      <x:c r="E32" s="2379"/>
      <x:c r="F32" s="2379"/>
      <x:c r="G32" s="2369"/>
      <x:c r="H32" s="2369"/>
      <x:c r="I32" s="2369"/>
      <x:c r="J32" s="2369"/>
      <x:c r="K32" s="2369"/>
      <x:c r="L32" s="2369"/>
    </x:row>
    <x:row r="33">
      <x:c r="A33" s="2379"/>
      <x:c r="B33" s="2379"/>
      <x:c r="C33" s="2379"/>
      <x:c r="D33" s="2379"/>
      <x:c r="E33" s="2379"/>
      <x:c r="F33" s="2379"/>
      <x:c r="G33" s="2369"/>
      <x:c r="H33" s="2369"/>
      <x:c r="I33" s="2369"/>
      <x:c r="J33" s="2369"/>
      <x:c r="K33" s="2369"/>
      <x:c r="L33" s="2369"/>
    </x:row>
    <x:row r="34">
      <x:c r="A34" s="2379"/>
      <x:c r="B34" s="2379"/>
      <x:c r="C34" s="2379"/>
      <x:c r="D34" s="2379"/>
      <x:c r="E34" s="2379"/>
      <x:c r="F34" s="2379"/>
      <x:c r="G34" s="2369"/>
      <x:c r="H34" s="2369"/>
      <x:c r="I34" s="2369"/>
      <x:c r="J34" s="2369"/>
      <x:c r="K34" s="2369"/>
      <x:c r="L34" s="2369"/>
    </x:row>
    <x:row r="35">
      <x:c r="A35" s="2379"/>
      <x:c r="B35" s="2379"/>
      <x:c r="C35" s="2379"/>
      <x:c r="D35" s="2379"/>
      <x:c r="E35" s="2379"/>
      <x:c r="F35" s="2379"/>
      <x:c r="G35" s="2369"/>
      <x:c r="H35" s="2369"/>
      <x:c r="I35" s="2369"/>
      <x:c r="J35" s="2369"/>
      <x:c r="K35" s="2369"/>
      <x:c r="L35" s="2369"/>
    </x:row>
    <x:row r="36">
      <x:c r="A36" s="60"/>
      <x:c r="B36" s="60"/>
      <x:c r="C36" s="60"/>
      <x:c r="D36" s="60"/>
      <x:c r="E36" s="60"/>
      <x:c r="F36" s="60"/>
      <x:c r="G36" s="60"/>
      <x:c r="H36" s="60"/>
      <x:c r="I36" s="60"/>
      <x:c r="J36" s="60"/>
      <x:c r="K36" s="60"/>
      <x:c r="L36" s="60"/>
    </x:row>
    <x:row r="37">
      <x:c r="A37" s="60"/>
      <x:c r="B37" s="60"/>
      <x:c r="C37" s="60"/>
      <x:c r="D37" s="60"/>
      <x:c r="E37" s="60"/>
      <x:c r="F37" s="60"/>
      <x:c r="G37" s="60"/>
      <x:c r="H37" s="60"/>
      <x:c r="I37" s="60"/>
      <x:c r="J37" s="60"/>
      <x:c r="K37" s="60"/>
      <x:c r="L37" s="60"/>
    </x:row>
    <x:row r="38">
      <x:c r="A38" s="60"/>
      <x:c r="B38" s="60"/>
      <x:c r="C38" s="60"/>
      <x:c r="D38" s="60"/>
      <x:c r="E38" s="60"/>
      <x:c r="F38" s="60"/>
      <x:c r="G38" s="60"/>
      <x:c r="H38" s="60"/>
      <x:c r="I38" s="60"/>
      <x:c r="J38" s="60"/>
      <x:c r="K38" s="60"/>
      <x:c r="L38" s="60"/>
    </x:row>
    <x:row r="39">
      <x:c r="A39" s="60"/>
      <x:c r="B39" s="60"/>
      <x:c r="C39" s="60"/>
      <x:c r="D39" s="60"/>
      <x:c r="E39" s="60"/>
      <x:c r="F39" s="60"/>
      <x:c r="G39" s="60"/>
      <x:c r="H39" s="60"/>
      <x:c r="I39" s="60"/>
      <x:c r="J39" s="60"/>
      <x:c r="K39" s="60"/>
      <x:c r="L39" s="60"/>
    </x:row>
    <x:row r="40">
      <x:c r="A40" s="60"/>
      <x:c r="B40" s="60"/>
      <x:c r="C40" s="60"/>
      <x:c r="D40" s="60"/>
      <x:c r="E40" s="60"/>
      <x:c r="F40" s="60"/>
      <x:c r="G40" s="60"/>
      <x:c r="H40" s="60"/>
      <x:c r="I40" s="60"/>
      <x:c r="J40" s="60"/>
      <x:c r="K40" s="60"/>
      <x:c r="L40" s="60"/>
    </x:row>
  </x:sheetData>
  <x:mergeCells>
    <x:mergeCell ref="A1:L1"/>
    <x:mergeCell ref="A2:L2"/>
    <x:mergeCell ref="A4:F4"/>
    <x:mergeCell ref="A5:F14"/>
    <x:mergeCell ref="G4:L4"/>
    <x:mergeCell ref="G5:L14"/>
    <x:mergeCell ref="A16:L16"/>
    <x:mergeCell ref="C18:L18"/>
    <x:mergeCell ref="C19:L19"/>
    <x:mergeCell ref="C20:L20"/>
    <x:mergeCell ref="C21:L21"/>
    <x:mergeCell ref="C22:L22"/>
    <x:mergeCell ref="C23:L23"/>
    <x:mergeCell ref="C24:L24"/>
    <x:mergeCell ref="C25:L25"/>
    <x:mergeCell ref="C26:L26"/>
    <x:mergeCell ref="A29:F35"/>
    <x:mergeCell ref="G29:L35"/>
  </x:mergeCells>
  <x:pageMargins left="0.7" right="0.7" top="0.75" bottom="0.75" header="0.3" footer="0.3"/>
</x:worksheet>
</file>

<file path=xl/worksheets/sheet40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5" hidden="0" customWidth="1"/>
    <x:col min="3" max="3" width="38" hidden="0" customWidth="1"/>
    <x:col min="4" max="4" width="14" hidden="0" customWidth="1"/>
    <x:col min="5" max="5" width="20" hidden="0" customWidth="1"/>
    <x:col min="6" max="6" width="38" hidden="0" customWidth="1"/>
    <x:col min="7" max="7" width="34" hidden="0" customWidth="1"/>
    <x:col min="8" max="8" width="24" hidden="0" customWidth="1"/>
  </x:cols>
  <x:sheetData>
    <x:row r="1" ht="28" customHeight="1">
      <x:c r="A1" s="2402" t="str">
        <x:v>LOG · so trägst du Istwerte ein, ohne Plan und Realität zu vermischen</x:v>
      </x:c>
      <x:c r="B1" s="2402"/>
      <x:c r="C1" s="2402"/>
      <x:c r="D1" s="2402"/>
      <x:c r="E1" s="2402"/>
      <x:c r="F1" s="2402"/>
      <x:c r="G1" s="2402"/>
      <x:c r="H1" s="2402"/>
    </x:row>
    <x:row r="2">
      <x:c r="A2" s="2373" t="str">
        <x:v>Wofür? 12_Daily_Log enthält das, was wirklich gemessen oder getan wurde. Das ist die wichtigste Grundlage für spätere Diagnose, Vergleich und Lernen.</x:v>
      </x:c>
      <x:c r="B2" s="2373"/>
      <x:c r="C2" s="2373"/>
      <x:c r="D2" s="2373"/>
      <x:c r="E2" s="2373"/>
      <x:c r="F2" s="2373"/>
      <x:c r="G2" s="2373"/>
      <x:c r="H2" s="2373"/>
    </x:row>
    <x:row r="4">
      <x:c r="A4" s="2367" t="str">
        <x:v>Feld im Log</x:v>
      </x:c>
      <x:c r="B4" s="2367" t="str">
        <x:v>Einfacher Name</x:v>
      </x:c>
      <x:c r="C4" s="2367" t="str">
        <x:v>Was eintragen?</x:v>
      </x:c>
      <x:c r="D4" s="2367" t="str">
        <x:v>Einheit</x:v>
      </x:c>
      <x:c r="E4" s="2367" t="str">
        <x:v>Wann?</x:v>
      </x:c>
      <x:c r="F4" s="2367" t="str">
        <x:v>Warum wichtig?</x:v>
      </x:c>
      <x:c r="G4" s="2367" t="str">
        <x:v>Nicht verwechseln mit</x:v>
      </x:c>
      <x:c r="H4" s="2367" t="str">
        <x:v>Wo erklärt?</x:v>
      </x:c>
    </x:row>
    <x:row r="5" ht="46" customHeight="1">
      <x:c r="A5" s="60" t="str">
        <x:v>Temp max/min</x:v>
      </x:c>
      <x:c r="B5" s="60" t="str">
        <x:v>höchste/niedrigste Temperatur</x:v>
      </x:c>
      <x:c r="C5" s="60" t="str">
        <x:v>gemessene Extremwerte des Tages</x:v>
      </x:c>
      <x:c r="D5" s="60" t="str">
        <x:v>°C</x:v>
      </x:c>
      <x:c r="E5" s="60" t="str">
        <x:v>täglich</x:v>
      </x:c>
      <x:c r="F5" s="60" t="str">
        <x:v>zeigt Klima-Spannweite</x:v>
      </x:c>
      <x:c r="G5" s="60" t="str">
        <x:v>Plan-Solltemperatur</x:v>
      </x:c>
      <x:c r="H5" s="60" t="str">
        <x:v>34_CONTEXT_HELP_MAP</x:v>
      </x:c>
    </x:row>
    <x:row r="6" ht="46" customHeight="1">
      <x:c r="A6" s="60" t="str">
        <x:v>LF max/min</x:v>
      </x:c>
      <x:c r="B6" s="60" t="str">
        <x:v>höchste/niedrigste Luftfeuchte</x:v>
      </x:c>
      <x:c r="C6" s="60" t="str">
        <x:v>gemessene Extremwerte</x:v>
      </x:c>
      <x:c r="D6" s="60" t="str">
        <x:v>% rF</x:v>
      </x:c>
      <x:c r="E6" s="60" t="str">
        <x:v>täglich</x:v>
      </x:c>
      <x:c r="F6" s="60" t="str">
        <x:v>zeigt Feuchtespitzen</x:v>
      </x:c>
      <x:c r="G6" s="60" t="str">
        <x:v>VPD</x:v>
      </x:c>
      <x:c r="H6" s="60" t="str">
        <x:v>34_CONTEXT_HELP_MAP</x:v>
      </x:c>
    </x:row>
    <x:row r="7" ht="46" customHeight="1">
      <x:c r="A7" s="60" t="str">
        <x:v>VPD</x:v>
      </x:c>
      <x:c r="B7" s="60" t="str">
        <x:v>Trocknungsdruck</x:v>
      </x:c>
      <x:c r="C7" s="60" t="str">
        <x:v>gemessenen/abgeleiteten VPD nur mit Quelle/Methodik</x:v>
      </x:c>
      <x:c r="D7" s="60" t="str">
        <x:v>kPa</x:v>
      </x:c>
      <x:c r="E7" s="60" t="str">
        <x:v>wenn verfügbar</x:v>
      </x:c>
      <x:c r="F7" s="60" t="str">
        <x:v>verknüpft Temperatur und Feuchte</x:v>
      </x:c>
      <x:c r="G7" s="60" t="str">
        <x:v>Luftfeuchte allein</x:v>
      </x:c>
      <x:c r="H7" s="60" t="str">
        <x:v>34_CONTEXT_HELP_MAP</x:v>
      </x:c>
    </x:row>
    <x:row r="8" ht="46" customHeight="1">
      <x:c r="A8" s="60" t="str">
        <x:v>PPFD</x:v>
      </x:c>
      <x:c r="B8" s="60" t="str">
        <x:v>gemessene Lichtstärke</x:v>
      </x:c>
      <x:c r="C8" s="60" t="str">
        <x:v>Messwert am Canopy + möglichst Position</x:v>
      </x:c>
      <x:c r="D8" s="60" t="str">
        <x:v>µmol/m²/s</x:v>
      </x:c>
      <x:c r="E8" s="60" t="str">
        <x:v>nach Änderungen / Spotcheck</x:v>
      </x:c>
      <x:c r="F8" s="60" t="str">
        <x:v>prüft echten Lichtwert</x:v>
      </x:c>
      <x:c r="G8" s="60" t="str">
        <x:v>Watt/Lampenabstand</x:v>
      </x:c>
      <x:c r="H8" s="60" t="str">
        <x:v>34_CONTEXT_HELP_MAP</x:v>
      </x:c>
    </x:row>
    <x:row r="9" ht="46" customHeight="1">
      <x:c r="A9" s="60" t="str">
        <x:v>pH in</x:v>
      </x:c>
      <x:c r="B9" s="60" t="str">
        <x:v>pH des fertigen Gießmixes</x:v>
      </x:c>
      <x:c r="C9" s="60" t="str">
        <x:v>fertigen Mix vor Anwendung</x:v>
      </x:c>
      <x:c r="D9" s="60" t="str">
        <x:v>pH</x:v>
      </x:c>
      <x:c r="E9" s="60" t="str">
        <x:v>bei Feed/Gießen</x:v>
      </x:c>
      <x:c r="F9" s="60" t="str">
        <x:v>prüft tatsächliche Anwendung</x:v>
      </x:c>
      <x:c r="G9" s="60" t="str">
        <x:v>Wasser-pH vor Nährstoffen</x:v>
      </x:c>
      <x:c r="H9" s="60" t="str">
        <x:v>38_MIX_OPERATOR</x:v>
      </x:c>
    </x:row>
    <x:row r="10" ht="46" customHeight="1">
      <x:c r="A10" s="60" t="str">
        <x:v>EC in</x:v>
      </x:c>
      <x:c r="B10" s="60" t="str">
        <x:v>Nährsalzstärke des fertigen Mixes</x:v>
      </x:c>
      <x:c r="C10" s="60" t="str">
        <x:v>fertigen Mix vor Anwendung</x:v>
      </x:c>
      <x:c r="D10" s="60" t="str">
        <x:v>mS/cm</x:v>
      </x:c>
      <x:c r="E10" s="60" t="str">
        <x:v>bei Feed/Gießen</x:v>
      </x:c>
      <x:c r="F10" s="60" t="str">
        <x:v>prüft echte Salzstärke</x:v>
      </x:c>
      <x:c r="G10" s="60" t="str">
        <x:v>ml/L allein</x:v>
      </x:c>
      <x:c r="H10" s="60" t="str">
        <x:v>34_CONTEXT_HELP_MAP</x:v>
      </x:c>
    </x:row>
    <x:row r="11" ht="46" customHeight="1">
      <x:c r="A11" s="60" t="str">
        <x:v>pH drain</x:v>
      </x:c>
      <x:c r="B11" s="60" t="str">
        <x:v>pH der Ablaufprobe</x:v>
      </x:c>
      <x:c r="C11" s="60" t="str">
        <x:v>nur definierte Drainprobe</x:v>
      </x:c>
      <x:c r="D11" s="60" t="str">
        <x:v>pH</x:v>
      </x:c>
      <x:c r="E11" s="60" t="str">
        <x:v>bei Diagnoseprobe</x:v>
      </x:c>
      <x:c r="F11" s="60" t="str">
        <x:v>Wurzelzonen-Hinweis</x:v>
      </x:c>
      <x:c r="G11" s="60" t="str">
        <x:v>Substrat-pH</x:v>
      </x:c>
      <x:c r="H11" s="60" t="str">
        <x:v>13_Diagnostics</x:v>
      </x:c>
    </x:row>
    <x:row r="12" ht="46" customHeight="1">
      <x:c r="A12" s="60" t="str">
        <x:v>EC drain</x:v>
      </x:c>
      <x:c r="B12" s="60" t="str">
        <x:v>EC der Ablaufprobe</x:v>
      </x:c>
      <x:c r="C12" s="60" t="str">
        <x:v>definierte Drainprobe</x:v>
      </x:c>
      <x:c r="D12" s="60" t="str">
        <x:v>mS/cm</x:v>
      </x:c>
      <x:c r="E12" s="60" t="str">
        <x:v>bei Diagnoseprobe</x:v>
      </x:c>
      <x:c r="F12" s="60" t="str">
        <x:v>erkennt Salztrend</x:v>
      </x:c>
      <x:c r="G12" s="60" t="str">
        <x:v>Input-EC</x:v>
      </x:c>
      <x:c r="H12" s="60" t="str">
        <x:v>13_Diagnostics</x:v>
      </x:c>
    </x:row>
    <x:row r="13" ht="46" customHeight="1">
      <x:c r="A13" s="60" t="str">
        <x:v>Wasser L</x:v>
      </x:c>
      <x:c r="B13" s="60" t="str">
        <x:v>tatsächlich angewendetes Wasser</x:v>
      </x:c>
      <x:c r="C13" s="60" t="str">
        <x:v>reale Wassermenge</x:v>
      </x:c>
      <x:c r="D13" s="60" t="str">
        <x:v>L</x:v>
      </x:c>
      <x:c r="E13" s="60" t="str">
        <x:v>jedes Gießen</x:v>
      </x:c>
      <x:c r="F13" s="60" t="str">
        <x:v>Actual vs Plan</x:v>
      </x:c>
      <x:c r="G13" s="60" t="str">
        <x:v>Wasser-Startbereich</x:v>
      </x:c>
      <x:c r="H13" s="60" t="str">
        <x:v>36_TODAY_OPERATOR</x:v>
      </x:c>
    </x:row>
    <x:row r="14" ht="46" customHeight="1">
      <x:c r="A14" s="60" t="str">
        <x:v>Stress 0-5</x:v>
      </x:c>
      <x:c r="B14" s="60" t="str">
        <x:v>sichtbarer Stressscore</x:v>
      </x:c>
      <x:c r="C14" s="60" t="str">
        <x:v>eigene standardisierte Beobachtung</x:v>
      </x:c>
      <x:c r="D14" s="60" t="str">
        <x:v>0-5</x:v>
      </x:c>
      <x:c r="E14" s="60" t="str">
        <x:v>täglich</x:v>
      </x:c>
      <x:c r="F14" s="60" t="str">
        <x:v>Trend, keine Diagnose</x:v>
      </x:c>
      <x:c r="G14" s="60" t="str">
        <x:v>Ursachenbehauptung</x:v>
      </x:c>
      <x:c r="H14" s="60" t="str">
        <x:v>13_Diagnostics</x:v>
      </x:c>
    </x:row>
    <x:row r="15" ht="46" customHeight="1">
      <x:c r="A15" s="60" t="str">
        <x:v>Notizen</x:v>
      </x:c>
      <x:c r="B15" s="60" t="str">
        <x:v>Beobachtung / Ereignis</x:v>
      </x:c>
      <x:c r="C15" s="60" t="str">
        <x:v>was anders war, Produktwechsel, Foto, Geruch, Wurzeln etc.</x:v>
      </x:c>
      <x:c r="D15" s="60" t="str">
        <x:v>Text</x:v>
      </x:c>
      <x:c r="E15" s="60" t="str">
        <x:v>bei Ereignis</x:v>
      </x:c>
      <x:c r="F15" s="60" t="str">
        <x:v>Kontext für spätere Auswertung</x:v>
      </x:c>
      <x:c r="G15" s="60" t="str">
        <x:v>Evidenzklasse</x:v>
      </x:c>
      <x:c r="H15" s="60" t="str">
        <x:v>20_Practice_Evidence</x:v>
      </x:c>
    </x:row>
    <x:row r="18">
      <x:c r="A18" s="2371" t="str">
        <x:v>MERKSATZ
Plan = was vorgesehen war. Log = was tatsächlich passiert ist. Wenn du etwas korrigierst, soll die alte Information nachvollziehbar bleiben - später in der App als superseding event statt stillem Überschreiben.</x:v>
      </x:c>
      <x:c r="B18" s="2371"/>
      <x:c r="C18" s="2371"/>
      <x:c r="D18" s="2371"/>
      <x:c r="E18" s="2371"/>
      <x:c r="F18" s="2371"/>
      <x:c r="G18" s="2371"/>
      <x:c r="H18" s="2371"/>
    </x:row>
    <x:row r="19">
      <x:c r="A19" s="2371"/>
      <x:c r="B19" s="2371"/>
      <x:c r="C19" s="2371"/>
      <x:c r="D19" s="2371"/>
      <x:c r="E19" s="2371"/>
      <x:c r="F19" s="2371"/>
      <x:c r="G19" s="2371"/>
      <x:c r="H19" s="2371"/>
    </x:row>
    <x:row r="20">
      <x:c r="A20" s="2371"/>
      <x:c r="B20" s="2371"/>
      <x:c r="C20" s="2371"/>
      <x:c r="D20" s="2371"/>
      <x:c r="E20" s="2371"/>
      <x:c r="F20" s="2371"/>
      <x:c r="G20" s="2371"/>
      <x:c r="H20" s="2371"/>
    </x:row>
    <x:row r="21">
      <x:c r="A21" s="2371"/>
      <x:c r="B21" s="2371"/>
      <x:c r="C21" s="2371"/>
      <x:c r="D21" s="2371"/>
      <x:c r="E21" s="2371"/>
      <x:c r="F21" s="2371"/>
      <x:c r="G21" s="2371"/>
      <x:c r="H21" s="2371"/>
    </x:row>
    <x:row r="22">
      <x:c r="A22" s="2371"/>
      <x:c r="B22" s="2371"/>
      <x:c r="C22" s="2371"/>
      <x:c r="D22" s="2371"/>
      <x:c r="E22" s="2371"/>
      <x:c r="F22" s="2371"/>
      <x:c r="G22" s="2371"/>
      <x:c r="H22" s="2371"/>
    </x:row>
    <x:row r="24">
      <x:c r="A24" s="2369" t="str">
        <x:v>WO FINDE ICH WAS?
Heute-Zielwerte -&gt; 36_TODAY_OPERATOR · Mix -&gt; 38_MIX_OPERATOR · Diagnose -&gt; 13_Diagnostics · Begriffe -&gt; 34_CONTEXT_HELP_MAP · wissenschaftliche/Herstellerquelle -&gt; 22_Sources</x:v>
      </x:c>
      <x:c r="B24" s="2369"/>
      <x:c r="C24" s="2369"/>
      <x:c r="D24" s="2369"/>
      <x:c r="E24" s="2369"/>
      <x:c r="F24" s="2369"/>
      <x:c r="G24" s="2369"/>
      <x:c r="H24" s="2369"/>
    </x:row>
    <x:row r="25">
      <x:c r="A25" s="2369"/>
      <x:c r="B25" s="2369"/>
      <x:c r="C25" s="2369"/>
      <x:c r="D25" s="2369"/>
      <x:c r="E25" s="2369"/>
      <x:c r="F25" s="2369"/>
      <x:c r="G25" s="2369"/>
      <x:c r="H25" s="2369"/>
    </x:row>
    <x:row r="26">
      <x:c r="A26" s="2369"/>
      <x:c r="B26" s="2369"/>
      <x:c r="C26" s="2369"/>
      <x:c r="D26" s="2369"/>
      <x:c r="E26" s="2369"/>
      <x:c r="F26" s="2369"/>
      <x:c r="G26" s="2369"/>
      <x:c r="H26" s="2369"/>
    </x:row>
    <x:row r="27">
      <x:c r="A27" s="2369"/>
      <x:c r="B27" s="2369"/>
      <x:c r="C27" s="2369"/>
      <x:c r="D27" s="2369"/>
      <x:c r="E27" s="2369"/>
      <x:c r="F27" s="2369"/>
      <x:c r="G27" s="2369"/>
      <x:c r="H27" s="2369"/>
    </x:row>
    <x:row r="28">
      <x:c r="A28" s="2369"/>
      <x:c r="B28" s="2369"/>
      <x:c r="C28" s="2369"/>
      <x:c r="D28" s="2369"/>
      <x:c r="E28" s="2369"/>
      <x:c r="F28" s="2369"/>
      <x:c r="G28" s="2369"/>
      <x:c r="H28" s="2369"/>
    </x:row>
    <x:row r="29">
      <x:c r="A29" s="2369"/>
      <x:c r="B29" s="2369"/>
      <x:c r="C29" s="2369"/>
      <x:c r="D29" s="2369"/>
      <x:c r="E29" s="2369"/>
      <x:c r="F29" s="2369"/>
      <x:c r="G29" s="2369"/>
      <x:c r="H29" s="2369"/>
    </x:row>
  </x:sheetData>
  <x:mergeCells>
    <x:mergeCell ref="A1:H1"/>
    <x:mergeCell ref="A2:H2"/>
    <x:mergeCell ref="A18:H22"/>
    <x:mergeCell ref="A24:H29"/>
  </x:mergeCells>
  <x:pageMargins left="0.7" right="0.7" top="0.75" bottom="0.75" header="0.3" footer="0.3"/>
</x:worksheet>
</file>

<file path=xl/worksheets/sheet41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38" hidden="0" customWidth="1"/>
    <x:col min="3" max="3" width="48" hidden="0" customWidth="1"/>
    <x:col min="4" max="4" width="36" hidden="0" customWidth="1"/>
    <x:col min="5" max="5" width="18" hidden="0" customWidth="1"/>
    <x:col min="6" max="6" width="34" hidden="0" customWidth="1"/>
    <x:col min="7" max="7" width="38" hidden="0" customWidth="1"/>
    <x:col min="8" max="8" width="44" hidden="0" customWidth="1"/>
  </x:cols>
  <x:sheetData>
    <x:row r="1">
      <x:c r="A1" s="2439" t="str">
        <x:v>Grafik</x:v>
      </x:c>
      <x:c r="B1" s="2439" t="str">
        <x:v>Datei</x:v>
      </x:c>
      <x:c r="C1" s="2439" t="str">
        <x:v>Wofür gedacht?</x:v>
      </x:c>
      <x:c r="D1" s="2439" t="str">
        <x:v>Wann verwenden?</x:v>
      </x:c>
      <x:c r="E1" s="2439" t="str">
        <x:v>Kanonisch?</x:v>
      </x:c>
      <x:c r="F1" s="2439" t="str">
        <x:v>Quelle im UKD</x:v>
      </x:c>
      <x:c r="G1" s="2439" t="str">
        <x:v>Farb-/Statuslogik</x:v>
      </x:c>
      <x:c r="H1" s="2439" t="str">
        <x:v>Hinweis</x:v>
      </x:c>
    </x:row>
    <x:row r="2" ht="48" customHeight="1">
      <x:c r="A2" s="60" t="str">
        <x:v>Fütterungsplan UGro Rhiza</x:v>
      </x:c>
      <x:c r="B2" s="60" t="str">
        <x:v>UKD_v10_Fuetterungsplan_UGro_Rhiza_DE.png</x:v>
      </x:c>
      <x:c r="C2" s="60" t="str">
        <x:v>Wochenübersicht des aktuellen Owned-Stock-Stacks.</x:v>
      </x:c>
      <x:c r="D2" s="60" t="str">
        <x:v>Planorientierung / PDF / App-Zeitachse</x:v>
      </x:c>
      <x:c r="E2" s="60" t="str">
        <x:v>JA - aus Workbookdaten</x:v>
      </x:c>
      <x:c r="F2" s="60" t="str">
        <x:v>31_FEED_SCHEMA + 02_Daily_Master</x:v>
      </x:c>
      <x:c r="G2" s="60" t="str">
        <x:v>Grün aktiv, Gelb bedingt, Lila Ergänzung, Grau aus</x:v>
      </x:c>
      <x:c r="H2" s="60" t="str">
        <x:v>Kein Hersteller-Chart; UKD-Projektion.</x:v>
      </x:c>
    </x:row>
    <x:row r="3" ht="48" customHeight="1">
      <x:c r="A3" s="60" t="str">
        <x:v>Setup-Bereitschaft</x:v>
      </x:c>
      <x:c r="B3" s="60" t="str">
        <x:v>UKD_v10_Setup_Bereitschaft_DE.png</x:v>
      </x:c>
      <x:c r="C3" s="60" t="str">
        <x:v>Bekannt/offen/unbekannt/bedingt vor Run-Aktivierung.</x:v>
      </x:c>
      <x:c r="D3" s="60" t="str">
        <x:v>Pre-Setup / Onboarding</x:v>
      </x:c>
      <x:c r="E3" s="60" t="str">
        <x:v>JA - aus Setupdaten</x:v>
      </x:c>
      <x:c r="F3" s="60" t="str">
        <x:v>37_SETUP_OPERATOR + 01_Run_Config</x:v>
      </x:c>
      <x:c r="G3" s="60" t="str">
        <x:v>Grün bekannt, Gelb prüfen, Rot unbekannt/blockierend</x:v>
      </x:c>
      <x:c r="H3" s="60" t="str">
        <x:v>Unknown nie schätzen.</x:v>
      </x:c>
    </x:row>
    <x:row r="4" ht="48" customHeight="1">
      <x:c r="A4" s="60" t="str">
        <x:v>Mischreihenfolge</x:v>
      </x:c>
      <x:c r="B4" s="60" t="str">
        <x:v>UKD_v10_Mischreihenfolge_DE.png</x:v>
      </x:c>
      <x:c r="C4" s="60" t="str">
        <x:v>Sichere Reihenfolge für einen tatsächlich anstehenden Mix.</x:v>
      </x:c>
      <x:c r="D4" s="60" t="str">
        <x:v>Mix-Labor / Tagesaktion</x:v>
      </x:c>
      <x:c r="E4" s="60" t="str">
        <x:v>JA - aus UKD-Mixlogik</x:v>
      </x:c>
      <x:c r="F4" s="60" t="str">
        <x:v>38_MIX_OPERATOR + 05_Mix_Calculator</x:v>
      </x:c>
      <x:c r="G4" s="60" t="str">
        <x:v>Blau Info, Gelb bedingt, Grün Basis, Lila Bio</x:v>
      </x:c>
      <x:c r="H4" s="60" t="str">
        <x:v>Konzentrate nie direkt mischen.</x:v>
      </x:c>
    </x:row>
    <x:row r="5" ht="48" customHeight="1">
      <x:c r="A5" s="60" t="str">
        <x:v>Datenstatus &amp; Evidenz</x:v>
      </x:c>
      <x:c r="B5" s="60" t="str">
        <x:v>UKD_v10_Datenstatus_Evidenz_DE.png</x:v>
      </x:c>
      <x:c r="C5" s="60" t="str">
        <x:v>Unterscheidet Plan, Messung, User Input, Hersteller, UKD, Blocker, Experiment.</x:v>
      </x:c>
      <x:c r="D5" s="60" t="str">
        <x:v>Überall als Legende / Audit</x:v>
      </x:c>
      <x:c r="E5" s="60" t="str">
        <x:v>JA - Systemmodell</x:v>
      </x:c>
      <x:c r="F5" s="60" t="str">
        <x:v>34_CONTEXT_HELP_MAP + Rules of Evidence</x:v>
      </x:c>
      <x:c r="G5" s="60" t="str">
        <x:v>Semantische Statusfarben</x:v>
      </x:c>
      <x:c r="H5" s="60" t="str">
        <x:v>User Input ≠ Evidence.</x:v>
      </x:c>
    </x:row>
    <x:row r="6" ht="48" customHeight="1">
      <x:c r="A6" s="60" t="str">
        <x:v>12-Wochen-Zeitachse</x:v>
      </x:c>
      <x:c r="B6" s="60" t="str">
        <x:v>UKD_v10_12_Wochen_Zeitachse_DE.png</x:v>
      </x:c>
      <x:c r="C6" s="60" t="str">
        <x:v>Phase plus geplante PPFD-/EC-Richtung.</x:v>
      </x:c>
      <x:c r="D6" s="60" t="str">
        <x:v>Zeitachse / Wochenreview</x:v>
      </x:c>
      <x:c r="E6" s="60" t="str">
        <x:v>JA - aus Daily Master</x:v>
      </x:c>
      <x:c r="F6" s="60" t="str">
        <x:v>02_Daily_Master</x:v>
      </x:c>
      <x:c r="G6" s="60" t="str">
        <x:v>Phasenfarbband + Linien</x:v>
      </x:c>
      <x:c r="H6" s="60" t="str">
        <x:v>Orientierung, keine Tagesfreigabe.</x:v>
      </x:c>
    </x:row>
    <x:row r="7" ht="48" customHeight="1">
      <x:c r="A7" s="60" t="str">
        <x:v>Heute-Schnellkarte</x:v>
      </x:c>
      <x:c r="B7" s="60" t="str">
        <x:v>UKD_v10_Heute_Schnellkarte_DE.png</x:v>
      </x:c>
      <x:c r="C7" s="60" t="str">
        <x:v>Ein-Seiten-Zusammenfassung des aktuell konfigurierten Tages.</x:v>
      </x:c>
      <x:c r="D7" s="60" t="str">
        <x:v>Cockpit / Heute / Ausdruck</x:v>
      </x:c>
      <x:c r="E7" s="60" t="str">
        <x:v>JA - aktueller Run-Tag</x:v>
      </x:c>
      <x:c r="F7" s="60" t="str">
        <x:v>02_Daily_Master + 01_Run_Config</x:v>
      </x:c>
      <x:c r="G7" s="60" t="str">
        <x:v>Operatorfarben</x:v>
      </x:c>
      <x:c r="H7" s="60" t="str">
        <x:v>Bei anderem Run-Tag neu generieren.</x:v>
      </x:c>
    </x:row>
    <x:row r="8" ht="48" customHeight="1">
      <x:c r="A8" s="60" t="str">
        <x:v>Sektionen-Landkarte</x:v>
      </x:c>
      <x:c r="B8" s="60" t="str">
        <x:v>UKD_v10_SECTION_MAP.png</x:v>
      </x:c>
      <x:c r="C8" s="60" t="str">
        <x:v>Wo finde ich was? Aufgabe -&gt; richtige Sektion.</x:v>
      </x:c>
      <x:c r="D8" s="60" t="str">
        <x:v>Startseite / Onboarding</x:v>
      </x:c>
      <x:c r="E8" s="60" t="str">
        <x:v>JA - IA-Vertrag</x:v>
      </x:c>
      <x:c r="F8" s="60" t="str">
        <x:v>35_SECTION_GUIDE</x:v>
      </x:c>
      <x:c r="G8" s="60" t="str">
        <x:v>Bereichsfarben</x:v>
      </x:c>
      <x:c r="H8" s="60" t="str">
        <x:v>Navigation, keine Grow-Dosis.</x:v>
      </x:c>
    </x:row>
    <x:row r="9" ht="48" customHeight="1">
      <x:c r="A9" s="60" t="str">
        <x:v>Fachbegriffe</x:v>
      </x:c>
      <x:c r="B9" s="60" t="str">
        <x:v>UKD_v10_TERM_MAP.png</x:v>
      </x:c>
      <x:c r="C9" s="60" t="str">
        <x:v>Wichtige Begriffe in verständlichem Deutsch.</x:v>
      </x:c>
      <x:c r="D9" s="60" t="str">
        <x:v>Guided / Hilfe / PDF</x:v>
      </x:c>
      <x:c r="E9" s="60" t="str">
        <x:v>JA - Context Help</x:v>
      </x:c>
      <x:c r="F9" s="60" t="str">
        <x:v>34_CONTEXT_HELP_MAP</x:v>
      </x:c>
      <x:c r="G9" s="60" t="str">
        <x:v>Begriffsfarben</x:v>
      </x:c>
      <x:c r="H9" s="60" t="str">
        <x:v>Technische Abkürzung bleibt in Klammern.</x:v>
      </x:c>
    </x:row>
    <x:row r="10" ht="48" customHeight="1">
      <x:c r="A10" s="60" t="str">
        <x:v>Entscheidungsfluss</x:v>
      </x:c>
      <x:c r="B10" s="60" t="str">
        <x:v>UKD_v10_DECISION_FLOW.png</x:v>
      </x:c>
      <x:c r="C10" s="60" t="str">
        <x:v>Messen -&gt; prüfen -&gt; entscheiden -&gt; handeln -&gt; loggen.</x:v>
      </x:c>
      <x:c r="D10" s="60" t="str">
        <x:v>Heute / Diagnose / Training</x:v>
      </x:c>
      <x:c r="E10" s="60" t="str">
        <x:v>JA - Prozessmodell</x:v>
      </x:c>
      <x:c r="F10" s="60" t="str">
        <x:v>33_RELEASE_GATES + UX</x:v>
      </x:c>
      <x:c r="G10" s="60" t="str">
        <x:v>Prozessfarben</x:v>
      </x:c>
      <x:c r="H10" s="60" t="str">
        <x:v>Fail-closed bei fehlenden Pflichtinputs.</x:v>
      </x:c>
    </x:row>
  </x:sheetData>
  <x:pageMargins left="0.7" right="0.7" top="0.75" bottom="0.75" header="0.3" footer="0.3"/>
</x:worksheet>
</file>

<file path=xl/worksheets/sheet4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4" hidden="0" customWidth="1"/>
    <x:col min="3" max="3" width="42" hidden="0" customWidth="1"/>
    <x:col min="4" max="4" width="46" hidden="0" customWidth="1"/>
    <x:col min="5" max="5" width="52" hidden="0" customWidth="1"/>
    <x:col min="6" max="6" width="24" hidden="0" customWidth="1"/>
    <x:col min="7" max="7" width="18" hidden="0" customWidth="1"/>
  </x:cols>
  <x:sheetData>
    <x:row r="1">
      <x:c r="A1" s="2442" t="str">
        <x:v>Priorität</x:v>
      </x:c>
      <x:c r="B1" s="2442" t="str">
        <x:v>Ebene</x:v>
      </x:c>
      <x:c r="C1" s="2442" t="str">
        <x:v>Aktueller Fehler / Risiko</x:v>
      </x:c>
      <x:c r="D1" s="2442" t="str">
        <x:v>Warum bei Autoflower relevant</x:v>
      </x:c>
      <x:c r="E1" s="2442" t="str">
        <x:v>v11.2 Anpassung</x:v>
      </x:c>
      <x:c r="F1" s="2442" t="str">
        <x:v>Evidenzklasse</x:v>
      </x:c>
      <x:c r="G1" s="2442" t="str">
        <x:v>Status</x:v>
      </x:c>
    </x:row>
    <x:row r="2" ht="56" customHeight="1">
      <x:c r="A2" s="60" t="str">
        <x:v>P0</x:v>
      </x:c>
      <x:c r="B2" s="60" t="str">
        <x:v>Propagation</x:v>
      </x:c>
      <x:c r="C2" s="60" t="str">
        <x:v>Eazy/Block shown for W1–W4</x:v>
      </x:c>
      <x:c r="D2" s="60" t="str">
        <x:v>Eazy Block is a short propagation bridge, not a 4-week default stage.</x:v>
      </x:c>
      <x:c r="E2" s="60" t="str">
        <x:v>Replace calendar stage with Plug → Block → Final Coco event chain; block exit by visible/root-through readiness. Manufacturer reference ~8–10 days in block.</x:v>
      </x:c>
      <x:c r="F2" s="60" t="str">
        <x:v>MANUFACTURER + UKD</x:v>
      </x:c>
      <x:c r="G2" s="60" t="str">
        <x:v>FIXED/PLANNED</x:v>
      </x:c>
    </x:row>
    <x:row r="3" ht="56" customHeight="1">
      <x:c r="A3" s="60" t="str">
        <x:v>P0</x:v>
      </x:c>
      <x:c r="B3" s="60" t="str">
        <x:v>Flower trigger</x:v>
      </x:c>
      <x:c r="C3" s="60" t="str">
        <x:v>Bloom-Tag starts from fixed Day 28</x:v>
      </x:c>
      <x:c r="D3" s="60" t="str">
        <x:v>Autoflower flowering is photoperiod-insensitive but cultivar timing varies; fixed Day 28 is only a projection.</x:v>
      </x:c>
      <x:c r="E3" s="60" t="str">
        <x:v>Add PreflowerObserved and FlowerInitiation events; use observed flower initiation as operational BT1. Day 28 remains planning estimate only.</x:v>
      </x:c>
      <x:c r="F3" s="60" t="str">
        <x:v>PEER_REVIEWED + BREEDER</x:v>
      </x:c>
      <x:c r="G3" s="60" t="str">
        <x:v>FIXED/PLANNED</x:v>
      </x:c>
    </x:row>
    <x:row r="4" ht="56" customHeight="1">
      <x:c r="A4" s="60" t="str">
        <x:v>P0</x:v>
      </x:c>
      <x:c r="B4" s="60" t="str">
        <x:v>Harvest horizon</x:v>
      </x:c>
      <x:c r="C4" s="60" t="str">
        <x:v>Day 70–80 labelled harvest window</x:v>
      </x:c>
      <x:c r="D4" s="60" t="str">
        <x:v>Double Grape breeder window is 70–80 days, but maturity remains plant-dependent.</x:v>
      </x:c>
      <x:c r="E4" s="60" t="str">
        <x:v>Keep breeder window as readiness-watch only; allow automatic plan extension beyond Day 80.</x:v>
      </x:c>
      <x:c r="F4" s="60" t="str">
        <x:v>BREEDER + UKD</x:v>
      </x:c>
      <x:c r="G4" s="60" t="str">
        <x:v>FIXED/PLANNED</x:v>
      </x:c>
    </x:row>
    <x:row r="5" ht="56" customHeight="1">
      <x:c r="A5" s="60" t="str">
        <x:v>P1</x:v>
      </x:c>
      <x:c r="B5" s="60" t="str">
        <x:v>Nutrient start</x:v>
      </x:c>
      <x:c r="C5" s="60" t="str">
        <x:v>TNT and support products appear from a fixed early day</x:v>
      </x:c>
      <x:c r="D5" s="60" t="str">
        <x:v>Seeds initially have reserves; Eazy media are lightly fertilized/buffered. A day alone is not feed eligibility.</x:v>
      </x:c>
      <x:c r="E5" s="60" t="str">
        <x:v>BaseFeedEligibility = plant established + propagation medium context + real watering event; earliest day only a reference.</x:v>
      </x:c>
      <x:c r="F5" s="60" t="str">
        <x:v>HESI + EAZY + UKD</x:v>
      </x:c>
      <x:c r="G5" s="60" t="str">
        <x:v>FIXED/PLANNED</x:v>
      </x:c>
    </x:row>
    <x:row r="6" ht="56" customHeight="1">
      <x:c r="A6" s="60" t="str">
        <x:v>P1</x:v>
      </x:c>
      <x:c r="B6" s="60" t="str">
        <x:v>Root products</x:v>
      </x:c>
      <x:c r="C6" s="60" t="str">
        <x:v>Root Complex is calendar-driven through Day 14</x:v>
      </x:c>
      <x:c r="D6" s="60" t="str">
        <x:v>For an auto, root/transplant events are more meaningful than total run age.</x:v>
      </x:c>
      <x:c r="E6" s="60" t="str">
        <x:v>Tie Root Complex emphasis to early establishment and post-transplant recovery; dose still label-derived.</x:v>
      </x:c>
      <x:c r="F6" s="60" t="str">
        <x:v>HESI + UKD</x:v>
      </x:c>
      <x:c r="G6" s="60" t="str">
        <x:v>FIXED/PLANNED</x:v>
      </x:c>
    </x:row>
    <x:row r="7" ht="56" customHeight="1">
      <x:c r="A7" s="60" t="str">
        <x:v>P1</x:v>
      </x:c>
      <x:c r="B7" s="60" t="str">
        <x:v>Microbes</x:v>
      </x:c>
      <x:c r="C7" s="60" t="str">
        <x:v>Voodoo/Tarantula fresh events tied to Day 4/11 and bloom dates</x:v>
      </x:c>
      <x:c r="D7" s="60" t="str">
        <x:v>The final root-zone transition is a more meaningful root-establishment event.</x:v>
      </x:c>
      <x:c r="E7" s="60" t="str">
        <x:v>Prefer one fresh event after final coco transplant/establishment and optional early-flower event if selected; keep no-efficacy-overclaim.</x:v>
      </x:c>
      <x:c r="F7" s="60" t="str">
        <x:v>UKD + MANUFACTURER</x:v>
      </x:c>
      <x:c r="G7" s="60" t="str">
        <x:v>FIXED/PLANNED</x:v>
      </x:c>
    </x:row>
    <x:row r="8" ht="56" customHeight="1">
      <x:c r="A8" s="60" t="str">
        <x:v>P1</x:v>
      </x:c>
      <x:c r="B8" s="60" t="str">
        <x:v>Training</x:v>
      </x:c>
      <x:c r="C8" s="60" t="str">
        <x:v>D11–18 / D19–28 are fixed day windows</x:v>
      </x:c>
      <x:c r="D8" s="60" t="str">
        <x:v>Autoflowers have little recovery time and genotype timing varies.</x:v>
      </x:c>
      <x:c r="E8" s="60" t="str">
        <x:v>Use node/vigor/post-transplant recovery/preflower state. Gentle LST/leaf-tuck default; topping/HST not reference default.</x:v>
      </x:c>
      <x:c r="F8" s="60" t="str">
        <x:v>BREEDER + CANNABIS RESEARCH</x:v>
      </x:c>
      <x:c r="G8" s="60" t="str">
        <x:v>FIXED/PLANNED</x:v>
      </x:c>
    </x:row>
    <x:row r="9" ht="56" customHeight="1">
      <x:c r="A9" s="60" t="str">
        <x:v>P1</x:v>
      </x:c>
      <x:c r="B9" s="60" t="str">
        <x:v>Transition feed</x:v>
      </x:c>
      <x:c r="C9" s="60" t="str">
        <x:v>TNT→Coco and Boost begin at projected Day 28</x:v>
      </x:c>
      <x:c r="D9" s="60" t="str">
        <x:v>Real auto transition can occur earlier/later.</x:v>
      </x:c>
      <x:c r="E9" s="60" t="str">
        <x:v>Switch on observed transition/flower initiation, not absolute day.</x:v>
      </x:c>
      <x:c r="F9" s="60" t="str">
        <x:v>UKD</x:v>
      </x:c>
      <x:c r="G9" s="60" t="str">
        <x:v>FIXED/PLANNED</x:v>
      </x:c>
    </x:row>
    <x:row r="10" ht="56" customHeight="1">
      <x:c r="A10" s="60" t="str">
        <x:v>P1</x:v>
      </x:c>
      <x:c r="B10" s="60" t="str">
        <x:v>Late flower</x:v>
      </x:c>
      <x:c r="C10" s="60" t="str">
        <x:v>Boost/finish tied to absolute plan days</x:v>
      </x:c>
      <x:c r="D10" s="60" t="str">
        <x:v>Autos may mature earlier/later than the template.</x:v>
      </x:c>
      <x:c r="E10" s="60" t="str">
        <x:v>Stop/taper based on flower progress and harvest readiness; breeder days are only a watch window.</x:v>
      </x:c>
      <x:c r="F10" s="60" t="str">
        <x:v>BREEDER + UKD</x:v>
      </x:c>
      <x:c r="G10" s="60" t="str">
        <x:v>FIXED/PLANNED</x:v>
      </x:c>
    </x:row>
    <x:row r="11" ht="56" customHeight="1">
      <x:c r="A11" s="60" t="str">
        <x:v>P1</x:v>
      </x:c>
      <x:c r="B11" s="60" t="str">
        <x:v>Photoperiod</x:v>
      </x:c>
      <x:c r="C11" s="60" t="str">
        <x:v>18 h constant</x:v>
      </x:c>
      <x:c r="D11" s="60" t="str">
        <x:v>This is actually compatible with autoflower. Error would be a forced 12/12 switch.</x:v>
      </x:c>
      <x:c r="E11" s="60" t="str">
        <x:v>Keep 18/6 as UKD default. Offer 20/4 as optional profile; 24/0 experimental. Recalculate DLI if hours change.</x:v>
      </x:c>
      <x:c r="F11" s="60" t="str">
        <x:v>PEER_REVIEWED + UKD</x:v>
      </x:c>
      <x:c r="G11" s="60" t="str">
        <x:v>FIXED/PLANNED</x:v>
      </x:c>
    </x:row>
    <x:row r="12" ht="56" customHeight="1">
      <x:c r="A12" s="60" t="str">
        <x:v>P1</x:v>
      </x:c>
      <x:c r="B12" s="60" t="str">
        <x:v>EC trajectory</x:v>
      </x:c>
      <x:c r="C12" s="60" t="str">
        <x:v>Single exact EC path to 1.8</x:v>
      </x:c>
      <x:c r="D12" s="60" t="str">
        <x:v>No autoflower-specific evidence supports a universal exact EC curve.</x:v>
      </x:c>
      <x:c r="E12" s="60" t="str">
        <x:v>Treat as working corridor/ceiling; measured plant/root-zone response overrides calendar. Do not raise EC just because a day is reached.</x:v>
      </x:c>
      <x:c r="F12" s="60" t="str">
        <x:v>UKD + GENERAL CANNABIS</x:v>
      </x:c>
      <x:c r="G12" s="60" t="str">
        <x:v>FIXED/PLANNED</x:v>
      </x:c>
    </x:row>
    <x:row r="13" ht="56" customHeight="1">
      <x:c r="A13" s="60" t="str">
        <x:v>P1</x:v>
      </x:c>
      <x:c r="B13" s="60" t="str">
        <x:v>Watering</x:v>
      </x:c>
      <x:c r="C13" s="60" t="str">
        <x:v>Day→liters can be over-read as dosing</x:v>
      </x:c>
      <x:c r="D13" s="60" t="str">
        <x:v>Early plant in 8–9 L final coco occupies only a small active root zone.</x:v>
      </x:c>
      <x:c r="E13" s="60" t="str">
        <x:v>Separate initial substrate hydration from plant irrigation; expand wetted/root zone with establishment. Water band remains planning only.</x:v>
      </x:c>
      <x:c r="F13" s="60" t="str">
        <x:v>UGRO + UKD</x:v>
      </x:c>
      <x:c r="G13" s="60" t="str">
        <x:v>FIXED/PLANNED</x:v>
      </x:c>
    </x:row>
    <x:row r="14" ht="56" customHeight="1">
      <x:c r="A14" s="60" t="str">
        <x:v>P2</x:v>
      </x:c>
      <x:c r="B14" s="60" t="str">
        <x:v>RH/VPD</x:v>
      </x:c>
      <x:c r="C14" s="60" t="str">
        <x:v>Exact single-number trajectory</x:v>
      </x:c>
      <x:c r="D14" s="60" t="str">
        <x:v>Not specifically an autoflower truth; cultivar and measurement context matter.</x:v>
      </x:c>
      <x:c r="E14" s="60" t="str">
        <x:v>Render as target corridor plus measured actual. Keep high-humidity risk visible in flower but avoid universal optimum claims.</x:v>
      </x:c>
      <x:c r="F14" s="60" t="str">
        <x:v>UKD + RESEARCH</x:v>
      </x:c>
      <x:c r="G14" s="60" t="str">
        <x:v>FIXED/PLANNED</x:v>
      </x:c>
    </x:row>
    <x:row r="15" ht="56" customHeight="1">
      <x:c r="A15" s="60" t="str">
        <x:v>P2</x:v>
      </x:c>
      <x:c r="B15" s="60" t="str">
        <x:v>Daily plan length</x:v>
      </x:c>
      <x:c r="C15" s="60" t="str">
        <x:v>81-day static plan</x:v>
      </x:c>
      <x:c r="D15" s="60" t="str">
        <x:v>Double Grape fits 70–80 day breeder estimate, but real autos vary.</x:v>
      </x:c>
      <x:c r="E15" s="60" t="str">
        <x:v>Allow extension state indefinitely until harvest readiness event.</x:v>
      </x:c>
      <x:c r="F15" s="60" t="str">
        <x:v>BREEDER + UKD</x:v>
      </x:c>
      <x:c r="G15" s="60" t="str">
        <x:v>FIXED/PLANNED</x:v>
      </x:c>
    </x:row>
  </x:sheetData>
  <x:pageMargins left="0.7" right="0.7" top="0.75" bottom="0.75" header="0.3" footer="0.3"/>
</x:worksheet>
</file>

<file path=xl/worksheets/sheet4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46" hidden="0" customWidth="1"/>
    <x:col min="3" max="3" width="12" hidden="0" customWidth="1"/>
    <x:col min="4" max="4" width="14" hidden="0" customWidth="1"/>
    <x:col min="5" max="5" width="20" hidden="0" customWidth="1"/>
    <x:col min="6" max="6" width="24" hidden="0" customWidth="1"/>
    <x:col min="7" max="7" width="24" hidden="0" customWidth="1"/>
    <x:col min="8" max="8" width="52" hidden="0" customWidth="1"/>
    <x:col min="9" max="9" width="46" hidden="0" customWidth="1"/>
  </x:cols>
  <x:sheetData>
    <x:row r="1">
      <x:c r="A1" s="2442" t="str">
        <x:v>Variante</x:v>
      </x:c>
      <x:c r="B1" s="2442" t="str">
        <x:v>Pfad</x:v>
      </x:c>
      <x:c r="C1" s="2442" t="str">
        <x:v>Pflanzen</x:v>
      </x:c>
      <x:c r="D1" s="2442" t="str">
        <x:v>Finaltopf L</x:v>
      </x:c>
      <x:c r="E1" s="2442" t="str">
        <x:v>Gesamtwurzelraum</x:v>
      </x:c>
      <x:c r="F1" s="2442" t="str">
        <x:v>Ziel</x:v>
      </x:c>
      <x:c r="G1" s="2442" t="str">
        <x:v>Bewertung</x:v>
      </x:c>
      <x:c r="H1" s="2442" t="str">
        <x:v>Trade-off</x:v>
      </x:c>
      <x:c r="I1" s="2442" t="str">
        <x:v>UKD Entscheidung</x:v>
      </x:c>
    </x:row>
    <x:row r="2">
      <x:c r="A2" s="60" t="str">
        <x:v>A</x:v>
      </x:c>
      <x:c r="B2" s="60" t="str">
        <x:v>3×8 L · Eazy Plug → Block → 8 L UGro Rhiza</x:v>
      </x:c>
      <x:c r="C2" s="60" t="str">
        <x:v>3</x:v>
      </x:c>
      <x:c r="D2" s="60" t="str">
        <x:v>8</x:v>
      </x:c>
      <x:c r="E2" s="60" t="str">
        <x:v>24 L</x:v>
      </x:c>
      <x:c r="F2" s="60" t="str">
        <x:v>Compact / mehr Steuerung</x:v>
      </x:c>
      <x:c r="G2" s="60" t="str">
        <x:v>SOLIDE</x:v>
      </x:c>
      <x:c r="H2" s="60" t="str">
        <x:v>Etwas weniger Root-/Wasserpuffer; potenziell häufigere kleine Irrigationsanpassung. Nur sinnvoll mit separatem 8-L-Topf + UGro Rhiza Substrat.</x:v>
      </x:c>
      <x:c r="I2" s="60" t="str">
        <x:v>Gut, wenn Topfgeometrie/Platz wichtiger ist. Nicht Pot9 auf 8 L 'halbieren'.</x:v>
      </x:c>
    </x:row>
    <x:row r="3">
      <x:c r="A3" s="60" t="str">
        <x:v>B</x:v>
      </x:c>
      <x:c r="B3" s="60" t="str">
        <x:v>3×9 L · Eazy Plug → Block → UGro Pot9 Professional Rhiza</x:v>
      </x:c>
      <x:c r="C3" s="60" t="str">
        <x:v>3</x:v>
      </x:c>
      <x:c r="D3" s="60" t="str">
        <x:v>9</x:v>
      </x:c>
      <x:c r="E3" s="60" t="str">
        <x:v>27 L</x:v>
      </x:c>
      <x:c r="F3" s="60" t="str">
        <x:v>Ausgewogen / Referenz</x:v>
      </x:c>
      <x:c r="G3" s="60" t="str">
        <x:v>EMPFOHLEN</x:v>
      </x:c>
      <x:c r="H3" s="60" t="str">
        <x:v>Exaktes UGro-Pot9-System, 1 L mehr Puffer je Pflanze; passt gut zu 3 Double Grape im 60×60 bei kontrolliertem Canopy.</x:v>
      </x:c>
      <x:c r="I3" s="60" t="str">
        <x:v>UKD-Referenzprofil.</x:v>
      </x:c>
    </x:row>
    <x:row r="4">
      <x:c r="A4" s="60" t="str">
        <x:v>C</x:v>
      </x:c>
      <x:c r="B4" s="60" t="str">
        <x:v>3×9 L · Eazy Plug → Block → Pot9 · Minimal-Stress-Training</x:v>
      </x:c>
      <x:c r="C4" s="60" t="str">
        <x:v>3</x:v>
      </x:c>
      <x:c r="D4" s="60" t="str">
        <x:v>9</x:v>
      </x:c>
      <x:c r="E4" s="60" t="str">
        <x:v>27 L</x:v>
      </x:c>
      <x:c r="F4" s="60" t="str">
        <x:v>Max. Robustheit</x:v>
      </x:c>
      <x:c r="G4" s="60" t="str">
        <x:v>EMPFOHLEN FÜR ERSTLAUF</x:v>
      </x:c>
      <x:c r="H4" s="60" t="str">
        <x:v>Wie B, aber nur leaf-tuck + sanftes LST; keine HST-/Topping-Referenz. Weniger Risiko, etwas weniger aggressive Flächenformung.</x:v>
      </x:c>
      <x:c r="I4" s="60" t="str">
        <x:v>Beste Sicherheitsvariante, wenn frühe Pflanzenreaktion unbekannt ist.</x:v>
      </x:c>
    </x:row>
    <x:row r="6">
      <x:c r="A6" s="2442" t="str">
        <x:v>UKD EMPFEHLUNG</x:v>
      </x:c>
      <x:c r="B6" s="2442"/>
      <x:c r="C6" s="2442"/>
      <x:c r="D6" s="2442"/>
      <x:c r="E6" s="2442"/>
      <x:c r="F6" s="2442"/>
      <x:c r="G6" s="2442"/>
      <x:c r="H6" s="2442"/>
      <x:c r="I6" s="2442"/>
    </x:row>
    <x:row r="7">
      <x:c r="A7" s="2445" t="str">
        <x:v>Für 60×60×180 cm mit 3× Double Grape Auto ist 3×9 L (Variante B) der robusteste Referenzpfad. 3×8 L ist ebenfalls solide, aber mit etwas weniger Wasser-/Wurzelpuffer. Variante C verwendet denselben 9-L-Wurzelraum wie B, minimiert aber Trainingseingriffe. Die physische Topfanzahl ist nicht das Hauptlimit; Canopy-Breite, Lichtverteilung und Mikroklima sind die engeren Grenzen.</x:v>
      </x:c>
      <x:c r="B7" s="2445"/>
      <x:c r="C7" s="2445"/>
      <x:c r="D7" s="2445"/>
      <x:c r="E7" s="2445"/>
      <x:c r="F7" s="2445"/>
      <x:c r="G7" s="2445"/>
      <x:c r="H7" s="2445"/>
      <x:c r="I7" s="2445"/>
    </x:row>
    <x:row r="8">
      <x:c r="A8" s="2445"/>
      <x:c r="B8" s="2445"/>
      <x:c r="C8" s="2445"/>
      <x:c r="D8" s="2445"/>
      <x:c r="E8" s="2445"/>
      <x:c r="F8" s="2445"/>
      <x:c r="G8" s="2445"/>
      <x:c r="H8" s="2445"/>
      <x:c r="I8" s="2445"/>
    </x:row>
    <x:row r="9">
      <x:c r="A9" s="2445"/>
      <x:c r="B9" s="2445"/>
      <x:c r="C9" s="2445"/>
      <x:c r="D9" s="2445"/>
      <x:c r="E9" s="2445"/>
      <x:c r="F9" s="2445"/>
      <x:c r="G9" s="2445"/>
      <x:c r="H9" s="2445"/>
      <x:c r="I9" s="2445"/>
    </x:row>
    <x:row r="10">
      <x:c r="A10" s="2445"/>
      <x:c r="B10" s="2445"/>
      <x:c r="C10" s="2445"/>
      <x:c r="D10" s="2445"/>
      <x:c r="E10" s="2445"/>
      <x:c r="F10" s="2445"/>
      <x:c r="G10" s="2445"/>
      <x:c r="H10" s="2445"/>
      <x:c r="I10" s="2445"/>
    </x:row>
  </x:sheetData>
  <x:mergeCells>
    <x:mergeCell ref="A6:I6"/>
    <x:mergeCell ref="A7:I10"/>
  </x:mergeCells>
  <x:pageMargins left="0.7" right="0.7" top="0.75" bottom="0.75" header="0.3" footer="0.3"/>
</x:worksheet>
</file>

<file path=xl/worksheets/sheet44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0" hidden="0" customWidth="1"/>
    <x:col min="3" max="3" width="38" hidden="0" customWidth="1"/>
    <x:col min="4" max="4" width="48" hidden="0" customWidth="1"/>
    <x:col min="5" max="5" width="56" hidden="0" customWidth="1"/>
    <x:col min="6" max="6" width="52" hidden="0" customWidth="1"/>
  </x:cols>
  <x:sheetData>
    <x:row r="1">
      <x:c r="A1" s="2442" t="str">
        <x:v>State</x:v>
      </x:c>
      <x:c r="B1" s="2442" t="str">
        <x:v>Stadium</x:v>
      </x:c>
      <x:c r="C1" s="2442" t="str">
        <x:v>Zeitbezug</x:v>
      </x:c>
      <x:c r="D1" s="2442" t="str">
        <x:v>Trigger / Voraussetzung</x:v>
      </x:c>
      <x:c r="E1" s="2442" t="str">
        <x:v>Operative Aktion</x:v>
      </x:c>
      <x:c r="F1" s="2442" t="str">
        <x:v>Wichtig / Grenze</x:v>
      </x:c>
    </x:row>
    <x:row r="2" ht="58" customHeight="1">
      <x:c r="A2" s="60" t="str">
        <x:v>S0</x:v>
      </x:c>
      <x:c r="B2" s="60" t="str">
        <x:v>Keimung / Eazy Plug</x:v>
      </x:c>
      <x:c r="C2" s="60" t="str">
        <x:v>Tag 0 bis erste stabile Wurzel-/Sämlingszeichen</x:v>
      </x:c>
      <x:c r="D2" s="60" t="str">
        <x:v>Seedling emerges, healthy cotyledons, no stress</x:v>
      </x:c>
      <x:c r="E2" s="60" t="str">
        <x:v>Kein erzwungener Basisfeed. Plug feucht, nicht nass; keine Strukturarbeit.</x:v>
      </x:c>
      <x:c r="F2" s="60" t="str">
        <x:v>18/6 default; sanftes Licht; Planwerte sind Referenz.</x:v>
      </x:c>
    </x:row>
    <x:row r="3" ht="58" customHeight="1">
      <x:c r="A3" s="60" t="str">
        <x:v>S1</x:v>
      </x:c>
      <x:c r="B3" s="60" t="str">
        <x:v>Eazy Plug → Eazy Block</x:v>
      </x:c>
      <x:c r="C3" s="60" t="str">
        <x:v>Wenn erste Wurzeln sichtbar / Plug stabil durchwurzelt</x:v>
      </x:c>
      <x:c r="D3" s="60" t="str">
        <x:v>Root visible + seedling stable</x:v>
      </x:c>
      <x:c r="E3" s="60" t="str">
        <x:v>Plug vollständig in Block setzen; kein Wurzelballen-Zerfall.</x:v>
      </x:c>
      <x:c r="F3" s="60" t="str">
        <x:v>Umtopfereignis loggen.</x:v>
      </x:c>
    </x:row>
    <x:row r="4" ht="58" customHeight="1">
      <x:c r="A4" s="60" t="str">
        <x:v>S2</x:v>
      </x:c>
      <x:c r="B4" s="60" t="str">
        <x:v>Eazy Block</x:v>
      </x:c>
      <x:c r="C4" s="60" t="str">
        <x:v>Herstellerreferenz grob 8–10 Tage nach Einsetzen; früher nur wenn klar root-ready</x:v>
      </x:c>
      <x:c r="D4" s="60" t="str">
        <x:v>Roots visibly engage / emerge from block, plant vigorous</x:v>
      </x:c>
      <x:c r="E4" s="60" t="str">
        <x:v>Block als kurze Brücke nutzen; nicht bis Woche 4 halten.</x:v>
      </x:c>
      <x:c r="F4" s="60" t="str">
        <x:v>Leichte Fertigation erst nach Pflanzen-/Medium-Gate; Hersteller-EC nicht blind als Cannabisziel übernehmen.</x:v>
      </x:c>
    </x:row>
    <x:row r="5" ht="58" customHeight="1">
      <x:c r="A5" s="60" t="str">
        <x:v>S3</x:v>
      </x:c>
      <x:c r="B5" s="60" t="str">
        <x:v>Finaler 8/9-L-Coco-Wurzelraum</x:v>
      </x:c>
      <x:c r="C5" s="60" t="str">
        <x:v>Sobald Block root-ready ist; Ziel: früh, einmalig, stressarm</x:v>
      </x:c>
      <x:c r="D5" s="60" t="str">
        <x:v>Block roots visible + final coco prepared + plant vigorous</x:v>
      </x:c>
      <x:c r="E5" s="60" t="str">
        <x:v>Einmal in Endtopf; danach 2–3 Tage keine aggressive Strukturarbeit.</x:v>
      </x:c>
      <x:c r="F5" s="60" t="str">
        <x:v>UGro initial hydration ≠ tägliche Plant Irrigation.</x:v>
      </x:c>
    </x:row>
    <x:row r="6" ht="58" customHeight="1">
      <x:c r="A6" s="60" t="str">
        <x:v>S4</x:v>
      </x:c>
      <x:c r="B6" s="60" t="str">
        <x:v>Frühe Vegetation / Etablierung</x:v>
      </x:c>
      <x:c r="C6" s="60" t="str">
        <x:v>Nach Wiederaufnahme kräftigen Wachstums im Endtopf</x:v>
      </x:c>
      <x:c r="D6" s="60" t="str">
        <x:v>4–5 kräftige Nodes + no transplant stress</x:v>
      </x:c>
      <x:c r="E6" s="60" t="str">
        <x:v>Optional sanftes LST / leaf-tuck; kein Default-Topping.</x:v>
      </x:c>
      <x:c r="F6" s="60" t="str">
        <x:v>Double Grape ist laut Breeder bushy/LST-friendly.</x:v>
      </x:c>
    </x:row>
    <x:row r="7" ht="58" customHeight="1">
      <x:c r="A7" s="60" t="str">
        <x:v>S5</x:v>
      </x:c>
      <x:c r="B7" s="60" t="str">
        <x:v>Preflower Watch</x:v>
      </x:c>
      <x:c r="C7" s="60" t="str">
        <x:v>Nicht fix Day 21/28</x:v>
      </x:c>
      <x:c r="D7" s="60" t="str">
        <x:v>erste klare Pistillen / Stretch beginnt</x:v>
      </x:c>
      <x:c r="E7" s="60" t="str">
        <x:v>PreflowerObserved Event setzen; Training auslaufen lassen.</x:v>
      </x:c>
      <x:c r="F7" s="60" t="str">
        <x:v>Noch nicht automatisch BT1.</x:v>
      </x:c>
    </x:row>
    <x:row r="8" ht="58" customHeight="1">
      <x:c r="A8" s="60" t="str">
        <x:v>S6</x:v>
      </x:c>
      <x:c r="B8" s="60" t="str">
        <x:v>Flower Initiation / Stretch</x:v>
      </x:c>
      <x:c r="C8" s="60" t="str">
        <x:v>Bestätigter Blütenstart</x:v>
      </x:c>
      <x:c r="D8" s="60" t="str">
        <x:v>mehrere klare Stigmen/Budlets am Apex/mehreren Sites</x:v>
      </x:c>
      <x:c r="E8" s="60" t="str">
        <x:v>FlowerInitiation Event = operational BT1; TNT→Coco/Boost-Pfad ab hier auflösen.</x:v>
      </x:c>
      <x:c r="F8" s="60" t="str">
        <x:v>Absolute Day 28 bleibt nur Projection.</x:v>
      </x:c>
    </x:row>
    <x:row r="9" ht="58" customHeight="1">
      <x:c r="A9" s="60" t="str">
        <x:v>S7</x:v>
      </x:c>
      <x:c r="B9" s="60" t="str">
        <x:v>Early–Mid Flower</x:v>
      </x:c>
      <x:c r="C9" s="60" t="str">
        <x:v>BT relativ zum beobachteten Start</x:v>
      </x:c>
      <x:c r="D9" s="60" t="str">
        <x:v>Stretch endet, Blütenmasse baut auf</x:v>
      </x:c>
      <x:c r="E9" s="60" t="str">
        <x:v>Nur Support/Luftkanäle; EC/PPFD nur bei gesunder Reaktion steigern.</x:v>
      </x:c>
      <x:c r="F9" s="60" t="str">
        <x:v>Keine aggressive Defoliation/HST.</x:v>
      </x:c>
    </x:row>
    <x:row r="10" ht="58" customHeight="1">
      <x:c r="A10" s="60" t="str">
        <x:v>S8</x:v>
      </x:c>
      <x:c r="B10" s="60" t="str">
        <x:v>Peak / Late Flower</x:v>
      </x:c>
      <x:c r="C10" s="60" t="str">
        <x:v>Maturity-driven</x:v>
      </x:c>
      <x:c r="D10" s="60" t="str">
        <x:v>flower swelling, stable climate, no stress</x:v>
      </x:c>
      <x:c r="E10" s="60" t="str">
        <x:v>PK nur im vorgesehenen Bloom-Tag-Fenster und nur solange noch passend; keine Stack-Alternativen.</x:v>
      </x:c>
      <x:c r="F10" s="60" t="str">
        <x:v>RH/airflow wichtiger wegen dichter werdender Blüten.</x:v>
      </x:c>
    </x:row>
    <x:row r="11" ht="58" customHeight="1">
      <x:c r="A11" s="60" t="str">
        <x:v>S9</x:v>
      </x:c>
      <x:c r="B11" s="60" t="str">
        <x:v>Harvest Readiness Watch</x:v>
      </x:c>
      <x:c r="C11" s="60" t="str">
        <x:v>Double Grape breeder reference 70–80 d from sprout</x:v>
      </x:c>
      <x:c r="D11" s="60" t="str">
        <x:v>Calyx/trichome + whole-plant maturity</x:v>
      </x:c>
      <x:c r="E11" s="60" t="str">
        <x:v>Breeder-Tage nur Watch-Window; bei Unreife Plan verlängern.</x:v>
      </x:c>
      <x:c r="F11" s="60" t="str">
        <x:v>Kein Zwangs-Harvest an Day 80.</x:v>
      </x:c>
    </x:row>
  </x:sheetData>
  <x:pageMargins left="0.7" right="0.7" top="0.75" bottom="0.75" header="0.3" footer="0.3"/>
</x:worksheet>
</file>

<file path=xl/worksheets/sheet4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4" hidden="0" customWidth="1"/>
    <x:col min="3" max="3" width="48" hidden="0" customWidth="1"/>
    <x:col min="4" max="4" width="24" hidden="0" customWidth="1"/>
    <x:col min="5" max="5" width="46" hidden="0" customWidth="1"/>
    <x:col min="6" max="6" width="48" hidden="0" customWidth="1"/>
  </x:cols>
  <x:sheetData>
    <x:row r="1">
      <x:c r="A1" s="2442" t="str">
        <x:v>Feld</x:v>
      </x:c>
      <x:c r="B1" s="2442" t="str">
        <x:v>Wert</x:v>
      </x:c>
      <x:c r="C1" s="2442" t="str">
        <x:v>Bedeutung für UKD</x:v>
      </x:c>
      <x:c r="D1" s="2442" t="str">
        <x:v>Evidenz</x:v>
      </x:c>
      <x:c r="E1" s="2442" t="str">
        <x:v>Quelle</x:v>
      </x:c>
      <x:c r="F1" s="2442" t="str">
        <x:v>Planänderung</x:v>
      </x:c>
    </x:row>
    <x:row r="2">
      <x:c r="A2" s="60" t="str">
        <x:v>Genetik</x:v>
      </x:c>
      <x:c r="B2" s="60" t="str">
        <x:v>Double Grape Auto · Mephisto · F7 Feminised Automatic</x:v>
      </x:c>
      <x:c r="C2" s="60" t="str">
        <x:v>echte Autoflower; photoperiod-insensitiver Lifecycle</x:v>
      </x:c>
      <x:c r="D2" s="60" t="str">
        <x:v>BREEDER</x:v>
      </x:c>
      <x:c r="E2" s="60" t="str">
        <x:v>https://mephistogenetics.com/products/double-grape</x:v>
      </x:c>
      <x:c r="F2" s="60" t="str">
        <x:v>kein 12/12-Trigger</x:v>
      </x:c>
    </x:row>
    <x:row r="3">
      <x:c r="A3" s="60" t="str">
        <x:v>Breeder cycle</x:v>
      </x:c>
      <x:c r="B3" s="60" t="str">
        <x:v>70–80 Tage ab Sprout</x:v>
      </x:c>
      <x:c r="C3" s="60" t="str">
        <x:v>gutes Readiness-Watch-Fenster; nicht Harvest-Trigger</x:v>
      </x:c>
      <x:c r="D3" s="60" t="str">
        <x:v>BREEDER</x:v>
      </x:c>
      <x:c r="E3" s="60" t="str">
        <x:v>https://mephistogenetics.com/products/double-grape</x:v>
      </x:c>
      <x:c r="F3" s="60" t="str">
        <x:v>Plan nach Day80 verlängerbar</x:v>
      </x:c>
    </x:row>
    <x:row r="4">
      <x:c r="A4" s="60" t="str">
        <x:v>Breeder size</x:v>
      </x:c>
      <x:c r="B4" s="60" t="str">
        <x:v>55–80 cm</x:v>
      </x:c>
      <x:c r="C4" s="60" t="str">
        <x:v>3 Pflanzen in 60×60 plausibel, aber Canopy kann dicht werden</x:v>
      </x:c>
      <x:c r="D4" s="60" t="str">
        <x:v>BREEDER</x:v>
      </x:c>
      <x:c r="E4" s="60" t="str">
        <x:v>https://mephistogenetics.com/products/double-grape</x:v>
      </x:c>
      <x:c r="F4" s="60" t="str">
        <x:v>dreieckig stellen + sanft verteilen</x:v>
      </x:c>
    </x:row>
    <x:row r="5">
      <x:c r="A5" s="60" t="str">
        <x:v>Wuchs</x:v>
      </x:c>
      <x:c r="B5" s="60" t="str">
        <x:v>relativ offen, buscht natürlich</x:v>
      </x:c>
      <x:c r="C5" s="60" t="str">
        <x:v>weniger Bedarf für HST; leaf-tuck/LST reicht oft</x:v>
      </x:c>
      <x:c r="D5" s="60" t="str">
        <x:v>BREEDER</x:v>
      </x:c>
      <x:c r="E5" s="60" t="str">
        <x:v>https://mephistogenetics.com/products/double-grape</x:v>
      </x:c>
      <x:c r="F5" s="60" t="str">
        <x:v>Minimal-Stress als Standard</x:v>
      </x:c>
    </x:row>
    <x:row r="6">
      <x:c r="A6" s="60" t="str">
        <x:v>Training</x:v>
      </x:c>
      <x:c r="B6" s="60" t="str">
        <x:v>adaptiert gut an LST bei korrekter Durchführung</x:v>
      </x:c>
      <x:c r="C6" s="60" t="str">
        <x:v>LST optional nach Vitalität; nicht nach Tag</x:v>
      </x:c>
      <x:c r="D6" s="60" t="str">
        <x:v>BREEDER</x:v>
      </x:c>
      <x:c r="E6" s="60" t="str">
        <x:v>https://mephistogenetics.com/products/double-grape</x:v>
      </x:c>
      <x:c r="F6" s="60" t="str">
        <x:v>Trigger = 4–5 Nodes + post-transplant recovery</x:v>
      </x:c>
    </x:row>
    <x:row r="7">
      <x:c r="A7" s="60" t="str">
        <x:v>Autoflower biology</x:v>
      </x:c>
      <x:c r="B7" s="60" t="str">
        <x:v>Blüte unabhängig von Tageslänge</x:v>
      </x:c>
      <x:c r="C7" s="60" t="str">
        <x:v>kein photoperiodischer 12/12-Wechsel erforderlich</x:v>
      </x:c>
      <x:c r="D7" s="60" t="str">
        <x:v>PEER_REVIEWED/EXTENSION</x:v>
      </x:c>
      <x:c r="E7" s="60" t="str">
        <x:v>https://harvestny.cce.cornell.edu/uploads/doc_231.pdf</x:v>
      </x:c>
      <x:c r="F7" s="60" t="str">
        <x:v>18/6 bleibt Default</x:v>
      </x:c>
    </x:row>
  </x:sheetData>
  <x:pageMargins left="0.7" right="0.7" top="0.75" bottom="0.75" header="0.3" footer="0.3"/>
</x:worksheet>
</file>

<file path=xl/worksheets/sheet4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2" hidden="0" customWidth="1"/>
    <x:col min="3" max="3" width="34" hidden="0" customWidth="1"/>
    <x:col min="4" max="4" width="58" hidden="0" customWidth="1"/>
    <x:col min="5" max="5" width="58" hidden="0" customWidth="1"/>
  </x:cols>
  <x:sheetData>
    <x:row r="1">
      <x:c r="A1" s="2442" t="str">
        <x:v>Photoperiode</x:v>
      </x:c>
      <x:c r="B1" s="2442" t="str">
        <x:v>Status</x:v>
      </x:c>
      <x:c r="C1" s="2442" t="str">
        <x:v>Einsatz</x:v>
      </x:c>
      <x:c r="D1" s="2442" t="str">
        <x:v>Warum</x:v>
      </x:c>
      <x:c r="E1" s="2442" t="str">
        <x:v>Grenze</x:v>
      </x:c>
    </x:row>
    <x:row r="2">
      <x:c r="A2" s="60" t="str">
        <x:v>18/6</x:v>
      </x:c>
      <x:c r="B2" s="60" t="str">
        <x:v>DEFAULT</x:v>
      </x:c>
      <x:c r="C2" s="60" t="str">
        <x:v>Aktueller UKD-Pfad</x:v>
      </x:c>
      <x:c r="D2" s="60" t="str">
        <x:v>Robuster Arbeitsstandard; konstante Dunkelphase; DLI bereits im Plan darauf aufgebaut.</x:v>
      </x:c>
      <x:c r="E2" s="60" t="str">
        <x:v>Keine Aussage, dass 18 h universell optimal sind.</x:v>
      </x:c>
    </x:row>
    <x:row r="3">
      <x:c r="A3" s="60" t="str">
        <x:v>20/4</x:v>
      </x:c>
      <x:c r="B3" s="60" t="str">
        <x:v>OPTIONAL / A-B</x:v>
      </x:c>
      <x:c r="C3" s="60" t="str">
        <x:v>Nur als bewusstes Profil</x:v>
      </x:c>
      <x:c r="D3" s="60" t="str">
        <x:v>Mehr Lichtstunden bedeuten bei gleichem PPFD mehr DLI; deshalb PPFD/DLI neu kalibrieren.</x:v>
      </x:c>
      <x:c r="E3" s="60" t="str">
        <x:v>Nicht einfach 18→20 h erhöhen und alle PPFD-Ziele unverändert lassen.</x:v>
      </x:c>
    </x:row>
    <x:row r="4">
      <x:c r="A4" s="60" t="str">
        <x:v>24/0</x:v>
      </x:c>
      <x:c r="B4" s="60" t="str">
        <x:v>EXPERIMENTAL</x:v>
      </x:c>
      <x:c r="C4" s="60" t="str">
        <x:v>Nicht Referenz</x:v>
      </x:c>
      <x:c r="D4" s="60" t="str">
        <x:v>Autoflower kann photoperiod-insensitiv sein; daraus folgt nicht, dass 24 h Licht ertrags-/gesundheitsoptimal ist.</x:v>
      </x:c>
      <x:c r="E4" s="60" t="str">
        <x:v>Nur Experiment mit expliziter Hypothese und Messplan.</x:v>
      </x:c>
    </x:row>
  </x:sheetData>
  <x:pageMargins left="0.7" right="0.7" top="0.75" bottom="0.75" header="0.3" footer="0.3"/>
</x:worksheet>
</file>

<file path=xl/worksheets/sheet47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2" hidden="0" customWidth="1"/>
    <x:col min="3" max="3" width="14" hidden="0" customWidth="1"/>
    <x:col min="4" max="4" width="14" hidden="0" customWidth="1"/>
    <x:col min="5" max="5" width="22" hidden="0" customWidth="1"/>
    <x:col min="6" max="6" width="48" hidden="0" customWidth="1"/>
    <x:col min="7" max="7" width="54" hidden="0" customWidth="1"/>
    <x:col min="8" max="8" width="22" hidden="0" customWidth="1"/>
  </x:cols>
  <x:sheetData>
    <x:row r="1">
      <x:c r="A1" s="2442" t="str">
        <x:v>Option</x:v>
      </x:c>
      <x:c r="B1" s="2442" t="str">
        <x:v>Pflanzen</x:v>
      </x:c>
      <x:c r="C1" s="2442" t="str">
        <x:v>L je Pflanze</x:v>
      </x:c>
      <x:c r="D1" s="2442" t="str">
        <x:v>Gesamt L</x:v>
      </x:c>
      <x:c r="E1" s="2442" t="str">
        <x:v>Dichte Pflanzen/m²</x:v>
      </x:c>
      <x:c r="F1" s="2442" t="str">
        <x:v>Vorteil</x:v>
      </x:c>
      <x:c r="G1" s="2442" t="str">
        <x:v>Risiko</x:v>
      </x:c>
      <x:c r="H1" s="2442" t="str">
        <x:v>UKD Status</x:v>
      </x:c>
    </x:row>
    <x:row r="2">
      <x:c r="A2" s="60" t="str">
        <x:v>3×8 L</x:v>
      </x:c>
      <x:c r="B2" s="60" t="n">
        <x:v>3</x:v>
      </x:c>
      <x:c r="C2" s="60" t="n">
        <x:v>8</x:v>
      </x:c>
      <x:c r="D2" s="60" t="n">
        <x:v>24</x:v>
      </x:c>
      <x:c r="E2" s="60" t="n">
        <x:v>8.33</x:v>
      </x:c>
      <x:c r="F2" s="60" t="str">
        <x:v>kompakter; etwas schnellerer Dryback / leichter zu bremsen</x:v>
      </x:c>
      <x:c r="G2" s="60" t="str">
        <x:v>weniger Puffer; häufiger auf Wasser-/EC-Entwicklung achten</x:v>
      </x:c>
      <x:c r="H2" s="60" t="str">
        <x:v>SOLIDE</x:v>
      </x:c>
    </x:row>
    <x:row r="3">
      <x:c r="A3" s="60" t="str">
        <x:v>3×9 L Pot9 Rhiza</x:v>
      </x:c>
      <x:c r="B3" s="60" t="n">
        <x:v>3</x:v>
      </x:c>
      <x:c r="C3" s="60" t="n">
        <x:v>9</x:v>
      </x:c>
      <x:c r="D3" s="60" t="n">
        <x:v>27</x:v>
      </x:c>
      <x:c r="E3" s="60" t="n">
        <x:v>8.33</x:v>
      </x:c>
      <x:c r="F3" s="60" t="str">
        <x:v>mehr Root-/Wasserpuffer; exaktes UGro Pot9 System</x:v>
      </x:c>
      <x:c r="G3" s="60" t="str">
        <x:v>Canopy bleibt das eigentliche Limit; früh nicht gesamten 9 L blind wiederholt sättigen</x:v>
      </x:c>
      <x:c r="H3" s="60" t="str">
        <x:v>EMPFOHLEN</x:v>
      </x:c>
    </x:row>
    <x:row r="4">
      <x:c r="A4" s="60" t="str">
        <x:v>2×9 L</x:v>
      </x:c>
      <x:c r="B4" s="60" t="n">
        <x:v>2</x:v>
      </x:c>
      <x:c r="C4" s="60" t="n">
        <x:v>9</x:v>
      </x:c>
      <x:c r="D4" s="60" t="n">
        <x:v>18</x:v>
      </x:c>
      <x:c r="E4" s="60" t="n">
        <x:v>5.56</x:v>
      </x:c>
      <x:c r="F4" s="60" t="str">
        <x:v>mehr Platz pro Krone, einfacher zu managen</x:v>
      </x:c>
      <x:c r="G4" s="60" t="str">
        <x:v>weniger Redundanz / Fläche muss stärker pro Pflanze gefüllt werden</x:v>
      </x:c>
      <x:c r="H4" s="60" t="str">
        <x:v>EINFACHER, aber nicht gewählt</x:v>
      </x:c>
    </x:row>
    <x:row r="5">
      <x:c r="A5" s="60" t="str">
        <x:v>4×9 L</x:v>
      </x:c>
      <x:c r="B5" s="60" t="n">
        <x:v>4</x:v>
      </x:c>
      <x:c r="C5" s="60" t="n">
        <x:v>9</x:v>
      </x:c>
      <x:c r="D5" s="60" t="n">
        <x:v>36</x:v>
      </x:c>
      <x:c r="E5" s="60" t="n">
        <x:v>11.11</x:v>
      </x:c>
      <x:c r="F5" s="60" t="str">
        <x:v>mehr kleine Pflanzen möglich</x:v>
      </x:c>
      <x:c r="G5" s="60" t="str">
        <x:v>für Double Grape im 60×60 deutlich höheres Crowding-/Mikroklimarisiko</x:v>
      </x:c>
      <x:c r="H5" s="60" t="str">
        <x:v>NICHT REFERENZ</x:v>
      </x:c>
    </x:row>
    <x:row r="7">
      <x:c r="A7" s="2448" t="str">
        <x:v>UKD Inference: 3×9 L ist für das konkrete 60×60-Setup die beste Balance. 3 Pflanzen entsprechen 8,33 Pflanzen/m²; je Pflanze stehen geometrisch im Mittel 0,12 m² Canopyfläche zur Verfügung. Das ist kein wissenschaftlicher Optimalwert. Entscheidend sind Genetik, Canopy-Management, Lichtverteilung und Klima.</x:v>
      </x:c>
      <x:c r="B7" s="2448"/>
      <x:c r="C7" s="2448"/>
      <x:c r="D7" s="2448"/>
      <x:c r="E7" s="2448"/>
      <x:c r="F7" s="2448"/>
      <x:c r="G7" s="2448"/>
      <x:c r="H7" s="2448"/>
    </x:row>
    <x:row r="8">
      <x:c r="A8" s="2448"/>
      <x:c r="B8" s="2448"/>
      <x:c r="C8" s="2448"/>
      <x:c r="D8" s="2448"/>
      <x:c r="E8" s="2448"/>
      <x:c r="F8" s="2448"/>
      <x:c r="G8" s="2448"/>
      <x:c r="H8" s="2448"/>
    </x:row>
    <x:row r="9">
      <x:c r="A9" s="2448"/>
      <x:c r="B9" s="2448"/>
      <x:c r="C9" s="2448"/>
      <x:c r="D9" s="2448"/>
      <x:c r="E9" s="2448"/>
      <x:c r="F9" s="2448"/>
      <x:c r="G9" s="2448"/>
      <x:c r="H9" s="2448"/>
    </x:row>
    <x:row r="10">
      <x:c r="A10" s="2448"/>
      <x:c r="B10" s="2448"/>
      <x:c r="C10" s="2448"/>
      <x:c r="D10" s="2448"/>
      <x:c r="E10" s="2448"/>
      <x:c r="F10" s="2448"/>
      <x:c r="G10" s="2448"/>
      <x:c r="H10" s="2448"/>
    </x:row>
  </x:sheetData>
  <x:mergeCells>
    <x:mergeCell ref="A7:H10"/>
  </x:mergeCells>
  <x:pageMargins left="0.7" right="0.7" top="0.75" bottom="0.75" header="0.3" footer="0.3"/>
</x:worksheet>
</file>

<file path=xl/worksheets/sheet48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72" hidden="0" customWidth="1"/>
    <x:col min="3" max="3" width="72" hidden="0" customWidth="1"/>
    <x:col min="4" max="4" width="24" hidden="0" customWidth="1"/>
  </x:cols>
  <x:sheetData>
    <x:row r="1">
      <x:c r="A1" s="2442" t="str">
        <x:v>Quelle</x:v>
      </x:c>
      <x:c r="B1" s="2442" t="str">
        <x:v>URL</x:v>
      </x:c>
      <x:c r="C1" s="2442" t="str">
        <x:v>Was sie stützt</x:v>
      </x:c>
      <x:c r="D1" s="2442" t="str">
        <x:v>Evidenzklasse</x:v>
      </x:c>
    </x:row>
    <x:row r="2">
      <x:c r="A2" s="60" t="str">
        <x:v>Eazy Plug / Block</x:v>
      </x:c>
      <x:c r="B2" s="60" t="str">
        <x:v>https://www.eazy-plug.com/how-to-use.html</x:v>
      </x:c>
      <x:c r="C2" s="60" t="str">
        <x:v>Eazy Block: light feed after ~5 days; roots through block in ~8–10 days; transplant then.</x:v>
      </x:c>
      <x:c r="D2" s="60" t="str">
        <x:v>MANUFACTURER</x:v>
      </x:c>
    </x:row>
    <x:row r="3">
      <x:c r="A3" s="60" t="str">
        <x:v>Eazy Block</x:v>
      </x:c>
      <x:c r="B3" s="60" t="str">
        <x:v>https://www.eazy-plug.com/eazy-block/</x:v>
      </x:c>
      <x:c r="C3" s="60" t="str">
        <x:v>Buffered/self-regulating block; air pruning and dense root structure.</x:v>
      </x:c>
      <x:c r="D3" s="60" t="str">
        <x:v>MANUFACTURER</x:v>
      </x:c>
    </x:row>
    <x:row r="4">
      <x:c r="A4" s="60" t="str">
        <x:v>UGro Pot9 Rhiza</x:v>
      </x:c>
      <x:c r="B4" s="60" t="str">
        <x:v>https://simplyorganicsl.com/en/product/pot9-professional-rhiza/</x:v>
      </x:c>
      <x:c r="C4" s="60" t="str">
        <x:v>9 L hydrated grow bag, true-buffered, endomycorrhizae, 5–6 L initial hydration.</x:v>
      </x:c>
      <x:c r="D4" s="60" t="str">
        <x:v>MANUFACTURER</x:v>
      </x:c>
    </x:row>
    <x:row r="5">
      <x:c r="A5" s="60" t="str">
        <x:v>HESI TNT</x:v>
      </x:c>
      <x:c r="B5" s="60" t="str">
        <x:v>https://hesi.nl/de/TNT-COMPLEX</x:v>
      </x:c>
      <x:c r="C5" s="60" t="str">
        <x:v>Seeds initially contain nutrients; half dose for very young seedlings.</x:v>
      </x:c>
      <x:c r="D5" s="60" t="str">
        <x:v>MANUFACTURER</x:v>
      </x:c>
    </x:row>
    <x:row r="6">
      <x:c r="A6" s="60" t="str">
        <x:v>Mephisto Double Grape</x:v>
      </x:c>
      <x:c r="B6" s="60" t="str">
        <x:v>https://mephistogenetics.com/products/double-grape</x:v>
      </x:c>
      <x:c r="C6" s="60" t="str">
        <x:v>F7 automatic; 70–80 days from sprout; 55–80 cm; naturally bushy; responds to leaf-tucking/LST.</x:v>
      </x:c>
      <x:c r="D6" s="60" t="str">
        <x:v>BREEDER</x:v>
      </x:c>
    </x:row>
    <x:row r="7">
      <x:c r="A7" s="60" t="str">
        <x:v>Cornell Cannabis Production Manual</x:v>
      </x:c>
      <x:c r="B7" s="60" t="str">
        <x:v>https://harvestny.cce.cornell.edu/uploads/doc_231.pdf</x:v>
      </x:c>
      <x:c r="C7" s="60" t="str">
        <x:v>Autoflowers flower independently of day length; typically flower after ~4–5 weeks; avoid root disturbance where possible.</x:v>
      </x:c>
      <x:c r="D7" s="60" t="str">
        <x:v>EXTENSION / TECHNICAL</x:v>
      </x:c>
    </x:row>
    <x:row r="8">
      <x:c r="A8" s="60" t="str">
        <x:v>Frontiers cannabis yield meta-analysis</x:v>
      </x:c>
      <x:c r="B8" s="60" t="str">
        <x:v>https://www.frontiersin.org/journals/plant-science/articles/10.3389/fpls.2019.00495/full</x:v>
      </x:c>
      <x:c r="C8" s="60" t="str">
        <x:v>Pot size is one of several yield predictors; does not define a universal optimum pot volume.</x:v>
      </x:c>
      <x:c r="D8" s="60" t="str">
        <x:v>PEER_REVIEWED</x:v>
      </x:c>
    </x:row>
    <x:row r="9">
      <x:c r="A9" s="60" t="str">
        <x:v>RQS autoflower transplant guide</x:v>
      </x:c>
      <x:c r="B9" s="60" t="str">
        <x:v>https://www.royalqueenseeds.com/uk/blog-rookie-guide-3-steps-to-master-the-seedling-stage-n239</x:v>
      </x:c>
      <x:c r="C9" s="60" t="str">
        <x:v>Breeder guidance: autos often use final pots, typically 5–15 L; avoid unnecessary transplant stress.</x:v>
      </x:c>
      <x:c r="D9" s="60" t="str">
        <x:v>BREEDER_GUIDANCE</x:v>
      </x:c>
    </x:row>
    <x:row r="10">
      <x:c r="A10" s="60" t="str">
        <x:v>Dutch Passion autoflower transplant guidance</x:v>
      </x:c>
      <x:c r="B10" s="60" t="str">
        <x:v>https://dutch-passion.com/en/blog/autoflower-cannabis-seeds-myth-busting-n1154</x:v>
      </x:c>
      <x:c r="C10" s="60" t="str">
        <x:v>Breeder guidance: transplanting can work, but keep it early and controlled; avoid repeated pot-ups.</x:v>
      </x:c>
      <x:c r="D10" s="60" t="str">
        <x:v>BREEDER_GUIDANCE</x:v>
      </x:c>
    </x:row>
  </x:sheetData>
  <x:pageMargins left="0.7" right="0.7" top="0.75" bottom="0.75" header="0.3" footer="0.3"/>
</x:worksheet>
</file>

<file path=xl/worksheets/sheet49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8" hidden="0" customWidth="1"/>
    <x:col min="3" max="3" width="46" hidden="0" customWidth="1"/>
    <x:col min="4" max="4" width="62" hidden="0" customWidth="1"/>
    <x:col min="5" max="5" width="54" hidden="0" customWidth="1"/>
    <x:col min="6" max="6" width="24" hidden="0" customWidth="1"/>
  </x:cols>
  <x:sheetData>
    <x:row r="1">
      <x:c r="A1" s="2455" t="str">
        <x:v>State</x:v>
      </x:c>
      <x:c r="B1" s="2455" t="str">
        <x:v>Wann?</x:v>
      </x:c>
      <x:c r="C1" s="2455" t="str">
        <x:v>Was bleibt gleich?</x:v>
      </x:c>
      <x:c r="D1" s="2455" t="str">
        <x:v>Was wird NICHT automatisch fortgeschrieben?</x:v>
      </x:c>
      <x:c r="E1" s="2455" t="str">
        <x:v>Entscheidung</x:v>
      </x:c>
      <x:c r="F1" s="2455" t="str">
        <x:v>Status</x:v>
      </x:c>
    </x:row>
    <x:row r="2" ht="54" customHeight="1">
      <x:c r="A2" s="60" t="str">
        <x:v>READINESS_WATCH</x:v>
      </x:c>
      <x:c r="B2" s="60" t="str">
        <x:v>ab ca. Day 70 bei Double Grape</x:v>
      </x:c>
      <x:c r="C2" s="60" t="str">
        <x:v>18/6, Klima-/Schimmelkontrolle, Support/airflow, tägliche Beobachtung</x:v>
      </x:c>
      <x:c r="D2" s="60" t="str">
        <x:v>keine automatische neue PK-/Boost-Rampe nur wegen zusätzlicher Tage</x:v>
      </x:c>
      <x:c r="E2" s="60" t="str">
        <x:v>Maturity beobachten; breeder window nur Orientierung</x:v>
      </x:c>
      <x:c r="F2" s="60" t="str">
        <x:v>ACTIVE</x:v>
      </x:c>
    </x:row>
    <x:row r="3" ht="54" customHeight="1">
      <x:c r="A3" s="60" t="str">
        <x:v>DAY80_NOT_READY</x:v>
      </x:c>
      <x:c r="B3" s="60" t="str">
        <x:v>wenn Day 80 erreicht und noch nicht reif</x:v>
      </x:c>
      <x:c r="C3" s="60" t="str">
        <x:v>Run bleibt aktiv; Tagesnummer darf weiterlaufen</x:v>
      </x:c>
      <x:c r="D3" s="60" t="str">
        <x:v>nicht ernten, nicht 'flushen', nicht Dosen extrapolieren ohne Resolver</x:v>
      </x:c>
      <x:c r="E3" s="60" t="str">
        <x:v>Extension Review erzeugen</x:v>
      </x:c>
      <x:c r="F3" s="60" t="str">
        <x:v>REQUIRES REVIEW</x:v>
      </x:c>
    </x:row>
    <x:row r="4" ht="54" customHeight="1">
      <x:c r="A4" s="60" t="str">
        <x:v>EXTENSION_REVIEW</x:v>
      </x:c>
      <x:c r="B4" s="60" t="str">
        <x:v>Day 81+</x:v>
      </x:c>
      <x:c r="C4" s="60" t="str">
        <x:v>nur sichere, bereits begründete Basis-/Klimaaktionen</x:v>
      </x:c>
      <x:c r="D4" s="60" t="str">
        <x:v>keine neuen Kalender-Claims</x:v>
      </x:c>
      <x:c r="E4" s="60" t="str">
        <x:v>aktuellen Bloom-Tag, Plant State, EC/Drain, Klima, Produktstatus neu auflösen</x:v>
      </x:c>
      <x:c r="F4" s="60" t="str">
        <x:v>MANUAL/APP FUTURE</x:v>
      </x:c>
    </x:row>
    <x:row r="5" ht="54" customHeight="1">
      <x:c r="A5" s="60" t="str">
        <x:v>HARVEST_READY</x:v>
      </x:c>
      <x:c r="B5" s="60" t="str">
        <x:v>wenn Reifeindikatoren passen</x:v>
      </x:c>
      <x:c r="C5" s="60" t="str">
        <x:v>Ernte-/Dry-Protokoll</x:v>
      </x:c>
      <x:c r="D5" s="60" t="str">
        <x:v>kein Warten nur auf Day X</x:v>
      </x:c>
      <x:c r="E5" s="60" t="str">
        <x:v>HarvestEvent dokumentieren</x:v>
      </x:c>
      <x:c r="F5" s="60" t="str">
        <x:v>EVENT</x:v>
      </x:c>
    </x:row>
  </x:sheetData>
  <x:pageMargins left="0.7" right="0.7" top="0.75" bottom="0.75" header="0.3" footer="0.3"/>
</x:worksheet>
</file>

<file path=xl/worksheets/sheet50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8" hidden="0" customWidth="1"/>
    <x:col min="3" max="3" width="34" hidden="0" customWidth="1"/>
    <x:col min="4" max="4" width="22" hidden="0" customWidth="1"/>
    <x:col min="5" max="5" width="34" hidden="0" customWidth="1"/>
    <x:col min="6" max="6" width="18" hidden="0" customWidth="1"/>
    <x:col min="7" max="7" width="44" hidden="0" customWidth="1"/>
    <x:col min="8" max="8" width="46" hidden="0" customWidth="1"/>
    <x:col min="9" max="9" width="42" hidden="0" customWidth="1"/>
    <x:col min="10" max="10" width="46" hidden="0" customWidth="1"/>
    <x:col min="11" max="11" width="42" hidden="0" customWidth="1"/>
    <x:col min="12" max="12" width="56" hidden="0" customWidth="1"/>
  </x:cols>
  <x:sheetData>
    <x:row r="1">
      <x:c r="A1" s="2458" t="str">
        <x:v>Plant ID</x:v>
      </x:c>
      <x:c r="B1" s="2458" t="str">
        <x:v>Genetik</x:v>
      </x:c>
      <x:c r="C1" s="2458" t="str">
        <x:v>Züchter / Quelle</x:v>
      </x:c>
      <x:c r="D1" s="2458" t="str">
        <x:v>Auto-Status</x:v>
      </x:c>
      <x:c r="E1" s="2458" t="str">
        <x:v>Breeder-Zeitangabe</x:v>
      </x:c>
      <x:c r="F1" s="2458" t="str">
        <x:v>Höhe</x:v>
      </x:c>
      <x:c r="G1" s="2458" t="str">
        <x:v>Wuchs / Blütenstruktur</x:v>
      </x:c>
      <x:c r="H1" s="2458" t="str">
        <x:v>Training-Bias</x:v>
      </x:c>
      <x:c r="I1" s="2458" t="str">
        <x:v>Nährstoff-Bias</x:v>
      </x:c>
      <x:c r="J1" s="2458" t="str">
        <x:v>Klima-/Luft-Bias</x:v>
      </x:c>
      <x:c r="K1" s="2458" t="str">
        <x:v>UKD Unsicherheit</x:v>
      </x:c>
      <x:c r="L1" s="2458" t="str">
        <x:v>Operative Konsequenz</x:v>
      </x:c>
    </x:row>
    <x:row r="2" ht="88" customHeight="1">
      <x:c r="A2" s="60" t="str">
        <x:v>P1</x:v>
      </x:c>
      <x:c r="B2" s="60" t="str">
        <x:v>Double Grape Auto</x:v>
      </x:c>
      <x:c r="C2" s="60" t="str">
        <x:v>Mephisto Genetics</x:v>
      </x:c>
      <x:c r="D2" s="60" t="str">
        <x:v>F7 Feminised Automatic</x:v>
      </x:c>
      <x:c r="E2" s="60" t="str">
        <x:v>70–80 Tage ab Sprout (Produktseite; Text nennt ideal teils 65–70 d)</x:v>
      </x:c>
      <x:c r="F2" s="60" t="str">
        <x:v>55–80 cm</x:v>
      </x:c>
      <x:c r="G2" s="60" t="str">
        <x:v>relativ offen, buscht natürlich</x:v>
      </x:c>
      <x:c r="H2" s="60" t="str">
        <x:v>leaf-tuck + sanftes LST; wenig Bedarf für aggressive Formung</x:v>
      </x:c>
      <x:c r="I2" s="60" t="str">
        <x:v>keine cultivar-spezifische EC-Optimalität belegt</x:v>
      </x:c>
      <x:c r="J2" s="60" t="str">
        <x:v>mittleres Geruchsprofil; normale späte Blüten-Luftkontrolle</x:v>
      </x:c>
      <x:c r="K2" s="60" t="str">
        <x:v>Breeder-Zeitangaben auf derselben Seite sind leicht inkonsistent</x:v>
      </x:c>
      <x:c r="L2" s="60" t="str">
        <x:v>wahrscheinlich kürzeste Pflanze; bei Bedarf Topf später auf Riser statt stärkere Pflanzen künstlich zu bremsen.</x:v>
      </x:c>
    </x:row>
    <x:row r="3" ht="88" customHeight="1">
      <x:c r="A3" s="60" t="str">
        <x:v>P2</x:v>
      </x:c>
      <x:c r="B3" s="60" t="str">
        <x:v>Banana Purple Punch Auto</x:v>
      </x:c>
      <x:c r="C3" s="60" t="str">
        <x:v>Fast Buds</x:v>
      </x:c>
      <x:c r="D3" s="60" t="str">
        <x:v>F5 feminisierte Polyhybrid Autoflower</x:v>
      </x:c>
      <x:c r="E3" s="60" t="str">
        <x:v>8 Wochen laut technischem Datenblatt; Beschreibung nennt 56 Tage</x:v>
      </x:c>
      <x:c r="F3" s="60" t="str">
        <x:v>80–120 cm</x:v>
      </x:c>
      <x:c r="G3" s="60" t="str">
        <x:v>kräftig/buschig; kurze Internodien; sehr dichte Buds</x:v>
      </x:c>
      <x:c r="H3" s="60" t="str">
        <x:v>stärkste LST-Priorität; Zweige auseinanderführen; nur schrittweise selektiv entblättern</x:v>
      </x:c>
      <x:c r="I3" s="60" t="str">
        <x:v>Fast Buds: braucht nicht viel Nährstoffe → im Misch-Run konservative EC-Eskalation</x:v>
      </x:c>
      <x:c r="J3" s="60" t="str">
        <x:v>höchste Priorität für Luftkanäle/Schimmelprävention wegen sehr dichter Buds</x:v>
      </x:c>
      <x:c r="K3" s="60" t="str">
        <x:v>'8 Wochen' ist Breeder-Angabe; nicht automatisch identisch mit Days-from-sprout-Semantik</x:v>
      </x:c>
      <x:c r="L3" s="60" t="str">
        <x:v>Canopy-Höhenanker: früh seitlich verteilen, später stützen; Klima-Alarm nach dichtester Pflanze ausrichten.</x:v>
      </x:c>
    </x:row>
    <x:row r="4" ht="88" customHeight="1">
      <x:c r="A4" s="60" t="str">
        <x:v>P3</x:v>
      </x:c>
      <x:c r="B4" s="60" t="str">
        <x:v>GG. #4 Auto</x:v>
      </x:c>
      <x:c r="C4" s="60" t="str">
        <x:v>Sensible Seeds Listing / BSB Genetics</x:v>
      </x:c>
      <x:c r="D4" s="60" t="str">
        <x:v>Autoflowering</x:v>
      </x:c>
      <x:c r="E4" s="60" t="str">
        <x:v>8–9 Wochen ab Seed/Germination laut Sensible/BSB-Angaben</x:v>
      </x:c>
      <x:c r="F4" s="60" t="str">
        <x:v>ca. 100 cm</x:v>
      </x:c>
      <x:c r="G4" s="60" t="str">
        <x:v>mittlere Höhe; dichte/kompakte, sehr harzige Buds</x:v>
      </x:c>
      <x:c r="H4" s="60" t="str">
        <x:v>moderates LST + spätere Stützung</x:v>
      </x:c>
      <x:c r="I4" s="60" t="str">
        <x:v>keine belastbare cultivar-spezifische EC-Kurve; gemeinsam konservativ starten</x:v>
      </x:c>
      <x:c r="J4" s="60" t="str">
        <x:v>dichte Buds → gute Luftführung, kein direkter harter Wind</x:v>
      </x:c>
      <x:c r="K4" s="60" t="str">
        <x:v>Breeder-Identität muss über Packung verifiziert werden; Original Sensible Seeds wäre ein anderes Profil</x:v>
      </x:c>
      <x:c r="L4" s="60" t="str">
        <x:v>zweite hohe Pflanze; separate FlowerInitiation und Harvest Readiness erfassen.</x:v>
      </x:c>
    </x:row>
  </x:sheetData>
  <x:pageMargins left="0.7" right="0.7" top="0.75" bottom="0.75" header="0.3" footer="0.3"/>
</x:worksheet>
</file>

<file path=xl/worksheets/sheet5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8" hidden="0" customWidth="1"/>
    <x:col min="7" max="7" width="22" hidden="0" customWidth="1"/>
    <x:col min="8" max="8" width="24" hidden="0" customWidth="1"/>
    <x:col min="9" max="9" width="22" hidden="0" customWidth="1"/>
    <x:col min="10" max="10" width="46" hidden="0" customWidth="1"/>
    <x:col min="11" max="11" width="24" hidden="0" customWidth="1"/>
  </x:cols>
  <x:sheetData>
    <x:row r="1">
      <x:c r="A1" s="2458" t="str">
        <x:v>Plant ID</x:v>
      </x:c>
      <x:c r="B1" s="2458" t="str">
        <x:v>Current Root Stage</x:v>
      </x:c>
      <x:c r="C1" s="2458" t="str">
        <x:v>Plug→Block Event</x:v>
      </x:c>
      <x:c r="D1" s="2458" t="str">
        <x:v>Block→Final Event</x:v>
      </x:c>
      <x:c r="E1" s="2458" t="str">
        <x:v>PreflowerObserved</x:v>
      </x:c>
      <x:c r="F1" s="2458" t="str">
        <x:v>FlowerInitiation / BT1</x:v>
      </x:c>
      <x:c r="G1" s="2458" t="str">
        <x:v>Current Bloom Day</x:v>
      </x:c>
      <x:c r="H1" s="2458" t="str">
        <x:v>Harvest Readiness</x:v>
      </x:c>
      <x:c r="I1" s="2458" t="str">
        <x:v>Canopy Height cm</x:v>
      </x:c>
      <x:c r="J1" s="2458" t="str">
        <x:v>Stress / Notes</x:v>
      </x:c>
      <x:c r="K1" s="2458" t="str">
        <x:v>Resolver Status</x:v>
      </x:c>
    </x:row>
    <x:row r="2">
      <x:c r="A2" s="60" t="str">
        <x:v>P1 Double Grape</x:v>
      </x:c>
      <x:c r="B2" s="60" t="str">
        <x:v>EAZY_PLUG</x:v>
      </x:c>
      <x:c r="C2" s="60" t="str">
        <x:v>UNKNOWN</x:v>
      </x:c>
      <x:c r="D2" s="60" t="str">
        <x:v>UNKNOWN</x:v>
      </x:c>
      <x:c r="E2" s="60" t="str">
        <x:v>UNKNOWN</x:v>
      </x:c>
      <x:c r="F2" s="60" t="str">
        <x:v>UNKNOWN</x:v>
      </x:c>
      <x:c r="G2" s="60" t="str">
        <x:v>DERIVED</x:v>
      </x:c>
      <x:c r="H2" s="60" t="str">
        <x:v>NOT READY</x:v>
      </x:c>
      <x:c r="I2" s="60" t="str">
        <x:v>UNKNOWN</x:v>
      </x:c>
      <x:c r="J2" s="60" t="str"/>
      <x:c r="K2" s="60" t="str">
        <x:v>PLANT-SPECIFIC</x:v>
      </x:c>
    </x:row>
    <x:row r="3">
      <x:c r="A3" s="60" t="str">
        <x:v>P2 Banana Purple Punch</x:v>
      </x:c>
      <x:c r="B3" s="60" t="str">
        <x:v>EAZY_PLUG</x:v>
      </x:c>
      <x:c r="C3" s="60" t="str">
        <x:v>UNKNOWN</x:v>
      </x:c>
      <x:c r="D3" s="60" t="str">
        <x:v>UNKNOWN</x:v>
      </x:c>
      <x:c r="E3" s="60" t="str">
        <x:v>UNKNOWN</x:v>
      </x:c>
      <x:c r="F3" s="60" t="str">
        <x:v>UNKNOWN</x:v>
      </x:c>
      <x:c r="G3" s="60" t="str">
        <x:v>DERIVED</x:v>
      </x:c>
      <x:c r="H3" s="60" t="str">
        <x:v>NOT READY</x:v>
      </x:c>
      <x:c r="I3" s="60" t="str">
        <x:v>UNKNOWN</x:v>
      </x:c>
      <x:c r="J3" s="60" t="str"/>
      <x:c r="K3" s="60" t="str">
        <x:v>PLANT-SPECIFIC</x:v>
      </x:c>
    </x:row>
    <x:row r="4">
      <x:c r="A4" s="60" t="str">
        <x:v>P3 GG. #4</x:v>
      </x:c>
      <x:c r="B4" s="60" t="str">
        <x:v>EAZY_PLUG</x:v>
      </x:c>
      <x:c r="C4" s="60" t="str">
        <x:v>UNKNOWN</x:v>
      </x:c>
      <x:c r="D4" s="60" t="str">
        <x:v>UNKNOWN</x:v>
      </x:c>
      <x:c r="E4" s="60" t="str">
        <x:v>UNKNOWN</x:v>
      </x:c>
      <x:c r="F4" s="60" t="str">
        <x:v>UNKNOWN</x:v>
      </x:c>
      <x:c r="G4" s="60" t="str">
        <x:v>DERIVED</x:v>
      </x:c>
      <x:c r="H4" s="60" t="str">
        <x:v>NOT READY</x:v>
      </x:c>
      <x:c r="I4" s="60" t="str">
        <x:v>UNKNOWN</x:v>
      </x:c>
      <x:c r="J4" s="60" t="str"/>
      <x:c r="K4" s="60" t="str">
        <x:v>PLANT-SPECIFIC</x:v>
      </x:c>
    </x:row>
    <x:row r="6">
      <x:c r="A6" s="2461" t="str">
        <x:v>P0 DOMAIN RULE: In einem Misch-Run darf kein globaler Blütetag die drei Pflanzen steuern. Jede Pflanze erhält eigene RootZoneState-, Preflower-, FlowerInitiation-, Irrigation- und Harvest-Events. Ein gemeinsamer Batch ist nur zulässig, wenn die plant-spezifisch aufgelösten Feed-Signaturen kompatibel sind.</x:v>
      </x:c>
      <x:c r="B6" s="2461"/>
      <x:c r="C6" s="2461"/>
      <x:c r="D6" s="2461"/>
      <x:c r="E6" s="2461"/>
      <x:c r="F6" s="2461"/>
      <x:c r="G6" s="2461"/>
      <x:c r="H6" s="2461"/>
      <x:c r="I6" s="2461"/>
      <x:c r="J6" s="2461"/>
      <x:c r="K6" s="2461"/>
    </x:row>
    <x:row r="7">
      <x:c r="A7" s="2461"/>
      <x:c r="B7" s="2461"/>
      <x:c r="C7" s="2461"/>
      <x:c r="D7" s="2461"/>
      <x:c r="E7" s="2461"/>
      <x:c r="F7" s="2461"/>
      <x:c r="G7" s="2461"/>
      <x:c r="H7" s="2461"/>
      <x:c r="I7" s="2461"/>
      <x:c r="J7" s="2461"/>
      <x:c r="K7" s="2461"/>
    </x:row>
    <x:row r="8">
      <x:c r="A8" s="2461"/>
      <x:c r="B8" s="2461"/>
      <x:c r="C8" s="2461"/>
      <x:c r="D8" s="2461"/>
      <x:c r="E8" s="2461"/>
      <x:c r="F8" s="2461"/>
      <x:c r="G8" s="2461"/>
      <x:c r="H8" s="2461"/>
      <x:c r="I8" s="2461"/>
      <x:c r="J8" s="2461"/>
      <x:c r="K8" s="2461"/>
    </x:row>
    <x:row r="9">
      <x:c r="A9" s="2461"/>
      <x:c r="B9" s="2461"/>
      <x:c r="C9" s="2461"/>
      <x:c r="D9" s="2461"/>
      <x:c r="E9" s="2461"/>
      <x:c r="F9" s="2461"/>
      <x:c r="G9" s="2461"/>
      <x:c r="H9" s="2461"/>
      <x:c r="I9" s="2461"/>
      <x:c r="J9" s="2461"/>
      <x:c r="K9" s="2461"/>
    </x:row>
    <x:row r="10">
      <x:c r="A10" s="2461"/>
      <x:c r="B10" s="2461"/>
      <x:c r="C10" s="2461"/>
      <x:c r="D10" s="2461"/>
      <x:c r="E10" s="2461"/>
      <x:c r="F10" s="2461"/>
      <x:c r="G10" s="2461"/>
      <x:c r="H10" s="2461"/>
      <x:c r="I10" s="2461"/>
      <x:c r="J10" s="2461"/>
      <x:c r="K10" s="2461"/>
    </x:row>
  </x:sheetData>
  <x:mergeCells>
    <x:mergeCell ref="A6:K10"/>
  </x:mergeCells>
  <x:pageMargins left="0.7" right="0.7" top="0.75" bottom="0.75" header="0.3" footer="0.3"/>
</x:worksheet>
</file>

<file path=xl/worksheets/sheet5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0" hidden="0" customWidth="1"/>
    <x:col min="3" max="3" width="34" hidden="0" customWidth="1"/>
    <x:col min="4" max="4" width="30" hidden="0" customWidth="1"/>
    <x:col min="5" max="5" width="60" hidden="0" customWidth="1"/>
    <x:col min="6" max="6" width="46" hidden="0" customWidth="1"/>
    <x:col min="7" max="7" width="46" hidden="0" customWidth="1"/>
    <x:col min="8" max="8" width="18" hidden="0" customWidth="1"/>
  </x:cols>
  <x:sheetData>
    <x:row r="1">
      <x:c r="A1" s="2458" t="str">
        <x:v>Thema</x:v>
      </x:c>
      <x:c r="B1" s="2458" t="str">
        <x:v>Double Grape</x:v>
      </x:c>
      <x:c r="C1" s="2458" t="str">
        <x:v>Banana Purple Punch</x:v>
      </x:c>
      <x:c r="D1" s="2458" t="str">
        <x:v>GG. #4</x:v>
      </x:c>
      <x:c r="E1" s="2458" t="str">
        <x:v>Run-Regel</x:v>
      </x:c>
      <x:c r="F1" s="2458" t="str">
        <x:v>Trigger</x:v>
      </x:c>
      <x:c r="G1" s="2458" t="str">
        <x:v>Nicht tun</x:v>
      </x:c>
      <x:c r="H1" s="2458" t="str">
        <x:v>Status</x:v>
      </x:c>
    </x:row>
    <x:row r="2" ht="64" customHeight="1">
      <x:c r="A2" s="60" t="str">
        <x:v>Erwartete Höhe</x:v>
      </x:c>
      <x:c r="B2" s="60" t="str">
        <x:v>55–80 cm</x:v>
      </x:c>
      <x:c r="C2" s="60" t="str">
        <x:v>80–120 cm</x:v>
      </x:c>
      <x:c r="D2" s="60" t="str">
        <x:v>~100 cm</x:v>
      </x:c>
      <x:c r="E2" s="60" t="str">
        <x:v>Nicht alle gleich trainieren. Ziel ist gemeinsame Canopy-Ebene, nicht gleiche Eingriffsmenge.</x:v>
      </x:c>
      <x:c r="F2" s="60" t="str">
        <x:v>ab 4–5 Nodes + Finaltopf-Recovery</x:v>
      </x:c>
      <x:c r="G2" s="60" t="str">
        <x:v>keine Kalender-LST-Pflicht</x:v>
      </x:c>
      <x:c r="H2" s="60" t="str">
        <x:v>ACTIVE</x:v>
      </x:c>
    </x:row>
    <x:row r="3" ht="64" customHeight="1">
      <x:c r="A3" s="60" t="str">
        <x:v>LST-Intensität</x:v>
      </x:c>
      <x:c r="B3" s="60" t="str">
        <x:v>niedrig–moderat</x:v>
      </x:c>
      <x:c r="C3" s="60" t="str">
        <x:v>moderat–höher</x:v>
      </x:c>
      <x:c r="D3" s="60" t="str">
        <x:v>moderat</x:v>
      </x:c>
      <x:c r="E3" s="60" t="str">
        <x:v>BPP zuerst lateral bremsen; GG4 moderat; DG eher auffächern/leaf-tuck.</x:v>
      </x:c>
      <x:c r="F3" s="60" t="str">
        <x:v>Höhendifferenz &gt; ca. 5–8 cm UND Pflanzen vital</x:v>
      </x:c>
      <x:c r="G3" s="60" t="str">
        <x:v>kein HST als Default</x:v>
      </x:c>
      <x:c r="H3" s="60" t="str">
        <x:v>ACTIVE</x:v>
      </x:c>
    </x:row>
    <x:row r="4" ht="64" customHeight="1">
      <x:c r="A4" s="60" t="str">
        <x:v>Riser</x:v>
      </x:c>
      <x:c r="B4" s="60" t="str">
        <x:v>wahrscheinlichster Kandidat</x:v>
      </x:c>
      <x:c r="C4" s="60" t="str">
        <x:v>normalerweise nein</x:v>
      </x:c>
      <x:c r="D4" s="60" t="str">
        <x:v>normalerweise nein</x:v>
      </x:c>
      <x:c r="E4" s="60" t="str">
        <x:v>Short plant später anheben statt Tall plants dauerhaft stärker zu stressen.</x:v>
      </x:c>
      <x:c r="F4" s="60" t="str">
        <x:v>nach Stretch, falls DG unter Canopy bleibt</x:v>
      </x:c>
      <x:c r="G4" s="60" t="str">
        <x:v>kein früher Riser nur nach Breederhöhe</x:v>
      </x:c>
      <x:c r="H4" s="60" t="str">
        <x:v>CONDITIONAL</x:v>
      </x:c>
    </x:row>
    <x:row r="5" ht="64" customHeight="1">
      <x:c r="A5" s="60" t="str">
        <x:v>Luft / Bud-Dichte</x:v>
      </x:c>
      <x:c r="B5" s="60" t="str">
        <x:v>offener</x:v>
      </x:c>
      <x:c r="C5" s="60" t="str">
        <x:v>sehr dicht</x:v>
      </x:c>
      <x:c r="D5" s="60" t="str">
        <x:v>dicht</x:v>
      </x:c>
      <x:c r="E5" s="60" t="str">
        <x:v>Spätblüten-Luftstrategie richtet sich nach BPP/GG4 als dichtesten Blütenstrukturen.</x:v>
      </x:c>
      <x:c r="F5" s="60" t="str">
        <x:v>lokale rF/Totzone / Bud-Dichte</x:v>
      </x:c>
      <x:c r="G5" s="60" t="str">
        <x:v>kein direkter Jet auf Buds</x:v>
      </x:c>
      <x:c r="H5" s="60" t="str">
        <x:v>ACTIVE</x:v>
      </x:c>
    </x:row>
    <x:row r="6" ht="64" customHeight="1">
      <x:c r="A6" s="60" t="str">
        <x:v>Entlaubung</x:v>
      </x:c>
      <x:c r="B6" s="60" t="str">
        <x:v>minimal</x:v>
      </x:c>
      <x:c r="C6" s="60" t="str">
        <x:v>nur schrittweise selektiv</x:v>
      </x:c>
      <x:c r="D6" s="60" t="str">
        <x:v>selektiv</x:v>
      </x:c>
      <x:c r="E6" s="60" t="str">
        <x:v>nur Blätter entfernen, die Luft/Licht klar blockieren; Pflanze muss stabil sein.</x:v>
      </x:c>
      <x:c r="F6" s="60" t="str">
        <x:v>beobachtete Blockade / Mikroklima</x:v>
      </x:c>
      <x:c r="G6" s="60" t="str">
        <x:v>keine Massenentlaubung</x:v>
      </x:c>
      <x:c r="H6" s="60" t="str">
        <x:v>ACTIVE</x:v>
      </x:c>
    </x:row>
    <x:row r="7" ht="64" customHeight="1">
      <x:c r="A7" s="60" t="str">
        <x:v>Ernte</x:v>
      </x:c>
      <x:c r="B7" s="60" t="str">
        <x:v>separat</x:v>
      </x:c>
      <x:c r="C7" s="60" t="str">
        <x:v>separat</x:v>
      </x:c>
      <x:c r="D7" s="60" t="str">
        <x:v>separat</x:v>
      </x:c>
      <x:c r="E7" s="60" t="str">
        <x:v>Pflanzen dürfen an unterschiedlichen Tagen geerntet werden.</x:v>
      </x:c>
      <x:c r="F7" s="60" t="str">
        <x:v>plant-spezifische Reife</x:v>
      </x:c>
      <x:c r="G7" s="60" t="str">
        <x:v>kein gemeinsamer Day-X Harvest</x:v>
      </x:c>
      <x:c r="H7" s="60" t="str">
        <x:v>P0</x:v>
      </x:c>
    </x:row>
  </x:sheetData>
  <x:pageMargins left="0.7" right="0.7" top="0.75" bottom="0.75" header="0.3" footer="0.3"/>
</x:worksheet>
</file>

<file path=xl/worksheets/sheet5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52" hidden="0" customWidth="1"/>
    <x:col min="3" max="3" width="44" hidden="0" customWidth="1"/>
    <x:col min="4" max="4" width="50" hidden="0" customWidth="1"/>
    <x:col min="5" max="5" width="58" hidden="0" customWidth="1"/>
    <x:col min="6" max="6" width="58" hidden="0" customWidth="1"/>
    <x:col min="7" max="7" width="18" hidden="0" customWidth="1"/>
  </x:cols>
  <x:sheetData>
    <x:row r="1">
      <x:c r="A1" s="2458" t="str">
        <x:v>Schritt</x:v>
      </x:c>
      <x:c r="B1" s="2458" t="str">
        <x:v>Frage</x:v>
      </x:c>
      <x:c r="C1" s="2458" t="str">
        <x:v>Wenn JA</x:v>
      </x:c>
      <x:c r="D1" s="2458" t="str">
        <x:v>Wenn NEIN</x:v>
      </x:c>
      <x:c r="E1" s="2458" t="str">
        <x:v>Warum</x:v>
      </x:c>
      <x:c r="F1" s="2458" t="str">
        <x:v>Beispiel</x:v>
      </x:c>
      <x:c r="G1" s="2458" t="str">
        <x:v>Status</x:v>
      </x:c>
    </x:row>
    <x:row r="2" ht="70" customHeight="1">
      <x:c r="A2" s="60" t="n">
        <x:v>1</x:v>
      </x:c>
      <x:c r="B2" s="60" t="str">
        <x:v>Sind alle drei Pflanzen im selben Basis-Pfad (TNT/Coco)?</x:v>
      </x:c>
      <x:c r="C2" s="60" t="str">
        <x:v>weiter</x:v>
      </x:c>
      <x:c r="D2" s="60" t="str">
        <x:v>separate Batch-Gruppe</x:v>
      </x:c>
      <x:c r="E2" s="60" t="str">
        <x:v>Misch-Genetiken können unterschiedlich früh in Transition gehen.</x:v>
      </x:c>
      <x:c r="F2" s="60" t="str">
        <x:v>BPP bereits FlowerInitiation, DG noch Veg → nicht automatisch Coco für alle.</x:v>
      </x:c>
      <x:c r="G2" s="60" t="str">
        <x:v>P0</x:v>
      </x:c>
    </x:row>
    <x:row r="3" ht="70" customHeight="1">
      <x:c r="A3" s="60" t="n">
        <x:v>2</x:v>
      </x:c>
      <x:c r="B3" s="60" t="str">
        <x:v>Sind alle conditional Produkte identisch freigegeben?</x:v>
      </x:c>
      <x:c r="C3" s="60" t="str">
        <x:v>weiter</x:v>
      </x:c>
      <x:c r="D3" s="60" t="str">
        <x:v>conditional Produkt nur in passender Einzel-/Teilbatch</x:v>
      </x:c>
      <x:c r="E3" s="60" t="str">
        <x:v>Athena/CalMag dürfen nicht über Shared Batch ungeprüft alle Pflanzen treffen.</x:v>
      </x:c>
      <x:c r="F3" s="60" t="str">
        <x:v>CalMag Bedarf nur P3 → keine globale Zugabe.</x:v>
      </x:c>
      <x:c r="G3" s="60" t="str">
        <x:v>P0</x:v>
      </x:c>
    </x:row>
    <x:row r="4" ht="70" customHeight="1">
      <x:c r="A4" s="60" t="n">
        <x:v>3</x:v>
      </x:c>
      <x:c r="B4" s="60" t="str">
        <x:v>Sind Boost/PK-Fenster kompatibel?</x:v>
      </x:c>
      <x:c r="C4" s="60" t="str">
        <x:v>weiter</x:v>
      </x:c>
      <x:c r="D4" s="60" t="str">
        <x:v>separate Teilbatch oder Produkt 0 im gemeinsamen Basisbatch</x:v>
      </x:c>
      <x:c r="E4" s="60" t="str">
        <x:v>FlowerInitiation kann mehrere Tage auseinanderliegen.</x:v>
      </x:c>
      <x:c r="F4" s="60" t="str">
        <x:v>P2 BT29, P1 BT22 → PK nicht pauschal gemeinsam.</x:v>
      </x:c>
      <x:c r="G4" s="60" t="str">
        <x:v>P0</x:v>
      </x:c>
    </x:row>
    <x:row r="5" ht="70" customHeight="1">
      <x:c r="A5" s="60" t="n">
        <x:v>4</x:v>
      </x:c>
      <x:c r="B5" s="60" t="str">
        <x:v>Ist die konservativste EC-Grenze für alle drei akzeptabel?</x:v>
      </x:c>
      <x:c r="C5" s="60" t="str">
        <x:v>gemeinsamer Batch möglich</x:v>
      </x:c>
      <x:c r="D5" s="60" t="str">
        <x:v>separat anpassen</x:v>
      </x:c>
      <x:c r="E5" s="60" t="str">
        <x:v>BPP wird breederseitig als nicht stark nährstoffbedürftig beschrieben.</x:v>
      </x:c>
      <x:c r="F5" s="60" t="str">
        <x:v>Shared EC richtet sich zunächst nach empfindlichster Pflanze.</x:v>
      </x:c>
      <x:c r="G5" s="60" t="str">
        <x:v>P1</x:v>
      </x:c>
    </x:row>
    <x:row r="6" ht="70" customHeight="1">
      <x:c r="A6" s="60" t="n">
        <x:v>5</x:v>
      </x:c>
      <x:c r="B6" s="60" t="str">
        <x:v>Sind Wasserbedarf/Volumen ähnlich?</x:v>
      </x:c>
      <x:c r="C6" s="60" t="str">
        <x:v>gleicher Mix, aber Liter pro Pflanze separat</x:v>
      </x:c>
      <x:c r="D6" s="60" t="str">
        <x:v>individuelle Gießmenge</x:v>
      </x:c>
      <x:c r="E6" s="60" t="str">
        <x:v>gleiche Konzentration bedeutet nicht gleiche Wassermenge.</x:v>
      </x:c>
      <x:c r="F6" s="60" t="str">
        <x:v>Pflanzengröße/Root-Zone unterschiedlich.</x:v>
      </x:c>
      <x:c r="G6" s="60" t="str">
        <x:v>P1</x:v>
      </x:c>
    </x:row>
    <x:row r="8">
      <x:c r="A8" s="2464" t="str">
        <x:v>TARGET ARCHITECTURE: resolvePlantDailyPlan(P1/P2/P3) → compareResolvedFeedSignature() → COMMON_BATCH | SPLIT_BATCHES. Gemeinsame Klima-/Lichtbedingungen bleiben Run-level; Root-Zone, Bewässerung, phänologische Trigger und Harvest bleiben plant-level.</x:v>
      </x:c>
      <x:c r="B8" s="2464"/>
      <x:c r="C8" s="2464"/>
      <x:c r="D8" s="2464"/>
      <x:c r="E8" s="2464"/>
      <x:c r="F8" s="2464"/>
      <x:c r="G8" s="2464"/>
    </x:row>
    <x:row r="9">
      <x:c r="A9" s="2464"/>
      <x:c r="B9" s="2464"/>
      <x:c r="C9" s="2464"/>
      <x:c r="D9" s="2464"/>
      <x:c r="E9" s="2464"/>
      <x:c r="F9" s="2464"/>
      <x:c r="G9" s="2464"/>
    </x:row>
    <x:row r="10">
      <x:c r="A10" s="2464"/>
      <x:c r="B10" s="2464"/>
      <x:c r="C10" s="2464"/>
      <x:c r="D10" s="2464"/>
      <x:c r="E10" s="2464"/>
      <x:c r="F10" s="2464"/>
      <x:c r="G10" s="2464"/>
    </x:row>
    <x:row r="11">
      <x:c r="A11" s="2464"/>
      <x:c r="B11" s="2464"/>
      <x:c r="C11" s="2464"/>
      <x:c r="D11" s="2464"/>
      <x:c r="E11" s="2464"/>
      <x:c r="F11" s="2464"/>
      <x:c r="G11" s="2464"/>
    </x:row>
  </x:sheetData>
  <x:mergeCells>
    <x:mergeCell ref="A8:G11"/>
  </x:mergeCells>
  <x:pageMargins left="0.7" right="0.7" top="0.75" bottom="0.75" header="0.3" footer="0.3"/>
</x:worksheet>
</file>

<file path=xl/worksheets/sheet54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72" hidden="0" customWidth="1"/>
    <x:col min="3" max="3" width="72" hidden="0" customWidth="1"/>
    <x:col min="4" max="4" width="26" hidden="0" customWidth="1"/>
    <x:col min="5" max="5" width="62" hidden="0" customWidth="1"/>
  </x:cols>
  <x:sheetData>
    <x:row r="1">
      <x:c r="A1" s="2458" t="str">
        <x:v>Genetik</x:v>
      </x:c>
      <x:c r="B1" s="2458" t="str">
        <x:v>Quelle</x:v>
      </x:c>
      <x:c r="C1" s="2458" t="str">
        <x:v>Verifizierte Angaben</x:v>
      </x:c>
      <x:c r="D1" s="2458" t="str">
        <x:v>Evidenzklasse</x:v>
      </x:c>
      <x:c r="E1" s="2458" t="str">
        <x:v>Offener Punkt</x:v>
      </x:c>
    </x:row>
    <x:row r="2">
      <x:c r="A2" s="60" t="str">
        <x:v>Double Grape Auto</x:v>
      </x:c>
      <x:c r="B2" s="60" t="str">
        <x:v>https://mephistogenetics.com/products/double-grape</x:v>
      </x:c>
      <x:c r="C2" s="60" t="str">
        <x:v>F7 Automatic; 70–80 d from sprout; 55–80 cm; leaf-tuck/LST-friendly; medium odour</x:v>
      </x:c>
      <x:c r="D2" s="60" t="str">
        <x:v>BREEDER PRIMARY</x:v>
      </x:c>
      <x:c r="E2" s="60" t="str">
        <x:v>Produkttext nennt zusätzlich 65–70 d ideal → als breeder-internal range/conflict markieren.</x:v>
      </x:c>
    </x:row>
    <x:row r="3">
      <x:c r="A3" s="60" t="str">
        <x:v>Banana Purple Punch Auto</x:v>
      </x:c>
      <x:c r="B3" s="60" t="str">
        <x:v>https://2fast4buds.com/de/seeds/banana-purple-punch-auto</x:v>
      </x:c>
      <x:c r="C3" s="60" t="str">
        <x:v>F5 Auto; 80–120 cm; 8 Wochen; sehr dichte Buds; Zweige anbinden; schrittweise entblättern; braucht nicht viel Nährstoffe</x:v>
      </x:c>
      <x:c r="D3" s="60" t="str">
        <x:v>BREEDER PRIMARY</x:v>
      </x:c>
      <x:c r="E3" s="60" t="str">
        <x:v>'8 Wochen' nicht ungeprüft in Day-from-sprout umdeuten.</x:v>
      </x:c>
    </x:row>
    <x:row r="4">
      <x:c r="A4" s="60" t="str">
        <x:v>GG. #4 Auto</x:v>
      </x:c>
      <x:c r="B4" s="60" t="str">
        <x:v>https://www.sensibleseeds.com/gorilla-glue-4-auto-feminized-bsb-genetics.html</x:v>
      </x:c>
      <x:c r="C4" s="60" t="str">
        <x:v>Sensible listing für BSB Genetics; Auto; 8–9 Wochen from seed; ~100 cm; dense compact buds</x:v>
      </x:c>
      <x:c r="D4" s="60" t="str">
        <x:v>RETAILER / BREEDER LISTING</x:v>
      </x:c>
      <x:c r="E4" s="60" t="str">
        <x:v>Packung prüfen: BSB Genetics vs Original Sensible Seeds. Andere GG4-Auto-Produkte haben andere Spezifikationen.</x:v>
      </x:c>
    </x:row>
    <x:row r="5">
      <x:c r="A5" s="60" t="str">
        <x:v>GG-derived current BSB page</x:v>
      </x:c>
      <x:c r="B5" s="60" t="str">
        <x:v>https://www.bsbgenetics.com/shop/auto-flowering-seeds/auto-ape-attack-4/</x:v>
      </x:c>
      <x:c r="C5" s="60" t="str">
        <x:v>GG#4 × Auto Critical Diesel; 8–9 Wochen from germination; ~1 m</x:v>
      </x:c>
      <x:c r="D5" s="60" t="str">
        <x:v>BREEDER PRIMARY</x:v>
      </x:c>
      <x:c r="E5" s="60" t="str">
        <x:v>Produktname heute 'Ape Attack #4 Auto'; dient nur zur Plausibilisierung, nicht zur stillen Identitätsänderung.</x:v>
      </x:c>
    </x:row>
  </x:sheetData>
  <x:pageMargins left="0.7" right="0.7" top="0.75" bottom="0.75" header="0.3" footer="0.3"/>
</x:worksheet>
</file>