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8aa6f1126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4dc8ae406f5e4b1b"/>
    <x:sheet xmlns:r="http://schemas.openxmlformats.org/officeDocument/2006/relationships" name="01_Run_Config" sheetId="2" r:id="Rb8e90261d76a4ece"/>
    <x:sheet xmlns:r="http://schemas.openxmlformats.org/officeDocument/2006/relationships" name="02_Daily_Master" sheetId="3" r:id="Rdc3137fb134c4032"/>
    <x:sheet xmlns:r="http://schemas.openxmlformats.org/officeDocument/2006/relationships" name="03_Weekly_Master" sheetId="4" r:id="R082c87e27f3a4192"/>
    <x:sheet xmlns:r="http://schemas.openxmlformats.org/officeDocument/2006/relationships" name="04_Monthly_Master" sheetId="5" r:id="R011a7e1fac884020"/>
    <x:sheet xmlns:r="http://schemas.openxmlformats.org/officeDocument/2006/relationships" name="05_Mix_Calculator" sheetId="6" r:id="R89f49ee8f654422c"/>
    <x:sheet xmlns:r="http://schemas.openxmlformats.org/officeDocument/2006/relationships" name="06_HESI_Reference" sheetId="7" r:id="R1b55864aaed74366"/>
    <x:sheet xmlns:r="http://schemas.openxmlformats.org/officeDocument/2006/relationships" name="07_AN_pHPerfect" sheetId="8" r:id="Ra4dec7ed47e44431"/>
    <x:sheet xmlns:r="http://schemas.openxmlformats.org/officeDocument/2006/relationships" name="08_Hybrid_AB" sheetId="9" r:id="R5fb17841d64342c6"/>
    <x:sheet xmlns:r="http://schemas.openxmlformats.org/officeDocument/2006/relationships" name="09_Irrigation_Blumat" sheetId="10" r:id="R87462397741f4458"/>
    <x:sheet xmlns:r="http://schemas.openxmlformats.org/officeDocument/2006/relationships" name="10_Climate_Light" sheetId="11" r:id="Rf63cc94933ee49c6"/>
    <x:sheet xmlns:r="http://schemas.openxmlformats.org/officeDocument/2006/relationships" name="11_Training_Canopy" sheetId="12" r:id="R32445cbfeb6543b4"/>
    <x:sheet xmlns:r="http://schemas.openxmlformats.org/officeDocument/2006/relationships" name="12_Daily_Log" sheetId="13" r:id="R6301353ec3ec4465"/>
    <x:sheet xmlns:r="http://schemas.openxmlformats.org/officeDocument/2006/relationships" name="13_Diagnostics" sheetId="14" r:id="R55736dd501024998"/>
    <x:sheet xmlns:r="http://schemas.openxmlformats.org/officeDocument/2006/relationships" name="14_Harvest_Dry" sheetId="15" r:id="Re334cb65f5d44a6f"/>
    <x:sheet xmlns:r="http://schemas.openxmlformats.org/officeDocument/2006/relationships" name="15_Strains" sheetId="16" r:id="R066355ed260946d5"/>
    <x:sheet xmlns:r="http://schemas.openxmlformats.org/officeDocument/2006/relationships" name="16_Compatibility" sheetId="17" r:id="R320535e93cd342b5"/>
    <x:sheet xmlns:r="http://schemas.openxmlformats.org/officeDocument/2006/relationships" name="17_All_Products" sheetId="18" r:id="Re6785a8407264898"/>
    <x:sheet xmlns:r="http://schemas.openxmlformats.org/officeDocument/2006/relationships" name="18_Mineral_Interactions" sheetId="19" r:id="R382e972ce26d43d3"/>
    <x:sheet xmlns:r="http://schemas.openxmlformats.org/officeDocument/2006/relationships" name="19_Do_Not_Stack" sheetId="20" r:id="R23438e4632e84228"/>
    <x:sheet xmlns:r="http://schemas.openxmlformats.org/officeDocument/2006/relationships" name="20_Practice_Evidence" sheetId="21" r:id="R0944c5e5da9f4b28"/>
    <x:sheet xmlns:r="http://schemas.openxmlformats.org/officeDocument/2006/relationships" name="21_Legal_Safety" sheetId="22" r:id="Rcdc97dca958f4cea"/>
    <x:sheet xmlns:r="http://schemas.openxmlformats.org/officeDocument/2006/relationships" name="22_Sources" sheetId="23" r:id="Rb7f43e4098434c64"/>
    <x:sheet xmlns:r="http://schemas.openxmlformats.org/officeDocument/2006/relationships" name="23_README" sheetId="24" r:id="Rd1b78ebaa1ac4cdc"/>
    <x:sheet xmlns:r="http://schemas.openxmlformats.org/officeDocument/2006/relationships" name="24_Athena_Balance" sheetId="25" r:id="R7f70743172a84fc7"/>
    <x:sheet xmlns:r="http://schemas.openxmlformats.org/officeDocument/2006/relationships" name="25_AN_GrandMaster" sheetId="26" r:id="R9ccf5ab6725e4d08"/>
    <x:sheet xmlns:r="http://schemas.openxmlformats.org/officeDocument/2006/relationships" name="26_Audit_Report" sheetId="27" r:id="R9da7ae308013467f"/>
    <x:sheet xmlns:r="http://schemas.openxmlformats.org/officeDocument/2006/relationships" name="27_HESI_AN_Hybrid" sheetId="28" r:id="R1a2791a5c9ac481f"/>
    <x:sheet xmlns:r="http://schemas.openxmlformats.org/officeDocument/2006/relationships" name="28_Current_Inventory" sheetId="29" r:id="R9a4cc77396e1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31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</x:fonts>
  <x:fills count="55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f3fcf7579474b" /><Relationship Type="http://schemas.openxmlformats.org/officeDocument/2006/relationships/theme" Target="/xl/theme/theme1.xml" Id="Reefa5ae1db9d41cc" /><Relationship Type="http://schemas.openxmlformats.org/officeDocument/2006/relationships/sharedStrings" Target="/xl/sharedStrings.xml" Id="R9c83f2f1eb7c400f" /><Relationship Type="http://schemas.openxmlformats.org/officeDocument/2006/relationships/worksheet" Target="/xl/worksheets/sheet1.xml" Id="R4dc8ae406f5e4b1b" /><Relationship Type="http://schemas.openxmlformats.org/officeDocument/2006/relationships/worksheet" Target="/xl/worksheets/sheet2.xml" Id="Rb8e90261d76a4ece" /><Relationship Type="http://schemas.openxmlformats.org/officeDocument/2006/relationships/worksheet" Target="/xl/worksheets/sheet3.xml" Id="Rdc3137fb134c4032" /><Relationship Type="http://schemas.openxmlformats.org/officeDocument/2006/relationships/worksheet" Target="/xl/worksheets/sheet4.xml" Id="R082c87e27f3a4192" /><Relationship Type="http://schemas.openxmlformats.org/officeDocument/2006/relationships/worksheet" Target="/xl/worksheets/sheet5.xml" Id="R011a7e1fac884020" /><Relationship Type="http://schemas.openxmlformats.org/officeDocument/2006/relationships/worksheet" Target="/xl/worksheets/sheet6.xml" Id="R89f49ee8f654422c" /><Relationship Type="http://schemas.openxmlformats.org/officeDocument/2006/relationships/worksheet" Target="/xl/worksheets/sheet7.xml" Id="R1b55864aaed74366" /><Relationship Type="http://schemas.openxmlformats.org/officeDocument/2006/relationships/worksheet" Target="/xl/worksheets/sheet8.xml" Id="Ra4dec7ed47e44431" /><Relationship Type="http://schemas.openxmlformats.org/officeDocument/2006/relationships/worksheet" Target="/xl/worksheets/sheet9.xml" Id="R5fb17841d64342c6" /><Relationship Type="http://schemas.openxmlformats.org/officeDocument/2006/relationships/worksheet" Target="/xl/worksheets/sheet10.xml" Id="R87462397741f4458" /><Relationship Type="http://schemas.openxmlformats.org/officeDocument/2006/relationships/worksheet" Target="/xl/worksheets/sheet11.xml" Id="Rf63cc94933ee49c6" /><Relationship Type="http://schemas.openxmlformats.org/officeDocument/2006/relationships/worksheet" Target="/xl/worksheets/sheet12.xml" Id="R32445cbfeb6543b4" /><Relationship Type="http://schemas.openxmlformats.org/officeDocument/2006/relationships/worksheet" Target="/xl/worksheets/sheet13.xml" Id="R6301353ec3ec4465" /><Relationship Type="http://schemas.openxmlformats.org/officeDocument/2006/relationships/worksheet" Target="/xl/worksheets/sheet14.xml" Id="R55736dd501024998" /><Relationship Type="http://schemas.openxmlformats.org/officeDocument/2006/relationships/worksheet" Target="/xl/worksheets/sheet15.xml" Id="Re334cb65f5d44a6f" /><Relationship Type="http://schemas.openxmlformats.org/officeDocument/2006/relationships/worksheet" Target="/xl/worksheets/sheet16.xml" Id="R066355ed260946d5" /><Relationship Type="http://schemas.openxmlformats.org/officeDocument/2006/relationships/worksheet" Target="/xl/worksheets/sheet17.xml" Id="R320535e93cd342b5" /><Relationship Type="http://schemas.openxmlformats.org/officeDocument/2006/relationships/worksheet" Target="/xl/worksheets/sheet18.xml" Id="Re6785a8407264898" /><Relationship Type="http://schemas.openxmlformats.org/officeDocument/2006/relationships/worksheet" Target="/xl/worksheets/sheet19.xml" Id="R382e972ce26d43d3" /><Relationship Type="http://schemas.openxmlformats.org/officeDocument/2006/relationships/worksheet" Target="/xl/worksheets/sheet20.xml" Id="R23438e4632e84228" /><Relationship Type="http://schemas.openxmlformats.org/officeDocument/2006/relationships/worksheet" Target="/xl/worksheets/sheet21.xml" Id="R0944c5e5da9f4b28" /><Relationship Type="http://schemas.openxmlformats.org/officeDocument/2006/relationships/worksheet" Target="/xl/worksheets/sheet22.xml" Id="Rcdc97dca958f4cea" /><Relationship Type="http://schemas.openxmlformats.org/officeDocument/2006/relationships/worksheet" Target="/xl/worksheets/sheet23.xml" Id="Rb7f43e4098434c64" /><Relationship Type="http://schemas.openxmlformats.org/officeDocument/2006/relationships/worksheet" Target="/xl/worksheets/sheet24.xml" Id="Rd1b78ebaa1ac4cdc" /><Relationship Type="http://schemas.openxmlformats.org/officeDocument/2006/relationships/worksheet" Target="/xl/worksheets/sheet25.xml" Id="R7f70743172a84fc7" /><Relationship Type="http://schemas.openxmlformats.org/officeDocument/2006/relationships/worksheet" Target="/xl/worksheets/sheet26.xml" Id="R9ccf5ab6725e4d08" /><Relationship Type="http://schemas.openxmlformats.org/officeDocument/2006/relationships/worksheet" Target="/xl/worksheets/sheet27.xml" Id="R9da7ae308013467f" /><Relationship Type="http://schemas.openxmlformats.org/officeDocument/2006/relationships/worksheet" Target="/xl/worksheets/sheet28.xml" Id="R1a2791a5c9ac481f" /><Relationship Type="http://schemas.openxmlformats.org/officeDocument/2006/relationships/worksheet" Target="/xl/worksheets/sheet29.xml" Id="R9a4cc77396e14b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14d7406b664e55" /><Relationship Type="http://schemas.openxmlformats.org/officeDocument/2006/relationships/chart" Target="/xl/drawings/charts/chart2.xml" Id="R79d70261ca0b4b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a572c25ec9f4057" /><Relationship Type="http://schemas.openxmlformats.org/officeDocument/2006/relationships/chart" Target="/xl/drawings/charts/chart4.xml" Id="R25b8fa48540b470f" /><Relationship Type="http://schemas.openxmlformats.org/officeDocument/2006/relationships/chart" Target="/xl/drawings/charts/chart5.xml" Id="R5a597133768148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14d7406b664e5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d70261ca0b4b9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72c25ec9f4057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b8fa48540b470f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97133768148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27c9bfe15d44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23029de5fd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cebc648c5ff4f34" /><Relationship Type="http://schemas.openxmlformats.org/officeDocument/2006/relationships/table" Target="/xl/tables/table2.xml" Id="Rd59c7438f46747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d05b0e2b85c43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a97d2f050c46459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3be7a2b98b2144f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5" hidden="0" customWidth="1"/>
    <x:col min="4" max="4" width="13" hidden="0" customWidth="1"/>
    <x:col min="5" max="5" width="11.5" hidden="0" customWidth="1"/>
    <x:col min="6" max="6" width="11.5" hidden="0" customWidth="1"/>
    <x:col min="7" max="7" width="13" hidden="0" customWidth="1"/>
    <x:col min="9" max="9" width="11.5" hidden="0" customWidth="1"/>
    <x:col min="10" max="10" width="13" hidden="0" customWidth="1"/>
    <x:col min="11" max="11" width="11.5" hidden="0" customWidth="1"/>
    <x:col min="12" max="12" width="11.5" hidden="0" customWidth="1"/>
    <x:col min="13" max="13" width="13" hidden="0" customWidth="1"/>
    <x:col min="14" max="14" width="11.5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1.5" hidden="0" customWidth="1"/>
    <x:col min="8" max="8" width="11.5" hidden="0" customWidth="1"/>
    <x:col min="15" max="15" width="11.5" hidden="0" customWidth="1"/>
  </x:cols>
  <x:sheetData>
    <x:row r="1" ht="34" customHeight="1">
      <x:c r="A1" s="337" t="str">
        <x:v>UKD GROW MASTERPLAN · OPERATOR DASHBOARD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</x:row>
    <x:row r="2">
      <x:c r="A2" s="343" t="str">
        <x:v>60×60×180 cm · 140 W · Coco · Autoflower · OWNED-STOCK: HESI core + Voodoo/Tarantula + Athena Balance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  <x:c r="M2" s="343"/>
      <x:c r="N2" s="343"/>
      <x:c r="O2" s="343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D3" s="200"/>
      <x:c r="E3" s="200"/>
      <x:c r="F3" s="200"/>
      <x:c r="G3" s="200"/>
      <x:c r="I3" s="14"/>
      <x:c r="J3" s="14"/>
      <x:c r="K3" s="14"/>
      <x:c r="L3" s="14"/>
      <x:c r="M3" s="14"/>
      <x:c r="N3" s="14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0" customHeight="1">
      <x:c r="A4" s="356" t="str">
        <x:v>RUN-TAG</x:v>
      </x:c>
      <x:c r="B4" s="357"/>
      <x:c r="C4" s="358"/>
      <x:c r="D4" s="413" t="str">
        <x:v>PHASE</x:v>
      </x:c>
      <x:c r="E4" s="414"/>
      <x:c r="F4" s="415"/>
      <x:c r="G4" s="457" t="str">
        <x:v>GENETIK</x:v>
      </x:c>
      <x:c r="H4" s="458"/>
      <x:c r="I4" s="459"/>
      <x:c r="J4" s="501" t="str">
        <x:v>STACK</x:v>
      </x:c>
      <x:c r="K4" s="502"/>
      <x:c r="L4" s="503"/>
      <x:c r="M4" s="543" t="str">
        <x:v>LOG-STATUS</x:v>
      </x:c>
      <x:c r="N4" s="544"/>
      <x:c r="O4" s="545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5" customHeight="1">
      <x:c r="A5" s="1299" t="str">
        <x:f>"Tag "&amp;'01_Run_Config'!$B$5&amp;" / "&amp;'01_Run_Config'!$B$7</x:f>
        <x:v>Tag 0 / 80</x:v>
      </x:c>
      <x:c r="B5" s="1300"/>
      <x:c r="C5" s="1301"/>
      <x:c r="D5" s="437" t="str">
        <x:f>VLOOKUP('01_Run_Config'!$B$5,'02_Daily_Master'!$A$2:$AK$82,5,FALSE)</x:f>
        <x:v>Keimung</x:v>
      </x:c>
      <x:c r="E5" s="438"/>
      <x:c r="F5" s="439"/>
      <x:c r="G5" s="487" t="str">
        <x:f>'01_Run_Config'!$B$6</x:f>
        <x:v>Double Grape Auto</x:v>
      </x:c>
      <x:c r="H5" s="488"/>
      <x:c r="I5" s="489"/>
      <x:c r="J5" s="524" t="str">
        <x:f>'01_Run_Config'!$B$18</x:f>
        <x:v>UKD HESI + Owned AN 2026-08-10</x:v>
      </x:c>
      <x:c r="K5" s="525"/>
      <x:c r="L5" s="526"/>
      <x:c r="M5" s="572" t="str">
        <x:f>VLOOKUP('01_Run_Config'!$B$5,'12_Daily_Log'!$A$2:$Z$82,25,FALSE)</x:f>
        <x:v>OFFEN</x:v>
      </x:c>
      <x:c r="N5" s="573"/>
      <x:c r="O5" s="574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5" customHeight="1">
      <x:c r="A6" s="1302"/>
      <x:c r="B6" s="1303"/>
      <x:c r="C6" s="1304"/>
      <x:c r="D6" s="440"/>
      <x:c r="E6" s="441"/>
      <x:c r="F6" s="442"/>
      <x:c r="G6" s="490"/>
      <x:c r="H6" s="491"/>
      <x:c r="I6" s="492"/>
      <x:c r="J6" s="527"/>
      <x:c r="K6" s="528"/>
      <x:c r="L6" s="529"/>
      <x:c r="M6" s="575"/>
      <x:c r="N6" s="576"/>
      <x:c r="O6" s="577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5" customHeight="1">
      <x:c r="A7" s="400" t="str">
        <x:f>"Fortschritt: "&amp;TEXT('01_Run_Config'!$B$5/'01_Run_Config'!$B$7,"0%")&amp;" · Ziel "&amp;'01_Run_Config'!$B$7&amp;" Tage"</x:f>
        <x:v>Fortschritt: 0% · Ziel 80 Tage</x:v>
      </x:c>
      <x:c r="B7" s="401"/>
      <x:c r="C7" s="402"/>
      <x:c r="D7" s="443"/>
      <x:c r="E7" s="444"/>
      <x:c r="F7" s="445"/>
      <x:c r="G7" s="493"/>
      <x:c r="H7" s="494"/>
      <x:c r="I7" s="495"/>
      <x:c r="J7" s="530"/>
      <x:c r="K7" s="531"/>
      <x:c r="L7" s="532"/>
      <x:c r="M7" s="578"/>
      <x:c r="N7" s="579"/>
      <x:c r="O7" s="580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>
      <x:c r="A8" s="34"/>
      <x:c r="B8" s="35"/>
      <x:c r="D8" s="34"/>
      <x:c r="E8" s="201"/>
      <x:c r="F8" s="201"/>
      <x:c r="G8" s="35"/>
      <x:c r="I8" s="76"/>
      <x:c r="J8" s="77"/>
      <x:c r="K8" s="77"/>
      <x:c r="L8" s="77"/>
      <x:c r="M8" s="77"/>
      <x:c r="N8" s="78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 t="str">
        <x:v>HEUTE · SOLLWERTE</x:v>
      </x:c>
      <x:c r="B9" s="601"/>
      <x:c r="C9" s="602"/>
      <x:c r="D9" s="600"/>
      <x:c r="E9" s="603"/>
      <x:c r="F9" s="603"/>
      <x:c r="G9" s="601"/>
      <x:c r="H9" s="602"/>
      <x:c r="I9" s="604"/>
      <x:c r="J9" s="602"/>
      <x:c r="K9" s="602"/>
      <x:c r="L9" s="602"/>
      <x:c r="M9" s="602"/>
      <x:c r="N9" s="605"/>
      <x:c r="O9" s="602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4" customHeight="1">
      <x:c r="A10" s="413" t="str">
        <x:v>PPFD</x:v>
      </x:c>
      <x:c r="B10" s="415"/>
      <x:c r="C10" s="630" t="str">
        <x:v>DLI</x:v>
      </x:c>
      <x:c r="D10" s="631"/>
      <x:c r="E10" s="356" t="str">
        <x:v>WATT</x:v>
      </x:c>
      <x:c r="F10" s="641"/>
      <x:c r="G10" s="658" t="str">
        <x:v>ABSTAND cm</x:v>
      </x:c>
      <x:c r="H10" s="358"/>
      <x:c r="I10" s="670" t="str">
        <x:v>TEMP °C</x:v>
      </x:c>
      <x:c r="J10" s="671"/>
      <x:c r="K10" s="670" t="str">
        <x:v>LF %</x:v>
      </x:c>
      <x:c r="L10" s="671"/>
      <x:c r="M10" s="670" t="str">
        <x:v>LEAF-VPD est.</x:v>
      </x:c>
      <x:c r="N10" s="696" t="str">
        <x:v>LEAF-VPD est.</x:v>
      </x:c>
      <x:c r="O10" s="671" t="str">
        <x:v>LEAF-VPD est.</x:v>
      </x:c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32" customHeight="1">
      <x:c r="A11" s="1360" t="n">
        <x:f>VLOOKUP('01_Run_Config'!$B$5,'02_Daily_Master'!$A$2:$AK$82,9,FALSE)</x:f>
        <x:v>160</x:v>
      </x:c>
      <x:c r="B11" s="1361"/>
      <x:c r="C11" s="1360" t="n">
        <x:f>VLOOKUP('01_Run_Config'!$B$5,'02_Daily_Master'!$A$2:$AK$82,10,FALSE)</x:f>
        <x:v>10.368</x:v>
      </x:c>
      <x:c r="D11" s="1362"/>
      <x:c r="E11" s="1363" t="n">
        <x:f>VLOOKUP('01_Run_Config'!$B$5,'02_Daily_Master'!$A$2:$AK$82,8,FALSE)</x:f>
        <x:v>30</x:v>
      </x:c>
      <x:c r="F11" s="1364"/>
      <x:c r="G11" s="1365" t="n">
        <x:f>VLOOKUP('01_Run_Config'!$B$5,'02_Daily_Master'!$A$2:$AK$82,11,FALSE)</x:f>
        <x:v>55</x:v>
      </x:c>
      <x:c r="H11" s="1364"/>
      <x:c r="I11" s="1366" t="n">
        <x:f>VLOOKUP('01_Run_Config'!$B$5,'02_Daily_Master'!$A$2:$AK$82,12,FALSE)</x:f>
        <x:v>25</x:v>
      </x:c>
      <x:c r="J11" s="1367"/>
      <x:c r="K11" s="1366" t="n">
        <x:f>VLOOKUP('01_Run_Config'!$B$5,'02_Daily_Master'!$A$2:$AK$82,14,FALSE)</x:f>
        <x:v>73</x:v>
      </x:c>
      <x:c r="L11" s="1367"/>
      <x:c r="M11" s="1366" t="n">
        <x:f>VLOOKUP('01_Run_Config'!$B$5,'02_Daily_Master'!$A$2:$AK$82,15,FALSE)</x:f>
        <x:v>0.67</x:v>
      </x:c>
      <x:c r="N11" s="1368"/>
      <x:c r="O11" s="13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8" customHeight="1">
      <x:c r="A12" s="443"/>
      <x:c r="B12" s="445"/>
      <x:c r="C12" s="443"/>
      <x:c r="D12" s="445"/>
      <x:c r="E12" s="382"/>
      <x:c r="F12" s="384"/>
      <x:c r="G12" s="382"/>
      <x:c r="H12" s="384"/>
      <x:c r="I12" s="688"/>
      <x:c r="J12" s="689"/>
      <x:c r="K12" s="688"/>
      <x:c r="L12" s="689"/>
      <x:c r="M12" s="688"/>
      <x:c r="N12" s="704"/>
      <x:c r="O12" s="689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707" t="str">
        <x:v>HEUTE · WURZELZONE &amp; WASSER</x:v>
      </x:c>
      <x:c r="B14" s="707"/>
      <x:c r="C14" s="707"/>
      <x:c r="D14" s="707" t="str">
        <x:v>pH Setpoint</x:v>
      </x:c>
      <x:c r="E14" s="707"/>
      <x:c r="F14" s="707"/>
      <x:c r="G14" s="707" t="str">
        <x:v>WASSERBAND min L</x:v>
      </x:c>
      <x:c r="H14" s="707"/>
      <x:c r="I14" s="707"/>
      <x:c r="J14" s="707" t="str">
        <x:v>WASSERBAND max L</x:v>
      </x:c>
      <x:c r="K14" s="707"/>
      <x:c r="L14" s="707"/>
      <x:c r="M14" s="707"/>
      <x:c r="N14" s="707"/>
      <x:c r="O14" s="707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4" customHeight="1">
      <x:c r="A15" s="710" t="str">
        <x:v>EC mS/cm</x:v>
      </x:c>
      <x:c r="B15" s="711"/>
      <x:c r="C15" s="712"/>
      <x:c r="D15" s="710" t="str">
        <x:v>pH</x:v>
      </x:c>
      <x:c r="E15" s="711"/>
      <x:c r="F15" s="712"/>
      <x:c r="G15" s="743" t="str">
        <x:v>WASSER min L</x:v>
      </x:c>
      <x:c r="H15" s="744"/>
      <x:c r="I15" s="358"/>
      <x:c r="J15" s="743" t="str">
        <x:v>WASSER max L</x:v>
      </x:c>
      <x:c r="K15" s="744"/>
      <x:c r="L15" s="358"/>
      <x:c r="M15" s="630" t="str">
        <x:v>MODUS</x:v>
      </x:c>
      <x:c r="N15" s="761"/>
      <x:c r="O15" s="762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32" customHeight="1">
      <x:c r="A16" s="1369" t="n">
        <x:f>VLOOKUP('01_Run_Config'!$B$5,'02_Daily_Master'!$A$2:$AK$82,16,FALSE)</x:f>
        <x:v>0.55</x:v>
      </x:c>
      <x:c r="B16" s="1370"/>
      <x:c r="C16" s="1371"/>
      <x:c r="D16" s="1369" t="n">
        <x:f>VLOOKUP('01_Run_Config'!$B$5,'02_Daily_Master'!$A$2:$AK$82,17,FALSE)</x:f>
        <x:v>5.9</x:v>
      </x:c>
      <x:c r="E16" s="1370"/>
      <x:c r="F16" s="1371"/>
      <x:c r="G16" s="1363" t="n">
        <x:f>VLOOKUP('01_Run_Config'!$B$5,'02_Daily_Master'!$A$2:$AK$82,18,FALSE)</x:f>
        <x:v>0.03</x:v>
      </x:c>
      <x:c r="H16" s="1372"/>
      <x:c r="I16" s="1364"/>
      <x:c r="J16" s="1363" t="n">
        <x:f>VLOOKUP('01_Run_Config'!$B$5,'02_Daily_Master'!$A$2:$AK$82,19,FALSE)</x:f>
        <x:v>0.08</x:v>
      </x:c>
      <x:c r="K16" s="1372"/>
      <x:c r="L16" s="1364"/>
      <x:c r="M16" s="1360" t="str">
        <x:f>VLOOKUP('01_Run_Config'!$B$5,'02_Daily_Master'!$A$2:$AK$82,20,FALSE)</x:f>
        <x:v>Manuell</x:v>
      </x:c>
      <x:c r="N16" s="1373"/>
      <x:c r="O16" s="1361"/>
      <x:c r="P16"/>
      <x:c r="Q16"/>
      <x:c r="R16"/>
      <x:c r="T16"/>
      <x:c r="U16"/>
      <x:c r="V16"/>
      <x:c r="X16"/>
      <x:c r="Y16"/>
      <x:c r="Z16"/>
      <x:c r="AA16"/>
    </x:row>
    <x:row r="17" ht="8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>
      <x:c r="A18" s="22"/>
      <x:c r="B18" s="57"/>
      <x:c r="C18" s="57"/>
      <x:c r="D18" s="57"/>
      <x:c r="E18" s="57"/>
      <x:c r="F18" s="23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779" t="str">
        <x:v>HEUTE · FEED, TRAINING &amp; ENTSCHEIDUNGEN</x:v>
      </x:c>
      <x:c r="B19" s="780"/>
      <x:c r="C19" s="780"/>
      <x:c r="D19" s="780"/>
      <x:c r="E19" s="780"/>
      <x:c r="F19" s="781"/>
      <x:c r="G19" s="780"/>
      <x:c r="H19" s="780"/>
      <x:c r="I19" s="780"/>
      <x:c r="J19" s="780"/>
      <x:c r="K19" s="780"/>
      <x:c r="L19" s="780"/>
      <x:c r="M19" s="780"/>
      <x:c r="N19" s="780"/>
      <x:c r="O19" s="780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789" t="str">
        <x:v>BASIS</x:v>
      </x:c>
      <x:c r="B20" s="790" t="str">
        <x:v>BASIS</x:v>
      </x:c>
      <x:c r="C20" s="790" t="str">
        <x:v>BASIS</x:v>
      </x:c>
      <x:c r="D20" s="790" t="str">
        <x:v>ATHENA / HESI SUPPORT</x:v>
      </x:c>
      <x:c r="E20" s="790" t="str">
        <x:v>ATHENA / HESI SUPPORT</x:v>
      </x:c>
      <x:c r="F20" s="795" t="str">
        <x:v>ATHENA / HESI SUPPORT</x:v>
      </x:c>
      <x:c r="G20" s="790" t="str">
        <x:v>TRAINING / CANOPY</x:v>
      </x:c>
      <x:c r="H20" s="790" t="str">
        <x:v>TRAINING / CANOPY</x:v>
      </x:c>
      <x:c r="I20" s="790" t="str">
        <x:v>TRAINING / CANOPY</x:v>
      </x:c>
      <x:c r="J20" s="790" t="str">
        <x:v>TRAINING / CANOPY</x:v>
      </x:c>
      <x:c r="K20" s="790" t="str">
        <x:v>STOP / GATE</x:v>
      </x:c>
      <x:c r="L20" s="790" t="str">
        <x:v>STOP / GATE</x:v>
      </x:c>
      <x:c r="M20" s="790" t="str">
        <x:v>STOP / GATE</x:v>
      </x:c>
      <x:c r="N20" s="790" t="str">
        <x:v>STOP / GATE</x:v>
      </x:c>
      <x:c r="O20" s="790" t="str">
        <x:v>STOP / GATE</x:v>
      </x:c>
      <x:c r="P20"/>
      <x:c r="Q20"/>
      <x:c r="R20"/>
      <x:c r="T20"/>
      <x:c r="U20"/>
      <x:c r="V20"/>
      <x:c r="X20"/>
      <x:c r="Y20"/>
      <x:c r="Z20"/>
      <x:c r="AA20"/>
    </x:row>
    <x:row r="21" ht="28" customHeight="1">
      <x:c r="A21" s="816" t="str">
        <x:f>"Basis: "&amp;INDEX('02_Daily_Master'!$U$2:$U$82,'01_Run_Config'!$B$5+1)&amp;CHAR(10)&amp;"Dose: "&amp;TEXT(INDEX('02_Daily_Master'!$V$2:$V$82,'01_Run_Config'!$B$5+1),"0.00")&amp;" ml/L"&amp;CHAR(10)&amp;"Root: "&amp;TEXT(INDEX('02_Daily_Master'!$W$2:$W$82,'01_Run_Config'!$B$5+1),"0.00")&amp;" · SuperVit: "&amp;TEXT(INDEX('02_Daily_Master'!$Y$2:$Y$82,'01_Run_Config'!$B$5+1),"0.000")&amp;CHAR(10)&amp;"Voodoo: "&amp;TEXT(INDEX('02_Daily_Master'!$AC$2:$AC$82,'01_Run_Config'!$B$5+1),"0.00")</x:f>
        <x:v>Basis: Kein Basisdünger
Dose: 0.00 ml/L
Root: 2.50 · SuperVit: 0.015
Voodoo: 0.00</x:v>
      </x:c>
      <x:c r="B21" s="817"/>
      <x:c r="C21" s="818"/>
      <x:c r="D21" s="847" t="str">
        <x:f>"Athena/Si: "&amp;INDEX('02_Daily_Master'!$AI$2:$AI$82,'01_Run_Config'!$B$5+1)&amp;CHAR(10)&amp;"PowerZyme: "&amp;TEXT(INDEX('02_Daily_Master'!$X$2:$X$82,'01_Run_Config'!$B$5+1),"0.00")&amp;CHAR(10)&amp;"Boost / PK: "&amp;TEXT(INDEX('02_Daily_Master'!$AA$2:$AA$82,'01_Run_Config'!$B$5+1),"0.00")&amp;" / "&amp;TEXT(INDEX('02_Daily_Master'!$AB$2:$AB$82,'01_Run_Config'!$B$5+1),"0.00")</x:f>
        <x:v>Athena/Si: Nur nach Wasserchemie/Endmix titrieren; kein Kalenderwert
PowerZyme: 0.00
Boost / PK: 0.00 / 0.00</x:v>
      </x:c>
      <x:c r="E21" s="848"/>
      <x:c r="F21" s="849"/>
      <x:c r="G21" s="875" t="str">
        <x:f>VLOOKUP('01_Run_Config'!$B$5,'02_Daily_Master'!$A$2:$AK$82,31,FALSE)</x:f>
        <x:v>Kein Training</x:v>
      </x:c>
      <x:c r="H21" s="876"/>
      <x:c r="I21" s="876"/>
      <x:c r="J21" s="877"/>
      <x:c r="K21" s="904" t="str">
        <x:f>VLOOKUP('01_Run_Config'!$B$5,'02_Daily_Master'!$A$2:$AK$82,33,FALSE)&amp;CHAR(10)&amp;CHAR(10)&amp;"Wochen-Gate: "&amp;VLOOKUP(VLOOKUP('01_Run_Config'!$B$5,'02_Daily_Master'!$A$2:$AK$82,3,FALSE),'03_Weekly_Master'!$A$2:$T$13,20,FALSE)</x:f>
        <x:v>EC nicht erhöhen bei steigender Diagnose-Drain-EC; PPFD nicht erhöhen bei Stress; Wasserband nie erzwingen; nie mehrere neue Booster gleichzeitig.
Wochen-Gate: Keimling vital? Sonst nicht Licht/EC pushen</x:v>
      </x:c>
      <x:c r="L21" s="905"/>
      <x:c r="M21" s="905"/>
      <x:c r="N21" s="905"/>
      <x:c r="O21" s="906"/>
      <x:c r="P21"/>
      <x:c r="Q21"/>
      <x:c r="R21"/>
      <x:c r="T21"/>
      <x:c r="U21"/>
      <x:c r="V21"/>
      <x:c r="X21"/>
      <x:c r="Y21"/>
      <x:c r="Z21"/>
      <x:c r="AA21"/>
    </x:row>
    <x:row r="22" ht="28" customHeight="1">
      <x:c r="A22" s="819"/>
      <x:c r="B22" s="820"/>
      <x:c r="C22" s="821"/>
      <x:c r="D22" s="850"/>
      <x:c r="E22" s="851"/>
      <x:c r="F22" s="852"/>
      <x:c r="G22" s="878"/>
      <x:c r="H22" s="879"/>
      <x:c r="I22" s="879"/>
      <x:c r="J22" s="880"/>
      <x:c r="K22" s="907"/>
      <x:c r="L22" s="908"/>
      <x:c r="M22" s="908"/>
      <x:c r="N22" s="908"/>
      <x:c r="O22" s="909"/>
      <x:c r="P22"/>
      <x:c r="Q22"/>
      <x:c r="R22"/>
      <x:c r="T22"/>
      <x:c r="U22"/>
      <x:c r="V22"/>
      <x:c r="X22"/>
      <x:c r="Y22"/>
      <x:c r="Z22"/>
      <x:c r="AA22"/>
    </x:row>
    <x:row r="23" ht="28" customHeight="1">
      <x:c r="A23" s="1781"/>
      <x:c r="B23" s="1782"/>
      <x:c r="C23" s="1783"/>
      <x:c r="D23" s="1781"/>
      <x:c r="E23" s="1782"/>
      <x:c r="F23" s="1783"/>
      <x:c r="G23" s="1781"/>
      <x:c r="H23" s="1782"/>
      <x:c r="I23" s="1782"/>
      <x:c r="J23" s="1783"/>
      <x:c r="K23" s="1784"/>
      <x:c r="L23" s="1785"/>
      <x:c r="M23" s="1785"/>
      <x:c r="N23" s="1785"/>
      <x:c r="O23" s="1786"/>
      <x:c r="P23"/>
      <x:c r="Q23"/>
      <x:c r="R23"/>
      <x:c r="T23"/>
      <x:c r="U23"/>
      <x:c r="V23"/>
      <x:c r="X23"/>
      <x:c r="Y23"/>
      <x:c r="Z23"/>
      <x:c r="AA23"/>
    </x:row>
    <x:row r="24" ht="28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>
      <x:c r="A25" s="22"/>
      <x:c r="B25" s="57"/>
      <x:c r="C25" s="57"/>
      <x:c r="D25" s="57"/>
      <x:c r="E25" s="57"/>
      <x:c r="F25" s="23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919" t="str">
        <x:v>SCHNELLNAVIGATION · Tabs unten nach Namen öffnen · zuerst SETUP → DAILY PLAN → MIX → LOG</x:v>
      </x:c>
      <x:c r="B26" s="920"/>
      <x:c r="C26" s="920"/>
      <x:c r="D26" s="920"/>
      <x:c r="E26" s="920"/>
      <x:c r="F26" s="921"/>
      <x:c r="G26" s="920"/>
      <x:c r="H26" s="920"/>
      <x:c r="I26" s="920"/>
      <x:c r="J26" s="920"/>
      <x:c r="K26" s="920"/>
      <x:c r="L26" s="920"/>
      <x:c r="M26" s="920"/>
      <x:c r="N26" s="920"/>
      <x:c r="O26" s="920"/>
      <x:c r="P26"/>
      <x:c r="Q26"/>
      <x:c r="R26"/>
      <x:c r="T26"/>
      <x:c r="U26"/>
      <x:c r="V26"/>
      <x:c r="X26"/>
      <x:c r="Y26"/>
      <x:c r="Z26"/>
      <x:c r="AA26"/>
    </x:row>
    <x:row r="27" ht="24" customHeight="1">
      <x:c r="A27" s="1305" t="str">
        <x:v>1 · SETUP
01_Run_Config</x:v>
      </x:c>
      <x:c r="B27" s="1306"/>
      <x:c r="C27" s="1307"/>
      <x:c r="D27" s="1311" t="str">
        <x:v>2 · DAILY PLAN
02_Daily_Master</x:v>
      </x:c>
      <x:c r="E27" s="1312"/>
      <x:c r="F27" s="1313"/>
      <x:c r="G27" s="1317" t="str">
        <x:v>3 · MIX
05_Mix_Calculator</x:v>
      </x:c>
      <x:c r="H27" s="1318"/>
      <x:c r="I27" s="1319"/>
      <x:c r="J27" s="1323" t="str">
        <x:v>4 · LOG
12_Daily_Log</x:v>
      </x:c>
      <x:c r="K27" s="1324"/>
      <x:c r="L27" s="1325"/>
      <x:c r="M27" s="1329" t="str">
        <x:v>WEEKLY
03_Weekly_Master</x:v>
      </x:c>
      <x:c r="N27" s="1330"/>
      <x:c r="O27" s="1331"/>
      <x:c r="P27"/>
      <x:c r="Q27"/>
      <x:c r="R27"/>
      <x:c r="T27"/>
      <x:c r="U27"/>
      <x:c r="V27"/>
      <x:c r="X27"/>
      <x:c r="Y27"/>
      <x:c r="Z27"/>
      <x:c r="AA27"/>
    </x:row>
    <x:row r="28" ht="24" customHeight="1">
      <x:c r="A28" s="1308"/>
      <x:c r="B28" s="1309"/>
      <x:c r="C28" s="1310"/>
      <x:c r="D28" s="1314"/>
      <x:c r="E28" s="1315"/>
      <x:c r="F28" s="1316"/>
      <x:c r="G28" s="1320"/>
      <x:c r="H28" s="1321"/>
      <x:c r="I28" s="1322"/>
      <x:c r="J28" s="1326"/>
      <x:c r="K28" s="1327"/>
      <x:c r="L28" s="1328"/>
      <x:c r="M28" s="1332"/>
      <x:c r="N28" s="1333"/>
      <x:c r="O28" s="1334"/>
    </x:row>
    <x:row r="29" ht="24" customHeight="1"/>
    <x:row r="30" ht="32" customHeight="1">
      <x:c r="A30" s="1790" t="str">
        <x:v>AN HYBRID · ACTIVE MODULES / COVERAGE</x:v>
      </x:c>
      <x:c r="B30" s="1791"/>
      <x:c r="C30" s="1792"/>
      <x:c r="D30" s="1790"/>
      <x:c r="E30" s="1791"/>
      <x:c r="F30" s="1792"/>
      <x:c r="G30" s="1790"/>
      <x:c r="H30" s="1791"/>
      <x:c r="I30" s="1792"/>
      <x:c r="J30" s="1790"/>
      <x:c r="K30" s="1791"/>
      <x:c r="L30" s="1792"/>
      <x:c r="M30" s="1790"/>
      <x:c r="N30" s="1791"/>
      <x:c r="O30" s="1792"/>
    </x:row>
    <x:row r="31" ht="32" customHeight="1">
      <x:c r="A31" s="1796" t="str">
        <x:f>INDEX('02_Daily_Master'!$BH$2:$BH$82,'01_Run_Config'!$B$5+1)</x:f>
        <x:v>keine AN-Dosis heute</x:v>
      </x:c>
      <x:c r="B31" s="1797"/>
      <x:c r="C31" s="1798"/>
      <x:c r="D31" s="1796"/>
      <x:c r="E31" s="1797"/>
      <x:c r="F31" s="1798"/>
      <x:c r="G31" s="1796" t="str">
        <x:f>"Coverage: "&amp;INDEX('02_Daily_Master'!$BG$2:$BG$82,'01_Run_Config'!$B$5+1)</x:f>
        <x:v>Coverage: OK</x:v>
      </x:c>
      <x:c r="H31" s="1797"/>
      <x:c r="I31" s="1798"/>
      <x:c r="J31" s="1796"/>
      <x:c r="K31" s="1797" t="str">
        <x:f>"Microbiome: "&amp;'01_Run_Config'!$B$46&amp;" · Carbo: HESI Boost · Si: Athena Balance conditional · PK: HESI PK13/14"</x:f>
        <x:v>Microbiome: Voodoo + Tarantula · Carbo: HESI Boost · Si: Athena Balance conditional · PK: HESI PK13/14</x:v>
      </x:c>
      <x:c r="L31" s="1798"/>
      <x:c r="M31" s="1796"/>
      <x:c r="N31" s="1797"/>
      <x:c r="O31" s="1798"/>
    </x:row>
    <x:row r="32" ht="28" customHeight="1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</x:row>
    <x:row r="33" ht="22" customHeight="1">
      <x:c r="A33" s="1058" t="str">
        <x:v>FARBLOGIK</x:v>
      </x:c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 s="1058"/>
      <x:c r="L33" s="1058"/>
      <x:c r="M33" s="1058"/>
      <x:c r="N33" s="1058"/>
      <x:c r="O33" s="1058"/>
    </x:row>
    <x:row r="34" ht="22" customHeight="1">
      <x:c r="A34" s="1072" t="str">
        <x:v>LICHT / SYSTEM</x:v>
      </x:c>
      <x:c r="B34" s="1073"/>
      <x:c r="C34" s="1074"/>
      <x:c r="D34" s="1091" t="str">
        <x:v>KLIMA</x:v>
      </x:c>
      <x:c r="E34" s="1092"/>
      <x:c r="F34" s="1093"/>
      <x:c r="G34" s="1110" t="str">
        <x:v>NÄHRSTOFFE</x:v>
      </x:c>
      <x:c r="H34" s="1111"/>
      <x:c r="I34" s="1112"/>
      <x:c r="J34" s="1129" t="str">
        <x:v>BIO / ADDITIVE</x:v>
      </x:c>
      <x:c r="K34" s="1130"/>
      <x:c r="L34" s="1131"/>
      <x:c r="M34" s="1148" t="str">
        <x:v>WARNUNG / STOP</x:v>
      </x:c>
      <x:c r="N34" s="1149"/>
      <x:c r="O34" s="1150"/>
    </x:row>
    <x:row r="35" ht="22" customHeight="1">
      <x:c r="A35" s="1075"/>
      <x:c r="B35" s="1076"/>
      <x:c r="C35" s="1077"/>
      <x:c r="D35" s="1094"/>
      <x:c r="E35" s="1095"/>
      <x:c r="F35" s="1096"/>
      <x:c r="G35" s="1113"/>
      <x:c r="H35" s="1114"/>
      <x:c r="I35" s="1115"/>
      <x:c r="J35" s="1132"/>
      <x:c r="K35" s="1133"/>
      <x:c r="L35" s="1134"/>
      <x:c r="M35" s="1151"/>
      <x:c r="N35" s="1152"/>
      <x:c r="O35" s="1153"/>
    </x:row>
    <x:row r="36">
      <x:c r="A36" s="1448" t="str">
        <x:v>AUDIT-KERNREGEL v6: Tages-Liter sind Start-/Beobachtungsbänder, keine zu erzwingende Dosis. Tropf-Blumat ist laut Hersteller nicht für Innenräume bestimmt. Feed-/AN-Fenster folgen dem Blüte-Trigger; Klima/Licht bleiben Plantrajektorie; ungemessene Wasserchemie blockiert Athena-Balance-Automatik.</x:v>
      </x:c>
      <x:c r="B36" s="1449"/>
      <x:c r="C36" s="1449"/>
      <x:c r="D36" s="1449"/>
      <x:c r="E36" s="1449"/>
      <x:c r="F36" s="1449"/>
      <x:c r="G36" s="1449"/>
      <x:c r="H36" s="1449"/>
      <x:c r="I36" s="1449"/>
      <x:c r="J36" s="1449"/>
      <x:c r="K36" s="1449"/>
      <x:c r="L36" s="1449"/>
      <x:c r="M36" s="1449"/>
      <x:c r="N36" s="1449"/>
      <x:c r="O36" s="1450"/>
    </x:row>
    <x:row r="37">
      <x:c r="A37" s="1451"/>
      <x:c r="B37" s="1452"/>
      <x:c r="C37" s="1452"/>
      <x:c r="D37" s="1452"/>
      <x:c r="E37" s="1452"/>
      <x:c r="F37" s="1452"/>
      <x:c r="G37" s="1452"/>
      <x:c r="H37" s="1452"/>
      <x:c r="I37" s="1452"/>
      <x:c r="J37" s="1452"/>
      <x:c r="K37" s="1452"/>
      <x:c r="L37" s="1452"/>
      <x:c r="M37" s="1452"/>
      <x:c r="N37" s="1452"/>
      <x:c r="O37" s="1453"/>
    </x:row>
  </x:sheetData>
  <x:mergeCells>
    <x:mergeCell ref="A1:N1"/>
    <x:mergeCell ref="A1:O1"/>
    <x:mergeCell ref="A2:O2"/>
    <x:mergeCell ref="A4:C4"/>
    <x:mergeCell ref="A5:C6"/>
    <x:mergeCell ref="A7:C7"/>
    <x:mergeCell ref="D4:F4"/>
    <x:mergeCell ref="D5:F7"/>
    <x:mergeCell ref="G4:I4"/>
    <x:mergeCell ref="G5:I7"/>
    <x:mergeCell ref="J4:L4"/>
    <x:mergeCell ref="J5:L7"/>
    <x:mergeCell ref="M4:O4"/>
    <x:mergeCell ref="M5:O7"/>
    <x:mergeCell ref="A9:O9"/>
    <x:mergeCell ref="A10:B10"/>
    <x:mergeCell ref="C10:D10"/>
    <x:mergeCell ref="E10:F10"/>
    <x:mergeCell ref="G10:H10"/>
    <x:mergeCell ref="I10:J10"/>
    <x:mergeCell ref="K10:L10"/>
    <x:mergeCell ref="M10:O10"/>
    <x:mergeCell ref="A14:O14"/>
    <x:mergeCell ref="A15:C15"/>
    <x:mergeCell ref="D15:F15"/>
    <x:mergeCell ref="G15:I15"/>
    <x:mergeCell ref="J15:L15"/>
    <x:mergeCell ref="M15:O15"/>
    <x:mergeCell ref="A19:O19"/>
    <x:mergeCell ref="A21:C24"/>
    <x:mergeCell ref="D21:F24"/>
    <x:mergeCell ref="G21:J24"/>
    <x:mergeCell ref="K21:O24"/>
    <x:mergeCell ref="A26:O26"/>
    <x:mergeCell ref="A27:C28"/>
    <x:mergeCell ref="D27:F28"/>
    <x:mergeCell ref="G27:I28"/>
    <x:mergeCell ref="J27:L28"/>
    <x:mergeCell ref="M27:O28"/>
    <x:mergeCell ref="A33:O33"/>
    <x:mergeCell ref="A34:C35"/>
    <x:mergeCell ref="D34:F35"/>
    <x:mergeCell ref="G34:I35"/>
    <x:mergeCell ref="J34:L35"/>
    <x:mergeCell ref="M34:O35"/>
    <x:mergeCell ref="A20:C20"/>
    <x:mergeCell ref="D20:F20"/>
    <x:mergeCell ref="G20:J20"/>
    <x:mergeCell ref="K20:O20"/>
    <x:mergeCell ref="A11:B11"/>
    <x:mergeCell ref="C11:D11"/>
    <x:mergeCell ref="E11:F11"/>
    <x:mergeCell ref="G11:H11"/>
    <x:mergeCell ref="I11:J11"/>
    <x:mergeCell ref="K11:L11"/>
    <x:mergeCell ref="M11:O11"/>
    <x:mergeCell ref="A16:C16"/>
    <x:mergeCell ref="D16:F16"/>
    <x:mergeCell ref="G16:I16"/>
    <x:mergeCell ref="J16:L16"/>
    <x:mergeCell ref="M16:O16"/>
    <x:mergeCell ref="A36:O37"/>
    <x:mergeCell ref="A23:O23"/>
    <x:mergeCell ref="A24:F24"/>
    <x:mergeCell ref="G24:J24"/>
    <x:mergeCell ref="K24:O24"/>
    <x:mergeCell ref="A30:O30"/>
    <x:mergeCell ref="A31:F31"/>
    <x:mergeCell ref="G31:J31"/>
    <x:mergeCell ref="K31:O31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8327c9bfe15d449d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8" hidden="0" customWidth="1"/>
    <x:col min="5" max="5" width="18" hidden="0" customWidth="1"/>
    <x:col min="6" max="6" width="31" hidden="0" customWidth="1"/>
    <x:col min="7" max="7" width="34" hidden="0" customWidth="1"/>
    <x:col min="8" max="8" width="22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Plan-Endtag (Tag 0 = Start)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Why</x:v>
      </x:c>
      <x:c r="G32" s="1705" t="str">
        <x:v>Action</x:v>
      </x:c>
      <x:c r="H32" s="1706" t="str">
        <x:v>Evidence</x:v>
      </x:c>
    </x:row>
    <x:row r="33">
      <x:c r="A33" s="1156" t="str">
        <x:v>Blüte-Trigger Tag</x:v>
      </x:c>
      <x:c r="B33" s="1386" t="n"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Nährstoffstart muss vor Blüte-Trigger liegen; beide innerhalb Planfenster.</x:v>
      </x:c>
      <x:c r="G33" s="1708" t="str">
        <x:v>Bei BLOCK keine triggerbasierten Feedwerte als operative Anleitung nutzen.</x:v>
      </x:c>
      <x:c r="H33" s="1709" t="str">
        <x:v>Spreadsheet logic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Preferred Si/pH buffer</x:v>
      </x:c>
      <x:c r="E64" s="60" t="str">
        <x:v>CONDITIONAL</x:v>
      </x:c>
      <x:c r="F64" s="60" t="str">
        <x:v>Owned and selected, but Athena publishes no universal calendar rate.</x:v>
      </x:c>
      <x:c r="G64" s="60" t="str">
        <x:v>Baseline endmix/water chemistry first; titrate only when needed.</x:v>
      </x:c>
      <x:c r="H64" s="60" t="str">
        <x:v>Athena manufacturer</x:v>
      </x:c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Sensizym",0,IF(AND(A2&gt;='01_Run_Config'!$B$32,OR(AJ2="",AJ2&lt;=49)),2,0))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Overdrive",0,IF(AND(ISNUMBER(AJ2),AJ2&gt;=29,AJ2&lt;=42),0.25+((AJ2-29)/13)*0.25,0))</x:f>
        <x:v>0</x:v>
      </x:c>
      <x:c r="AC2" s="62" t="n">
        <x:f>IF('01_Run_Config'!$B$46="OFF",0,IF(OR(A2='01_Run_Config'!$B$32,A2='01_Run_Config'!$B$32+7,A2='01_Run_Config'!$B$33+1,A2='01_Run_Config'!$B$33+8),2,0))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A-B",0,IF(OR(AND(A2&gt;='01_Run_Config'!$B$32,A2&lt;'01_Run_Config'!$B$33),AND(ISNUMBER(AJ2),AJ2&gt;=15,AJ2&lt;=49)),2,0))</x:f>
        <x:v>0</x:v>
      </x:c>
      <x:c r="AW2" t="n">
        <x:f>IF('01_Run_Config'!$B$48="AN Bud Candy (replaces HESI Boost)",IF(AND(A2&gt;='01_Run_Config'!$B$32,OR(AJ2="",AJ2&lt;=49)),2,0),0)</x:f>
        <x:v>0</x:v>
      </x:c>
      <x:c r="AX2" t="n">
        <x:f>IF('01_Run_Config'!$B$49&lt;&gt;"ON / EXPERIMENTAL",0,IF(OR(AND(A2&gt;='01_Run_Config'!$B$32+7,A2&lt;'01_Run_Config'!$B$33),AND(ISNUMBER(AJ2),AJ2&gt;=1,AJ2&lt;=49)),2,0))</x:f>
        <x:v>0</x:v>
      </x:c>
      <x:c r="AY2" t="n">
        <x:f>IF('01_Run_Config'!$B$50="AN Sensizym",IF(AND(A2&gt;='01_Run_Config'!$B$32,OR(AJ2="",AJ2&lt;=49)),2,0),0)</x:f>
        <x:v>0</x:v>
      </x:c>
      <x:c r="AZ2" t="n">
        <x:f>IF('01_Run_Config'!$B$51="AN Rhino Skin",IF(AND(A2&gt;='01_Run_Config'!$B$32,OR(AJ2="",AJ2&lt;=49)),2,0),0)</x:f>
        <x:v>0</x:v>
      </x:c>
      <x:c r="BA2" t="n">
        <x:f>IF(AND('01_Run_Config'!$B$52="AN Bud Ignitor &gt; Big Bud &gt; Overdrive",ISNUMBER(AJ2),AJ2&gt;=1,AJ2&lt;=14),2,0)</x:f>
        <x:v>0</x:v>
      </x:c>
      <x:c r="BB2" t="n">
        <x:f>IF(AND('01_Run_Config'!$B$52="AN Bud Ignitor &gt; Big Bud &gt; Overdrive",ISNUMBER(AJ2),AJ2&gt;=8,AJ2&lt;=35),2,0)</x:f>
        <x:v>0</x:v>
      </x:c>
      <x:c r="BC2" t="n">
        <x:f>IF(AND('01_Run_Config'!$B$52="AN Bud Ignitor &gt; Big Bud &gt; Overdrive",ISNUMBER(AJ2),AJ2&gt;=36,AJ2&lt;=49),2,0)</x:f>
        <x:v>0</x:v>
      </x:c>
      <x:c r="BD2" t="n">
        <x:f>IF('01_Run_Config'!$B$53="ON / EXPERIMENTAL",IF(OR(AND(A2&gt;='01_Run_Config'!$B$32,A2&lt;'01_Run_Config'!$B$33),AND(ISNUMBER(AJ2),AJ2&gt;=15,AJ2&lt;=49)),2,0),0)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Sensizym",0,IF(AND(A3&gt;='01_Run_Config'!$B$32,OR(AJ3="",AJ3&lt;=49)),2,0))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Overdrive",0,IF(AND(ISNUMBER(AJ3),AJ3&gt;=29,AJ3&lt;=42),0.25+((AJ3-29)/13)*0.25,0))</x:f>
        <x:v>0</x:v>
      </x:c>
      <x:c r="AC3" s="63" t="n">
        <x:f>IF('01_Run_Config'!$B$46="OFF",0,IF(OR(A3='01_Run_Config'!$B$32,A3='01_Run_Config'!$B$32+7,A3='01_Run_Config'!$B$33+1,A3='01_Run_Config'!$B$33+8),2,0))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A-B",0,IF(OR(AND(A3&gt;='01_Run_Config'!$B$32,A3&lt;'01_Run_Config'!$B$33),AND(ISNUMBER(AJ3),AJ3&gt;=15,AJ3&lt;=49)),2,0))</x:f>
        <x:v>0</x:v>
      </x:c>
      <x:c r="AW3" t="n">
        <x:f>IF('01_Run_Config'!$B$48="AN Bud Candy (replaces HESI Boost)",IF(AND(A3&gt;='01_Run_Config'!$B$32,OR(AJ3="",AJ3&lt;=49)),2,0),0)</x:f>
        <x:v>0</x:v>
      </x:c>
      <x:c r="AX3" t="n">
        <x:f>IF('01_Run_Config'!$B$49&lt;&gt;"ON / EXPERIMENTAL",0,IF(OR(AND(A3&gt;='01_Run_Config'!$B$32+7,A3&lt;'01_Run_Config'!$B$33),AND(ISNUMBER(AJ3),AJ3&gt;=1,AJ3&lt;=49)),2,0))</x:f>
        <x:v>0</x:v>
      </x:c>
      <x:c r="AY3" t="n">
        <x:f>IF('01_Run_Config'!$B$50="AN Sensizym",IF(AND(A3&gt;='01_Run_Config'!$B$32,OR(AJ3="",AJ3&lt;=49)),2,0),0)</x:f>
        <x:v>0</x:v>
      </x:c>
      <x:c r="AZ3" t="n">
        <x:f>IF('01_Run_Config'!$B$51="AN Rhino Skin",IF(AND(A3&gt;='01_Run_Config'!$B$32,OR(AJ3="",AJ3&lt;=49)),2,0),0)</x:f>
        <x:v>0</x:v>
      </x:c>
      <x:c r="BA3" t="n">
        <x:f>IF(AND('01_Run_Config'!$B$52="AN Bud Ignitor &gt; Big Bud &gt; Overdrive",ISNUMBER(AJ3),AJ3&gt;=1,AJ3&lt;=14),2,0)</x:f>
        <x:v>0</x:v>
      </x:c>
      <x:c r="BB3" t="n">
        <x:f>IF(AND('01_Run_Config'!$B$52="AN Bud Ignitor &gt; Big Bud &gt; Overdrive",ISNUMBER(AJ3),AJ3&gt;=8,AJ3&lt;=35),2,0)</x:f>
        <x:v>0</x:v>
      </x:c>
      <x:c r="BC3" t="n">
        <x:f>IF(AND('01_Run_Config'!$B$52="AN Bud Ignitor &gt; Big Bud &gt; Overdrive",ISNUMBER(AJ3),AJ3&gt;=36,AJ3&lt;=49),2,0)</x:f>
        <x:v>0</x:v>
      </x:c>
      <x:c r="BD3" t="n">
        <x:f>IF('01_Run_Config'!$B$53="ON / EXPERIMENTAL",IF(OR(AND(A3&gt;='01_Run_Config'!$B$32,A3&lt;'01_Run_Config'!$B$33),AND(ISNUMBER(AJ3),AJ3&gt;=15,AJ3&lt;=49)),2,0),0)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Sensizym",0,IF(AND(A4&gt;='01_Run_Config'!$B$32,OR(AJ4="",AJ4&lt;=49)),2,0))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Overdrive",0,IF(AND(ISNUMBER(AJ4),AJ4&gt;=29,AJ4&lt;=42),0.25+((AJ4-29)/13)*0.25,0))</x:f>
        <x:v>0</x:v>
      </x:c>
      <x:c r="AC4" s="63" t="n">
        <x:f>IF('01_Run_Config'!$B$46="OFF",0,IF(OR(A4='01_Run_Config'!$B$32,A4='01_Run_Config'!$B$32+7,A4='01_Run_Config'!$B$33+1,A4='01_Run_Config'!$B$33+8),2,0))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A-B",0,IF(OR(AND(A4&gt;='01_Run_Config'!$B$32,A4&lt;'01_Run_Config'!$B$33),AND(ISNUMBER(AJ4),AJ4&gt;=15,AJ4&lt;=49)),2,0))</x:f>
        <x:v>0</x:v>
      </x:c>
      <x:c r="AW4" t="n">
        <x:f>IF('01_Run_Config'!$B$48="AN Bud Candy (replaces HESI Boost)",IF(AND(A4&gt;='01_Run_Config'!$B$32,OR(AJ4="",AJ4&lt;=49)),2,0),0)</x:f>
        <x:v>0</x:v>
      </x:c>
      <x:c r="AX4" t="n">
        <x:f>IF('01_Run_Config'!$B$49&lt;&gt;"ON / EXPERIMENTAL",0,IF(OR(AND(A4&gt;='01_Run_Config'!$B$32+7,A4&lt;'01_Run_Config'!$B$33),AND(ISNUMBER(AJ4),AJ4&gt;=1,AJ4&lt;=49)),2,0))</x:f>
        <x:v>0</x:v>
      </x:c>
      <x:c r="AY4" t="n">
        <x:f>IF('01_Run_Config'!$B$50="AN Sensizym",IF(AND(A4&gt;='01_Run_Config'!$B$32,OR(AJ4="",AJ4&lt;=49)),2,0),0)</x:f>
        <x:v>0</x:v>
      </x:c>
      <x:c r="AZ4" t="n">
        <x:f>IF('01_Run_Config'!$B$51="AN Rhino Skin",IF(AND(A4&gt;='01_Run_Config'!$B$32,OR(AJ4="",AJ4&lt;=49)),2,0),0)</x:f>
        <x:v>0</x:v>
      </x:c>
      <x:c r="BA4" t="n">
        <x:f>IF(AND('01_Run_Config'!$B$52="AN Bud Ignitor &gt; Big Bud &gt; Overdrive",ISNUMBER(AJ4),AJ4&gt;=1,AJ4&lt;=14),2,0)</x:f>
        <x:v>0</x:v>
      </x:c>
      <x:c r="BB4" t="n">
        <x:f>IF(AND('01_Run_Config'!$B$52="AN Bud Ignitor &gt; Big Bud &gt; Overdrive",ISNUMBER(AJ4),AJ4&gt;=8,AJ4&lt;=35),2,0)</x:f>
        <x:v>0</x:v>
      </x:c>
      <x:c r="BC4" t="n">
        <x:f>IF(AND('01_Run_Config'!$B$52="AN Bud Ignitor &gt; Big Bud &gt; Overdrive",ISNUMBER(AJ4),AJ4&gt;=36,AJ4&lt;=49),2,0)</x:f>
        <x:v>0</x:v>
      </x:c>
      <x:c r="BD4" t="n">
        <x:f>IF('01_Run_Config'!$B$53="ON / EXPERIMENTAL",IF(OR(AND(A4&gt;='01_Run_Config'!$B$32,A4&lt;'01_Run_Config'!$B$33),AND(ISNUMBER(AJ4),AJ4&gt;=15,AJ4&lt;=49)),2,0),0)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Sensizym",0,IF(AND(A5&gt;='01_Run_Config'!$B$32,OR(AJ5="",AJ5&lt;=49)),2,0))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Overdrive",0,IF(AND(ISNUMBER(AJ5),AJ5&gt;=29,AJ5&lt;=42),0.25+((AJ5-29)/13)*0.25,0))</x:f>
        <x:v>0</x:v>
      </x:c>
      <x:c r="AC5" s="63" t="n">
        <x:f>IF('01_Run_Config'!$B$46="OFF",0,IF(OR(A5='01_Run_Config'!$B$32,A5='01_Run_Config'!$B$32+7,A5='01_Run_Config'!$B$33+1,A5='01_Run_Config'!$B$33+8),2,0))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A-B",0,IF(OR(AND(A5&gt;='01_Run_Config'!$B$32,A5&lt;'01_Run_Config'!$B$33),AND(ISNUMBER(AJ5),AJ5&gt;=15,AJ5&lt;=49)),2,0))</x:f>
        <x:v>0</x:v>
      </x:c>
      <x:c r="AW5" t="n">
        <x:f>IF('01_Run_Config'!$B$48="AN Bud Candy (replaces HESI Boost)",IF(AND(A5&gt;='01_Run_Config'!$B$32,OR(AJ5="",AJ5&lt;=49)),2,0),0)</x:f>
        <x:v>0</x:v>
      </x:c>
      <x:c r="AX5" t="n">
        <x:f>IF('01_Run_Config'!$B$49&lt;&gt;"ON / EXPERIMENTAL",0,IF(OR(AND(A5&gt;='01_Run_Config'!$B$32+7,A5&lt;'01_Run_Config'!$B$33),AND(ISNUMBER(AJ5),AJ5&gt;=1,AJ5&lt;=49)),2,0))</x:f>
        <x:v>0</x:v>
      </x:c>
      <x:c r="AY5" t="n">
        <x:f>IF('01_Run_Config'!$B$50="AN Sensizym",IF(AND(A5&gt;='01_Run_Config'!$B$32,OR(AJ5="",AJ5&lt;=49)),2,0),0)</x:f>
        <x:v>0</x:v>
      </x:c>
      <x:c r="AZ5" t="n">
        <x:f>IF('01_Run_Config'!$B$51="AN Rhino Skin",IF(AND(A5&gt;='01_Run_Config'!$B$32,OR(AJ5="",AJ5&lt;=49)),2,0),0)</x:f>
        <x:v>0</x:v>
      </x:c>
      <x:c r="BA5" t="n">
        <x:f>IF(AND('01_Run_Config'!$B$52="AN Bud Ignitor &gt; Big Bud &gt; Overdrive",ISNUMBER(AJ5),AJ5&gt;=1,AJ5&lt;=14),2,0)</x:f>
        <x:v>0</x:v>
      </x:c>
      <x:c r="BB5" t="n">
        <x:f>IF(AND('01_Run_Config'!$B$52="AN Bud Ignitor &gt; Big Bud &gt; Overdrive",ISNUMBER(AJ5),AJ5&gt;=8,AJ5&lt;=35),2,0)</x:f>
        <x:v>0</x:v>
      </x:c>
      <x:c r="BC5" t="n">
        <x:f>IF(AND('01_Run_Config'!$B$52="AN Bud Ignitor &gt; Big Bud &gt; Overdrive",ISNUMBER(AJ5),AJ5&gt;=36,AJ5&lt;=49),2,0)</x:f>
        <x:v>0</x:v>
      </x:c>
      <x:c r="BD5" t="n">
        <x:f>IF('01_Run_Config'!$B$53="ON / EXPERIMENTAL",IF(OR(AND(A5&gt;='01_Run_Config'!$B$32,A5&lt;'01_Run_Config'!$B$33),AND(ISNUMBER(AJ5),AJ5&gt;=15,AJ5&lt;=49)),2,0),0)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Sensizym",0,IF(AND(A6&gt;='01_Run_Config'!$B$32,OR(AJ6="",AJ6&lt;=49)),2,0))</x:f>
        <x:v>0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Overdrive",0,IF(AND(ISNUMBER(AJ6),AJ6&gt;=29,AJ6&lt;=42),0.25+((AJ6-29)/13)*0.25,0))</x:f>
        <x:v>0</x:v>
      </x:c>
      <x:c r="AC6" s="63" t="n">
        <x:f>IF('01_Run_Config'!$B$46="OFF",0,IF(OR(A6='01_Run_Config'!$B$32,A6='01_Run_Config'!$B$32+7,A6='01_Run_Config'!$B$33+1,A6='01_Run_Config'!$B$33+8),2,0))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A-B",0,IF(OR(AND(A6&gt;='01_Run_Config'!$B$32,A6&lt;'01_Run_Config'!$B$33),AND(ISNUMBER(AJ6),AJ6&gt;=15,AJ6&lt;=49)),2,0))</x:f>
        <x:v>0</x:v>
      </x:c>
      <x:c r="AW6" t="n">
        <x:f>IF('01_Run_Config'!$B$48="AN Bud Candy (replaces HESI Boost)",IF(AND(A6&gt;='01_Run_Config'!$B$32,OR(AJ6="",AJ6&lt;=49)),2,0),0)</x:f>
        <x:v>0</x:v>
      </x:c>
      <x:c r="AX6" t="n">
        <x:f>IF('01_Run_Config'!$B$49&lt;&gt;"ON / EXPERIMENTAL",0,IF(OR(AND(A6&gt;='01_Run_Config'!$B$32+7,A6&lt;'01_Run_Config'!$B$33),AND(ISNUMBER(AJ6),AJ6&gt;=1,AJ6&lt;=49)),2,0))</x:f>
        <x:v>0</x:v>
      </x:c>
      <x:c r="AY6" t="n">
        <x:f>IF('01_Run_Config'!$B$50="AN Sensizym",IF(AND(A6&gt;='01_Run_Config'!$B$32,OR(AJ6="",AJ6&lt;=49)),2,0),0)</x:f>
        <x:v>0</x:v>
      </x:c>
      <x:c r="AZ6" t="n">
        <x:f>IF('01_Run_Config'!$B$51="AN Rhino Skin",IF(AND(A6&gt;='01_Run_Config'!$B$32,OR(AJ6="",AJ6&lt;=49)),2,0),0)</x:f>
        <x:v>0</x:v>
      </x:c>
      <x:c r="BA6" t="n">
        <x:f>IF(AND('01_Run_Config'!$B$52="AN Bud Ignitor &gt; Big Bud &gt; Overdrive",ISNUMBER(AJ6),AJ6&gt;=1,AJ6&lt;=14),2,0)</x:f>
        <x:v>0</x:v>
      </x:c>
      <x:c r="BB6" t="n">
        <x:f>IF(AND('01_Run_Config'!$B$52="AN Bud Ignitor &gt; Big Bud &gt; Overdrive",ISNUMBER(AJ6),AJ6&gt;=8,AJ6&lt;=35),2,0)</x:f>
        <x:v>0</x:v>
      </x:c>
      <x:c r="BC6" t="n">
        <x:f>IF(AND('01_Run_Config'!$B$52="AN Bud Ignitor &gt; Big Bud &gt; Overdrive",ISNUMBER(AJ6),AJ6&gt;=36,AJ6&lt;=49),2,0)</x:f>
        <x:v>0</x:v>
      </x:c>
      <x:c r="BD6" t="n">
        <x:f>IF('01_Run_Config'!$B$53="ON / EXPERIMENTAL",IF(OR(AND(A6&gt;='01_Run_Config'!$B$32,A6&lt;'01_Run_Config'!$B$33),AND(ISNUMBER(AJ6),AJ6&gt;=15,AJ6&lt;=49)),2,0),0)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Sensizym",0,IF(AND(A7&gt;='01_Run_Config'!$B$32,OR(AJ7="",AJ7&lt;=49)),2,0))</x:f>
        <x:v>0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Overdrive",0,IF(AND(ISNUMBER(AJ7),AJ7&gt;=29,AJ7&lt;=42),0.25+((AJ7-29)/13)*0.25,0))</x:f>
        <x:v>0</x:v>
      </x:c>
      <x:c r="AC7" s="63" t="n">
        <x:f>IF('01_Run_Config'!$B$46="OFF",0,IF(OR(A7='01_Run_Config'!$B$32,A7='01_Run_Config'!$B$32+7,A7='01_Run_Config'!$B$33+1,A7='01_Run_Config'!$B$33+8),2,0))</x:f>
        <x:v>0</x:v>
      </x:c>
      <x:c r="AD7" s="63" t="str">
        <x:f>IF(BG7="BLOCK","HYBRID BLOCKED - Konfiguration prüfen",IF(SUM(AC7,AT7:BF7)&gt;0,"AN aktiv: "&amp;BH7,"AN: keine Dosis heute / Module aus"))</x:f>
        <x:v>AN: keine Dosis heute / Module aus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0</x:v>
      </x:c>
      <x:c r="AV7" t="n">
        <x:f>IF('01_Run_Config'!$B$47&lt;&gt;"ON / A-B",0,IF(OR(AND(A7&gt;='01_Run_Config'!$B$32,A7&lt;'01_Run_Config'!$B$33),AND(ISNUMBER(AJ7),AJ7&gt;=15,AJ7&lt;=49)),2,0))</x:f>
        <x:v>0</x:v>
      </x:c>
      <x:c r="AW7" t="n">
        <x:f>IF('01_Run_Config'!$B$48="AN Bud Candy (replaces HESI Boost)",IF(AND(A7&gt;='01_Run_Config'!$B$32,OR(AJ7="",AJ7&lt;=49)),2,0),0)</x:f>
        <x:v>0</x:v>
      </x:c>
      <x:c r="AX7" t="n">
        <x:f>IF('01_Run_Config'!$B$49&lt;&gt;"ON / EXPERIMENTAL",0,IF(OR(AND(A7&gt;='01_Run_Config'!$B$32+7,A7&lt;'01_Run_Config'!$B$33),AND(ISNUMBER(AJ7),AJ7&gt;=1,AJ7&lt;=49)),2,0))</x:f>
        <x:v>0</x:v>
      </x:c>
      <x:c r="AY7" t="n">
        <x:f>IF('01_Run_Config'!$B$50="AN Sensizym",IF(AND(A7&gt;='01_Run_Config'!$B$32,OR(AJ7="",AJ7&lt;=49)),2,0),0)</x:f>
        <x:v>0</x:v>
      </x:c>
      <x:c r="AZ7" t="n">
        <x:f>IF('01_Run_Config'!$B$51="AN Rhino Skin",IF(AND(A7&gt;='01_Run_Config'!$B$32,OR(AJ7="",AJ7&lt;=49)),2,0),0)</x:f>
        <x:v>0</x:v>
      </x:c>
      <x:c r="BA7" t="n">
        <x:f>IF(AND('01_Run_Config'!$B$52="AN Bud Ignitor &gt; Big Bud &gt; Overdrive",ISNUMBER(AJ7),AJ7&gt;=1,AJ7&lt;=14),2,0)</x:f>
        <x:v>0</x:v>
      </x:c>
      <x:c r="BB7" t="n">
        <x:f>IF(AND('01_Run_Config'!$B$52="AN Bud Ignitor &gt; Big Bud &gt; Overdrive",ISNUMBER(AJ7),AJ7&gt;=8,AJ7&lt;=35),2,0)</x:f>
        <x:v>0</x:v>
      </x:c>
      <x:c r="BC7" t="n">
        <x:f>IF(AND('01_Run_Config'!$B$52="AN Bud Ignitor &gt; Big Bud &gt; Overdrive",ISNUMBER(AJ7),AJ7&gt;=36,AJ7&lt;=49),2,0)</x:f>
        <x:v>0</x:v>
      </x:c>
      <x:c r="BD7" t="n">
        <x:f>IF('01_Run_Config'!$B$53="ON / EXPERIMENTAL",IF(OR(AND(A7&gt;='01_Run_Config'!$B$32,A7&lt;'01_Run_Config'!$B$33),AND(ISNUMBER(AJ7),AJ7&gt;=15,AJ7&lt;=49)),2,0),0)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keine AN-Dosis heute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Sensizym",0,IF(AND(A8&gt;='01_Run_Config'!$B$32,OR(AJ8="",AJ8&lt;=49)),2,0))</x:f>
        <x:v>0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Overdrive",0,IF(AND(ISNUMBER(AJ8),AJ8&gt;=29,AJ8&lt;=42),0.25+((AJ8-29)/13)*0.25,0))</x:f>
        <x:v>0</x:v>
      </x:c>
      <x:c r="AC8" s="63" t="n">
        <x:f>IF('01_Run_Config'!$B$46="OFF",0,IF(OR(A8='01_Run_Config'!$B$32,A8='01_Run_Config'!$B$32+7,A8='01_Run_Config'!$B$33+1,A8='01_Run_Config'!$B$33+8),2,0))</x:f>
        <x:v>0</x:v>
      </x:c>
      <x:c r="AD8" s="63" t="str">
        <x:f>IF(BG8="BLOCK","HYBRID BLOCKED - Konfiguration prüfen",IF(SUM(AC8,AT8:BF8)&gt;0,"AN aktiv: "&amp;BH8,"AN: keine Dosis heute / Module aus"))</x:f>
        <x:v>AN: keine Dosis heute / Module aus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0</x:v>
      </x:c>
      <x:c r="AV8" t="n">
        <x:f>IF('01_Run_Config'!$B$47&lt;&gt;"ON / A-B",0,IF(OR(AND(A8&gt;='01_Run_Config'!$B$32,A8&lt;'01_Run_Config'!$B$33),AND(ISNUMBER(AJ8),AJ8&gt;=15,AJ8&lt;=49)),2,0))</x:f>
        <x:v>0</x:v>
      </x:c>
      <x:c r="AW8" t="n">
        <x:f>IF('01_Run_Config'!$B$48="AN Bud Candy (replaces HESI Boost)",IF(AND(A8&gt;='01_Run_Config'!$B$32,OR(AJ8="",AJ8&lt;=49)),2,0),0)</x:f>
        <x:v>0</x:v>
      </x:c>
      <x:c r="AX8" t="n">
        <x:f>IF('01_Run_Config'!$B$49&lt;&gt;"ON / EXPERIMENTAL",0,IF(OR(AND(A8&gt;='01_Run_Config'!$B$32+7,A8&lt;'01_Run_Config'!$B$33),AND(ISNUMBER(AJ8),AJ8&gt;=1,AJ8&lt;=49)),2,0))</x:f>
        <x:v>0</x:v>
      </x:c>
      <x:c r="AY8" t="n">
        <x:f>IF('01_Run_Config'!$B$50="AN Sensizym",IF(AND(A8&gt;='01_Run_Config'!$B$32,OR(AJ8="",AJ8&lt;=49)),2,0),0)</x:f>
        <x:v>0</x:v>
      </x:c>
      <x:c r="AZ8" t="n">
        <x:f>IF('01_Run_Config'!$B$51="AN Rhino Skin",IF(AND(A8&gt;='01_Run_Config'!$B$32,OR(AJ8="",AJ8&lt;=49)),2,0),0)</x:f>
        <x:v>0</x:v>
      </x:c>
      <x:c r="BA8" t="n">
        <x:f>IF(AND('01_Run_Config'!$B$52="AN Bud Ignitor &gt; Big Bud &gt; Overdrive",ISNUMBER(AJ8),AJ8&gt;=1,AJ8&lt;=14),2,0)</x:f>
        <x:v>0</x:v>
      </x:c>
      <x:c r="BB8" t="n">
        <x:f>IF(AND('01_Run_Config'!$B$52="AN Bud Ignitor &gt; Big Bud &gt; Overdrive",ISNUMBER(AJ8),AJ8&gt;=8,AJ8&lt;=35),2,0)</x:f>
        <x:v>0</x:v>
      </x:c>
      <x:c r="BC8" t="n">
        <x:f>IF(AND('01_Run_Config'!$B$52="AN Bud Ignitor &gt; Big Bud &gt; Overdrive",ISNUMBER(AJ8),AJ8&gt;=36,AJ8&lt;=49),2,0)</x:f>
        <x:v>0</x:v>
      </x:c>
      <x:c r="BD8" t="n">
        <x:f>IF('01_Run_Config'!$B$53="ON / EXPERIMENTAL",IF(OR(AND(A8&gt;='01_Run_Config'!$B$32,A8&lt;'01_Run_Config'!$B$33),AND(ISNUMBER(AJ8),AJ8&gt;=15,AJ8&lt;=49)),2,0),0)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keine AN-Dosis heute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Sensizym",0,IF(AND(A9&gt;='01_Run_Config'!$B$32,OR(AJ9="",AJ9&lt;=49)),2,0))</x:f>
        <x:v>0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Overdrive",0,IF(AND(ISNUMBER(AJ9),AJ9&gt;=29,AJ9&lt;=42),0.25+((AJ9-29)/13)*0.25,0))</x:f>
        <x:v>0</x:v>
      </x:c>
      <x:c r="AC9" s="63" t="n">
        <x:f>IF('01_Run_Config'!$B$46="OFF",0,IF(OR(A9='01_Run_Config'!$B$32,A9='01_Run_Config'!$B$32+7,A9='01_Run_Config'!$B$33+1,A9='01_Run_Config'!$B$33+8),2,0))</x:f>
        <x:v>0</x:v>
      </x:c>
      <x:c r="AD9" s="63" t="str">
        <x:f>IF(BG9="BLOCK","HYBRID BLOCKED - Konfiguration prüfen",IF(SUM(AC9,AT9:BF9)&gt;0,"AN aktiv: "&amp;BH9,"AN: keine Dosis heute / Module aus"))</x:f>
        <x:v>AN: keine Dosis heute / Module aus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0</x:v>
      </x:c>
      <x:c r="AV9" t="n">
        <x:f>IF('01_Run_Config'!$B$47&lt;&gt;"ON / A-B",0,IF(OR(AND(A9&gt;='01_Run_Config'!$B$32,A9&lt;'01_Run_Config'!$B$33),AND(ISNUMBER(AJ9),AJ9&gt;=15,AJ9&lt;=49)),2,0))</x:f>
        <x:v>0</x:v>
      </x:c>
      <x:c r="AW9" t="n">
        <x:f>IF('01_Run_Config'!$B$48="AN Bud Candy (replaces HESI Boost)",IF(AND(A9&gt;='01_Run_Config'!$B$32,OR(AJ9="",AJ9&lt;=49)),2,0),0)</x:f>
        <x:v>0</x:v>
      </x:c>
      <x:c r="AX9" t="n">
        <x:f>IF('01_Run_Config'!$B$49&lt;&gt;"ON / EXPERIMENTAL",0,IF(OR(AND(A9&gt;='01_Run_Config'!$B$32+7,A9&lt;'01_Run_Config'!$B$33),AND(ISNUMBER(AJ9),AJ9&gt;=1,AJ9&lt;=49)),2,0))</x:f>
        <x:v>0</x:v>
      </x:c>
      <x:c r="AY9" t="n">
        <x:f>IF('01_Run_Config'!$B$50="AN Sensizym",IF(AND(A9&gt;='01_Run_Config'!$B$32,OR(AJ9="",AJ9&lt;=49)),2,0),0)</x:f>
        <x:v>0</x:v>
      </x:c>
      <x:c r="AZ9" t="n">
        <x:f>IF('01_Run_Config'!$B$51="AN Rhino Skin",IF(AND(A9&gt;='01_Run_Config'!$B$32,OR(AJ9="",AJ9&lt;=49)),2,0),0)</x:f>
        <x:v>0</x:v>
      </x:c>
      <x:c r="BA9" t="n">
        <x:f>IF(AND('01_Run_Config'!$B$52="AN Bud Ignitor &gt; Big Bud &gt; Overdrive",ISNUMBER(AJ9),AJ9&gt;=1,AJ9&lt;=14),2,0)</x:f>
        <x:v>0</x:v>
      </x:c>
      <x:c r="BB9" t="n">
        <x:f>IF(AND('01_Run_Config'!$B$52="AN Bud Ignitor &gt; Big Bud &gt; Overdrive",ISNUMBER(AJ9),AJ9&gt;=8,AJ9&lt;=35),2,0)</x:f>
        <x:v>0</x:v>
      </x:c>
      <x:c r="BC9" t="n">
        <x:f>IF(AND('01_Run_Config'!$B$52="AN Bud Ignitor &gt; Big Bud &gt; Overdrive",ISNUMBER(AJ9),AJ9&gt;=36,AJ9&lt;=49),2,0)</x:f>
        <x:v>0</x:v>
      </x:c>
      <x:c r="BD9" t="n">
        <x:f>IF('01_Run_Config'!$B$53="ON / EXPERIMENTAL",IF(OR(AND(A9&gt;='01_Run_Config'!$B$32,A9&lt;'01_Run_Config'!$B$33),AND(ISNUMBER(AJ9),AJ9&gt;=15,AJ9&lt;=49)),2,0),0)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keine AN-Dosis heute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Sensizym",0,IF(AND(A10&gt;='01_Run_Config'!$B$32,OR(AJ10="",AJ10&lt;=49)),2,0))</x:f>
        <x:v>0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Overdrive",0,IF(AND(ISNUMBER(AJ10),AJ10&gt;=29,AJ10&lt;=42),0.25+((AJ10-29)/13)*0.25,0))</x:f>
        <x:v>0</x:v>
      </x:c>
      <x:c r="AC10" s="63" t="n">
        <x:f>IF('01_Run_Config'!$B$46="OFF",0,IF(OR(A10='01_Run_Config'!$B$32,A10='01_Run_Config'!$B$32+7,A10='01_Run_Config'!$B$33+1,A10='01_Run_Config'!$B$33+8),2,0))</x:f>
        <x:v>0</x:v>
      </x:c>
      <x:c r="AD10" s="63" t="str">
        <x:f>IF(BG10="BLOCK","HYBRID BLOCKED - Konfiguration prüfen",IF(SUM(AC10,AT10:BF10)&gt;0,"AN aktiv: "&amp;BH10,"AN: keine Dosis heute / Module aus"))</x:f>
        <x:v>AN: keine Dosis heute / Module aus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0</x:v>
      </x:c>
      <x:c r="AV10" t="n">
        <x:f>IF('01_Run_Config'!$B$47&lt;&gt;"ON / A-B",0,IF(OR(AND(A10&gt;='01_Run_Config'!$B$32,A10&lt;'01_Run_Config'!$B$33),AND(ISNUMBER(AJ10),AJ10&gt;=15,AJ10&lt;=49)),2,0))</x:f>
        <x:v>0</x:v>
      </x:c>
      <x:c r="AW10" t="n">
        <x:f>IF('01_Run_Config'!$B$48="AN Bud Candy (replaces HESI Boost)",IF(AND(A10&gt;='01_Run_Config'!$B$32,OR(AJ10="",AJ10&lt;=49)),2,0),0)</x:f>
        <x:v>0</x:v>
      </x:c>
      <x:c r="AX10" t="n">
        <x:f>IF('01_Run_Config'!$B$49&lt;&gt;"ON / EXPERIMENTAL",0,IF(OR(AND(A10&gt;='01_Run_Config'!$B$32+7,A10&lt;'01_Run_Config'!$B$33),AND(ISNUMBER(AJ10),AJ10&gt;=1,AJ10&lt;=49)),2,0))</x:f>
        <x:v>0</x:v>
      </x:c>
      <x:c r="AY10" t="n">
        <x:f>IF('01_Run_Config'!$B$50="AN Sensizym",IF(AND(A10&gt;='01_Run_Config'!$B$32,OR(AJ10="",AJ10&lt;=49)),2,0),0)</x:f>
        <x:v>0</x:v>
      </x:c>
      <x:c r="AZ10" t="n">
        <x:f>IF('01_Run_Config'!$B$51="AN Rhino Skin",IF(AND(A10&gt;='01_Run_Config'!$B$32,OR(AJ10="",AJ10&lt;=49)),2,0),0)</x:f>
        <x:v>0</x:v>
      </x:c>
      <x:c r="BA10" t="n">
        <x:f>IF(AND('01_Run_Config'!$B$52="AN Bud Ignitor &gt; Big Bud &gt; Overdrive",ISNUMBER(AJ10),AJ10&gt;=1,AJ10&lt;=14),2,0)</x:f>
        <x:v>0</x:v>
      </x:c>
      <x:c r="BB10" t="n">
        <x:f>IF(AND('01_Run_Config'!$B$52="AN Bud Ignitor &gt; Big Bud &gt; Overdrive",ISNUMBER(AJ10),AJ10&gt;=8,AJ10&lt;=35),2,0)</x:f>
        <x:v>0</x:v>
      </x:c>
      <x:c r="BC10" t="n">
        <x:f>IF(AND('01_Run_Config'!$B$52="AN Bud Ignitor &gt; Big Bud &gt; Overdrive",ISNUMBER(AJ10),AJ10&gt;=36,AJ10&lt;=49),2,0)</x:f>
        <x:v>0</x:v>
      </x:c>
      <x:c r="BD10" t="n">
        <x:f>IF('01_Run_Config'!$B$53="ON / EXPERIMENTAL",IF(OR(AND(A10&gt;='01_Run_Config'!$B$32,A10&lt;'01_Run_Config'!$B$33),AND(ISNUMBER(AJ10),AJ10&gt;=15,AJ10&lt;=49)),2,0),0)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keine AN-Dosis heute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Sensizym",0,IF(AND(A11&gt;='01_Run_Config'!$B$32,OR(AJ11="",AJ11&lt;=49)),2,0))</x:f>
        <x:v>0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Overdrive",0,IF(AND(ISNUMBER(AJ11),AJ11&gt;=29,AJ11&lt;=42),0.25+((AJ11-29)/13)*0.25,0))</x:f>
        <x:v>0</x:v>
      </x:c>
      <x:c r="AC11" s="63" t="n">
        <x:f>IF('01_Run_Config'!$B$46="OFF",0,IF(OR(A11='01_Run_Config'!$B$32,A11='01_Run_Config'!$B$32+7,A11='01_Run_Config'!$B$33+1,A11='01_Run_Config'!$B$33+8),2,0))</x:f>
        <x:v>0</x:v>
      </x:c>
      <x:c r="AD11" s="63" t="str">
        <x:f>IF(BG11="BLOCK","HYBRID BLOCKED - Konfiguration prüfen",IF(SUM(AC11,AT11:BF11)&gt;0,"AN aktiv: "&amp;BH11,"AN: keine Dosis heute / Module aus"))</x:f>
        <x:v>AN: keine Dosis heute / Module aus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0</x:v>
      </x:c>
      <x:c r="AV11" t="n">
        <x:f>IF('01_Run_Config'!$B$47&lt;&gt;"ON / A-B",0,IF(OR(AND(A11&gt;='01_Run_Config'!$B$32,A11&lt;'01_Run_Config'!$B$33),AND(ISNUMBER(AJ11),AJ11&gt;=15,AJ11&lt;=49)),2,0))</x:f>
        <x:v>0</x:v>
      </x:c>
      <x:c r="AW11" t="n">
        <x:f>IF('01_Run_Config'!$B$48="AN Bud Candy (replaces HESI Boost)",IF(AND(A11&gt;='01_Run_Config'!$B$32,OR(AJ11="",AJ11&lt;=49)),2,0),0)</x:f>
        <x:v>0</x:v>
      </x:c>
      <x:c r="AX11" t="n">
        <x:f>IF('01_Run_Config'!$B$49&lt;&gt;"ON / EXPERIMENTAL",0,IF(OR(AND(A11&gt;='01_Run_Config'!$B$32+7,A11&lt;'01_Run_Config'!$B$33),AND(ISNUMBER(AJ11),AJ11&gt;=1,AJ11&lt;=49)),2,0))</x:f>
        <x:v>0</x:v>
      </x:c>
      <x:c r="AY11" t="n">
        <x:f>IF('01_Run_Config'!$B$50="AN Sensizym",IF(AND(A11&gt;='01_Run_Config'!$B$32,OR(AJ11="",AJ11&lt;=49)),2,0),0)</x:f>
        <x:v>0</x:v>
      </x:c>
      <x:c r="AZ11" t="n">
        <x:f>IF('01_Run_Config'!$B$51="AN Rhino Skin",IF(AND(A11&gt;='01_Run_Config'!$B$32,OR(AJ11="",AJ11&lt;=49)),2,0),0)</x:f>
        <x:v>0</x:v>
      </x:c>
      <x:c r="BA11" t="n">
        <x:f>IF(AND('01_Run_Config'!$B$52="AN Bud Ignitor &gt; Big Bud &gt; Overdrive",ISNUMBER(AJ11),AJ11&gt;=1,AJ11&lt;=14),2,0)</x:f>
        <x:v>0</x:v>
      </x:c>
      <x:c r="BB11" t="n">
        <x:f>IF(AND('01_Run_Config'!$B$52="AN Bud Ignitor &gt; Big Bud &gt; Overdrive",ISNUMBER(AJ11),AJ11&gt;=8,AJ11&lt;=35),2,0)</x:f>
        <x:v>0</x:v>
      </x:c>
      <x:c r="BC11" t="n">
        <x:f>IF(AND('01_Run_Config'!$B$52="AN Bud Ignitor &gt; Big Bud &gt; Overdrive",ISNUMBER(AJ11),AJ11&gt;=36,AJ11&lt;=49),2,0)</x:f>
        <x:v>0</x:v>
      </x:c>
      <x:c r="BD11" t="n">
        <x:f>IF('01_Run_Config'!$B$53="ON / EXPERIMENTAL",IF(OR(AND(A11&gt;='01_Run_Config'!$B$32,A11&lt;'01_Run_Config'!$B$33),AND(ISNUMBER(AJ11),AJ11&gt;=15,AJ11&lt;=49)),2,0),0)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keine AN-Dosis heute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Sensizym",0,IF(AND(A12&gt;='01_Run_Config'!$B$32,OR(AJ12="",AJ12&lt;=49)),2,0))</x:f>
        <x:v>0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Overdrive",0,IF(AND(ISNUMBER(AJ12),AJ12&gt;=29,AJ12&lt;=42),0.25+((AJ12-29)/13)*0.25,0))</x:f>
        <x:v>0</x:v>
      </x:c>
      <x:c r="AC12" s="63" t="n">
        <x:f>IF('01_Run_Config'!$B$46="OFF",0,IF(OR(A12='01_Run_Config'!$B$32,A12='01_Run_Config'!$B$32+7,A12='01_Run_Config'!$B$33+1,A12='01_Run_Config'!$B$33+8),2,0))</x:f>
        <x:v>0</x:v>
      </x:c>
      <x:c r="AD12" s="63" t="str">
        <x:f>IF(BG12="BLOCK","HYBRID BLOCKED - Konfiguration prüfen",IF(SUM(AC12,AT12:BF12)&gt;0,"AN aktiv: "&amp;BH12,"AN: keine Dosis heute / Module aus"))</x:f>
        <x:v>AN: keine Dosis heute / Module aus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0</x:v>
      </x:c>
      <x:c r="AV12" t="n">
        <x:f>IF('01_Run_Config'!$B$47&lt;&gt;"ON / A-B",0,IF(OR(AND(A12&gt;='01_Run_Config'!$B$32,A12&lt;'01_Run_Config'!$B$33),AND(ISNUMBER(AJ12),AJ12&gt;=15,AJ12&lt;=49)),2,0))</x:f>
        <x:v>0</x:v>
      </x:c>
      <x:c r="AW12" t="n">
        <x:f>IF('01_Run_Config'!$B$48="AN Bud Candy (replaces HESI Boost)",IF(AND(A12&gt;='01_Run_Config'!$B$32,OR(AJ12="",AJ12&lt;=49)),2,0),0)</x:f>
        <x:v>0</x:v>
      </x:c>
      <x:c r="AX12" t="n">
        <x:f>IF('01_Run_Config'!$B$49&lt;&gt;"ON / EXPERIMENTAL",0,IF(OR(AND(A12&gt;='01_Run_Config'!$B$32+7,A12&lt;'01_Run_Config'!$B$33),AND(ISNUMBER(AJ12),AJ12&gt;=1,AJ12&lt;=49)),2,0))</x:f>
        <x:v>0</x:v>
      </x:c>
      <x:c r="AY12" t="n">
        <x:f>IF('01_Run_Config'!$B$50="AN Sensizym",IF(AND(A12&gt;='01_Run_Config'!$B$32,OR(AJ12="",AJ12&lt;=49)),2,0),0)</x:f>
        <x:v>0</x:v>
      </x:c>
      <x:c r="AZ12" t="n">
        <x:f>IF('01_Run_Config'!$B$51="AN Rhino Skin",IF(AND(A12&gt;='01_Run_Config'!$B$32,OR(AJ12="",AJ12&lt;=49)),2,0),0)</x:f>
        <x:v>0</x:v>
      </x:c>
      <x:c r="BA12" t="n">
        <x:f>IF(AND('01_Run_Config'!$B$52="AN Bud Ignitor &gt; Big Bud &gt; Overdrive",ISNUMBER(AJ12),AJ12&gt;=1,AJ12&lt;=14),2,0)</x:f>
        <x:v>0</x:v>
      </x:c>
      <x:c r="BB12" t="n">
        <x:f>IF(AND('01_Run_Config'!$B$52="AN Bud Ignitor &gt; Big Bud &gt; Overdrive",ISNUMBER(AJ12),AJ12&gt;=8,AJ12&lt;=35),2,0)</x:f>
        <x:v>0</x:v>
      </x:c>
      <x:c r="BC12" t="n">
        <x:f>IF(AND('01_Run_Config'!$B$52="AN Bud Ignitor &gt; Big Bud &gt; Overdrive",ISNUMBER(AJ12),AJ12&gt;=36,AJ12&lt;=49),2,0)</x:f>
        <x:v>0</x:v>
      </x:c>
      <x:c r="BD12" t="n">
        <x:f>IF('01_Run_Config'!$B$53="ON / EXPERIMENTAL",IF(OR(AND(A12&gt;='01_Run_Config'!$B$32,A12&lt;'01_Run_Config'!$B$33),AND(ISNUMBER(AJ12),AJ12&gt;=15,AJ12&lt;=49)),2,0),0)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keine AN-Dosis heute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Sensizym",0,IF(AND(A13&gt;='01_Run_Config'!$B$32,OR(AJ13="",AJ13&lt;=49)),2,0))</x:f>
        <x:v>0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Overdrive",0,IF(AND(ISNUMBER(AJ13),AJ13&gt;=29,AJ13&lt;=42),0.25+((AJ13-29)/13)*0.25,0))</x:f>
        <x:v>0</x:v>
      </x:c>
      <x:c r="AC13" s="63" t="n">
        <x:f>IF('01_Run_Config'!$B$46="OFF",0,IF(OR(A13='01_Run_Config'!$B$32,A13='01_Run_Config'!$B$32+7,A13='01_Run_Config'!$B$33+1,A13='01_Run_Config'!$B$33+8),2,0))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A-B",0,IF(OR(AND(A13&gt;='01_Run_Config'!$B$32,A13&lt;'01_Run_Config'!$B$33),AND(ISNUMBER(AJ13),AJ13&gt;=15,AJ13&lt;=49)),2,0))</x:f>
        <x:v>0</x:v>
      </x:c>
      <x:c r="AW13" t="n">
        <x:f>IF('01_Run_Config'!$B$48="AN Bud Candy (replaces HESI Boost)",IF(AND(A13&gt;='01_Run_Config'!$B$32,OR(AJ13="",AJ13&lt;=49)),2,0),0)</x:f>
        <x:v>0</x:v>
      </x:c>
      <x:c r="AX13" t="n">
        <x:f>IF('01_Run_Config'!$B$49&lt;&gt;"ON / EXPERIMENTAL",0,IF(OR(AND(A13&gt;='01_Run_Config'!$B$32+7,A13&lt;'01_Run_Config'!$B$33),AND(ISNUMBER(AJ13),AJ13&gt;=1,AJ13&lt;=49)),2,0))</x:f>
        <x:v>0</x:v>
      </x:c>
      <x:c r="AY13" t="n">
        <x:f>IF('01_Run_Config'!$B$50="AN Sensizym",IF(AND(A13&gt;='01_Run_Config'!$B$32,OR(AJ13="",AJ13&lt;=49)),2,0),0)</x:f>
        <x:v>0</x:v>
      </x:c>
      <x:c r="AZ13" t="n">
        <x:f>IF('01_Run_Config'!$B$51="AN Rhino Skin",IF(AND(A13&gt;='01_Run_Config'!$B$32,OR(AJ13="",AJ13&lt;=49)),2,0),0)</x:f>
        <x:v>0</x:v>
      </x:c>
      <x:c r="BA13" t="n">
        <x:f>IF(AND('01_Run_Config'!$B$52="AN Bud Ignitor &gt; Big Bud &gt; Overdrive",ISNUMBER(AJ13),AJ13&gt;=1,AJ13&lt;=14),2,0)</x:f>
        <x:v>0</x:v>
      </x:c>
      <x:c r="BB13" t="n">
        <x:f>IF(AND('01_Run_Config'!$B$52="AN Bud Ignitor &gt; Big Bud &gt; Overdrive",ISNUMBER(AJ13),AJ13&gt;=8,AJ13&lt;=35),2,0)</x:f>
        <x:v>0</x:v>
      </x:c>
      <x:c r="BC13" t="n">
        <x:f>IF(AND('01_Run_Config'!$B$52="AN Bud Ignitor &gt; Big Bud &gt; Overdrive",ISNUMBER(AJ13),AJ13&gt;=36,AJ13&lt;=49),2,0)</x:f>
        <x:v>0</x:v>
      </x:c>
      <x:c r="BD13" t="n">
        <x:f>IF('01_Run_Config'!$B$53="ON / EXPERIMENTAL",IF(OR(AND(A13&gt;='01_Run_Config'!$B$32,A13&lt;'01_Run_Config'!$B$33),AND(ISNUMBER(AJ13),AJ13&gt;=15,AJ13&lt;=49)),2,0),0)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Sensizym",0,IF(AND(A14&gt;='01_Run_Config'!$B$32,OR(AJ14="",AJ14&lt;=49)),2,0))</x:f>
        <x:v>0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Overdrive",0,IF(AND(ISNUMBER(AJ14),AJ14&gt;=29,AJ14&lt;=42),0.25+((AJ14-29)/13)*0.25,0))</x:f>
        <x:v>0</x:v>
      </x:c>
      <x:c r="AC14" s="63" t="n">
        <x:f>IF('01_Run_Config'!$B$46="OFF",0,IF(OR(A14='01_Run_Config'!$B$32,A14='01_Run_Config'!$B$32+7,A14='01_Run_Config'!$B$33+1,A14='01_Run_Config'!$B$33+8),2,0))</x:f>
        <x:v>0</x:v>
      </x:c>
      <x:c r="AD14" s="63" t="str">
        <x:f>IF(BG14="BLOCK","HYBRID BLOCKED - Konfiguration prüfen",IF(SUM(AC14,AT14:BF14)&gt;0,"AN aktiv: "&amp;BH14,"AN: keine Dosis heute / Module aus"))</x:f>
        <x:v>AN: keine Dosis heute / Module aus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0</x:v>
      </x:c>
      <x:c r="AV14" t="n">
        <x:f>IF('01_Run_Config'!$B$47&lt;&gt;"ON / A-B",0,IF(OR(AND(A14&gt;='01_Run_Config'!$B$32,A14&lt;'01_Run_Config'!$B$33),AND(ISNUMBER(AJ14),AJ14&gt;=15,AJ14&lt;=49)),2,0))</x:f>
        <x:v>0</x:v>
      </x:c>
      <x:c r="AW14" t="n">
        <x:f>IF('01_Run_Config'!$B$48="AN Bud Candy (replaces HESI Boost)",IF(AND(A14&gt;='01_Run_Config'!$B$32,OR(AJ14="",AJ14&lt;=49)),2,0),0)</x:f>
        <x:v>0</x:v>
      </x:c>
      <x:c r="AX14" t="n">
        <x:f>IF('01_Run_Config'!$B$49&lt;&gt;"ON / EXPERIMENTAL",0,IF(OR(AND(A14&gt;='01_Run_Config'!$B$32+7,A14&lt;'01_Run_Config'!$B$33),AND(ISNUMBER(AJ14),AJ14&gt;=1,AJ14&lt;=49)),2,0))</x:f>
        <x:v>0</x:v>
      </x:c>
      <x:c r="AY14" t="n">
        <x:f>IF('01_Run_Config'!$B$50="AN Sensizym",IF(AND(A14&gt;='01_Run_Config'!$B$32,OR(AJ14="",AJ14&lt;=49)),2,0),0)</x:f>
        <x:v>0</x:v>
      </x:c>
      <x:c r="AZ14" t="n">
        <x:f>IF('01_Run_Config'!$B$51="AN Rhino Skin",IF(AND(A14&gt;='01_Run_Config'!$B$32,OR(AJ14="",AJ14&lt;=49)),2,0),0)</x:f>
        <x:v>0</x:v>
      </x:c>
      <x:c r="BA14" t="n">
        <x:f>IF(AND('01_Run_Config'!$B$52="AN Bud Ignitor &gt; Big Bud &gt; Overdrive",ISNUMBER(AJ14),AJ14&gt;=1,AJ14&lt;=14),2,0)</x:f>
        <x:v>0</x:v>
      </x:c>
      <x:c r="BB14" t="n">
        <x:f>IF(AND('01_Run_Config'!$B$52="AN Bud Ignitor &gt; Big Bud &gt; Overdrive",ISNUMBER(AJ14),AJ14&gt;=8,AJ14&lt;=35),2,0)</x:f>
        <x:v>0</x:v>
      </x:c>
      <x:c r="BC14" t="n">
        <x:f>IF(AND('01_Run_Config'!$B$52="AN Bud Ignitor &gt; Big Bud &gt; Overdrive",ISNUMBER(AJ14),AJ14&gt;=36,AJ14&lt;=49),2,0)</x:f>
        <x:v>0</x:v>
      </x:c>
      <x:c r="BD14" t="n">
        <x:f>IF('01_Run_Config'!$B$53="ON / EXPERIMENTAL",IF(OR(AND(A14&gt;='01_Run_Config'!$B$32,A14&lt;'01_Run_Config'!$B$33),AND(ISNUMBER(AJ14),AJ14&gt;=15,AJ14&lt;=49)),2,0),0)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keine AN-Dosis heute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Sensizym",0,IF(AND(A15&gt;='01_Run_Config'!$B$32,OR(AJ15="",AJ15&lt;=49)),2,0))</x:f>
        <x:v>0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Overdrive",0,IF(AND(ISNUMBER(AJ15),AJ15&gt;=29,AJ15&lt;=42),0.25+((AJ15-29)/13)*0.25,0))</x:f>
        <x:v>0</x:v>
      </x:c>
      <x:c r="AC15" s="63" t="n">
        <x:f>IF('01_Run_Config'!$B$46="OFF",0,IF(OR(A15='01_Run_Config'!$B$32,A15='01_Run_Config'!$B$32+7,A15='01_Run_Config'!$B$33+1,A15='01_Run_Config'!$B$33+8),2,0))</x:f>
        <x:v>0</x:v>
      </x:c>
      <x:c r="AD15" s="63" t="str">
        <x:f>IF(BG15="BLOCK","HYBRID BLOCKED - Konfiguration prüfen",IF(SUM(AC15,AT15:BF15)&gt;0,"AN aktiv: "&amp;BH15,"AN: keine Dosis heute / Module aus"))</x:f>
        <x:v>AN: keine Dosis heute / Module aus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0</x:v>
      </x:c>
      <x:c r="AV15" t="n">
        <x:f>IF('01_Run_Config'!$B$47&lt;&gt;"ON / A-B",0,IF(OR(AND(A15&gt;='01_Run_Config'!$B$32,A15&lt;'01_Run_Config'!$B$33),AND(ISNUMBER(AJ15),AJ15&gt;=15,AJ15&lt;=49)),2,0))</x:f>
        <x:v>0</x:v>
      </x:c>
      <x:c r="AW15" t="n">
        <x:f>IF('01_Run_Config'!$B$48="AN Bud Candy (replaces HESI Boost)",IF(AND(A15&gt;='01_Run_Config'!$B$32,OR(AJ15="",AJ15&lt;=49)),2,0),0)</x:f>
        <x:v>0</x:v>
      </x:c>
      <x:c r="AX15" t="n">
        <x:f>IF('01_Run_Config'!$B$49&lt;&gt;"ON / EXPERIMENTAL",0,IF(OR(AND(A15&gt;='01_Run_Config'!$B$32+7,A15&lt;'01_Run_Config'!$B$33),AND(ISNUMBER(AJ15),AJ15&gt;=1,AJ15&lt;=49)),2,0))</x:f>
        <x:v>0</x:v>
      </x:c>
      <x:c r="AY15" t="n">
        <x:f>IF('01_Run_Config'!$B$50="AN Sensizym",IF(AND(A15&gt;='01_Run_Config'!$B$32,OR(AJ15="",AJ15&lt;=49)),2,0),0)</x:f>
        <x:v>0</x:v>
      </x:c>
      <x:c r="AZ15" t="n">
        <x:f>IF('01_Run_Config'!$B$51="AN Rhino Skin",IF(AND(A15&gt;='01_Run_Config'!$B$32,OR(AJ15="",AJ15&lt;=49)),2,0),0)</x:f>
        <x:v>0</x:v>
      </x:c>
      <x:c r="BA15" t="n">
        <x:f>IF(AND('01_Run_Config'!$B$52="AN Bud Ignitor &gt; Big Bud &gt; Overdrive",ISNUMBER(AJ15),AJ15&gt;=1,AJ15&lt;=14),2,0)</x:f>
        <x:v>0</x:v>
      </x:c>
      <x:c r="BB15" t="n">
        <x:f>IF(AND('01_Run_Config'!$B$52="AN Bud Ignitor &gt; Big Bud &gt; Overdrive",ISNUMBER(AJ15),AJ15&gt;=8,AJ15&lt;=35),2,0)</x:f>
        <x:v>0</x:v>
      </x:c>
      <x:c r="BC15" t="n">
        <x:f>IF(AND('01_Run_Config'!$B$52="AN Bud Ignitor &gt; Big Bud &gt; Overdrive",ISNUMBER(AJ15),AJ15&gt;=36,AJ15&lt;=49),2,0)</x:f>
        <x:v>0</x:v>
      </x:c>
      <x:c r="BD15" t="n">
        <x:f>IF('01_Run_Config'!$B$53="ON / EXPERIMENTAL",IF(OR(AND(A15&gt;='01_Run_Config'!$B$32,A15&lt;'01_Run_Config'!$B$33),AND(ISNUMBER(AJ15),AJ15&gt;=15,AJ15&lt;=49)),2,0),0)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keine AN-Dosis heute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Sensizym",0,IF(AND(A16&gt;='01_Run_Config'!$B$32,OR(AJ16="",AJ16&lt;=49)),2,0))</x:f>
        <x:v>0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Overdrive",0,IF(AND(ISNUMBER(AJ16),AJ16&gt;=29,AJ16&lt;=42),0.25+((AJ16-29)/13)*0.25,0))</x:f>
        <x:v>0</x:v>
      </x:c>
      <x:c r="AC16" s="63" t="n">
        <x:f>IF('01_Run_Config'!$B$46="OFF",0,IF(OR(A16='01_Run_Config'!$B$32,A16='01_Run_Config'!$B$32+7,A16='01_Run_Config'!$B$33+1,A16='01_Run_Config'!$B$33+8),2,0))</x:f>
        <x:v>0</x:v>
      </x:c>
      <x:c r="AD16" s="63" t="str">
        <x:f>IF(BG16="BLOCK","HYBRID BLOCKED - Konfiguration prüfen",IF(SUM(AC16,AT16:BF16)&gt;0,"AN aktiv: "&amp;BH16,"AN: keine Dosis heute / Module aus"))</x:f>
        <x:v>AN: keine Dosis heute / Module aus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0</x:v>
      </x:c>
      <x:c r="AV16" t="n">
        <x:f>IF('01_Run_Config'!$B$47&lt;&gt;"ON / A-B",0,IF(OR(AND(A16&gt;='01_Run_Config'!$B$32,A16&lt;'01_Run_Config'!$B$33),AND(ISNUMBER(AJ16),AJ16&gt;=15,AJ16&lt;=49)),2,0))</x:f>
        <x:v>0</x:v>
      </x:c>
      <x:c r="AW16" t="n">
        <x:f>IF('01_Run_Config'!$B$48="AN Bud Candy (replaces HESI Boost)",IF(AND(A16&gt;='01_Run_Config'!$B$32,OR(AJ16="",AJ16&lt;=49)),2,0),0)</x:f>
        <x:v>0</x:v>
      </x:c>
      <x:c r="AX16" t="n">
        <x:f>IF('01_Run_Config'!$B$49&lt;&gt;"ON / EXPERIMENTAL",0,IF(OR(AND(A16&gt;='01_Run_Config'!$B$32+7,A16&lt;'01_Run_Config'!$B$33),AND(ISNUMBER(AJ16),AJ16&gt;=1,AJ16&lt;=49)),2,0))</x:f>
        <x:v>0</x:v>
      </x:c>
      <x:c r="AY16" t="n">
        <x:f>IF('01_Run_Config'!$B$50="AN Sensizym",IF(AND(A16&gt;='01_Run_Config'!$B$32,OR(AJ16="",AJ16&lt;=49)),2,0),0)</x:f>
        <x:v>0</x:v>
      </x:c>
      <x:c r="AZ16" t="n">
        <x:f>IF('01_Run_Config'!$B$51="AN Rhino Skin",IF(AND(A16&gt;='01_Run_Config'!$B$32,OR(AJ16="",AJ16&lt;=49)),2,0),0)</x:f>
        <x:v>0</x:v>
      </x:c>
      <x:c r="BA16" t="n">
        <x:f>IF(AND('01_Run_Config'!$B$52="AN Bud Ignitor &gt; Big Bud &gt; Overdrive",ISNUMBER(AJ16),AJ16&gt;=1,AJ16&lt;=14),2,0)</x:f>
        <x:v>0</x:v>
      </x:c>
      <x:c r="BB16" t="n">
        <x:f>IF(AND('01_Run_Config'!$B$52="AN Bud Ignitor &gt; Big Bud &gt; Overdrive",ISNUMBER(AJ16),AJ16&gt;=8,AJ16&lt;=35),2,0)</x:f>
        <x:v>0</x:v>
      </x:c>
      <x:c r="BC16" t="n">
        <x:f>IF(AND('01_Run_Config'!$B$52="AN Bud Ignitor &gt; Big Bud &gt; Overdrive",ISNUMBER(AJ16),AJ16&gt;=36,AJ16&lt;=49),2,0)</x:f>
        <x:v>0</x:v>
      </x:c>
      <x:c r="BD16" t="n">
        <x:f>IF('01_Run_Config'!$B$53="ON / EXPERIMENTAL",IF(OR(AND(A16&gt;='01_Run_Config'!$B$32,A16&lt;'01_Run_Config'!$B$33),AND(ISNUMBER(AJ16),AJ16&gt;=15,AJ16&lt;=49)),2,0),0)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keine AN-Dosis heute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Sensizym",0,IF(AND(A17&gt;='01_Run_Config'!$B$32,OR(AJ17="",AJ17&lt;=49)),2,0))</x:f>
        <x:v>0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Overdrive",0,IF(AND(ISNUMBER(AJ17),AJ17&gt;=29,AJ17&lt;=42),0.25+((AJ17-29)/13)*0.25,0))</x:f>
        <x:v>0</x:v>
      </x:c>
      <x:c r="AC17" s="63" t="n">
        <x:f>IF('01_Run_Config'!$B$46="OFF",0,IF(OR(A17='01_Run_Config'!$B$32,A17='01_Run_Config'!$B$32+7,A17='01_Run_Config'!$B$33+1,A17='01_Run_Config'!$B$33+8),2,0))</x:f>
        <x:v>0</x:v>
      </x:c>
      <x:c r="AD17" s="63" t="str">
        <x:f>IF(BG17="BLOCK","HYBRID BLOCKED - Konfiguration prüfen",IF(SUM(AC17,AT17:BF17)&gt;0,"AN aktiv: "&amp;BH17,"AN: keine Dosis heute / Module aus"))</x:f>
        <x:v>AN: keine Dosis heute / Module aus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0</x:v>
      </x:c>
      <x:c r="AV17" t="n">
        <x:f>IF('01_Run_Config'!$B$47&lt;&gt;"ON / A-B",0,IF(OR(AND(A17&gt;='01_Run_Config'!$B$32,A17&lt;'01_Run_Config'!$B$33),AND(ISNUMBER(AJ17),AJ17&gt;=15,AJ17&lt;=49)),2,0))</x:f>
        <x:v>0</x:v>
      </x:c>
      <x:c r="AW17" t="n">
        <x:f>IF('01_Run_Config'!$B$48="AN Bud Candy (replaces HESI Boost)",IF(AND(A17&gt;='01_Run_Config'!$B$32,OR(AJ17="",AJ17&lt;=49)),2,0),0)</x:f>
        <x:v>0</x:v>
      </x:c>
      <x:c r="AX17" t="n">
        <x:f>IF('01_Run_Config'!$B$49&lt;&gt;"ON / EXPERIMENTAL",0,IF(OR(AND(A17&gt;='01_Run_Config'!$B$32+7,A17&lt;'01_Run_Config'!$B$33),AND(ISNUMBER(AJ17),AJ17&gt;=1,AJ17&lt;=49)),2,0))</x:f>
        <x:v>0</x:v>
      </x:c>
      <x:c r="AY17" t="n">
        <x:f>IF('01_Run_Config'!$B$50="AN Sensizym",IF(AND(A17&gt;='01_Run_Config'!$B$32,OR(AJ17="",AJ17&lt;=49)),2,0),0)</x:f>
        <x:v>0</x:v>
      </x:c>
      <x:c r="AZ17" t="n">
        <x:f>IF('01_Run_Config'!$B$51="AN Rhino Skin",IF(AND(A17&gt;='01_Run_Config'!$B$32,OR(AJ17="",AJ17&lt;=49)),2,0),0)</x:f>
        <x:v>0</x:v>
      </x:c>
      <x:c r="BA17" t="n">
        <x:f>IF(AND('01_Run_Config'!$B$52="AN Bud Ignitor &gt; Big Bud &gt; Overdrive",ISNUMBER(AJ17),AJ17&gt;=1,AJ17&lt;=14),2,0)</x:f>
        <x:v>0</x:v>
      </x:c>
      <x:c r="BB17" t="n">
        <x:f>IF(AND('01_Run_Config'!$B$52="AN Bud Ignitor &gt; Big Bud &gt; Overdrive",ISNUMBER(AJ17),AJ17&gt;=8,AJ17&lt;=35),2,0)</x:f>
        <x:v>0</x:v>
      </x:c>
      <x:c r="BC17" t="n">
        <x:f>IF(AND('01_Run_Config'!$B$52="AN Bud Ignitor &gt; Big Bud &gt; Overdrive",ISNUMBER(AJ17),AJ17&gt;=36,AJ17&lt;=49),2,0)</x:f>
        <x:v>0</x:v>
      </x:c>
      <x:c r="BD17" t="n">
        <x:f>IF('01_Run_Config'!$B$53="ON / EXPERIMENTAL",IF(OR(AND(A17&gt;='01_Run_Config'!$B$32,A17&lt;'01_Run_Config'!$B$33),AND(ISNUMBER(AJ17),AJ17&gt;=15,AJ17&lt;=49)),2,0),0)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keine AN-Dosis heute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Sensizym",0,IF(AND(A18&gt;='01_Run_Config'!$B$32,OR(AJ18="",AJ18&lt;=49)),2,0))</x:f>
        <x:v>0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Overdrive",0,IF(AND(ISNUMBER(AJ18),AJ18&gt;=29,AJ18&lt;=42),0.25+((AJ18-29)/13)*0.25,0))</x:f>
        <x:v>0</x:v>
      </x:c>
      <x:c r="AC18" s="63" t="n">
        <x:f>IF('01_Run_Config'!$B$46="OFF",0,IF(OR(A18='01_Run_Config'!$B$32,A18='01_Run_Config'!$B$32+7,A18='01_Run_Config'!$B$33+1,A18='01_Run_Config'!$B$33+8),2,0))</x:f>
        <x:v>0</x:v>
      </x:c>
      <x:c r="AD18" s="63" t="str">
        <x:f>IF(BG18="BLOCK","HYBRID BLOCKED - Konfiguration prüfen",IF(SUM(AC18,AT18:BF18)&gt;0,"AN aktiv: "&amp;BH18,"AN: keine Dosis heute / Module aus"))</x:f>
        <x:v>AN: keine Dosis heute / Module aus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0</x:v>
      </x:c>
      <x:c r="AV18" t="n">
        <x:f>IF('01_Run_Config'!$B$47&lt;&gt;"ON / A-B",0,IF(OR(AND(A18&gt;='01_Run_Config'!$B$32,A18&lt;'01_Run_Config'!$B$33),AND(ISNUMBER(AJ18),AJ18&gt;=15,AJ18&lt;=49)),2,0))</x:f>
        <x:v>0</x:v>
      </x:c>
      <x:c r="AW18" t="n">
        <x:f>IF('01_Run_Config'!$B$48="AN Bud Candy (replaces HESI Boost)",IF(AND(A18&gt;='01_Run_Config'!$B$32,OR(AJ18="",AJ18&lt;=49)),2,0),0)</x:f>
        <x:v>0</x:v>
      </x:c>
      <x:c r="AX18" t="n">
        <x:f>IF('01_Run_Config'!$B$49&lt;&gt;"ON / EXPERIMENTAL",0,IF(OR(AND(A18&gt;='01_Run_Config'!$B$32+7,A18&lt;'01_Run_Config'!$B$33),AND(ISNUMBER(AJ18),AJ18&gt;=1,AJ18&lt;=49)),2,0))</x:f>
        <x:v>0</x:v>
      </x:c>
      <x:c r="AY18" t="n">
        <x:f>IF('01_Run_Config'!$B$50="AN Sensizym",IF(AND(A18&gt;='01_Run_Config'!$B$32,OR(AJ18="",AJ18&lt;=49)),2,0),0)</x:f>
        <x:v>0</x:v>
      </x:c>
      <x:c r="AZ18" t="n">
        <x:f>IF('01_Run_Config'!$B$51="AN Rhino Skin",IF(AND(A18&gt;='01_Run_Config'!$B$32,OR(AJ18="",AJ18&lt;=49)),2,0),0)</x:f>
        <x:v>0</x:v>
      </x:c>
      <x:c r="BA18" t="n">
        <x:f>IF(AND('01_Run_Config'!$B$52="AN Bud Ignitor &gt; Big Bud &gt; Overdrive",ISNUMBER(AJ18),AJ18&gt;=1,AJ18&lt;=14),2,0)</x:f>
        <x:v>0</x:v>
      </x:c>
      <x:c r="BB18" t="n">
        <x:f>IF(AND('01_Run_Config'!$B$52="AN Bud Ignitor &gt; Big Bud &gt; Overdrive",ISNUMBER(AJ18),AJ18&gt;=8,AJ18&lt;=35),2,0)</x:f>
        <x:v>0</x:v>
      </x:c>
      <x:c r="BC18" t="n">
        <x:f>IF(AND('01_Run_Config'!$B$52="AN Bud Ignitor &gt; Big Bud &gt; Overdrive",ISNUMBER(AJ18),AJ18&gt;=36,AJ18&lt;=49),2,0)</x:f>
        <x:v>0</x:v>
      </x:c>
      <x:c r="BD18" t="n">
        <x:f>IF('01_Run_Config'!$B$53="ON / EXPERIMENTAL",IF(OR(AND(A18&gt;='01_Run_Config'!$B$32,A18&lt;'01_Run_Config'!$B$33),AND(ISNUMBER(AJ18),AJ18&gt;=15,AJ18&lt;=49)),2,0),0)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keine AN-Dosis heute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Sensizym",0,IF(AND(A19&gt;='01_Run_Config'!$B$32,OR(AJ19="",AJ19&lt;=49)),2,0))</x:f>
        <x:v>0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Overdrive",0,IF(AND(ISNUMBER(AJ19),AJ19&gt;=29,AJ19&lt;=42),0.25+((AJ19-29)/13)*0.25,0))</x:f>
        <x:v>0</x:v>
      </x:c>
      <x:c r="AC19" s="63" t="n">
        <x:f>IF('01_Run_Config'!$B$46="OFF",0,IF(OR(A19='01_Run_Config'!$B$32,A19='01_Run_Config'!$B$32+7,A19='01_Run_Config'!$B$33+1,A19='01_Run_Config'!$B$33+8),2,0))</x:f>
        <x:v>0</x:v>
      </x:c>
      <x:c r="AD19" s="63" t="str">
        <x:f>IF(BG19="BLOCK","HYBRID BLOCKED - Konfiguration prüfen",IF(SUM(AC19,AT19:BF19)&gt;0,"AN aktiv: "&amp;BH19,"AN: keine Dosis heute / Module aus"))</x:f>
        <x:v>AN: keine Dosis heute / Module aus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0</x:v>
      </x:c>
      <x:c r="AV19" t="n">
        <x:f>IF('01_Run_Config'!$B$47&lt;&gt;"ON / A-B",0,IF(OR(AND(A19&gt;='01_Run_Config'!$B$32,A19&lt;'01_Run_Config'!$B$33),AND(ISNUMBER(AJ19),AJ19&gt;=15,AJ19&lt;=49)),2,0))</x:f>
        <x:v>0</x:v>
      </x:c>
      <x:c r="AW19" t="n">
        <x:f>IF('01_Run_Config'!$B$48="AN Bud Candy (replaces HESI Boost)",IF(AND(A19&gt;='01_Run_Config'!$B$32,OR(AJ19="",AJ19&lt;=49)),2,0),0)</x:f>
        <x:v>0</x:v>
      </x:c>
      <x:c r="AX19" t="n">
        <x:f>IF('01_Run_Config'!$B$49&lt;&gt;"ON / EXPERIMENTAL",0,IF(OR(AND(A19&gt;='01_Run_Config'!$B$32+7,A19&lt;'01_Run_Config'!$B$33),AND(ISNUMBER(AJ19),AJ19&gt;=1,AJ19&lt;=49)),2,0))</x:f>
        <x:v>0</x:v>
      </x:c>
      <x:c r="AY19" t="n">
        <x:f>IF('01_Run_Config'!$B$50="AN Sensizym",IF(AND(A19&gt;='01_Run_Config'!$B$32,OR(AJ19="",AJ19&lt;=49)),2,0),0)</x:f>
        <x:v>0</x:v>
      </x:c>
      <x:c r="AZ19" t="n">
        <x:f>IF('01_Run_Config'!$B$51="AN Rhino Skin",IF(AND(A19&gt;='01_Run_Config'!$B$32,OR(AJ19="",AJ19&lt;=49)),2,0),0)</x:f>
        <x:v>0</x:v>
      </x:c>
      <x:c r="BA19" t="n">
        <x:f>IF(AND('01_Run_Config'!$B$52="AN Bud Ignitor &gt; Big Bud &gt; Overdrive",ISNUMBER(AJ19),AJ19&gt;=1,AJ19&lt;=14),2,0)</x:f>
        <x:v>0</x:v>
      </x:c>
      <x:c r="BB19" t="n">
        <x:f>IF(AND('01_Run_Config'!$B$52="AN Bud Ignitor &gt; Big Bud &gt; Overdrive",ISNUMBER(AJ19),AJ19&gt;=8,AJ19&lt;=35),2,0)</x:f>
        <x:v>0</x:v>
      </x:c>
      <x:c r="BC19" t="n">
        <x:f>IF(AND('01_Run_Config'!$B$52="AN Bud Ignitor &gt; Big Bud &gt; Overdrive",ISNUMBER(AJ19),AJ19&gt;=36,AJ19&lt;=49),2,0)</x:f>
        <x:v>0</x:v>
      </x:c>
      <x:c r="BD19" t="n">
        <x:f>IF('01_Run_Config'!$B$53="ON / EXPERIMENTAL",IF(OR(AND(A19&gt;='01_Run_Config'!$B$32,A19&lt;'01_Run_Config'!$B$33),AND(ISNUMBER(AJ19),AJ19&gt;=15,AJ19&lt;=49)),2,0),0)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keine AN-Dosis heute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Sensizym",0,IF(AND(A20&gt;='01_Run_Config'!$B$32,OR(AJ20="",AJ20&lt;=49)),2,0))</x:f>
        <x:v>0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Overdrive",0,IF(AND(ISNUMBER(AJ20),AJ20&gt;=29,AJ20&lt;=42),0.25+((AJ20-29)/13)*0.25,0))</x:f>
        <x:v>0</x:v>
      </x:c>
      <x:c r="AC20" s="63" t="n">
        <x:f>IF('01_Run_Config'!$B$46="OFF",0,IF(OR(A20='01_Run_Config'!$B$32,A20='01_Run_Config'!$B$32+7,A20='01_Run_Config'!$B$33+1,A20='01_Run_Config'!$B$33+8),2,0))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A-B",0,IF(OR(AND(A20&gt;='01_Run_Config'!$B$32,A20&lt;'01_Run_Config'!$B$33),AND(ISNUMBER(AJ20),AJ20&gt;=15,AJ20&lt;=49)),2,0))</x:f>
        <x:v>0</x:v>
      </x:c>
      <x:c r="AW20" t="n">
        <x:f>IF('01_Run_Config'!$B$48="AN Bud Candy (replaces HESI Boost)",IF(AND(A20&gt;='01_Run_Config'!$B$32,OR(AJ20="",AJ20&lt;=49)),2,0),0)</x:f>
        <x:v>0</x:v>
      </x:c>
      <x:c r="AX20" t="n">
        <x:f>IF('01_Run_Config'!$B$49&lt;&gt;"ON / EXPERIMENTAL",0,IF(OR(AND(A20&gt;='01_Run_Config'!$B$32+7,A20&lt;'01_Run_Config'!$B$33),AND(ISNUMBER(AJ20),AJ20&gt;=1,AJ20&lt;=49)),2,0))</x:f>
        <x:v>0</x:v>
      </x:c>
      <x:c r="AY20" t="n">
        <x:f>IF('01_Run_Config'!$B$50="AN Sensizym",IF(AND(A20&gt;='01_Run_Config'!$B$32,OR(AJ20="",AJ20&lt;=49)),2,0),0)</x:f>
        <x:v>0</x:v>
      </x:c>
      <x:c r="AZ20" t="n">
        <x:f>IF('01_Run_Config'!$B$51="AN Rhino Skin",IF(AND(A20&gt;='01_Run_Config'!$B$32,OR(AJ20="",AJ20&lt;=49)),2,0),0)</x:f>
        <x:v>0</x:v>
      </x:c>
      <x:c r="BA20" t="n">
        <x:f>IF(AND('01_Run_Config'!$B$52="AN Bud Ignitor &gt; Big Bud &gt; Overdrive",ISNUMBER(AJ20),AJ20&gt;=1,AJ20&lt;=14),2,0)</x:f>
        <x:v>0</x:v>
      </x:c>
      <x:c r="BB20" t="n">
        <x:f>IF(AND('01_Run_Config'!$B$52="AN Bud Ignitor &gt; Big Bud &gt; Overdrive",ISNUMBER(AJ20),AJ20&gt;=8,AJ20&lt;=35),2,0)</x:f>
        <x:v>0</x:v>
      </x:c>
      <x:c r="BC20" t="n">
        <x:f>IF(AND('01_Run_Config'!$B$52="AN Bud Ignitor &gt; Big Bud &gt; Overdrive",ISNUMBER(AJ20),AJ20&gt;=36,AJ20&lt;=49),2,0)</x:f>
        <x:v>0</x:v>
      </x:c>
      <x:c r="BD20" t="n">
        <x:f>IF('01_Run_Config'!$B$53="ON / EXPERIMENTAL",IF(OR(AND(A20&gt;='01_Run_Config'!$B$32,A20&lt;'01_Run_Config'!$B$33),AND(ISNUMBER(AJ20),AJ20&gt;=15,AJ20&lt;=49)),2,0),0)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Sensizym",0,IF(AND(A21&gt;='01_Run_Config'!$B$32,OR(AJ21="",AJ21&lt;=49)),2,0))</x:f>
        <x:v>0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Overdrive",0,IF(AND(ISNUMBER(AJ21),AJ21&gt;=29,AJ21&lt;=42),0.25+((AJ21-29)/13)*0.25,0))</x:f>
        <x:v>0</x:v>
      </x:c>
      <x:c r="AC21" s="63" t="n">
        <x:f>IF('01_Run_Config'!$B$46="OFF",0,IF(OR(A21='01_Run_Config'!$B$32,A21='01_Run_Config'!$B$32+7,A21='01_Run_Config'!$B$33+1,A21='01_Run_Config'!$B$33+8),2,0))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A-B",0,IF(OR(AND(A21&gt;='01_Run_Config'!$B$32,A21&lt;'01_Run_Config'!$B$33),AND(ISNUMBER(AJ21),AJ21&gt;=15,AJ21&lt;=49)),2,0))</x:f>
        <x:v>0</x:v>
      </x:c>
      <x:c r="AW21" t="n">
        <x:f>IF('01_Run_Config'!$B$48="AN Bud Candy (replaces HESI Boost)",IF(AND(A21&gt;='01_Run_Config'!$B$32,OR(AJ21="",AJ21&lt;=49)),2,0),0)</x:f>
        <x:v>0</x:v>
      </x:c>
      <x:c r="AX21" t="n">
        <x:f>IF('01_Run_Config'!$B$49&lt;&gt;"ON / EXPERIMENTAL",0,IF(OR(AND(A21&gt;='01_Run_Config'!$B$32+7,A21&lt;'01_Run_Config'!$B$33),AND(ISNUMBER(AJ21),AJ21&gt;=1,AJ21&lt;=49)),2,0))</x:f>
        <x:v>0</x:v>
      </x:c>
      <x:c r="AY21" t="n">
        <x:f>IF('01_Run_Config'!$B$50="AN Sensizym",IF(AND(A21&gt;='01_Run_Config'!$B$32,OR(AJ21="",AJ21&lt;=49)),2,0),0)</x:f>
        <x:v>0</x:v>
      </x:c>
      <x:c r="AZ21" t="n">
        <x:f>IF('01_Run_Config'!$B$51="AN Rhino Skin",IF(AND(A21&gt;='01_Run_Config'!$B$32,OR(AJ21="",AJ21&lt;=49)),2,0),0)</x:f>
        <x:v>0</x:v>
      </x:c>
      <x:c r="BA21" t="n">
        <x:f>IF(AND('01_Run_Config'!$B$52="AN Bud Ignitor &gt; Big Bud &gt; Overdrive",ISNUMBER(AJ21),AJ21&gt;=1,AJ21&lt;=14),2,0)</x:f>
        <x:v>0</x:v>
      </x:c>
      <x:c r="BB21" t="n">
        <x:f>IF(AND('01_Run_Config'!$B$52="AN Bud Ignitor &gt; Big Bud &gt; Overdrive",ISNUMBER(AJ21),AJ21&gt;=8,AJ21&lt;=35),2,0)</x:f>
        <x:v>0</x:v>
      </x:c>
      <x:c r="BC21" t="n">
        <x:f>IF(AND('01_Run_Config'!$B$52="AN Bud Ignitor &gt; Big Bud &gt; Overdrive",ISNUMBER(AJ21),AJ21&gt;=36,AJ21&lt;=49),2,0)</x:f>
        <x:v>0</x:v>
      </x:c>
      <x:c r="BD21" t="n">
        <x:f>IF('01_Run_Config'!$B$53="ON / EXPERIMENTAL",IF(OR(AND(A21&gt;='01_Run_Config'!$B$32,A21&lt;'01_Run_Config'!$B$33),AND(ISNUMBER(AJ21),AJ21&gt;=15,AJ21&lt;=49)),2,0),0)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Sensizym",0,IF(AND(A22&gt;='01_Run_Config'!$B$32,OR(AJ22="",AJ22&lt;=49)),2,0))</x:f>
        <x:v>0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Overdrive",0,IF(AND(ISNUMBER(AJ22),AJ22&gt;=29,AJ22&lt;=42),0.25+((AJ22-29)/13)*0.25,0))</x:f>
        <x:v>0</x:v>
      </x:c>
      <x:c r="AC22" s="63" t="n">
        <x:f>IF('01_Run_Config'!$B$46="OFF",0,IF(OR(A22='01_Run_Config'!$B$32,A22='01_Run_Config'!$B$32+7,A22='01_Run_Config'!$B$33+1,A22='01_Run_Config'!$B$33+8),2,0))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A-B",0,IF(OR(AND(A22&gt;='01_Run_Config'!$B$32,A22&lt;'01_Run_Config'!$B$33),AND(ISNUMBER(AJ22),AJ22&gt;=15,AJ22&lt;=49)),2,0))</x:f>
        <x:v>0</x:v>
      </x:c>
      <x:c r="AW22" t="n">
        <x:f>IF('01_Run_Config'!$B$48="AN Bud Candy (replaces HESI Boost)",IF(AND(A22&gt;='01_Run_Config'!$B$32,OR(AJ22="",AJ22&lt;=49)),2,0),0)</x:f>
        <x:v>0</x:v>
      </x:c>
      <x:c r="AX22" t="n">
        <x:f>IF('01_Run_Config'!$B$49&lt;&gt;"ON / EXPERIMENTAL",0,IF(OR(AND(A22&gt;='01_Run_Config'!$B$32+7,A22&lt;'01_Run_Config'!$B$33),AND(ISNUMBER(AJ22),AJ22&gt;=1,AJ22&lt;=49)),2,0))</x:f>
        <x:v>0</x:v>
      </x:c>
      <x:c r="AY22" t="n">
        <x:f>IF('01_Run_Config'!$B$50="AN Sensizym",IF(AND(A22&gt;='01_Run_Config'!$B$32,OR(AJ22="",AJ22&lt;=49)),2,0),0)</x:f>
        <x:v>0</x:v>
      </x:c>
      <x:c r="AZ22" t="n">
        <x:f>IF('01_Run_Config'!$B$51="AN Rhino Skin",IF(AND(A22&gt;='01_Run_Config'!$B$32,OR(AJ22="",AJ22&lt;=49)),2,0),0)</x:f>
        <x:v>0</x:v>
      </x:c>
      <x:c r="BA22" t="n">
        <x:f>IF(AND('01_Run_Config'!$B$52="AN Bud Ignitor &gt; Big Bud &gt; Overdrive",ISNUMBER(AJ22),AJ22&gt;=1,AJ22&lt;=14),2,0)</x:f>
        <x:v>0</x:v>
      </x:c>
      <x:c r="BB22" t="n">
        <x:f>IF(AND('01_Run_Config'!$B$52="AN Bud Ignitor &gt; Big Bud &gt; Overdrive",ISNUMBER(AJ22),AJ22&gt;=8,AJ22&lt;=35),2,0)</x:f>
        <x:v>0</x:v>
      </x:c>
      <x:c r="BC22" t="n">
        <x:f>IF(AND('01_Run_Config'!$B$52="AN Bud Ignitor &gt; Big Bud &gt; Overdrive",ISNUMBER(AJ22),AJ22&gt;=36,AJ22&lt;=49),2,0)</x:f>
        <x:v>0</x:v>
      </x:c>
      <x:c r="BD22" t="n">
        <x:f>IF('01_Run_Config'!$B$53="ON / EXPERIMENTAL",IF(OR(AND(A22&gt;='01_Run_Config'!$B$32,A22&lt;'01_Run_Config'!$B$33),AND(ISNUMBER(AJ22),AJ22&gt;=15,AJ22&lt;=49)),2,0),0)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Sensizym",0,IF(AND(A23&gt;='01_Run_Config'!$B$32,OR(AJ23="",AJ23&lt;=49)),2,0))</x:f>
        <x:v>0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Overdrive",0,IF(AND(ISNUMBER(AJ23),AJ23&gt;=29,AJ23&lt;=42),0.25+((AJ23-29)/13)*0.25,0))</x:f>
        <x:v>0</x:v>
      </x:c>
      <x:c r="AC23" s="63" t="n">
        <x:f>IF('01_Run_Config'!$B$46="OFF",0,IF(OR(A23='01_Run_Config'!$B$32,A23='01_Run_Config'!$B$32+7,A23='01_Run_Config'!$B$33+1,A23='01_Run_Config'!$B$33+8),2,0))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A-B",0,IF(OR(AND(A23&gt;='01_Run_Config'!$B$32,A23&lt;'01_Run_Config'!$B$33),AND(ISNUMBER(AJ23),AJ23&gt;=15,AJ23&lt;=49)),2,0))</x:f>
        <x:v>0</x:v>
      </x:c>
      <x:c r="AW23" t="n">
        <x:f>IF('01_Run_Config'!$B$48="AN Bud Candy (replaces HESI Boost)",IF(AND(A23&gt;='01_Run_Config'!$B$32,OR(AJ23="",AJ23&lt;=49)),2,0),0)</x:f>
        <x:v>0</x:v>
      </x:c>
      <x:c r="AX23" t="n">
        <x:f>IF('01_Run_Config'!$B$49&lt;&gt;"ON / EXPERIMENTAL",0,IF(OR(AND(A23&gt;='01_Run_Config'!$B$32+7,A23&lt;'01_Run_Config'!$B$33),AND(ISNUMBER(AJ23),AJ23&gt;=1,AJ23&lt;=49)),2,0))</x:f>
        <x:v>0</x:v>
      </x:c>
      <x:c r="AY23" t="n">
        <x:f>IF('01_Run_Config'!$B$50="AN Sensizym",IF(AND(A23&gt;='01_Run_Config'!$B$32,OR(AJ23="",AJ23&lt;=49)),2,0),0)</x:f>
        <x:v>0</x:v>
      </x:c>
      <x:c r="AZ23" t="n">
        <x:f>IF('01_Run_Config'!$B$51="AN Rhino Skin",IF(AND(A23&gt;='01_Run_Config'!$B$32,OR(AJ23="",AJ23&lt;=49)),2,0),0)</x:f>
        <x:v>0</x:v>
      </x:c>
      <x:c r="BA23" t="n">
        <x:f>IF(AND('01_Run_Config'!$B$52="AN Bud Ignitor &gt; Big Bud &gt; Overdrive",ISNUMBER(AJ23),AJ23&gt;=1,AJ23&lt;=14),2,0)</x:f>
        <x:v>0</x:v>
      </x:c>
      <x:c r="BB23" t="n">
        <x:f>IF(AND('01_Run_Config'!$B$52="AN Bud Ignitor &gt; Big Bud &gt; Overdrive",ISNUMBER(AJ23),AJ23&gt;=8,AJ23&lt;=35),2,0)</x:f>
        <x:v>0</x:v>
      </x:c>
      <x:c r="BC23" t="n">
        <x:f>IF(AND('01_Run_Config'!$B$52="AN Bud Ignitor &gt; Big Bud &gt; Overdrive",ISNUMBER(AJ23),AJ23&gt;=36,AJ23&lt;=49),2,0)</x:f>
        <x:v>0</x:v>
      </x:c>
      <x:c r="BD23" t="n">
        <x:f>IF('01_Run_Config'!$B$53="ON / EXPERIMENTAL",IF(OR(AND(A23&gt;='01_Run_Config'!$B$32,A23&lt;'01_Run_Config'!$B$33),AND(ISNUMBER(AJ23),AJ23&gt;=15,AJ23&lt;=49)),2,0),0)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Sensizym",0,IF(AND(A24&gt;='01_Run_Config'!$B$32,OR(AJ24="",AJ24&lt;=49)),2,0))</x:f>
        <x:v>0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Overdrive",0,IF(AND(ISNUMBER(AJ24),AJ24&gt;=29,AJ24&lt;=42),0.25+((AJ24-29)/13)*0.25,0))</x:f>
        <x:v>0</x:v>
      </x:c>
      <x:c r="AC24" s="63" t="n">
        <x:f>IF('01_Run_Config'!$B$46="OFF",0,IF(OR(A24='01_Run_Config'!$B$32,A24='01_Run_Config'!$B$32+7,A24='01_Run_Config'!$B$33+1,A24='01_Run_Config'!$B$33+8),2,0))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A-B",0,IF(OR(AND(A24&gt;='01_Run_Config'!$B$32,A24&lt;'01_Run_Config'!$B$33),AND(ISNUMBER(AJ24),AJ24&gt;=15,AJ24&lt;=49)),2,0))</x:f>
        <x:v>0</x:v>
      </x:c>
      <x:c r="AW24" t="n">
        <x:f>IF('01_Run_Config'!$B$48="AN Bud Candy (replaces HESI Boost)",IF(AND(A24&gt;='01_Run_Config'!$B$32,OR(AJ24="",AJ24&lt;=49)),2,0),0)</x:f>
        <x:v>0</x:v>
      </x:c>
      <x:c r="AX24" t="n">
        <x:f>IF('01_Run_Config'!$B$49&lt;&gt;"ON / EXPERIMENTAL",0,IF(OR(AND(A24&gt;='01_Run_Config'!$B$32+7,A24&lt;'01_Run_Config'!$B$33),AND(ISNUMBER(AJ24),AJ24&gt;=1,AJ24&lt;=49)),2,0))</x:f>
        <x:v>0</x:v>
      </x:c>
      <x:c r="AY24" t="n">
        <x:f>IF('01_Run_Config'!$B$50="AN Sensizym",IF(AND(A24&gt;='01_Run_Config'!$B$32,OR(AJ24="",AJ24&lt;=49)),2,0),0)</x:f>
        <x:v>0</x:v>
      </x:c>
      <x:c r="AZ24" t="n">
        <x:f>IF('01_Run_Config'!$B$51="AN Rhino Skin",IF(AND(A24&gt;='01_Run_Config'!$B$32,OR(AJ24="",AJ24&lt;=49)),2,0),0)</x:f>
        <x:v>0</x:v>
      </x:c>
      <x:c r="BA24" t="n">
        <x:f>IF(AND('01_Run_Config'!$B$52="AN Bud Ignitor &gt; Big Bud &gt; Overdrive",ISNUMBER(AJ24),AJ24&gt;=1,AJ24&lt;=14),2,0)</x:f>
        <x:v>0</x:v>
      </x:c>
      <x:c r="BB24" t="n">
        <x:f>IF(AND('01_Run_Config'!$B$52="AN Bud Ignitor &gt; Big Bud &gt; Overdrive",ISNUMBER(AJ24),AJ24&gt;=8,AJ24&lt;=35),2,0)</x:f>
        <x:v>0</x:v>
      </x:c>
      <x:c r="BC24" t="n">
        <x:f>IF(AND('01_Run_Config'!$B$52="AN Bud Ignitor &gt; Big Bud &gt; Overdrive",ISNUMBER(AJ24),AJ24&gt;=36,AJ24&lt;=49),2,0)</x:f>
        <x:v>0</x:v>
      </x:c>
      <x:c r="BD24" t="n">
        <x:f>IF('01_Run_Config'!$B$53="ON / EXPERIMENTAL",IF(OR(AND(A24&gt;='01_Run_Config'!$B$32,A24&lt;'01_Run_Config'!$B$33),AND(ISNUMBER(AJ24),AJ24&gt;=15,AJ24&lt;=49)),2,0),0)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Sensizym",0,IF(AND(A25&gt;='01_Run_Config'!$B$32,OR(AJ25="",AJ25&lt;=49)),2,0))</x:f>
        <x:v>0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Overdrive",0,IF(AND(ISNUMBER(AJ25),AJ25&gt;=29,AJ25&lt;=42),0.25+((AJ25-29)/13)*0.25,0))</x:f>
        <x:v>0</x:v>
      </x:c>
      <x:c r="AC25" s="63" t="n">
        <x:f>IF('01_Run_Config'!$B$46="OFF",0,IF(OR(A25='01_Run_Config'!$B$32,A25='01_Run_Config'!$B$32+7,A25='01_Run_Config'!$B$33+1,A25='01_Run_Config'!$B$33+8),2,0))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A-B",0,IF(OR(AND(A25&gt;='01_Run_Config'!$B$32,A25&lt;'01_Run_Config'!$B$33),AND(ISNUMBER(AJ25),AJ25&gt;=15,AJ25&lt;=49)),2,0))</x:f>
        <x:v>0</x:v>
      </x:c>
      <x:c r="AW25" t="n">
        <x:f>IF('01_Run_Config'!$B$48="AN Bud Candy (replaces HESI Boost)",IF(AND(A25&gt;='01_Run_Config'!$B$32,OR(AJ25="",AJ25&lt;=49)),2,0),0)</x:f>
        <x:v>0</x:v>
      </x:c>
      <x:c r="AX25" t="n">
        <x:f>IF('01_Run_Config'!$B$49&lt;&gt;"ON / EXPERIMENTAL",0,IF(OR(AND(A25&gt;='01_Run_Config'!$B$32+7,A25&lt;'01_Run_Config'!$B$33),AND(ISNUMBER(AJ25),AJ25&gt;=1,AJ25&lt;=49)),2,0))</x:f>
        <x:v>0</x:v>
      </x:c>
      <x:c r="AY25" t="n">
        <x:f>IF('01_Run_Config'!$B$50="AN Sensizym",IF(AND(A25&gt;='01_Run_Config'!$B$32,OR(AJ25="",AJ25&lt;=49)),2,0),0)</x:f>
        <x:v>0</x:v>
      </x:c>
      <x:c r="AZ25" t="n">
        <x:f>IF('01_Run_Config'!$B$51="AN Rhino Skin",IF(AND(A25&gt;='01_Run_Config'!$B$32,OR(AJ25="",AJ25&lt;=49)),2,0),0)</x:f>
        <x:v>0</x:v>
      </x:c>
      <x:c r="BA25" t="n">
        <x:f>IF(AND('01_Run_Config'!$B$52="AN Bud Ignitor &gt; Big Bud &gt; Overdrive",ISNUMBER(AJ25),AJ25&gt;=1,AJ25&lt;=14),2,0)</x:f>
        <x:v>0</x:v>
      </x:c>
      <x:c r="BB25" t="n">
        <x:f>IF(AND('01_Run_Config'!$B$52="AN Bud Ignitor &gt; Big Bud &gt; Overdrive",ISNUMBER(AJ25),AJ25&gt;=8,AJ25&lt;=35),2,0)</x:f>
        <x:v>0</x:v>
      </x:c>
      <x:c r="BC25" t="n">
        <x:f>IF(AND('01_Run_Config'!$B$52="AN Bud Ignitor &gt; Big Bud &gt; Overdrive",ISNUMBER(AJ25),AJ25&gt;=36,AJ25&lt;=49),2,0)</x:f>
        <x:v>0</x:v>
      </x:c>
      <x:c r="BD25" t="n">
        <x:f>IF('01_Run_Config'!$B$53="ON / EXPERIMENTAL",IF(OR(AND(A25&gt;='01_Run_Config'!$B$32,A25&lt;'01_Run_Config'!$B$33),AND(ISNUMBER(AJ25),AJ25&gt;=15,AJ25&lt;=49)),2,0),0)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Sensizym",0,IF(AND(A26&gt;='01_Run_Config'!$B$32,OR(AJ26="",AJ26&lt;=49)),2,0))</x:f>
        <x:v>0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Overdrive",0,IF(AND(ISNUMBER(AJ26),AJ26&gt;=29,AJ26&lt;=42),0.25+((AJ26-29)/13)*0.25,0))</x:f>
        <x:v>0</x:v>
      </x:c>
      <x:c r="AC26" s="63" t="n">
        <x:f>IF('01_Run_Config'!$B$46="OFF",0,IF(OR(A26='01_Run_Config'!$B$32,A26='01_Run_Config'!$B$32+7,A26='01_Run_Config'!$B$33+1,A26='01_Run_Config'!$B$33+8),2,0))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A-B",0,IF(OR(AND(A26&gt;='01_Run_Config'!$B$32,A26&lt;'01_Run_Config'!$B$33),AND(ISNUMBER(AJ26),AJ26&gt;=15,AJ26&lt;=49)),2,0))</x:f>
        <x:v>0</x:v>
      </x:c>
      <x:c r="AW26" t="n">
        <x:f>IF('01_Run_Config'!$B$48="AN Bud Candy (replaces HESI Boost)",IF(AND(A26&gt;='01_Run_Config'!$B$32,OR(AJ26="",AJ26&lt;=49)),2,0),0)</x:f>
        <x:v>0</x:v>
      </x:c>
      <x:c r="AX26" t="n">
        <x:f>IF('01_Run_Config'!$B$49&lt;&gt;"ON / EXPERIMENTAL",0,IF(OR(AND(A26&gt;='01_Run_Config'!$B$32+7,A26&lt;'01_Run_Config'!$B$33),AND(ISNUMBER(AJ26),AJ26&gt;=1,AJ26&lt;=49)),2,0))</x:f>
        <x:v>0</x:v>
      </x:c>
      <x:c r="AY26" t="n">
        <x:f>IF('01_Run_Config'!$B$50="AN Sensizym",IF(AND(A26&gt;='01_Run_Config'!$B$32,OR(AJ26="",AJ26&lt;=49)),2,0),0)</x:f>
        <x:v>0</x:v>
      </x:c>
      <x:c r="AZ26" t="n">
        <x:f>IF('01_Run_Config'!$B$51="AN Rhino Skin",IF(AND(A26&gt;='01_Run_Config'!$B$32,OR(AJ26="",AJ26&lt;=49)),2,0),0)</x:f>
        <x:v>0</x:v>
      </x:c>
      <x:c r="BA26" t="n">
        <x:f>IF(AND('01_Run_Config'!$B$52="AN Bud Ignitor &gt; Big Bud &gt; Overdrive",ISNUMBER(AJ26),AJ26&gt;=1,AJ26&lt;=14),2,0)</x:f>
        <x:v>0</x:v>
      </x:c>
      <x:c r="BB26" t="n">
        <x:f>IF(AND('01_Run_Config'!$B$52="AN Bud Ignitor &gt; Big Bud &gt; Overdrive",ISNUMBER(AJ26),AJ26&gt;=8,AJ26&lt;=35),2,0)</x:f>
        <x:v>0</x:v>
      </x:c>
      <x:c r="BC26" t="n">
        <x:f>IF(AND('01_Run_Config'!$B$52="AN Bud Ignitor &gt; Big Bud &gt; Overdrive",ISNUMBER(AJ26),AJ26&gt;=36,AJ26&lt;=49),2,0)</x:f>
        <x:v>0</x:v>
      </x:c>
      <x:c r="BD26" t="n">
        <x:f>IF('01_Run_Config'!$B$53="ON / EXPERIMENTAL",IF(OR(AND(A26&gt;='01_Run_Config'!$B$32,A26&lt;'01_Run_Config'!$B$33),AND(ISNUMBER(AJ26),AJ26&gt;=15,AJ26&lt;=49)),2,0),0)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Sensizym",0,IF(AND(A27&gt;='01_Run_Config'!$B$32,OR(AJ27="",AJ27&lt;=49)),2,0))</x:f>
        <x:v>0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Overdrive",0,IF(AND(ISNUMBER(AJ27),AJ27&gt;=29,AJ27&lt;=42),0.25+((AJ27-29)/13)*0.25,0))</x:f>
        <x:v>0</x:v>
      </x:c>
      <x:c r="AC27" s="63" t="n">
        <x:f>IF('01_Run_Config'!$B$46="OFF",0,IF(OR(A27='01_Run_Config'!$B$32,A27='01_Run_Config'!$B$32+7,A27='01_Run_Config'!$B$33+1,A27='01_Run_Config'!$B$33+8),2,0))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A-B",0,IF(OR(AND(A27&gt;='01_Run_Config'!$B$32,A27&lt;'01_Run_Config'!$B$33),AND(ISNUMBER(AJ27),AJ27&gt;=15,AJ27&lt;=49)),2,0))</x:f>
        <x:v>0</x:v>
      </x:c>
      <x:c r="AW27" t="n">
        <x:f>IF('01_Run_Config'!$B$48="AN Bud Candy (replaces HESI Boost)",IF(AND(A27&gt;='01_Run_Config'!$B$32,OR(AJ27="",AJ27&lt;=49)),2,0),0)</x:f>
        <x:v>0</x:v>
      </x:c>
      <x:c r="AX27" t="n">
        <x:f>IF('01_Run_Config'!$B$49&lt;&gt;"ON / EXPERIMENTAL",0,IF(OR(AND(A27&gt;='01_Run_Config'!$B$32+7,A27&lt;'01_Run_Config'!$B$33),AND(ISNUMBER(AJ27),AJ27&gt;=1,AJ27&lt;=49)),2,0))</x:f>
        <x:v>0</x:v>
      </x:c>
      <x:c r="AY27" t="n">
        <x:f>IF('01_Run_Config'!$B$50="AN Sensizym",IF(AND(A27&gt;='01_Run_Config'!$B$32,OR(AJ27="",AJ27&lt;=49)),2,0),0)</x:f>
        <x:v>0</x:v>
      </x:c>
      <x:c r="AZ27" t="n">
        <x:f>IF('01_Run_Config'!$B$51="AN Rhino Skin",IF(AND(A27&gt;='01_Run_Config'!$B$32,OR(AJ27="",AJ27&lt;=49)),2,0),0)</x:f>
        <x:v>0</x:v>
      </x:c>
      <x:c r="BA27" t="n">
        <x:f>IF(AND('01_Run_Config'!$B$52="AN Bud Ignitor &gt; Big Bud &gt; Overdrive",ISNUMBER(AJ27),AJ27&gt;=1,AJ27&lt;=14),2,0)</x:f>
        <x:v>0</x:v>
      </x:c>
      <x:c r="BB27" t="n">
        <x:f>IF(AND('01_Run_Config'!$B$52="AN Bud Ignitor &gt; Big Bud &gt; Overdrive",ISNUMBER(AJ27),AJ27&gt;=8,AJ27&lt;=35),2,0)</x:f>
        <x:v>0</x:v>
      </x:c>
      <x:c r="BC27" t="n">
        <x:f>IF(AND('01_Run_Config'!$B$52="AN Bud Ignitor &gt; Big Bud &gt; Overdrive",ISNUMBER(AJ27),AJ27&gt;=36,AJ27&lt;=49),2,0)</x:f>
        <x:v>0</x:v>
      </x:c>
      <x:c r="BD27" t="n">
        <x:f>IF('01_Run_Config'!$B$53="ON / EXPERIMENTAL",IF(OR(AND(A27&gt;='01_Run_Config'!$B$32,A27&lt;'01_Run_Config'!$B$33),AND(ISNUMBER(AJ27),AJ27&gt;=15,AJ27&lt;=49)),2,0),0)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Sensizym",0,IF(AND(A28&gt;='01_Run_Config'!$B$32,OR(AJ28="",AJ28&lt;=49)),2,0))</x:f>
        <x:v>0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Overdrive",0,IF(AND(ISNUMBER(AJ28),AJ28&gt;=29,AJ28&lt;=42),0.25+((AJ28-29)/13)*0.25,0))</x:f>
        <x:v>0</x:v>
      </x:c>
      <x:c r="AC28" s="63" t="n">
        <x:f>IF('01_Run_Config'!$B$46="OFF",0,IF(OR(A28='01_Run_Config'!$B$32,A28='01_Run_Config'!$B$32+7,A28='01_Run_Config'!$B$33+1,A28='01_Run_Config'!$B$33+8),2,0))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A-B",0,IF(OR(AND(A28&gt;='01_Run_Config'!$B$32,A28&lt;'01_Run_Config'!$B$33),AND(ISNUMBER(AJ28),AJ28&gt;=15,AJ28&lt;=49)),2,0))</x:f>
        <x:v>0</x:v>
      </x:c>
      <x:c r="AW28" t="n">
        <x:f>IF('01_Run_Config'!$B$48="AN Bud Candy (replaces HESI Boost)",IF(AND(A28&gt;='01_Run_Config'!$B$32,OR(AJ28="",AJ28&lt;=49)),2,0),0)</x:f>
        <x:v>0</x:v>
      </x:c>
      <x:c r="AX28" t="n">
        <x:f>IF('01_Run_Config'!$B$49&lt;&gt;"ON / EXPERIMENTAL",0,IF(OR(AND(A28&gt;='01_Run_Config'!$B$32+7,A28&lt;'01_Run_Config'!$B$33),AND(ISNUMBER(AJ28),AJ28&gt;=1,AJ28&lt;=49)),2,0))</x:f>
        <x:v>0</x:v>
      </x:c>
      <x:c r="AY28" t="n">
        <x:f>IF('01_Run_Config'!$B$50="AN Sensizym",IF(AND(A28&gt;='01_Run_Config'!$B$32,OR(AJ28="",AJ28&lt;=49)),2,0),0)</x:f>
        <x:v>0</x:v>
      </x:c>
      <x:c r="AZ28" t="n">
        <x:f>IF('01_Run_Config'!$B$51="AN Rhino Skin",IF(AND(A28&gt;='01_Run_Config'!$B$32,OR(AJ28="",AJ28&lt;=49)),2,0),0)</x:f>
        <x:v>0</x:v>
      </x:c>
      <x:c r="BA28" t="n">
        <x:f>IF(AND('01_Run_Config'!$B$52="AN Bud Ignitor &gt; Big Bud &gt; Overdrive",ISNUMBER(AJ28),AJ28&gt;=1,AJ28&lt;=14),2,0)</x:f>
        <x:v>0</x:v>
      </x:c>
      <x:c r="BB28" t="n">
        <x:f>IF(AND('01_Run_Config'!$B$52="AN Bud Ignitor &gt; Big Bud &gt; Overdrive",ISNUMBER(AJ28),AJ28&gt;=8,AJ28&lt;=35),2,0)</x:f>
        <x:v>0</x:v>
      </x:c>
      <x:c r="BC28" t="n">
        <x:f>IF(AND('01_Run_Config'!$B$52="AN Bud Ignitor &gt; Big Bud &gt; Overdrive",ISNUMBER(AJ28),AJ28&gt;=36,AJ28&lt;=49),2,0)</x:f>
        <x:v>0</x:v>
      </x:c>
      <x:c r="BD28" t="n">
        <x:f>IF('01_Run_Config'!$B$53="ON / EXPERIMENTAL",IF(OR(AND(A28&gt;='01_Run_Config'!$B$32,A28&lt;'01_Run_Config'!$B$33),AND(ISNUMBER(AJ28),AJ28&gt;=15,AJ28&lt;=49)),2,0),0)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Sensizym",0,IF(AND(A29&gt;='01_Run_Config'!$B$32,OR(AJ29="",AJ29&lt;=49)),2,0))</x:f>
        <x:v>0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Overdrive",0,IF(AND(ISNUMBER(AJ29),AJ29&gt;=29,AJ29&lt;=42),0.25+((AJ29-29)/13)*0.25,0))</x:f>
        <x:v>0</x:v>
      </x:c>
      <x:c r="AC29" s="63" t="n">
        <x:f>IF('01_Run_Config'!$B$46="OFF",0,IF(OR(A29='01_Run_Config'!$B$32,A29='01_Run_Config'!$B$32+7,A29='01_Run_Config'!$B$33+1,A29='01_Run_Config'!$B$33+8),2,0))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A-B",0,IF(OR(AND(A29&gt;='01_Run_Config'!$B$32,A29&lt;'01_Run_Config'!$B$33),AND(ISNUMBER(AJ29),AJ29&gt;=15,AJ29&lt;=49)),2,0))</x:f>
        <x:v>0</x:v>
      </x:c>
      <x:c r="AW29" t="n">
        <x:f>IF('01_Run_Config'!$B$48="AN Bud Candy (replaces HESI Boost)",IF(AND(A29&gt;='01_Run_Config'!$B$32,OR(AJ29="",AJ29&lt;=49)),2,0),0)</x:f>
        <x:v>0</x:v>
      </x:c>
      <x:c r="AX29" t="n">
        <x:f>IF('01_Run_Config'!$B$49&lt;&gt;"ON / EXPERIMENTAL",0,IF(OR(AND(A29&gt;='01_Run_Config'!$B$32+7,A29&lt;'01_Run_Config'!$B$33),AND(ISNUMBER(AJ29),AJ29&gt;=1,AJ29&lt;=49)),2,0))</x:f>
        <x:v>0</x:v>
      </x:c>
      <x:c r="AY29" t="n">
        <x:f>IF('01_Run_Config'!$B$50="AN Sensizym",IF(AND(A29&gt;='01_Run_Config'!$B$32,OR(AJ29="",AJ29&lt;=49)),2,0),0)</x:f>
        <x:v>0</x:v>
      </x:c>
      <x:c r="AZ29" t="n">
        <x:f>IF('01_Run_Config'!$B$51="AN Rhino Skin",IF(AND(A29&gt;='01_Run_Config'!$B$32,OR(AJ29="",AJ29&lt;=49)),2,0),0)</x:f>
        <x:v>0</x:v>
      </x:c>
      <x:c r="BA29" t="n">
        <x:f>IF(AND('01_Run_Config'!$B$52="AN Bud Ignitor &gt; Big Bud &gt; Overdrive",ISNUMBER(AJ29),AJ29&gt;=1,AJ29&lt;=14),2,0)</x:f>
        <x:v>0</x:v>
      </x:c>
      <x:c r="BB29" t="n">
        <x:f>IF(AND('01_Run_Config'!$B$52="AN Bud Ignitor &gt; Big Bud &gt; Overdrive",ISNUMBER(AJ29),AJ29&gt;=8,AJ29&lt;=35),2,0)</x:f>
        <x:v>0</x:v>
      </x:c>
      <x:c r="BC29" t="n">
        <x:f>IF(AND('01_Run_Config'!$B$52="AN Bud Ignitor &gt; Big Bud &gt; Overdrive",ISNUMBER(AJ29),AJ29&gt;=36,AJ29&lt;=49),2,0)</x:f>
        <x:v>0</x:v>
      </x:c>
      <x:c r="BD29" t="n">
        <x:f>IF('01_Run_Config'!$B$53="ON / EXPERIMENTAL",IF(OR(AND(A29&gt;='01_Run_Config'!$B$32,A29&lt;'01_Run_Config'!$B$33),AND(ISNUMBER(AJ29),AJ29&gt;=15,AJ29&lt;=49)),2,0),0)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Sensizym",0,IF(AND(A30&gt;='01_Run_Config'!$B$32,OR(AJ30="",AJ30&lt;=49)),2,0))</x:f>
        <x:v>0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Overdrive",0,IF(AND(ISNUMBER(AJ30),AJ30&gt;=29,AJ30&lt;=42),0.25+((AJ30-29)/13)*0.25,0))</x:f>
        <x:v>0</x:v>
      </x:c>
      <x:c r="AC30" s="63" t="n">
        <x:f>IF('01_Run_Config'!$B$46="OFF",0,IF(OR(A30='01_Run_Config'!$B$32,A30='01_Run_Config'!$B$32+7,A30='01_Run_Config'!$B$33+1,A30='01_Run_Config'!$B$33+8),2,0))</x:f>
        <x:v>0</x:v>
      </x:c>
      <x:c r="AD30" s="63" t="str">
        <x:f>IF(BG30="BLOCK","HYBRID BLOCKED - Konfiguration prüfen",IF(SUM(AC30,AT30:BF30)&gt;0,"AN aktiv: "&amp;BH30,"AN: keine Dosis heute / Module aus"))</x:f>
        <x:v>AN: keine Dosis heute / Module aus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0</x:v>
      </x:c>
      <x:c r="AV30" t="n">
        <x:f>IF('01_Run_Config'!$B$47&lt;&gt;"ON / A-B",0,IF(OR(AND(A30&gt;='01_Run_Config'!$B$32,A30&lt;'01_Run_Config'!$B$33),AND(ISNUMBER(AJ30),AJ30&gt;=15,AJ30&lt;=49)),2,0))</x:f>
        <x:v>0</x:v>
      </x:c>
      <x:c r="AW30" t="n">
        <x:f>IF('01_Run_Config'!$B$48="AN Bud Candy (replaces HESI Boost)",IF(AND(A30&gt;='01_Run_Config'!$B$32,OR(AJ30="",AJ30&lt;=49)),2,0),0)</x:f>
        <x:v>0</x:v>
      </x:c>
      <x:c r="AX30" t="n">
        <x:f>IF('01_Run_Config'!$B$49&lt;&gt;"ON / EXPERIMENTAL",0,IF(OR(AND(A30&gt;='01_Run_Config'!$B$32+7,A30&lt;'01_Run_Config'!$B$33),AND(ISNUMBER(AJ30),AJ30&gt;=1,AJ30&lt;=49)),2,0))</x:f>
        <x:v>0</x:v>
      </x:c>
      <x:c r="AY30" t="n">
        <x:f>IF('01_Run_Config'!$B$50="AN Sensizym",IF(AND(A30&gt;='01_Run_Config'!$B$32,OR(AJ30="",AJ30&lt;=49)),2,0),0)</x:f>
        <x:v>0</x:v>
      </x:c>
      <x:c r="AZ30" t="n">
        <x:f>IF('01_Run_Config'!$B$51="AN Rhino Skin",IF(AND(A30&gt;='01_Run_Config'!$B$32,OR(AJ30="",AJ30&lt;=49)),2,0),0)</x:f>
        <x:v>0</x:v>
      </x:c>
      <x:c r="BA30" t="n">
        <x:f>IF(AND('01_Run_Config'!$B$52="AN Bud Ignitor &gt; Big Bud &gt; Overdrive",ISNUMBER(AJ30),AJ30&gt;=1,AJ30&lt;=14),2,0)</x:f>
        <x:v>0</x:v>
      </x:c>
      <x:c r="BB30" t="n">
        <x:f>IF(AND('01_Run_Config'!$B$52="AN Bud Ignitor &gt; Big Bud &gt; Overdrive",ISNUMBER(AJ30),AJ30&gt;=8,AJ30&lt;=35),2,0)</x:f>
        <x:v>0</x:v>
      </x:c>
      <x:c r="BC30" t="n">
        <x:f>IF(AND('01_Run_Config'!$B$52="AN Bud Ignitor &gt; Big Bud &gt; Overdrive",ISNUMBER(AJ30),AJ30&gt;=36,AJ30&lt;=49),2,0)</x:f>
        <x:v>0</x:v>
      </x:c>
      <x:c r="BD30" t="n">
        <x:f>IF('01_Run_Config'!$B$53="ON / EXPERIMENTAL",IF(OR(AND(A30&gt;='01_Run_Config'!$B$32,A30&lt;'01_Run_Config'!$B$33),AND(ISNUMBER(AJ30),AJ30&gt;=15,AJ30&lt;=49)),2,0),0)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keine AN-Dosis heute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Sensizym",0,IF(AND(A31&gt;='01_Run_Config'!$B$32,OR(AJ31="",AJ31&lt;=49)),2,0))</x:f>
        <x:v>0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Overdrive",0,IF(AND(ISNUMBER(AJ31),AJ31&gt;=29,AJ31&lt;=42),0.25+((AJ31-29)/13)*0.25,0))</x:f>
        <x:v>0</x:v>
      </x:c>
      <x:c r="AC31" s="63" t="n">
        <x:f>IF('01_Run_Config'!$B$46="OFF",0,IF(OR(A31='01_Run_Config'!$B$32,A31='01_Run_Config'!$B$32+7,A31='01_Run_Config'!$B$33+1,A31='01_Run_Config'!$B$33+8),2,0))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A-B",0,IF(OR(AND(A31&gt;='01_Run_Config'!$B$32,A31&lt;'01_Run_Config'!$B$33),AND(ISNUMBER(AJ31),AJ31&gt;=15,AJ31&lt;=49)),2,0))</x:f>
        <x:v>0</x:v>
      </x:c>
      <x:c r="AW31" t="n">
        <x:f>IF('01_Run_Config'!$B$48="AN Bud Candy (replaces HESI Boost)",IF(AND(A31&gt;='01_Run_Config'!$B$32,OR(AJ31="",AJ31&lt;=49)),2,0),0)</x:f>
        <x:v>0</x:v>
      </x:c>
      <x:c r="AX31" t="n">
        <x:f>IF('01_Run_Config'!$B$49&lt;&gt;"ON / EXPERIMENTAL",0,IF(OR(AND(A31&gt;='01_Run_Config'!$B$32+7,A31&lt;'01_Run_Config'!$B$33),AND(ISNUMBER(AJ31),AJ31&gt;=1,AJ31&lt;=49)),2,0))</x:f>
        <x:v>0</x:v>
      </x:c>
      <x:c r="AY31" t="n">
        <x:f>IF('01_Run_Config'!$B$50="AN Sensizym",IF(AND(A31&gt;='01_Run_Config'!$B$32,OR(AJ31="",AJ31&lt;=49)),2,0),0)</x:f>
        <x:v>0</x:v>
      </x:c>
      <x:c r="AZ31" t="n">
        <x:f>IF('01_Run_Config'!$B$51="AN Rhino Skin",IF(AND(A31&gt;='01_Run_Config'!$B$32,OR(AJ31="",AJ31&lt;=49)),2,0),0)</x:f>
        <x:v>0</x:v>
      </x:c>
      <x:c r="BA31" t="n">
        <x:f>IF(AND('01_Run_Config'!$B$52="AN Bud Ignitor &gt; Big Bud &gt; Overdrive",ISNUMBER(AJ31),AJ31&gt;=1,AJ31&lt;=14),2,0)</x:f>
        <x:v>0</x:v>
      </x:c>
      <x:c r="BB31" t="n">
        <x:f>IF(AND('01_Run_Config'!$B$52="AN Bud Ignitor &gt; Big Bud &gt; Overdrive",ISNUMBER(AJ31),AJ31&gt;=8,AJ31&lt;=35),2,0)</x:f>
        <x:v>0</x:v>
      </x:c>
      <x:c r="BC31" t="n">
        <x:f>IF(AND('01_Run_Config'!$B$52="AN Bud Ignitor &gt; Big Bud &gt; Overdrive",ISNUMBER(AJ31),AJ31&gt;=36,AJ31&lt;=49),2,0)</x:f>
        <x:v>0</x:v>
      </x:c>
      <x:c r="BD31" t="n">
        <x:f>IF('01_Run_Config'!$B$53="ON / EXPERIMENTAL",IF(OR(AND(A31&gt;='01_Run_Config'!$B$32,A31&lt;'01_Run_Config'!$B$33),AND(ISNUMBER(AJ31),AJ31&gt;=15,AJ31&lt;=49)),2,0),0)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Sensizym",0,IF(AND(A32&gt;='01_Run_Config'!$B$32,OR(AJ32="",AJ32&lt;=49)),2,0))</x:f>
        <x:v>0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Overdrive",0,IF(AND(ISNUMBER(AJ32),AJ32&gt;=29,AJ32&lt;=42),0.25+((AJ32-29)/13)*0.25,0))</x:f>
        <x:v>0</x:v>
      </x:c>
      <x:c r="AC32" s="63" t="n">
        <x:f>IF('01_Run_Config'!$B$46="OFF",0,IF(OR(A32='01_Run_Config'!$B$32,A32='01_Run_Config'!$B$32+7,A32='01_Run_Config'!$B$33+1,A32='01_Run_Config'!$B$33+8),2,0))</x:f>
        <x:v>0</x:v>
      </x:c>
      <x:c r="AD32" s="63" t="str">
        <x:f>IF(BG32="BLOCK","HYBRID BLOCKED - Konfiguration prüfen",IF(SUM(AC32,AT32:BF32)&gt;0,"AN aktiv: "&amp;BH32,"AN: keine Dosis heute / Module aus"))</x:f>
        <x:v>AN: keine Dosis heute / Module aus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0</x:v>
      </x:c>
      <x:c r="AV32" t="n">
        <x:f>IF('01_Run_Config'!$B$47&lt;&gt;"ON / A-B",0,IF(OR(AND(A32&gt;='01_Run_Config'!$B$32,A32&lt;'01_Run_Config'!$B$33),AND(ISNUMBER(AJ32),AJ32&gt;=15,AJ32&lt;=49)),2,0))</x:f>
        <x:v>0</x:v>
      </x:c>
      <x:c r="AW32" t="n">
        <x:f>IF('01_Run_Config'!$B$48="AN Bud Candy (replaces HESI Boost)",IF(AND(A32&gt;='01_Run_Config'!$B$32,OR(AJ32="",AJ32&lt;=49)),2,0),0)</x:f>
        <x:v>0</x:v>
      </x:c>
      <x:c r="AX32" t="n">
        <x:f>IF('01_Run_Config'!$B$49&lt;&gt;"ON / EXPERIMENTAL",0,IF(OR(AND(A32&gt;='01_Run_Config'!$B$32+7,A32&lt;'01_Run_Config'!$B$33),AND(ISNUMBER(AJ32),AJ32&gt;=1,AJ32&lt;=49)),2,0))</x:f>
        <x:v>0</x:v>
      </x:c>
      <x:c r="AY32" t="n">
        <x:f>IF('01_Run_Config'!$B$50="AN Sensizym",IF(AND(A32&gt;='01_Run_Config'!$B$32,OR(AJ32="",AJ32&lt;=49)),2,0),0)</x:f>
        <x:v>0</x:v>
      </x:c>
      <x:c r="AZ32" t="n">
        <x:f>IF('01_Run_Config'!$B$51="AN Rhino Skin",IF(AND(A32&gt;='01_Run_Config'!$B$32,OR(AJ32="",AJ32&lt;=49)),2,0),0)</x:f>
        <x:v>0</x:v>
      </x:c>
      <x:c r="BA32" t="n">
        <x:f>IF(AND('01_Run_Config'!$B$52="AN Bud Ignitor &gt; Big Bud &gt; Overdrive",ISNUMBER(AJ32),AJ32&gt;=1,AJ32&lt;=14),2,0)</x:f>
        <x:v>0</x:v>
      </x:c>
      <x:c r="BB32" t="n">
        <x:f>IF(AND('01_Run_Config'!$B$52="AN Bud Ignitor &gt; Big Bud &gt; Overdrive",ISNUMBER(AJ32),AJ32&gt;=8,AJ32&lt;=35),2,0)</x:f>
        <x:v>0</x:v>
      </x:c>
      <x:c r="BC32" t="n">
        <x:f>IF(AND('01_Run_Config'!$B$52="AN Bud Ignitor &gt; Big Bud &gt; Overdrive",ISNUMBER(AJ32),AJ32&gt;=36,AJ32&lt;=49),2,0)</x:f>
        <x:v>0</x:v>
      </x:c>
      <x:c r="BD32" t="n">
        <x:f>IF('01_Run_Config'!$B$53="ON / EXPERIMENTAL",IF(OR(AND(A32&gt;='01_Run_Config'!$B$32,A32&lt;'01_Run_Config'!$B$33),AND(ISNUMBER(AJ32),AJ32&gt;=15,AJ32&lt;=49)),2,0),0)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keine AN-Dosis heute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Sensizym",0,IF(AND(A33&gt;='01_Run_Config'!$B$32,OR(AJ33="",AJ33&lt;=49)),2,0))</x:f>
        <x:v>0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Overdrive",0,IF(AND(ISNUMBER(AJ33),AJ33&gt;=29,AJ33&lt;=42),0.25+((AJ33-29)/13)*0.25,0))</x:f>
        <x:v>0</x:v>
      </x:c>
      <x:c r="AC33" s="63" t="n">
        <x:f>IF('01_Run_Config'!$B$46="OFF",0,IF(OR(A33='01_Run_Config'!$B$32,A33='01_Run_Config'!$B$32+7,A33='01_Run_Config'!$B$33+1,A33='01_Run_Config'!$B$33+8),2,0))</x:f>
        <x:v>0</x:v>
      </x:c>
      <x:c r="AD33" s="63" t="str">
        <x:f>IF(BG33="BLOCK","HYBRID BLOCKED - Konfiguration prüfen",IF(SUM(AC33,AT33:BF33)&gt;0,"AN aktiv: "&amp;BH33,"AN: keine Dosis heute / Module aus"))</x:f>
        <x:v>AN: keine Dosis heute / Module aus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0</x:v>
      </x:c>
      <x:c r="AV33" t="n">
        <x:f>IF('01_Run_Config'!$B$47&lt;&gt;"ON / A-B",0,IF(OR(AND(A33&gt;='01_Run_Config'!$B$32,A33&lt;'01_Run_Config'!$B$33),AND(ISNUMBER(AJ33),AJ33&gt;=15,AJ33&lt;=49)),2,0))</x:f>
        <x:v>0</x:v>
      </x:c>
      <x:c r="AW33" t="n">
        <x:f>IF('01_Run_Config'!$B$48="AN Bud Candy (replaces HESI Boost)",IF(AND(A33&gt;='01_Run_Config'!$B$32,OR(AJ33="",AJ33&lt;=49)),2,0),0)</x:f>
        <x:v>0</x:v>
      </x:c>
      <x:c r="AX33" t="n">
        <x:f>IF('01_Run_Config'!$B$49&lt;&gt;"ON / EXPERIMENTAL",0,IF(OR(AND(A33&gt;='01_Run_Config'!$B$32+7,A33&lt;'01_Run_Config'!$B$33),AND(ISNUMBER(AJ33),AJ33&gt;=1,AJ33&lt;=49)),2,0))</x:f>
        <x:v>0</x:v>
      </x:c>
      <x:c r="AY33" t="n">
        <x:f>IF('01_Run_Config'!$B$50="AN Sensizym",IF(AND(A33&gt;='01_Run_Config'!$B$32,OR(AJ33="",AJ33&lt;=49)),2,0),0)</x:f>
        <x:v>0</x:v>
      </x:c>
      <x:c r="AZ33" t="n">
        <x:f>IF('01_Run_Config'!$B$51="AN Rhino Skin",IF(AND(A33&gt;='01_Run_Config'!$B$32,OR(AJ33="",AJ33&lt;=49)),2,0),0)</x:f>
        <x:v>0</x:v>
      </x:c>
      <x:c r="BA33" t="n">
        <x:f>IF(AND('01_Run_Config'!$B$52="AN Bud Ignitor &gt; Big Bud &gt; Overdrive",ISNUMBER(AJ33),AJ33&gt;=1,AJ33&lt;=14),2,0)</x:f>
        <x:v>0</x:v>
      </x:c>
      <x:c r="BB33" t="n">
        <x:f>IF(AND('01_Run_Config'!$B$52="AN Bud Ignitor &gt; Big Bud &gt; Overdrive",ISNUMBER(AJ33),AJ33&gt;=8,AJ33&lt;=35),2,0)</x:f>
        <x:v>0</x:v>
      </x:c>
      <x:c r="BC33" t="n">
        <x:f>IF(AND('01_Run_Config'!$B$52="AN Bud Ignitor &gt; Big Bud &gt; Overdrive",ISNUMBER(AJ33),AJ33&gt;=36,AJ33&lt;=49),2,0)</x:f>
        <x:v>0</x:v>
      </x:c>
      <x:c r="BD33" t="n">
        <x:f>IF('01_Run_Config'!$B$53="ON / EXPERIMENTAL",IF(OR(AND(A33&gt;='01_Run_Config'!$B$32,A33&lt;'01_Run_Config'!$B$33),AND(ISNUMBER(AJ33),AJ33&gt;=15,AJ33&lt;=49)),2,0),0)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keine AN-Dosis heute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Sensizym",0,IF(AND(A34&gt;='01_Run_Config'!$B$32,OR(AJ34="",AJ34&lt;=49)),2,0))</x:f>
        <x:v>0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Overdrive",0,IF(AND(ISNUMBER(AJ34),AJ34&gt;=29,AJ34&lt;=42),0.25+((AJ34-29)/13)*0.25,0))</x:f>
        <x:v>0</x:v>
      </x:c>
      <x:c r="AC34" s="63" t="n">
        <x:f>IF('01_Run_Config'!$B$46="OFF",0,IF(OR(A34='01_Run_Config'!$B$32,A34='01_Run_Config'!$B$32+7,A34='01_Run_Config'!$B$33+1,A34='01_Run_Config'!$B$33+8),2,0))</x:f>
        <x:v>0</x:v>
      </x:c>
      <x:c r="AD34" s="63" t="str">
        <x:f>IF(BG34="BLOCK","HYBRID BLOCKED - Konfiguration prüfen",IF(SUM(AC34,AT34:BF34)&gt;0,"AN aktiv: "&amp;BH34,"AN: keine Dosis heute / Module aus"))</x:f>
        <x:v>AN: keine Dosis heute / Module aus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0</x:v>
      </x:c>
      <x:c r="AV34" t="n">
        <x:f>IF('01_Run_Config'!$B$47&lt;&gt;"ON / A-B",0,IF(OR(AND(A34&gt;='01_Run_Config'!$B$32,A34&lt;'01_Run_Config'!$B$33),AND(ISNUMBER(AJ34),AJ34&gt;=15,AJ34&lt;=49)),2,0))</x:f>
        <x:v>0</x:v>
      </x:c>
      <x:c r="AW34" t="n">
        <x:f>IF('01_Run_Config'!$B$48="AN Bud Candy (replaces HESI Boost)",IF(AND(A34&gt;='01_Run_Config'!$B$32,OR(AJ34="",AJ34&lt;=49)),2,0),0)</x:f>
        <x:v>0</x:v>
      </x:c>
      <x:c r="AX34" t="n">
        <x:f>IF('01_Run_Config'!$B$49&lt;&gt;"ON / EXPERIMENTAL",0,IF(OR(AND(A34&gt;='01_Run_Config'!$B$32+7,A34&lt;'01_Run_Config'!$B$33),AND(ISNUMBER(AJ34),AJ34&gt;=1,AJ34&lt;=49)),2,0))</x:f>
        <x:v>0</x:v>
      </x:c>
      <x:c r="AY34" t="n">
        <x:f>IF('01_Run_Config'!$B$50="AN Sensizym",IF(AND(A34&gt;='01_Run_Config'!$B$32,OR(AJ34="",AJ34&lt;=49)),2,0),0)</x:f>
        <x:v>0</x:v>
      </x:c>
      <x:c r="AZ34" t="n">
        <x:f>IF('01_Run_Config'!$B$51="AN Rhino Skin",IF(AND(A34&gt;='01_Run_Config'!$B$32,OR(AJ34="",AJ34&lt;=49)),2,0),0)</x:f>
        <x:v>0</x:v>
      </x:c>
      <x:c r="BA34" t="n">
        <x:f>IF(AND('01_Run_Config'!$B$52="AN Bud Ignitor &gt; Big Bud &gt; Overdrive",ISNUMBER(AJ34),AJ34&gt;=1,AJ34&lt;=14),2,0)</x:f>
        <x:v>0</x:v>
      </x:c>
      <x:c r="BB34" t="n">
        <x:f>IF(AND('01_Run_Config'!$B$52="AN Bud Ignitor &gt; Big Bud &gt; Overdrive",ISNUMBER(AJ34),AJ34&gt;=8,AJ34&lt;=35),2,0)</x:f>
        <x:v>0</x:v>
      </x:c>
      <x:c r="BC34" t="n">
        <x:f>IF(AND('01_Run_Config'!$B$52="AN Bud Ignitor &gt; Big Bud &gt; Overdrive",ISNUMBER(AJ34),AJ34&gt;=36,AJ34&lt;=49),2,0)</x:f>
        <x:v>0</x:v>
      </x:c>
      <x:c r="BD34" t="n">
        <x:f>IF('01_Run_Config'!$B$53="ON / EXPERIMENTAL",IF(OR(AND(A34&gt;='01_Run_Config'!$B$32,A34&lt;'01_Run_Config'!$B$33),AND(ISNUMBER(AJ34),AJ34&gt;=15,AJ34&lt;=49)),2,0),0)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keine AN-Dosis heute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Sensizym",0,IF(AND(A35&gt;='01_Run_Config'!$B$32,OR(AJ35="",AJ35&lt;=49)),2,0))</x:f>
        <x:v>0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Overdrive",0,IF(AND(ISNUMBER(AJ35),AJ35&gt;=29,AJ35&lt;=42),0.25+((AJ35-29)/13)*0.25,0))</x:f>
        <x:v>0</x:v>
      </x:c>
      <x:c r="AC35" s="63" t="n">
        <x:f>IF('01_Run_Config'!$B$46="OFF",0,IF(OR(A35='01_Run_Config'!$B$32,A35='01_Run_Config'!$B$32+7,A35='01_Run_Config'!$B$33+1,A35='01_Run_Config'!$B$33+8),2,0))</x:f>
        <x:v>0</x:v>
      </x:c>
      <x:c r="AD35" s="63" t="str">
        <x:f>IF(BG35="BLOCK","HYBRID BLOCKED - Konfiguration prüfen",IF(SUM(AC35,AT35:BF35)&gt;0,"AN aktiv: "&amp;BH35,"AN: keine Dosis heute / Module aus"))</x:f>
        <x:v>AN: keine Dosis heute / Module aus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0</x:v>
      </x:c>
      <x:c r="AV35" t="n">
        <x:f>IF('01_Run_Config'!$B$47&lt;&gt;"ON / A-B",0,IF(OR(AND(A35&gt;='01_Run_Config'!$B$32,A35&lt;'01_Run_Config'!$B$33),AND(ISNUMBER(AJ35),AJ35&gt;=15,AJ35&lt;=49)),2,0))</x:f>
        <x:v>0</x:v>
      </x:c>
      <x:c r="AW35" t="n">
        <x:f>IF('01_Run_Config'!$B$48="AN Bud Candy (replaces HESI Boost)",IF(AND(A35&gt;='01_Run_Config'!$B$32,OR(AJ35="",AJ35&lt;=49)),2,0),0)</x:f>
        <x:v>0</x:v>
      </x:c>
      <x:c r="AX35" t="n">
        <x:f>IF('01_Run_Config'!$B$49&lt;&gt;"ON / EXPERIMENTAL",0,IF(OR(AND(A35&gt;='01_Run_Config'!$B$32+7,A35&lt;'01_Run_Config'!$B$33),AND(ISNUMBER(AJ35),AJ35&gt;=1,AJ35&lt;=49)),2,0))</x:f>
        <x:v>0</x:v>
      </x:c>
      <x:c r="AY35" t="n">
        <x:f>IF('01_Run_Config'!$B$50="AN Sensizym",IF(AND(A35&gt;='01_Run_Config'!$B$32,OR(AJ35="",AJ35&lt;=49)),2,0),0)</x:f>
        <x:v>0</x:v>
      </x:c>
      <x:c r="AZ35" t="n">
        <x:f>IF('01_Run_Config'!$B$51="AN Rhino Skin",IF(AND(A35&gt;='01_Run_Config'!$B$32,OR(AJ35="",AJ35&lt;=49)),2,0),0)</x:f>
        <x:v>0</x:v>
      </x:c>
      <x:c r="BA35" t="n">
        <x:f>IF(AND('01_Run_Config'!$B$52="AN Bud Ignitor &gt; Big Bud &gt; Overdrive",ISNUMBER(AJ35),AJ35&gt;=1,AJ35&lt;=14),2,0)</x:f>
        <x:v>0</x:v>
      </x:c>
      <x:c r="BB35" t="n">
        <x:f>IF(AND('01_Run_Config'!$B$52="AN Bud Ignitor &gt; Big Bud &gt; Overdrive",ISNUMBER(AJ35),AJ35&gt;=8,AJ35&lt;=35),2,0)</x:f>
        <x:v>0</x:v>
      </x:c>
      <x:c r="BC35" t="n">
        <x:f>IF(AND('01_Run_Config'!$B$52="AN Bud Ignitor &gt; Big Bud &gt; Overdrive",ISNUMBER(AJ35),AJ35&gt;=36,AJ35&lt;=49),2,0)</x:f>
        <x:v>0</x:v>
      </x:c>
      <x:c r="BD35" t="n">
        <x:f>IF('01_Run_Config'!$B$53="ON / EXPERIMENTAL",IF(OR(AND(A35&gt;='01_Run_Config'!$B$32,A35&lt;'01_Run_Config'!$B$33),AND(ISNUMBER(AJ35),AJ35&gt;=15,AJ35&lt;=49)),2,0),0)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keine AN-Dosis heute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Sensizym",0,IF(AND(A36&gt;='01_Run_Config'!$B$32,OR(AJ36="",AJ36&lt;=49)),2,0))</x:f>
        <x:v>0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Overdrive",0,IF(AND(ISNUMBER(AJ36),AJ36&gt;=29,AJ36&lt;=42),0.25+((AJ36-29)/13)*0.25,0))</x:f>
        <x:v>0</x:v>
      </x:c>
      <x:c r="AC36" s="63" t="n">
        <x:f>IF('01_Run_Config'!$B$46="OFF",0,IF(OR(A36='01_Run_Config'!$B$32,A36='01_Run_Config'!$B$32+7,A36='01_Run_Config'!$B$33+1,A36='01_Run_Config'!$B$33+8),2,0))</x:f>
        <x:v>0</x:v>
      </x:c>
      <x:c r="AD36" s="63" t="str">
        <x:f>IF(BG36="BLOCK","HYBRID BLOCKED - Konfiguration prüfen",IF(SUM(AC36,AT36:BF36)&gt;0,"AN aktiv: "&amp;BH36,"AN: keine Dosis heute / Module aus"))</x:f>
        <x:v>AN: keine Dosis heute / Module aus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0</x:v>
      </x:c>
      <x:c r="AV36" t="n">
        <x:f>IF('01_Run_Config'!$B$47&lt;&gt;"ON / A-B",0,IF(OR(AND(A36&gt;='01_Run_Config'!$B$32,A36&lt;'01_Run_Config'!$B$33),AND(ISNUMBER(AJ36),AJ36&gt;=15,AJ36&lt;=49)),2,0))</x:f>
        <x:v>0</x:v>
      </x:c>
      <x:c r="AW36" t="n">
        <x:f>IF('01_Run_Config'!$B$48="AN Bud Candy (replaces HESI Boost)",IF(AND(A36&gt;='01_Run_Config'!$B$32,OR(AJ36="",AJ36&lt;=49)),2,0),0)</x:f>
        <x:v>0</x:v>
      </x:c>
      <x:c r="AX36" t="n">
        <x:f>IF('01_Run_Config'!$B$49&lt;&gt;"ON / EXPERIMENTAL",0,IF(OR(AND(A36&gt;='01_Run_Config'!$B$32+7,A36&lt;'01_Run_Config'!$B$33),AND(ISNUMBER(AJ36),AJ36&gt;=1,AJ36&lt;=49)),2,0))</x:f>
        <x:v>0</x:v>
      </x:c>
      <x:c r="AY36" t="n">
        <x:f>IF('01_Run_Config'!$B$50="AN Sensizym",IF(AND(A36&gt;='01_Run_Config'!$B$32,OR(AJ36="",AJ36&lt;=49)),2,0),0)</x:f>
        <x:v>0</x:v>
      </x:c>
      <x:c r="AZ36" t="n">
        <x:f>IF('01_Run_Config'!$B$51="AN Rhino Skin",IF(AND(A36&gt;='01_Run_Config'!$B$32,OR(AJ36="",AJ36&lt;=49)),2,0),0)</x:f>
        <x:v>0</x:v>
      </x:c>
      <x:c r="BA36" t="n">
        <x:f>IF(AND('01_Run_Config'!$B$52="AN Bud Ignitor &gt; Big Bud &gt; Overdrive",ISNUMBER(AJ36),AJ36&gt;=1,AJ36&lt;=14),2,0)</x:f>
        <x:v>0</x:v>
      </x:c>
      <x:c r="BB36" t="n">
        <x:f>IF(AND('01_Run_Config'!$B$52="AN Bud Ignitor &gt; Big Bud &gt; Overdrive",ISNUMBER(AJ36),AJ36&gt;=8,AJ36&lt;=35),2,0)</x:f>
        <x:v>0</x:v>
      </x:c>
      <x:c r="BC36" t="n">
        <x:f>IF(AND('01_Run_Config'!$B$52="AN Bud Ignitor &gt; Big Bud &gt; Overdrive",ISNUMBER(AJ36),AJ36&gt;=36,AJ36&lt;=49),2,0)</x:f>
        <x:v>0</x:v>
      </x:c>
      <x:c r="BD36" t="n">
        <x:f>IF('01_Run_Config'!$B$53="ON / EXPERIMENTAL",IF(OR(AND(A36&gt;='01_Run_Config'!$B$32,A36&lt;'01_Run_Config'!$B$33),AND(ISNUMBER(AJ36),AJ36&gt;=15,AJ36&lt;=49)),2,0),0)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keine AN-Dosis heute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Sensizym",0,IF(AND(A37&gt;='01_Run_Config'!$B$32,OR(AJ37="",AJ37&lt;=49)),2,0))</x:f>
        <x:v>0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Overdrive",0,IF(AND(ISNUMBER(AJ37),AJ37&gt;=29,AJ37&lt;=42),0.25+((AJ37-29)/13)*0.25,0))</x:f>
        <x:v>0</x:v>
      </x:c>
      <x:c r="AC37" s="63" t="n">
        <x:f>IF('01_Run_Config'!$B$46="OFF",0,IF(OR(A37='01_Run_Config'!$B$32,A37='01_Run_Config'!$B$32+7,A37='01_Run_Config'!$B$33+1,A37='01_Run_Config'!$B$33+8),2,0))</x:f>
        <x:v>0</x:v>
      </x:c>
      <x:c r="AD37" s="63" t="str">
        <x:f>IF(BG37="BLOCK","HYBRID BLOCKED - Konfiguration prüfen",IF(SUM(AC37,AT37:BF37)&gt;0,"AN aktiv: "&amp;BH37,"AN: keine Dosis heute / Module aus"))</x:f>
        <x:v>AN: keine Dosis heute / Module aus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0</x:v>
      </x:c>
      <x:c r="AV37" t="n">
        <x:f>IF('01_Run_Config'!$B$47&lt;&gt;"ON / A-B",0,IF(OR(AND(A37&gt;='01_Run_Config'!$B$32,A37&lt;'01_Run_Config'!$B$33),AND(ISNUMBER(AJ37),AJ37&gt;=15,AJ37&lt;=49)),2,0))</x:f>
        <x:v>0</x:v>
      </x:c>
      <x:c r="AW37" t="n">
        <x:f>IF('01_Run_Config'!$B$48="AN Bud Candy (replaces HESI Boost)",IF(AND(A37&gt;='01_Run_Config'!$B$32,OR(AJ37="",AJ37&lt;=49)),2,0),0)</x:f>
        <x:v>0</x:v>
      </x:c>
      <x:c r="AX37" t="n">
        <x:f>IF('01_Run_Config'!$B$49&lt;&gt;"ON / EXPERIMENTAL",0,IF(OR(AND(A37&gt;='01_Run_Config'!$B$32+7,A37&lt;'01_Run_Config'!$B$33),AND(ISNUMBER(AJ37),AJ37&gt;=1,AJ37&lt;=49)),2,0))</x:f>
        <x:v>0</x:v>
      </x:c>
      <x:c r="AY37" t="n">
        <x:f>IF('01_Run_Config'!$B$50="AN Sensizym",IF(AND(A37&gt;='01_Run_Config'!$B$32,OR(AJ37="",AJ37&lt;=49)),2,0),0)</x:f>
        <x:v>0</x:v>
      </x:c>
      <x:c r="AZ37" t="n">
        <x:f>IF('01_Run_Config'!$B$51="AN Rhino Skin",IF(AND(A37&gt;='01_Run_Config'!$B$32,OR(AJ37="",AJ37&lt;=49)),2,0),0)</x:f>
        <x:v>0</x:v>
      </x:c>
      <x:c r="BA37" t="n">
        <x:f>IF(AND('01_Run_Config'!$B$52="AN Bud Ignitor &gt; Big Bud &gt; Overdrive",ISNUMBER(AJ37),AJ37&gt;=1,AJ37&lt;=14),2,0)</x:f>
        <x:v>0</x:v>
      </x:c>
      <x:c r="BB37" t="n">
        <x:f>IF(AND('01_Run_Config'!$B$52="AN Bud Ignitor &gt; Big Bud &gt; Overdrive",ISNUMBER(AJ37),AJ37&gt;=8,AJ37&lt;=35),2,0)</x:f>
        <x:v>0</x:v>
      </x:c>
      <x:c r="BC37" t="n">
        <x:f>IF(AND('01_Run_Config'!$B$52="AN Bud Ignitor &gt; Big Bud &gt; Overdrive",ISNUMBER(AJ37),AJ37&gt;=36,AJ37&lt;=49),2,0)</x:f>
        <x:v>0</x:v>
      </x:c>
      <x:c r="BD37" t="n">
        <x:f>IF('01_Run_Config'!$B$53="ON / EXPERIMENTAL",IF(OR(AND(A37&gt;='01_Run_Config'!$B$32,A37&lt;'01_Run_Config'!$B$33),AND(ISNUMBER(AJ37),AJ37&gt;=15,AJ37&lt;=49)),2,0),0)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keine AN-Dosis heute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Sensizym",0,IF(AND(A38&gt;='01_Run_Config'!$B$32,OR(AJ38="",AJ38&lt;=49)),2,0))</x:f>
        <x:v>0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Overdrive",0,IF(AND(ISNUMBER(AJ38),AJ38&gt;=29,AJ38&lt;=42),0.25+((AJ38-29)/13)*0.25,0))</x:f>
        <x:v>0</x:v>
      </x:c>
      <x:c r="AC38" s="63" t="n">
        <x:f>IF('01_Run_Config'!$B$46="OFF",0,IF(OR(A38='01_Run_Config'!$B$32,A38='01_Run_Config'!$B$32+7,A38='01_Run_Config'!$B$33+1,A38='01_Run_Config'!$B$33+8),2,0))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A-B",0,IF(OR(AND(A38&gt;='01_Run_Config'!$B$32,A38&lt;'01_Run_Config'!$B$33),AND(ISNUMBER(AJ38),AJ38&gt;=15,AJ38&lt;=49)),2,0))</x:f>
        <x:v>0</x:v>
      </x:c>
      <x:c r="AW38" t="n">
        <x:f>IF('01_Run_Config'!$B$48="AN Bud Candy (replaces HESI Boost)",IF(AND(A38&gt;='01_Run_Config'!$B$32,OR(AJ38="",AJ38&lt;=49)),2,0),0)</x:f>
        <x:v>0</x:v>
      </x:c>
      <x:c r="AX38" t="n">
        <x:f>IF('01_Run_Config'!$B$49&lt;&gt;"ON / EXPERIMENTAL",0,IF(OR(AND(A38&gt;='01_Run_Config'!$B$32+7,A38&lt;'01_Run_Config'!$B$33),AND(ISNUMBER(AJ38),AJ38&gt;=1,AJ38&lt;=49)),2,0))</x:f>
        <x:v>0</x:v>
      </x:c>
      <x:c r="AY38" t="n">
        <x:f>IF('01_Run_Config'!$B$50="AN Sensizym",IF(AND(A38&gt;='01_Run_Config'!$B$32,OR(AJ38="",AJ38&lt;=49)),2,0),0)</x:f>
        <x:v>0</x:v>
      </x:c>
      <x:c r="AZ38" t="n">
        <x:f>IF('01_Run_Config'!$B$51="AN Rhino Skin",IF(AND(A38&gt;='01_Run_Config'!$B$32,OR(AJ38="",AJ38&lt;=49)),2,0),0)</x:f>
        <x:v>0</x:v>
      </x:c>
      <x:c r="BA38" t="n">
        <x:f>IF(AND('01_Run_Config'!$B$52="AN Bud Ignitor &gt; Big Bud &gt; Overdrive",ISNUMBER(AJ38),AJ38&gt;=1,AJ38&lt;=14),2,0)</x:f>
        <x:v>0</x:v>
      </x:c>
      <x:c r="BB38" t="n">
        <x:f>IF(AND('01_Run_Config'!$B$52="AN Bud Ignitor &gt; Big Bud &gt; Overdrive",ISNUMBER(AJ38),AJ38&gt;=8,AJ38&lt;=35),2,0)</x:f>
        <x:v>0</x:v>
      </x:c>
      <x:c r="BC38" t="n">
        <x:f>IF(AND('01_Run_Config'!$B$52="AN Bud Ignitor &gt; Big Bud &gt; Overdrive",ISNUMBER(AJ38),AJ38&gt;=36,AJ38&lt;=49),2,0)</x:f>
        <x:v>0</x:v>
      </x:c>
      <x:c r="BD38" t="n">
        <x:f>IF('01_Run_Config'!$B$53="ON / EXPERIMENTAL",IF(OR(AND(A38&gt;='01_Run_Config'!$B$32,A38&lt;'01_Run_Config'!$B$33),AND(ISNUMBER(AJ38),AJ38&gt;=15,AJ38&lt;=49)),2,0),0)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Sensizym",0,IF(AND(A39&gt;='01_Run_Config'!$B$32,OR(AJ39="",AJ39&lt;=49)),2,0))</x:f>
        <x:v>0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Overdrive",0,IF(AND(ISNUMBER(AJ39),AJ39&gt;=29,AJ39&lt;=42),0.25+((AJ39-29)/13)*0.25,0))</x:f>
        <x:v>0</x:v>
      </x:c>
      <x:c r="AC39" s="63" t="n">
        <x:f>IF('01_Run_Config'!$B$46="OFF",0,IF(OR(A39='01_Run_Config'!$B$32,A39='01_Run_Config'!$B$32+7,A39='01_Run_Config'!$B$33+1,A39='01_Run_Config'!$B$33+8),2,0))</x:f>
        <x:v>0</x:v>
      </x:c>
      <x:c r="AD39" s="63" t="str">
        <x:f>IF(BG39="BLOCK","HYBRID BLOCKED - Konfiguration prüfen",IF(SUM(AC39,AT39:BF39)&gt;0,"AN aktiv: "&amp;BH39,"AN: keine Dosis heute / Module aus"))</x:f>
        <x:v>AN: keine Dosis heute / Module aus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0</x:v>
      </x:c>
      <x:c r="AV39" t="n">
        <x:f>IF('01_Run_Config'!$B$47&lt;&gt;"ON / A-B",0,IF(OR(AND(A39&gt;='01_Run_Config'!$B$32,A39&lt;'01_Run_Config'!$B$33),AND(ISNUMBER(AJ39),AJ39&gt;=15,AJ39&lt;=49)),2,0))</x:f>
        <x:v>0</x:v>
      </x:c>
      <x:c r="AW39" t="n">
        <x:f>IF('01_Run_Config'!$B$48="AN Bud Candy (replaces HESI Boost)",IF(AND(A39&gt;='01_Run_Config'!$B$32,OR(AJ39="",AJ39&lt;=49)),2,0),0)</x:f>
        <x:v>0</x:v>
      </x:c>
      <x:c r="AX39" t="n">
        <x:f>IF('01_Run_Config'!$B$49&lt;&gt;"ON / EXPERIMENTAL",0,IF(OR(AND(A39&gt;='01_Run_Config'!$B$32+7,A39&lt;'01_Run_Config'!$B$33),AND(ISNUMBER(AJ39),AJ39&gt;=1,AJ39&lt;=49)),2,0))</x:f>
        <x:v>0</x:v>
      </x:c>
      <x:c r="AY39" t="n">
        <x:f>IF('01_Run_Config'!$B$50="AN Sensizym",IF(AND(A39&gt;='01_Run_Config'!$B$32,OR(AJ39="",AJ39&lt;=49)),2,0),0)</x:f>
        <x:v>0</x:v>
      </x:c>
      <x:c r="AZ39" t="n">
        <x:f>IF('01_Run_Config'!$B$51="AN Rhino Skin",IF(AND(A39&gt;='01_Run_Config'!$B$32,OR(AJ39="",AJ39&lt;=49)),2,0),0)</x:f>
        <x:v>0</x:v>
      </x:c>
      <x:c r="BA39" t="n">
        <x:f>IF(AND('01_Run_Config'!$B$52="AN Bud Ignitor &gt; Big Bud &gt; Overdrive",ISNUMBER(AJ39),AJ39&gt;=1,AJ39&lt;=14),2,0)</x:f>
        <x:v>0</x:v>
      </x:c>
      <x:c r="BB39" t="n">
        <x:f>IF(AND('01_Run_Config'!$B$52="AN Bud Ignitor &gt; Big Bud &gt; Overdrive",ISNUMBER(AJ39),AJ39&gt;=8,AJ39&lt;=35),2,0)</x:f>
        <x:v>0</x:v>
      </x:c>
      <x:c r="BC39" t="n">
        <x:f>IF(AND('01_Run_Config'!$B$52="AN Bud Ignitor &gt; Big Bud &gt; Overdrive",ISNUMBER(AJ39),AJ39&gt;=36,AJ39&lt;=49),2,0)</x:f>
        <x:v>0</x:v>
      </x:c>
      <x:c r="BD39" t="n">
        <x:f>IF('01_Run_Config'!$B$53="ON / EXPERIMENTAL",IF(OR(AND(A39&gt;='01_Run_Config'!$B$32,A39&lt;'01_Run_Config'!$B$33),AND(ISNUMBER(AJ39),AJ39&gt;=15,AJ39&lt;=49)),2,0),0)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keine AN-Dosis heute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Sensizym",0,IF(AND(A40&gt;='01_Run_Config'!$B$32,OR(AJ40="",AJ40&lt;=49)),2,0))</x:f>
        <x:v>0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Overdrive",0,IF(AND(ISNUMBER(AJ40),AJ40&gt;=29,AJ40&lt;=42),0.25+((AJ40-29)/13)*0.25,0))</x:f>
        <x:v>0</x:v>
      </x:c>
      <x:c r="AC40" s="63" t="n">
        <x:f>IF('01_Run_Config'!$B$46="OFF",0,IF(OR(A40='01_Run_Config'!$B$32,A40='01_Run_Config'!$B$32+7,A40='01_Run_Config'!$B$33+1,A40='01_Run_Config'!$B$33+8),2,0))</x:f>
        <x:v>0</x:v>
      </x:c>
      <x:c r="AD40" s="63" t="str">
        <x:f>IF(BG40="BLOCK","HYBRID BLOCKED - Konfiguration prüfen",IF(SUM(AC40,AT40:BF40)&gt;0,"AN aktiv: "&amp;BH40,"AN: keine Dosis heute / Module aus"))</x:f>
        <x:v>AN: keine Dosis heute / Module aus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0</x:v>
      </x:c>
      <x:c r="AV40" t="n">
        <x:f>IF('01_Run_Config'!$B$47&lt;&gt;"ON / A-B",0,IF(OR(AND(A40&gt;='01_Run_Config'!$B$32,A40&lt;'01_Run_Config'!$B$33),AND(ISNUMBER(AJ40),AJ40&gt;=15,AJ40&lt;=49)),2,0))</x:f>
        <x:v>0</x:v>
      </x:c>
      <x:c r="AW40" t="n">
        <x:f>IF('01_Run_Config'!$B$48="AN Bud Candy (replaces HESI Boost)",IF(AND(A40&gt;='01_Run_Config'!$B$32,OR(AJ40="",AJ40&lt;=49)),2,0),0)</x:f>
        <x:v>0</x:v>
      </x:c>
      <x:c r="AX40" t="n">
        <x:f>IF('01_Run_Config'!$B$49&lt;&gt;"ON / EXPERIMENTAL",0,IF(OR(AND(A40&gt;='01_Run_Config'!$B$32+7,A40&lt;'01_Run_Config'!$B$33),AND(ISNUMBER(AJ40),AJ40&gt;=1,AJ40&lt;=49)),2,0))</x:f>
        <x:v>0</x:v>
      </x:c>
      <x:c r="AY40" t="n">
        <x:f>IF('01_Run_Config'!$B$50="AN Sensizym",IF(AND(A40&gt;='01_Run_Config'!$B$32,OR(AJ40="",AJ40&lt;=49)),2,0),0)</x:f>
        <x:v>0</x:v>
      </x:c>
      <x:c r="AZ40" t="n">
        <x:f>IF('01_Run_Config'!$B$51="AN Rhino Skin",IF(AND(A40&gt;='01_Run_Config'!$B$32,OR(AJ40="",AJ40&lt;=49)),2,0),0)</x:f>
        <x:v>0</x:v>
      </x:c>
      <x:c r="BA40" t="n">
        <x:f>IF(AND('01_Run_Config'!$B$52="AN Bud Ignitor &gt; Big Bud &gt; Overdrive",ISNUMBER(AJ40),AJ40&gt;=1,AJ40&lt;=14),2,0)</x:f>
        <x:v>0</x:v>
      </x:c>
      <x:c r="BB40" t="n">
        <x:f>IF(AND('01_Run_Config'!$B$52="AN Bud Ignitor &gt; Big Bud &gt; Overdrive",ISNUMBER(AJ40),AJ40&gt;=8,AJ40&lt;=35),2,0)</x:f>
        <x:v>0</x:v>
      </x:c>
      <x:c r="BC40" t="n">
        <x:f>IF(AND('01_Run_Config'!$B$52="AN Bud Ignitor &gt; Big Bud &gt; Overdrive",ISNUMBER(AJ40),AJ40&gt;=36,AJ40&lt;=49),2,0)</x:f>
        <x:v>0</x:v>
      </x:c>
      <x:c r="BD40" t="n">
        <x:f>IF('01_Run_Config'!$B$53="ON / EXPERIMENTAL",IF(OR(AND(A40&gt;='01_Run_Config'!$B$32,A40&lt;'01_Run_Config'!$B$33),AND(ISNUMBER(AJ40),AJ40&gt;=15,AJ40&lt;=49)),2,0),0)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keine AN-Dosis heute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Sensizym",0,IF(AND(A41&gt;='01_Run_Config'!$B$32,OR(AJ41="",AJ41&lt;=49)),2,0))</x:f>
        <x:v>0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Overdrive",0,IF(AND(ISNUMBER(AJ41),AJ41&gt;=29,AJ41&lt;=42),0.25+((AJ41-29)/13)*0.25,0))</x:f>
        <x:v>0</x:v>
      </x:c>
      <x:c r="AC41" s="63" t="n">
        <x:f>IF('01_Run_Config'!$B$46="OFF",0,IF(OR(A41='01_Run_Config'!$B$32,A41='01_Run_Config'!$B$32+7,A41='01_Run_Config'!$B$33+1,A41='01_Run_Config'!$B$33+8),2,0))</x:f>
        <x:v>0</x:v>
      </x:c>
      <x:c r="AD41" s="63" t="str">
        <x:f>IF(BG41="BLOCK","HYBRID BLOCKED - Konfiguration prüfen",IF(SUM(AC41,AT41:BF41)&gt;0,"AN aktiv: "&amp;BH41,"AN: keine Dosis heute / Module aus"))</x:f>
        <x:v>AN: keine Dosis heute / Module aus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0</x:v>
      </x:c>
      <x:c r="AV41" t="n">
        <x:f>IF('01_Run_Config'!$B$47&lt;&gt;"ON / A-B",0,IF(OR(AND(A41&gt;='01_Run_Config'!$B$32,A41&lt;'01_Run_Config'!$B$33),AND(ISNUMBER(AJ41),AJ41&gt;=15,AJ41&lt;=49)),2,0))</x:f>
        <x:v>0</x:v>
      </x:c>
      <x:c r="AW41" t="n">
        <x:f>IF('01_Run_Config'!$B$48="AN Bud Candy (replaces HESI Boost)",IF(AND(A41&gt;='01_Run_Config'!$B$32,OR(AJ41="",AJ41&lt;=49)),2,0),0)</x:f>
        <x:v>0</x:v>
      </x:c>
      <x:c r="AX41" t="n">
        <x:f>IF('01_Run_Config'!$B$49&lt;&gt;"ON / EXPERIMENTAL",0,IF(OR(AND(A41&gt;='01_Run_Config'!$B$32+7,A41&lt;'01_Run_Config'!$B$33),AND(ISNUMBER(AJ41),AJ41&gt;=1,AJ41&lt;=49)),2,0))</x:f>
        <x:v>0</x:v>
      </x:c>
      <x:c r="AY41" t="n">
        <x:f>IF('01_Run_Config'!$B$50="AN Sensizym",IF(AND(A41&gt;='01_Run_Config'!$B$32,OR(AJ41="",AJ41&lt;=49)),2,0),0)</x:f>
        <x:v>0</x:v>
      </x:c>
      <x:c r="AZ41" t="n">
        <x:f>IF('01_Run_Config'!$B$51="AN Rhino Skin",IF(AND(A41&gt;='01_Run_Config'!$B$32,OR(AJ41="",AJ41&lt;=49)),2,0),0)</x:f>
        <x:v>0</x:v>
      </x:c>
      <x:c r="BA41" t="n">
        <x:f>IF(AND('01_Run_Config'!$B$52="AN Bud Ignitor &gt; Big Bud &gt; Overdrive",ISNUMBER(AJ41),AJ41&gt;=1,AJ41&lt;=14),2,0)</x:f>
        <x:v>0</x:v>
      </x:c>
      <x:c r="BB41" t="n">
        <x:f>IF(AND('01_Run_Config'!$B$52="AN Bud Ignitor &gt; Big Bud &gt; Overdrive",ISNUMBER(AJ41),AJ41&gt;=8,AJ41&lt;=35),2,0)</x:f>
        <x:v>0</x:v>
      </x:c>
      <x:c r="BC41" t="n">
        <x:f>IF(AND('01_Run_Config'!$B$52="AN Bud Ignitor &gt; Big Bud &gt; Overdrive",ISNUMBER(AJ41),AJ41&gt;=36,AJ41&lt;=49),2,0)</x:f>
        <x:v>0</x:v>
      </x:c>
      <x:c r="BD41" t="n">
        <x:f>IF('01_Run_Config'!$B$53="ON / EXPERIMENTAL",IF(OR(AND(A41&gt;='01_Run_Config'!$B$32,A41&lt;'01_Run_Config'!$B$33),AND(ISNUMBER(AJ41),AJ41&gt;=15,AJ41&lt;=49)),2,0),0)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keine AN-Dosis heute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Sensizym",0,IF(AND(A42&gt;='01_Run_Config'!$B$32,OR(AJ42="",AJ42&lt;=49)),2,0))</x:f>
        <x:v>0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Overdrive",0,IF(AND(ISNUMBER(AJ42),AJ42&gt;=29,AJ42&lt;=42),0.25+((AJ42-29)/13)*0.25,0))</x:f>
        <x:v>0</x:v>
      </x:c>
      <x:c r="AC42" s="63" t="n">
        <x:f>IF('01_Run_Config'!$B$46="OFF",0,IF(OR(A42='01_Run_Config'!$B$32,A42='01_Run_Config'!$B$32+7,A42='01_Run_Config'!$B$33+1,A42='01_Run_Config'!$B$33+8),2,0))</x:f>
        <x:v>0</x:v>
      </x:c>
      <x:c r="AD42" s="63" t="str">
        <x:f>IF(BG42="BLOCK","HYBRID BLOCKED - Konfiguration prüfen",IF(SUM(AC42,AT42:BF42)&gt;0,"AN aktiv: "&amp;BH42,"AN: keine Dosis heute / Module aus"))</x:f>
        <x:v>AN: keine Dosis heute / Module aus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0</x:v>
      </x:c>
      <x:c r="AV42" t="n">
        <x:f>IF('01_Run_Config'!$B$47&lt;&gt;"ON / A-B",0,IF(OR(AND(A42&gt;='01_Run_Config'!$B$32,A42&lt;'01_Run_Config'!$B$33),AND(ISNUMBER(AJ42),AJ42&gt;=15,AJ42&lt;=49)),2,0))</x:f>
        <x:v>0</x:v>
      </x:c>
      <x:c r="AW42" t="n">
        <x:f>IF('01_Run_Config'!$B$48="AN Bud Candy (replaces HESI Boost)",IF(AND(A42&gt;='01_Run_Config'!$B$32,OR(AJ42="",AJ42&lt;=49)),2,0),0)</x:f>
        <x:v>0</x:v>
      </x:c>
      <x:c r="AX42" t="n">
        <x:f>IF('01_Run_Config'!$B$49&lt;&gt;"ON / EXPERIMENTAL",0,IF(OR(AND(A42&gt;='01_Run_Config'!$B$32+7,A42&lt;'01_Run_Config'!$B$33),AND(ISNUMBER(AJ42),AJ42&gt;=1,AJ42&lt;=49)),2,0))</x:f>
        <x:v>0</x:v>
      </x:c>
      <x:c r="AY42" t="n">
        <x:f>IF('01_Run_Config'!$B$50="AN Sensizym",IF(AND(A42&gt;='01_Run_Config'!$B$32,OR(AJ42="",AJ42&lt;=49)),2,0),0)</x:f>
        <x:v>0</x:v>
      </x:c>
      <x:c r="AZ42" t="n">
        <x:f>IF('01_Run_Config'!$B$51="AN Rhino Skin",IF(AND(A42&gt;='01_Run_Config'!$B$32,OR(AJ42="",AJ42&lt;=49)),2,0),0)</x:f>
        <x:v>0</x:v>
      </x:c>
      <x:c r="BA42" t="n">
        <x:f>IF(AND('01_Run_Config'!$B$52="AN Bud Ignitor &gt; Big Bud &gt; Overdrive",ISNUMBER(AJ42),AJ42&gt;=1,AJ42&lt;=14),2,0)</x:f>
        <x:v>0</x:v>
      </x:c>
      <x:c r="BB42" t="n">
        <x:f>IF(AND('01_Run_Config'!$B$52="AN Bud Ignitor &gt; Big Bud &gt; Overdrive",ISNUMBER(AJ42),AJ42&gt;=8,AJ42&lt;=35),2,0)</x:f>
        <x:v>0</x:v>
      </x:c>
      <x:c r="BC42" t="n">
        <x:f>IF(AND('01_Run_Config'!$B$52="AN Bud Ignitor &gt; Big Bud &gt; Overdrive",ISNUMBER(AJ42),AJ42&gt;=36,AJ42&lt;=49),2,0)</x:f>
        <x:v>0</x:v>
      </x:c>
      <x:c r="BD42" t="n">
        <x:f>IF('01_Run_Config'!$B$53="ON / EXPERIMENTAL",IF(OR(AND(A42&gt;='01_Run_Config'!$B$32,A42&lt;'01_Run_Config'!$B$33),AND(ISNUMBER(AJ42),AJ42&gt;=15,AJ42&lt;=49)),2,0),0)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keine AN-Dosis heute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Sensizym",0,IF(AND(A43&gt;='01_Run_Config'!$B$32,OR(AJ43="",AJ43&lt;=49)),2,0))</x:f>
        <x:v>0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Overdrive",0,IF(AND(ISNUMBER(AJ43),AJ43&gt;=29,AJ43&lt;=42),0.25+((AJ43-29)/13)*0.25,0))</x:f>
        <x:v>0</x:v>
      </x:c>
      <x:c r="AC43" s="63" t="n">
        <x:f>IF('01_Run_Config'!$B$46="OFF",0,IF(OR(A43='01_Run_Config'!$B$32,A43='01_Run_Config'!$B$32+7,A43='01_Run_Config'!$B$33+1,A43='01_Run_Config'!$B$33+8),2,0))</x:f>
        <x:v>0</x:v>
      </x:c>
      <x:c r="AD43" s="63" t="str">
        <x:f>IF(BG43="BLOCK","HYBRID BLOCKED - Konfiguration prüfen",IF(SUM(AC43,AT43:BF43)&gt;0,"AN aktiv: "&amp;BH43,"AN: keine Dosis heute / Module aus"))</x:f>
        <x:v>AN: keine Dosis heute / Module aus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0</x:v>
      </x:c>
      <x:c r="AV43" t="n">
        <x:f>IF('01_Run_Config'!$B$47&lt;&gt;"ON / A-B",0,IF(OR(AND(A43&gt;='01_Run_Config'!$B$32,A43&lt;'01_Run_Config'!$B$33),AND(ISNUMBER(AJ43),AJ43&gt;=15,AJ43&lt;=49)),2,0))</x:f>
        <x:v>0</x:v>
      </x:c>
      <x:c r="AW43" t="n">
        <x:f>IF('01_Run_Config'!$B$48="AN Bud Candy (replaces HESI Boost)",IF(AND(A43&gt;='01_Run_Config'!$B$32,OR(AJ43="",AJ43&lt;=49)),2,0),0)</x:f>
        <x:v>0</x:v>
      </x:c>
      <x:c r="AX43" t="n">
        <x:f>IF('01_Run_Config'!$B$49&lt;&gt;"ON / EXPERIMENTAL",0,IF(OR(AND(A43&gt;='01_Run_Config'!$B$32+7,A43&lt;'01_Run_Config'!$B$33),AND(ISNUMBER(AJ43),AJ43&gt;=1,AJ43&lt;=49)),2,0))</x:f>
        <x:v>0</x:v>
      </x:c>
      <x:c r="AY43" t="n">
        <x:f>IF('01_Run_Config'!$B$50="AN Sensizym",IF(AND(A43&gt;='01_Run_Config'!$B$32,OR(AJ43="",AJ43&lt;=49)),2,0),0)</x:f>
        <x:v>0</x:v>
      </x:c>
      <x:c r="AZ43" t="n">
        <x:f>IF('01_Run_Config'!$B$51="AN Rhino Skin",IF(AND(A43&gt;='01_Run_Config'!$B$32,OR(AJ43="",AJ43&lt;=49)),2,0),0)</x:f>
        <x:v>0</x:v>
      </x:c>
      <x:c r="BA43" t="n">
        <x:f>IF(AND('01_Run_Config'!$B$52="AN Bud Ignitor &gt; Big Bud &gt; Overdrive",ISNUMBER(AJ43),AJ43&gt;=1,AJ43&lt;=14),2,0)</x:f>
        <x:v>0</x:v>
      </x:c>
      <x:c r="BB43" t="n">
        <x:f>IF(AND('01_Run_Config'!$B$52="AN Bud Ignitor &gt; Big Bud &gt; Overdrive",ISNUMBER(AJ43),AJ43&gt;=8,AJ43&lt;=35),2,0)</x:f>
        <x:v>0</x:v>
      </x:c>
      <x:c r="BC43" t="n">
        <x:f>IF(AND('01_Run_Config'!$B$52="AN Bud Ignitor &gt; Big Bud &gt; Overdrive",ISNUMBER(AJ43),AJ43&gt;=36,AJ43&lt;=49),2,0)</x:f>
        <x:v>0</x:v>
      </x:c>
      <x:c r="BD43" t="n">
        <x:f>IF('01_Run_Config'!$B$53="ON / EXPERIMENTAL",IF(OR(AND(A43&gt;='01_Run_Config'!$B$32,A43&lt;'01_Run_Config'!$B$33),AND(ISNUMBER(AJ43),AJ43&gt;=15,AJ43&lt;=49)),2,0),0)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keine AN-Dosis heute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Sensizym",0,IF(AND(A44&gt;='01_Run_Config'!$B$32,OR(AJ44="",AJ44&lt;=49)),2,0))</x:f>
        <x:v>0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Overdrive",0,IF(AND(ISNUMBER(AJ44),AJ44&gt;=29,AJ44&lt;=42),0.25+((AJ44-29)/13)*0.25,0))</x:f>
        <x:v>0</x:v>
      </x:c>
      <x:c r="AC44" s="63" t="n">
        <x:f>IF('01_Run_Config'!$B$46="OFF",0,IF(OR(A44='01_Run_Config'!$B$32,A44='01_Run_Config'!$B$32+7,A44='01_Run_Config'!$B$33+1,A44='01_Run_Config'!$B$33+8),2,0))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A-B",0,IF(OR(AND(A44&gt;='01_Run_Config'!$B$32,A44&lt;'01_Run_Config'!$B$33),AND(ISNUMBER(AJ44),AJ44&gt;=15,AJ44&lt;=49)),2,0))</x:f>
        <x:v>0</x:v>
      </x:c>
      <x:c r="AW44" t="n">
        <x:f>IF('01_Run_Config'!$B$48="AN Bud Candy (replaces HESI Boost)",IF(AND(A44&gt;='01_Run_Config'!$B$32,OR(AJ44="",AJ44&lt;=49)),2,0),0)</x:f>
        <x:v>0</x:v>
      </x:c>
      <x:c r="AX44" t="n">
        <x:f>IF('01_Run_Config'!$B$49&lt;&gt;"ON / EXPERIMENTAL",0,IF(OR(AND(A44&gt;='01_Run_Config'!$B$32+7,A44&lt;'01_Run_Config'!$B$33),AND(ISNUMBER(AJ44),AJ44&gt;=1,AJ44&lt;=49)),2,0))</x:f>
        <x:v>0</x:v>
      </x:c>
      <x:c r="AY44" t="n">
        <x:f>IF('01_Run_Config'!$B$50="AN Sensizym",IF(AND(A44&gt;='01_Run_Config'!$B$32,OR(AJ44="",AJ44&lt;=49)),2,0),0)</x:f>
        <x:v>0</x:v>
      </x:c>
      <x:c r="AZ44" t="n">
        <x:f>IF('01_Run_Config'!$B$51="AN Rhino Skin",IF(AND(A44&gt;='01_Run_Config'!$B$32,OR(AJ44="",AJ44&lt;=49)),2,0),0)</x:f>
        <x:v>0</x:v>
      </x:c>
      <x:c r="BA44" t="n">
        <x:f>IF(AND('01_Run_Config'!$B$52="AN Bud Ignitor &gt; Big Bud &gt; Overdrive",ISNUMBER(AJ44),AJ44&gt;=1,AJ44&lt;=14),2,0)</x:f>
        <x:v>0</x:v>
      </x:c>
      <x:c r="BB44" t="n">
        <x:f>IF(AND('01_Run_Config'!$B$52="AN Bud Ignitor &gt; Big Bud &gt; Overdrive",ISNUMBER(AJ44),AJ44&gt;=8,AJ44&lt;=35),2,0)</x:f>
        <x:v>0</x:v>
      </x:c>
      <x:c r="BC44" t="n">
        <x:f>IF(AND('01_Run_Config'!$B$52="AN Bud Ignitor &gt; Big Bud &gt; Overdrive",ISNUMBER(AJ44),AJ44&gt;=36,AJ44&lt;=49),2,0)</x:f>
        <x:v>0</x:v>
      </x:c>
      <x:c r="BD44" t="n">
        <x:f>IF('01_Run_Config'!$B$53="ON / EXPERIMENTAL",IF(OR(AND(A44&gt;='01_Run_Config'!$B$32,A44&lt;'01_Run_Config'!$B$33),AND(ISNUMBER(AJ44),AJ44&gt;=15,AJ44&lt;=49)),2,0),0)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Sensizym",0,IF(AND(A45&gt;='01_Run_Config'!$B$32,OR(AJ45="",AJ45&lt;=49)),2,0))</x:f>
        <x:v>0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Overdrive",0,IF(AND(ISNUMBER(AJ45),AJ45&gt;=29,AJ45&lt;=42),0.25+((AJ45-29)/13)*0.25,0))</x:f>
        <x:v>0</x:v>
      </x:c>
      <x:c r="AC45" s="63" t="n">
        <x:f>IF('01_Run_Config'!$B$46="OFF",0,IF(OR(A45='01_Run_Config'!$B$32,A45='01_Run_Config'!$B$32+7,A45='01_Run_Config'!$B$33+1,A45='01_Run_Config'!$B$33+8),2,0))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A-B",0,IF(OR(AND(A45&gt;='01_Run_Config'!$B$32,A45&lt;'01_Run_Config'!$B$33),AND(ISNUMBER(AJ45),AJ45&gt;=15,AJ45&lt;=49)),2,0))</x:f>
        <x:v>0</x:v>
      </x:c>
      <x:c r="AW45" t="n">
        <x:f>IF('01_Run_Config'!$B$48="AN Bud Candy (replaces HESI Boost)",IF(AND(A45&gt;='01_Run_Config'!$B$32,OR(AJ45="",AJ45&lt;=49)),2,0),0)</x:f>
        <x:v>0</x:v>
      </x:c>
      <x:c r="AX45" t="n">
        <x:f>IF('01_Run_Config'!$B$49&lt;&gt;"ON / EXPERIMENTAL",0,IF(OR(AND(A45&gt;='01_Run_Config'!$B$32+7,A45&lt;'01_Run_Config'!$B$33),AND(ISNUMBER(AJ45),AJ45&gt;=1,AJ45&lt;=49)),2,0))</x:f>
        <x:v>0</x:v>
      </x:c>
      <x:c r="AY45" t="n">
        <x:f>IF('01_Run_Config'!$B$50="AN Sensizym",IF(AND(A45&gt;='01_Run_Config'!$B$32,OR(AJ45="",AJ45&lt;=49)),2,0),0)</x:f>
        <x:v>0</x:v>
      </x:c>
      <x:c r="AZ45" t="n">
        <x:f>IF('01_Run_Config'!$B$51="AN Rhino Skin",IF(AND(A45&gt;='01_Run_Config'!$B$32,OR(AJ45="",AJ45&lt;=49)),2,0),0)</x:f>
        <x:v>0</x:v>
      </x:c>
      <x:c r="BA45" t="n">
        <x:f>IF(AND('01_Run_Config'!$B$52="AN Bud Ignitor &gt; Big Bud &gt; Overdrive",ISNUMBER(AJ45),AJ45&gt;=1,AJ45&lt;=14),2,0)</x:f>
        <x:v>0</x:v>
      </x:c>
      <x:c r="BB45" t="n">
        <x:f>IF(AND('01_Run_Config'!$B$52="AN Bud Ignitor &gt; Big Bud &gt; Overdrive",ISNUMBER(AJ45),AJ45&gt;=8,AJ45&lt;=35),2,0)</x:f>
        <x:v>0</x:v>
      </x:c>
      <x:c r="BC45" t="n">
        <x:f>IF(AND('01_Run_Config'!$B$52="AN Bud Ignitor &gt; Big Bud &gt; Overdrive",ISNUMBER(AJ45),AJ45&gt;=36,AJ45&lt;=49),2,0)</x:f>
        <x:v>0</x:v>
      </x:c>
      <x:c r="BD45" t="n">
        <x:f>IF('01_Run_Config'!$B$53="ON / EXPERIMENTAL",IF(OR(AND(A45&gt;='01_Run_Config'!$B$32,A45&lt;'01_Run_Config'!$B$33),AND(ISNUMBER(AJ45),AJ45&gt;=15,AJ45&lt;=49)),2,0),0)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Sensizym",0,IF(AND(A46&gt;='01_Run_Config'!$B$32,OR(AJ46="",AJ46&lt;=49)),2,0))</x:f>
        <x:v>0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Overdrive",0,IF(AND(ISNUMBER(AJ46),AJ46&gt;=29,AJ46&lt;=42),0.25+((AJ46-29)/13)*0.25,0))</x:f>
        <x:v>0</x:v>
      </x:c>
      <x:c r="AC46" s="63" t="n">
        <x:f>IF('01_Run_Config'!$B$46="OFF",0,IF(OR(A46='01_Run_Config'!$B$32,A46='01_Run_Config'!$B$32+7,A46='01_Run_Config'!$B$33+1,A46='01_Run_Config'!$B$33+8),2,0))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A-B",0,IF(OR(AND(A46&gt;='01_Run_Config'!$B$32,A46&lt;'01_Run_Config'!$B$33),AND(ISNUMBER(AJ46),AJ46&gt;=15,AJ46&lt;=49)),2,0))</x:f>
        <x:v>0</x:v>
      </x:c>
      <x:c r="AW46" t="n">
        <x:f>IF('01_Run_Config'!$B$48="AN Bud Candy (replaces HESI Boost)",IF(AND(A46&gt;='01_Run_Config'!$B$32,OR(AJ46="",AJ46&lt;=49)),2,0),0)</x:f>
        <x:v>0</x:v>
      </x:c>
      <x:c r="AX46" t="n">
        <x:f>IF('01_Run_Config'!$B$49&lt;&gt;"ON / EXPERIMENTAL",0,IF(OR(AND(A46&gt;='01_Run_Config'!$B$32+7,A46&lt;'01_Run_Config'!$B$33),AND(ISNUMBER(AJ46),AJ46&gt;=1,AJ46&lt;=49)),2,0))</x:f>
        <x:v>0</x:v>
      </x:c>
      <x:c r="AY46" t="n">
        <x:f>IF('01_Run_Config'!$B$50="AN Sensizym",IF(AND(A46&gt;='01_Run_Config'!$B$32,OR(AJ46="",AJ46&lt;=49)),2,0),0)</x:f>
        <x:v>0</x:v>
      </x:c>
      <x:c r="AZ46" t="n">
        <x:f>IF('01_Run_Config'!$B$51="AN Rhino Skin",IF(AND(A46&gt;='01_Run_Config'!$B$32,OR(AJ46="",AJ46&lt;=49)),2,0),0)</x:f>
        <x:v>0</x:v>
      </x:c>
      <x:c r="BA46" t="n">
        <x:f>IF(AND('01_Run_Config'!$B$52="AN Bud Ignitor &gt; Big Bud &gt; Overdrive",ISNUMBER(AJ46),AJ46&gt;=1,AJ46&lt;=14),2,0)</x:f>
        <x:v>0</x:v>
      </x:c>
      <x:c r="BB46" t="n">
        <x:f>IF(AND('01_Run_Config'!$B$52="AN Bud Ignitor &gt; Big Bud &gt; Overdrive",ISNUMBER(AJ46),AJ46&gt;=8,AJ46&lt;=35),2,0)</x:f>
        <x:v>0</x:v>
      </x:c>
      <x:c r="BC46" t="n">
        <x:f>IF(AND('01_Run_Config'!$B$52="AN Bud Ignitor &gt; Big Bud &gt; Overdrive",ISNUMBER(AJ46),AJ46&gt;=36,AJ46&lt;=49),2,0)</x:f>
        <x:v>0</x:v>
      </x:c>
      <x:c r="BD46" t="n">
        <x:f>IF('01_Run_Config'!$B$53="ON / EXPERIMENTAL",IF(OR(AND(A46&gt;='01_Run_Config'!$B$32,A46&lt;'01_Run_Config'!$B$33),AND(ISNUMBER(AJ46),AJ46&gt;=15,AJ46&lt;=49)),2,0),0)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Sensizym",0,IF(AND(A47&gt;='01_Run_Config'!$B$32,OR(AJ47="",AJ47&lt;=49)),2,0))</x:f>
        <x:v>0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Overdrive",0,IF(AND(ISNUMBER(AJ47),AJ47&gt;=29,AJ47&lt;=42),0.25+((AJ47-29)/13)*0.25,0))</x:f>
        <x:v>0</x:v>
      </x:c>
      <x:c r="AC47" s="63" t="n">
        <x:f>IF('01_Run_Config'!$B$46="OFF",0,IF(OR(A47='01_Run_Config'!$B$32,A47='01_Run_Config'!$B$32+7,A47='01_Run_Config'!$B$33+1,A47='01_Run_Config'!$B$33+8),2,0))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A-B",0,IF(OR(AND(A47&gt;='01_Run_Config'!$B$32,A47&lt;'01_Run_Config'!$B$33),AND(ISNUMBER(AJ47),AJ47&gt;=15,AJ47&lt;=49)),2,0))</x:f>
        <x:v>0</x:v>
      </x:c>
      <x:c r="AW47" t="n">
        <x:f>IF('01_Run_Config'!$B$48="AN Bud Candy (replaces HESI Boost)",IF(AND(A47&gt;='01_Run_Config'!$B$32,OR(AJ47="",AJ47&lt;=49)),2,0),0)</x:f>
        <x:v>0</x:v>
      </x:c>
      <x:c r="AX47" t="n">
        <x:f>IF('01_Run_Config'!$B$49&lt;&gt;"ON / EXPERIMENTAL",0,IF(OR(AND(A47&gt;='01_Run_Config'!$B$32+7,A47&lt;'01_Run_Config'!$B$33),AND(ISNUMBER(AJ47),AJ47&gt;=1,AJ47&lt;=49)),2,0))</x:f>
        <x:v>0</x:v>
      </x:c>
      <x:c r="AY47" t="n">
        <x:f>IF('01_Run_Config'!$B$50="AN Sensizym",IF(AND(A47&gt;='01_Run_Config'!$B$32,OR(AJ47="",AJ47&lt;=49)),2,0),0)</x:f>
        <x:v>0</x:v>
      </x:c>
      <x:c r="AZ47" t="n">
        <x:f>IF('01_Run_Config'!$B$51="AN Rhino Skin",IF(AND(A47&gt;='01_Run_Config'!$B$32,OR(AJ47="",AJ47&lt;=49)),2,0),0)</x:f>
        <x:v>0</x:v>
      </x:c>
      <x:c r="BA47" t="n">
        <x:f>IF(AND('01_Run_Config'!$B$52="AN Bud Ignitor &gt; Big Bud &gt; Overdrive",ISNUMBER(AJ47),AJ47&gt;=1,AJ47&lt;=14),2,0)</x:f>
        <x:v>0</x:v>
      </x:c>
      <x:c r="BB47" t="n">
        <x:f>IF(AND('01_Run_Config'!$B$52="AN Bud Ignitor &gt; Big Bud &gt; Overdrive",ISNUMBER(AJ47),AJ47&gt;=8,AJ47&lt;=35),2,0)</x:f>
        <x:v>0</x:v>
      </x:c>
      <x:c r="BC47" t="n">
        <x:f>IF(AND('01_Run_Config'!$B$52="AN Bud Ignitor &gt; Big Bud &gt; Overdrive",ISNUMBER(AJ47),AJ47&gt;=36,AJ47&lt;=49),2,0)</x:f>
        <x:v>0</x:v>
      </x:c>
      <x:c r="BD47" t="n">
        <x:f>IF('01_Run_Config'!$B$53="ON / EXPERIMENTAL",IF(OR(AND(A47&gt;='01_Run_Config'!$B$32,A47&lt;'01_Run_Config'!$B$33),AND(ISNUMBER(AJ47),AJ47&gt;=15,AJ47&lt;=49)),2,0),0)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Sensizym",0,IF(AND(A48&gt;='01_Run_Config'!$B$32,OR(AJ48="",AJ48&lt;=49)),2,0))</x:f>
        <x:v>0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Overdrive",0,IF(AND(ISNUMBER(AJ48),AJ48&gt;=29,AJ48&lt;=42),0.25+((AJ48-29)/13)*0.25,0))</x:f>
        <x:v>0</x:v>
      </x:c>
      <x:c r="AC48" s="63" t="n">
        <x:f>IF('01_Run_Config'!$B$46="OFF",0,IF(OR(A48='01_Run_Config'!$B$32,A48='01_Run_Config'!$B$32+7,A48='01_Run_Config'!$B$33+1,A48='01_Run_Config'!$B$33+8),2,0))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A-B",0,IF(OR(AND(A48&gt;='01_Run_Config'!$B$32,A48&lt;'01_Run_Config'!$B$33),AND(ISNUMBER(AJ48),AJ48&gt;=15,AJ48&lt;=49)),2,0))</x:f>
        <x:v>0</x:v>
      </x:c>
      <x:c r="AW48" t="n">
        <x:f>IF('01_Run_Config'!$B$48="AN Bud Candy (replaces HESI Boost)",IF(AND(A48&gt;='01_Run_Config'!$B$32,OR(AJ48="",AJ48&lt;=49)),2,0),0)</x:f>
        <x:v>0</x:v>
      </x:c>
      <x:c r="AX48" t="n">
        <x:f>IF('01_Run_Config'!$B$49&lt;&gt;"ON / EXPERIMENTAL",0,IF(OR(AND(A48&gt;='01_Run_Config'!$B$32+7,A48&lt;'01_Run_Config'!$B$33),AND(ISNUMBER(AJ48),AJ48&gt;=1,AJ48&lt;=49)),2,0))</x:f>
        <x:v>0</x:v>
      </x:c>
      <x:c r="AY48" t="n">
        <x:f>IF('01_Run_Config'!$B$50="AN Sensizym",IF(AND(A48&gt;='01_Run_Config'!$B$32,OR(AJ48="",AJ48&lt;=49)),2,0),0)</x:f>
        <x:v>0</x:v>
      </x:c>
      <x:c r="AZ48" t="n">
        <x:f>IF('01_Run_Config'!$B$51="AN Rhino Skin",IF(AND(A48&gt;='01_Run_Config'!$B$32,OR(AJ48="",AJ48&lt;=49)),2,0),0)</x:f>
        <x:v>0</x:v>
      </x:c>
      <x:c r="BA48" t="n">
        <x:f>IF(AND('01_Run_Config'!$B$52="AN Bud Ignitor &gt; Big Bud &gt; Overdrive",ISNUMBER(AJ48),AJ48&gt;=1,AJ48&lt;=14),2,0)</x:f>
        <x:v>0</x:v>
      </x:c>
      <x:c r="BB48" t="n">
        <x:f>IF(AND('01_Run_Config'!$B$52="AN Bud Ignitor &gt; Big Bud &gt; Overdrive",ISNUMBER(AJ48),AJ48&gt;=8,AJ48&lt;=35),2,0)</x:f>
        <x:v>0</x:v>
      </x:c>
      <x:c r="BC48" t="n">
        <x:f>IF(AND('01_Run_Config'!$B$52="AN Bud Ignitor &gt; Big Bud &gt; Overdrive",ISNUMBER(AJ48),AJ48&gt;=36,AJ48&lt;=49),2,0)</x:f>
        <x:v>0</x:v>
      </x:c>
      <x:c r="BD48" t="n">
        <x:f>IF('01_Run_Config'!$B$53="ON / EXPERIMENTAL",IF(OR(AND(A48&gt;='01_Run_Config'!$B$32,A48&lt;'01_Run_Config'!$B$33),AND(ISNUMBER(AJ48),AJ48&gt;=15,AJ48&lt;=49)),2,0),0)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Sensizym",0,IF(AND(A49&gt;='01_Run_Config'!$B$32,OR(AJ49="",AJ49&lt;=49)),2,0))</x:f>
        <x:v>0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Overdrive",0,IF(AND(ISNUMBER(AJ49),AJ49&gt;=29,AJ49&lt;=42),0.25+((AJ49-29)/13)*0.25,0))</x:f>
        <x:v>0</x:v>
      </x:c>
      <x:c r="AC49" s="63" t="n">
        <x:f>IF('01_Run_Config'!$B$46="OFF",0,IF(OR(A49='01_Run_Config'!$B$32,A49='01_Run_Config'!$B$32+7,A49='01_Run_Config'!$B$33+1,A49='01_Run_Config'!$B$33+8),2,0))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A-B",0,IF(OR(AND(A49&gt;='01_Run_Config'!$B$32,A49&lt;'01_Run_Config'!$B$33),AND(ISNUMBER(AJ49),AJ49&gt;=15,AJ49&lt;=49)),2,0))</x:f>
        <x:v>0</x:v>
      </x:c>
      <x:c r="AW49" t="n">
        <x:f>IF('01_Run_Config'!$B$48="AN Bud Candy (replaces HESI Boost)",IF(AND(A49&gt;='01_Run_Config'!$B$32,OR(AJ49="",AJ49&lt;=49)),2,0),0)</x:f>
        <x:v>0</x:v>
      </x:c>
      <x:c r="AX49" t="n">
        <x:f>IF('01_Run_Config'!$B$49&lt;&gt;"ON / EXPERIMENTAL",0,IF(OR(AND(A49&gt;='01_Run_Config'!$B$32+7,A49&lt;'01_Run_Config'!$B$33),AND(ISNUMBER(AJ49),AJ49&gt;=1,AJ49&lt;=49)),2,0))</x:f>
        <x:v>0</x:v>
      </x:c>
      <x:c r="AY49" t="n">
        <x:f>IF('01_Run_Config'!$B$50="AN Sensizym",IF(AND(A49&gt;='01_Run_Config'!$B$32,OR(AJ49="",AJ49&lt;=49)),2,0),0)</x:f>
        <x:v>0</x:v>
      </x:c>
      <x:c r="AZ49" t="n">
        <x:f>IF('01_Run_Config'!$B$51="AN Rhino Skin",IF(AND(A49&gt;='01_Run_Config'!$B$32,OR(AJ49="",AJ49&lt;=49)),2,0),0)</x:f>
        <x:v>0</x:v>
      </x:c>
      <x:c r="BA49" t="n">
        <x:f>IF(AND('01_Run_Config'!$B$52="AN Bud Ignitor &gt; Big Bud &gt; Overdrive",ISNUMBER(AJ49),AJ49&gt;=1,AJ49&lt;=14),2,0)</x:f>
        <x:v>0</x:v>
      </x:c>
      <x:c r="BB49" t="n">
        <x:f>IF(AND('01_Run_Config'!$B$52="AN Bud Ignitor &gt; Big Bud &gt; Overdrive",ISNUMBER(AJ49),AJ49&gt;=8,AJ49&lt;=35),2,0)</x:f>
        <x:v>0</x:v>
      </x:c>
      <x:c r="BC49" t="n">
        <x:f>IF(AND('01_Run_Config'!$B$52="AN Bud Ignitor &gt; Big Bud &gt; Overdrive",ISNUMBER(AJ49),AJ49&gt;=36,AJ49&lt;=49),2,0)</x:f>
        <x:v>0</x:v>
      </x:c>
      <x:c r="BD49" t="n">
        <x:f>IF('01_Run_Config'!$B$53="ON / EXPERIMENTAL",IF(OR(AND(A49&gt;='01_Run_Config'!$B$32,A49&lt;'01_Run_Config'!$B$33),AND(ISNUMBER(AJ49),AJ49&gt;=15,AJ49&lt;=49)),2,0),0)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Sensizym",0,IF(AND(A50&gt;='01_Run_Config'!$B$32,OR(AJ50="",AJ50&lt;=49)),2,0))</x:f>
        <x:v>0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Overdrive",0,IF(AND(ISNUMBER(AJ50),AJ50&gt;=29,AJ50&lt;=42),0.25+((AJ50-29)/13)*0.25,0))</x:f>
        <x:v>0</x:v>
      </x:c>
      <x:c r="AC50" s="63" t="n">
        <x:f>IF('01_Run_Config'!$B$46="OFF",0,IF(OR(A50='01_Run_Config'!$B$32,A50='01_Run_Config'!$B$32+7,A50='01_Run_Config'!$B$33+1,A50='01_Run_Config'!$B$33+8),2,0))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A-B",0,IF(OR(AND(A50&gt;='01_Run_Config'!$B$32,A50&lt;'01_Run_Config'!$B$33),AND(ISNUMBER(AJ50),AJ50&gt;=15,AJ50&lt;=49)),2,0))</x:f>
        <x:v>0</x:v>
      </x:c>
      <x:c r="AW50" t="n">
        <x:f>IF('01_Run_Config'!$B$48="AN Bud Candy (replaces HESI Boost)",IF(AND(A50&gt;='01_Run_Config'!$B$32,OR(AJ50="",AJ50&lt;=49)),2,0),0)</x:f>
        <x:v>0</x:v>
      </x:c>
      <x:c r="AX50" t="n">
        <x:f>IF('01_Run_Config'!$B$49&lt;&gt;"ON / EXPERIMENTAL",0,IF(OR(AND(A50&gt;='01_Run_Config'!$B$32+7,A50&lt;'01_Run_Config'!$B$33),AND(ISNUMBER(AJ50),AJ50&gt;=1,AJ50&lt;=49)),2,0))</x:f>
        <x:v>0</x:v>
      </x:c>
      <x:c r="AY50" t="n">
        <x:f>IF('01_Run_Config'!$B$50="AN Sensizym",IF(AND(A50&gt;='01_Run_Config'!$B$32,OR(AJ50="",AJ50&lt;=49)),2,0),0)</x:f>
        <x:v>0</x:v>
      </x:c>
      <x:c r="AZ50" t="n">
        <x:f>IF('01_Run_Config'!$B$51="AN Rhino Skin",IF(AND(A50&gt;='01_Run_Config'!$B$32,OR(AJ50="",AJ50&lt;=49)),2,0),0)</x:f>
        <x:v>0</x:v>
      </x:c>
      <x:c r="BA50" t="n">
        <x:f>IF(AND('01_Run_Config'!$B$52="AN Bud Ignitor &gt; Big Bud &gt; Overdrive",ISNUMBER(AJ50),AJ50&gt;=1,AJ50&lt;=14),2,0)</x:f>
        <x:v>0</x:v>
      </x:c>
      <x:c r="BB50" t="n">
        <x:f>IF(AND('01_Run_Config'!$B$52="AN Bud Ignitor &gt; Big Bud &gt; Overdrive",ISNUMBER(AJ50),AJ50&gt;=8,AJ50&lt;=35),2,0)</x:f>
        <x:v>0</x:v>
      </x:c>
      <x:c r="BC50" t="n">
        <x:f>IF(AND('01_Run_Config'!$B$52="AN Bud Ignitor &gt; Big Bud &gt; Overdrive",ISNUMBER(AJ50),AJ50&gt;=36,AJ50&lt;=49),2,0)</x:f>
        <x:v>0</x:v>
      </x:c>
      <x:c r="BD50" t="n">
        <x:f>IF('01_Run_Config'!$B$53="ON / EXPERIMENTAL",IF(OR(AND(A50&gt;='01_Run_Config'!$B$32,A50&lt;'01_Run_Config'!$B$33),AND(ISNUMBER(AJ50),AJ50&gt;=15,AJ50&lt;=49)),2,0),0)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Sensizym",0,IF(AND(A51&gt;='01_Run_Config'!$B$32,OR(AJ51="",AJ51&lt;=49)),2,0))</x:f>
        <x:v>0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Overdrive",0,IF(AND(ISNUMBER(AJ51),AJ51&gt;=29,AJ51&lt;=42),0.25+((AJ51-29)/13)*0.25,0))</x:f>
        <x:v>0</x:v>
      </x:c>
      <x:c r="AC51" s="63" t="n">
        <x:f>IF('01_Run_Config'!$B$46="OFF",0,IF(OR(A51='01_Run_Config'!$B$32,A51='01_Run_Config'!$B$32+7,A51='01_Run_Config'!$B$33+1,A51='01_Run_Config'!$B$33+8),2,0))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A-B",0,IF(OR(AND(A51&gt;='01_Run_Config'!$B$32,A51&lt;'01_Run_Config'!$B$33),AND(ISNUMBER(AJ51),AJ51&gt;=15,AJ51&lt;=49)),2,0))</x:f>
        <x:v>0</x:v>
      </x:c>
      <x:c r="AW51" t="n">
        <x:f>IF('01_Run_Config'!$B$48="AN Bud Candy (replaces HESI Boost)",IF(AND(A51&gt;='01_Run_Config'!$B$32,OR(AJ51="",AJ51&lt;=49)),2,0),0)</x:f>
        <x:v>0</x:v>
      </x:c>
      <x:c r="AX51" t="n">
        <x:f>IF('01_Run_Config'!$B$49&lt;&gt;"ON / EXPERIMENTAL",0,IF(OR(AND(A51&gt;='01_Run_Config'!$B$32+7,A51&lt;'01_Run_Config'!$B$33),AND(ISNUMBER(AJ51),AJ51&gt;=1,AJ51&lt;=49)),2,0))</x:f>
        <x:v>0</x:v>
      </x:c>
      <x:c r="AY51" t="n">
        <x:f>IF('01_Run_Config'!$B$50="AN Sensizym",IF(AND(A51&gt;='01_Run_Config'!$B$32,OR(AJ51="",AJ51&lt;=49)),2,0),0)</x:f>
        <x:v>0</x:v>
      </x:c>
      <x:c r="AZ51" t="n">
        <x:f>IF('01_Run_Config'!$B$51="AN Rhino Skin",IF(AND(A51&gt;='01_Run_Config'!$B$32,OR(AJ51="",AJ51&lt;=49)),2,0),0)</x:f>
        <x:v>0</x:v>
      </x:c>
      <x:c r="BA51" t="n">
        <x:f>IF(AND('01_Run_Config'!$B$52="AN Bud Ignitor &gt; Big Bud &gt; Overdrive",ISNUMBER(AJ51),AJ51&gt;=1,AJ51&lt;=14),2,0)</x:f>
        <x:v>0</x:v>
      </x:c>
      <x:c r="BB51" t="n">
        <x:f>IF(AND('01_Run_Config'!$B$52="AN Bud Ignitor &gt; Big Bud &gt; Overdrive",ISNUMBER(AJ51),AJ51&gt;=8,AJ51&lt;=35),2,0)</x:f>
        <x:v>0</x:v>
      </x:c>
      <x:c r="BC51" t="n">
        <x:f>IF(AND('01_Run_Config'!$B$52="AN Bud Ignitor &gt; Big Bud &gt; Overdrive",ISNUMBER(AJ51),AJ51&gt;=36,AJ51&lt;=49),2,0)</x:f>
        <x:v>0</x:v>
      </x:c>
      <x:c r="BD51" t="n">
        <x:f>IF('01_Run_Config'!$B$53="ON / EXPERIMENTAL",IF(OR(AND(A51&gt;='01_Run_Config'!$B$32,A51&lt;'01_Run_Config'!$B$33),AND(ISNUMBER(AJ51),AJ51&gt;=15,AJ51&lt;=49)),2,0),0)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Sensizym",0,IF(AND(A52&gt;='01_Run_Config'!$B$32,OR(AJ52="",AJ52&lt;=49)),2,0))</x:f>
        <x:v>0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Overdrive",0,IF(AND(ISNUMBER(AJ52),AJ52&gt;=29,AJ52&lt;=42),0.25+((AJ52-29)/13)*0.25,0))</x:f>
        <x:v>0</x:v>
      </x:c>
      <x:c r="AC52" s="63" t="n">
        <x:f>IF('01_Run_Config'!$B$46="OFF",0,IF(OR(A52='01_Run_Config'!$B$32,A52='01_Run_Config'!$B$32+7,A52='01_Run_Config'!$B$33+1,A52='01_Run_Config'!$B$33+8),2,0))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A-B",0,IF(OR(AND(A52&gt;='01_Run_Config'!$B$32,A52&lt;'01_Run_Config'!$B$33),AND(ISNUMBER(AJ52),AJ52&gt;=15,AJ52&lt;=49)),2,0))</x:f>
        <x:v>0</x:v>
      </x:c>
      <x:c r="AW52" t="n">
        <x:f>IF('01_Run_Config'!$B$48="AN Bud Candy (replaces HESI Boost)",IF(AND(A52&gt;='01_Run_Config'!$B$32,OR(AJ52="",AJ52&lt;=49)),2,0),0)</x:f>
        <x:v>0</x:v>
      </x:c>
      <x:c r="AX52" t="n">
        <x:f>IF('01_Run_Config'!$B$49&lt;&gt;"ON / EXPERIMENTAL",0,IF(OR(AND(A52&gt;='01_Run_Config'!$B$32+7,A52&lt;'01_Run_Config'!$B$33),AND(ISNUMBER(AJ52),AJ52&gt;=1,AJ52&lt;=49)),2,0))</x:f>
        <x:v>0</x:v>
      </x:c>
      <x:c r="AY52" t="n">
        <x:f>IF('01_Run_Config'!$B$50="AN Sensizym",IF(AND(A52&gt;='01_Run_Config'!$B$32,OR(AJ52="",AJ52&lt;=49)),2,0),0)</x:f>
        <x:v>0</x:v>
      </x:c>
      <x:c r="AZ52" t="n">
        <x:f>IF('01_Run_Config'!$B$51="AN Rhino Skin",IF(AND(A52&gt;='01_Run_Config'!$B$32,OR(AJ52="",AJ52&lt;=49)),2,0),0)</x:f>
        <x:v>0</x:v>
      </x:c>
      <x:c r="BA52" t="n">
        <x:f>IF(AND('01_Run_Config'!$B$52="AN Bud Ignitor &gt; Big Bud &gt; Overdrive",ISNUMBER(AJ52),AJ52&gt;=1,AJ52&lt;=14),2,0)</x:f>
        <x:v>0</x:v>
      </x:c>
      <x:c r="BB52" t="n">
        <x:f>IF(AND('01_Run_Config'!$B$52="AN Bud Ignitor &gt; Big Bud &gt; Overdrive",ISNUMBER(AJ52),AJ52&gt;=8,AJ52&lt;=35),2,0)</x:f>
        <x:v>0</x:v>
      </x:c>
      <x:c r="BC52" t="n">
        <x:f>IF(AND('01_Run_Config'!$B$52="AN Bud Ignitor &gt; Big Bud &gt; Overdrive",ISNUMBER(AJ52),AJ52&gt;=36,AJ52&lt;=49),2,0)</x:f>
        <x:v>0</x:v>
      </x:c>
      <x:c r="BD52" t="n">
        <x:f>IF('01_Run_Config'!$B$53="ON / EXPERIMENTAL",IF(OR(AND(A52&gt;='01_Run_Config'!$B$32,A52&lt;'01_Run_Config'!$B$33),AND(ISNUMBER(AJ52),AJ52&gt;=15,AJ52&lt;=49)),2,0),0)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Sensizym",0,IF(AND(A53&gt;='01_Run_Config'!$B$32,OR(AJ53="",AJ53&lt;=49)),2,0))</x:f>
        <x:v>0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Overdrive",0,IF(AND(ISNUMBER(AJ53),AJ53&gt;=29,AJ53&lt;=42),0.25+((AJ53-29)/13)*0.25,0))</x:f>
        <x:v>0</x:v>
      </x:c>
      <x:c r="AC53" s="63" t="n">
        <x:f>IF('01_Run_Config'!$B$46="OFF",0,IF(OR(A53='01_Run_Config'!$B$32,A53='01_Run_Config'!$B$32+7,A53='01_Run_Config'!$B$33+1,A53='01_Run_Config'!$B$33+8),2,0))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A-B",0,IF(OR(AND(A53&gt;='01_Run_Config'!$B$32,A53&lt;'01_Run_Config'!$B$33),AND(ISNUMBER(AJ53),AJ53&gt;=15,AJ53&lt;=49)),2,0))</x:f>
        <x:v>0</x:v>
      </x:c>
      <x:c r="AW53" t="n">
        <x:f>IF('01_Run_Config'!$B$48="AN Bud Candy (replaces HESI Boost)",IF(AND(A53&gt;='01_Run_Config'!$B$32,OR(AJ53="",AJ53&lt;=49)),2,0),0)</x:f>
        <x:v>0</x:v>
      </x:c>
      <x:c r="AX53" t="n">
        <x:f>IF('01_Run_Config'!$B$49&lt;&gt;"ON / EXPERIMENTAL",0,IF(OR(AND(A53&gt;='01_Run_Config'!$B$32+7,A53&lt;'01_Run_Config'!$B$33),AND(ISNUMBER(AJ53),AJ53&gt;=1,AJ53&lt;=49)),2,0))</x:f>
        <x:v>0</x:v>
      </x:c>
      <x:c r="AY53" t="n">
        <x:f>IF('01_Run_Config'!$B$50="AN Sensizym",IF(AND(A53&gt;='01_Run_Config'!$B$32,OR(AJ53="",AJ53&lt;=49)),2,0),0)</x:f>
        <x:v>0</x:v>
      </x:c>
      <x:c r="AZ53" t="n">
        <x:f>IF('01_Run_Config'!$B$51="AN Rhino Skin",IF(AND(A53&gt;='01_Run_Config'!$B$32,OR(AJ53="",AJ53&lt;=49)),2,0),0)</x:f>
        <x:v>0</x:v>
      </x:c>
      <x:c r="BA53" t="n">
        <x:f>IF(AND('01_Run_Config'!$B$52="AN Bud Ignitor &gt; Big Bud &gt; Overdrive",ISNUMBER(AJ53),AJ53&gt;=1,AJ53&lt;=14),2,0)</x:f>
        <x:v>0</x:v>
      </x:c>
      <x:c r="BB53" t="n">
        <x:f>IF(AND('01_Run_Config'!$B$52="AN Bud Ignitor &gt; Big Bud &gt; Overdrive",ISNUMBER(AJ53),AJ53&gt;=8,AJ53&lt;=35),2,0)</x:f>
        <x:v>0</x:v>
      </x:c>
      <x:c r="BC53" t="n">
        <x:f>IF(AND('01_Run_Config'!$B$52="AN Bud Ignitor &gt; Big Bud &gt; Overdrive",ISNUMBER(AJ53),AJ53&gt;=36,AJ53&lt;=49),2,0)</x:f>
        <x:v>0</x:v>
      </x:c>
      <x:c r="BD53" t="n">
        <x:f>IF('01_Run_Config'!$B$53="ON / EXPERIMENTAL",IF(OR(AND(A53&gt;='01_Run_Config'!$B$32,A53&lt;'01_Run_Config'!$B$33),AND(ISNUMBER(AJ53),AJ53&gt;=15,AJ53&lt;=49)),2,0),0)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Sensizym",0,IF(AND(A54&gt;='01_Run_Config'!$B$32,OR(AJ54="",AJ54&lt;=49)),2,0))</x:f>
        <x:v>0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Overdrive",0,IF(AND(ISNUMBER(AJ54),AJ54&gt;=29,AJ54&lt;=42),0.25+((AJ54-29)/13)*0.25,0))</x:f>
        <x:v>0</x:v>
      </x:c>
      <x:c r="AC54" s="63" t="n">
        <x:f>IF('01_Run_Config'!$B$46="OFF",0,IF(OR(A54='01_Run_Config'!$B$32,A54='01_Run_Config'!$B$32+7,A54='01_Run_Config'!$B$33+1,A54='01_Run_Config'!$B$33+8),2,0))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A-B",0,IF(OR(AND(A54&gt;='01_Run_Config'!$B$32,A54&lt;'01_Run_Config'!$B$33),AND(ISNUMBER(AJ54),AJ54&gt;=15,AJ54&lt;=49)),2,0))</x:f>
        <x:v>0</x:v>
      </x:c>
      <x:c r="AW54" t="n">
        <x:f>IF('01_Run_Config'!$B$48="AN Bud Candy (replaces HESI Boost)",IF(AND(A54&gt;='01_Run_Config'!$B$32,OR(AJ54="",AJ54&lt;=49)),2,0),0)</x:f>
        <x:v>0</x:v>
      </x:c>
      <x:c r="AX54" t="n">
        <x:f>IF('01_Run_Config'!$B$49&lt;&gt;"ON / EXPERIMENTAL",0,IF(OR(AND(A54&gt;='01_Run_Config'!$B$32+7,A54&lt;'01_Run_Config'!$B$33),AND(ISNUMBER(AJ54),AJ54&gt;=1,AJ54&lt;=49)),2,0))</x:f>
        <x:v>0</x:v>
      </x:c>
      <x:c r="AY54" t="n">
        <x:f>IF('01_Run_Config'!$B$50="AN Sensizym",IF(AND(A54&gt;='01_Run_Config'!$B$32,OR(AJ54="",AJ54&lt;=49)),2,0),0)</x:f>
        <x:v>0</x:v>
      </x:c>
      <x:c r="AZ54" t="n">
        <x:f>IF('01_Run_Config'!$B$51="AN Rhino Skin",IF(AND(A54&gt;='01_Run_Config'!$B$32,OR(AJ54="",AJ54&lt;=49)),2,0),0)</x:f>
        <x:v>0</x:v>
      </x:c>
      <x:c r="BA54" t="n">
        <x:f>IF(AND('01_Run_Config'!$B$52="AN Bud Ignitor &gt; Big Bud &gt; Overdrive",ISNUMBER(AJ54),AJ54&gt;=1,AJ54&lt;=14),2,0)</x:f>
        <x:v>0</x:v>
      </x:c>
      <x:c r="BB54" t="n">
        <x:f>IF(AND('01_Run_Config'!$B$52="AN Bud Ignitor &gt; Big Bud &gt; Overdrive",ISNUMBER(AJ54),AJ54&gt;=8,AJ54&lt;=35),2,0)</x:f>
        <x:v>0</x:v>
      </x:c>
      <x:c r="BC54" t="n">
        <x:f>IF(AND('01_Run_Config'!$B$52="AN Bud Ignitor &gt; Big Bud &gt; Overdrive",ISNUMBER(AJ54),AJ54&gt;=36,AJ54&lt;=49),2,0)</x:f>
        <x:v>0</x:v>
      </x:c>
      <x:c r="BD54" t="n">
        <x:f>IF('01_Run_Config'!$B$53="ON / EXPERIMENTAL",IF(OR(AND(A54&gt;='01_Run_Config'!$B$32,A54&lt;'01_Run_Config'!$B$33),AND(ISNUMBER(AJ54),AJ54&gt;=15,AJ54&lt;=49)),2,0),0)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Sensizym",0,IF(AND(A55&gt;='01_Run_Config'!$B$32,OR(AJ55="",AJ55&lt;=49)),2,0))</x:f>
        <x:v>0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Overdrive",0,IF(AND(ISNUMBER(AJ55),AJ55&gt;=29,AJ55&lt;=42),0.25+((AJ55-29)/13)*0.25,0))</x:f>
        <x:v>0</x:v>
      </x:c>
      <x:c r="AC55" s="63" t="n">
        <x:f>IF('01_Run_Config'!$B$46="OFF",0,IF(OR(A55='01_Run_Config'!$B$32,A55='01_Run_Config'!$B$32+7,A55='01_Run_Config'!$B$33+1,A55='01_Run_Config'!$B$33+8),2,0))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A-B",0,IF(OR(AND(A55&gt;='01_Run_Config'!$B$32,A55&lt;'01_Run_Config'!$B$33),AND(ISNUMBER(AJ55),AJ55&gt;=15,AJ55&lt;=49)),2,0))</x:f>
        <x:v>0</x:v>
      </x:c>
      <x:c r="AW55" t="n">
        <x:f>IF('01_Run_Config'!$B$48="AN Bud Candy (replaces HESI Boost)",IF(AND(A55&gt;='01_Run_Config'!$B$32,OR(AJ55="",AJ55&lt;=49)),2,0),0)</x:f>
        <x:v>0</x:v>
      </x:c>
      <x:c r="AX55" t="n">
        <x:f>IF('01_Run_Config'!$B$49&lt;&gt;"ON / EXPERIMENTAL",0,IF(OR(AND(A55&gt;='01_Run_Config'!$B$32+7,A55&lt;'01_Run_Config'!$B$33),AND(ISNUMBER(AJ55),AJ55&gt;=1,AJ55&lt;=49)),2,0))</x:f>
        <x:v>0</x:v>
      </x:c>
      <x:c r="AY55" t="n">
        <x:f>IF('01_Run_Config'!$B$50="AN Sensizym",IF(AND(A55&gt;='01_Run_Config'!$B$32,OR(AJ55="",AJ55&lt;=49)),2,0),0)</x:f>
        <x:v>0</x:v>
      </x:c>
      <x:c r="AZ55" t="n">
        <x:f>IF('01_Run_Config'!$B$51="AN Rhino Skin",IF(AND(A55&gt;='01_Run_Config'!$B$32,OR(AJ55="",AJ55&lt;=49)),2,0),0)</x:f>
        <x:v>0</x:v>
      </x:c>
      <x:c r="BA55" t="n">
        <x:f>IF(AND('01_Run_Config'!$B$52="AN Bud Ignitor &gt; Big Bud &gt; Overdrive",ISNUMBER(AJ55),AJ55&gt;=1,AJ55&lt;=14),2,0)</x:f>
        <x:v>0</x:v>
      </x:c>
      <x:c r="BB55" t="n">
        <x:f>IF(AND('01_Run_Config'!$B$52="AN Bud Ignitor &gt; Big Bud &gt; Overdrive",ISNUMBER(AJ55),AJ55&gt;=8,AJ55&lt;=35),2,0)</x:f>
        <x:v>0</x:v>
      </x:c>
      <x:c r="BC55" t="n">
        <x:f>IF(AND('01_Run_Config'!$B$52="AN Bud Ignitor &gt; Big Bud &gt; Overdrive",ISNUMBER(AJ55),AJ55&gt;=36,AJ55&lt;=49),2,0)</x:f>
        <x:v>0</x:v>
      </x:c>
      <x:c r="BD55" t="n">
        <x:f>IF('01_Run_Config'!$B$53="ON / EXPERIMENTAL",IF(OR(AND(A55&gt;='01_Run_Config'!$B$32,A55&lt;'01_Run_Config'!$B$33),AND(ISNUMBER(AJ55),AJ55&gt;=15,AJ55&lt;=49)),2,0),0)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Sensizym",0,IF(AND(A56&gt;='01_Run_Config'!$B$32,OR(AJ56="",AJ56&lt;=49)),2,0))</x:f>
        <x:v>0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Overdrive",0,IF(AND(ISNUMBER(AJ56),AJ56&gt;=29,AJ56&lt;=42),0.25+((AJ56-29)/13)*0.25,0))</x:f>
        <x:v>0</x:v>
      </x:c>
      <x:c r="AC56" s="63" t="n">
        <x:f>IF('01_Run_Config'!$B$46="OFF",0,IF(OR(A56='01_Run_Config'!$B$32,A56='01_Run_Config'!$B$32+7,A56='01_Run_Config'!$B$33+1,A56='01_Run_Config'!$B$33+8),2,0))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A-B",0,IF(OR(AND(A56&gt;='01_Run_Config'!$B$32,A56&lt;'01_Run_Config'!$B$33),AND(ISNUMBER(AJ56),AJ56&gt;=15,AJ56&lt;=49)),2,0))</x:f>
        <x:v>0</x:v>
      </x:c>
      <x:c r="AW56" t="n">
        <x:f>IF('01_Run_Config'!$B$48="AN Bud Candy (replaces HESI Boost)",IF(AND(A56&gt;='01_Run_Config'!$B$32,OR(AJ56="",AJ56&lt;=49)),2,0),0)</x:f>
        <x:v>0</x:v>
      </x:c>
      <x:c r="AX56" t="n">
        <x:f>IF('01_Run_Config'!$B$49&lt;&gt;"ON / EXPERIMENTAL",0,IF(OR(AND(A56&gt;='01_Run_Config'!$B$32+7,A56&lt;'01_Run_Config'!$B$33),AND(ISNUMBER(AJ56),AJ56&gt;=1,AJ56&lt;=49)),2,0))</x:f>
        <x:v>0</x:v>
      </x:c>
      <x:c r="AY56" t="n">
        <x:f>IF('01_Run_Config'!$B$50="AN Sensizym",IF(AND(A56&gt;='01_Run_Config'!$B$32,OR(AJ56="",AJ56&lt;=49)),2,0),0)</x:f>
        <x:v>0</x:v>
      </x:c>
      <x:c r="AZ56" t="n">
        <x:f>IF('01_Run_Config'!$B$51="AN Rhino Skin",IF(AND(A56&gt;='01_Run_Config'!$B$32,OR(AJ56="",AJ56&lt;=49)),2,0),0)</x:f>
        <x:v>0</x:v>
      </x:c>
      <x:c r="BA56" t="n">
        <x:f>IF(AND('01_Run_Config'!$B$52="AN Bud Ignitor &gt; Big Bud &gt; Overdrive",ISNUMBER(AJ56),AJ56&gt;=1,AJ56&lt;=14),2,0)</x:f>
        <x:v>0</x:v>
      </x:c>
      <x:c r="BB56" t="n">
        <x:f>IF(AND('01_Run_Config'!$B$52="AN Bud Ignitor &gt; Big Bud &gt; Overdrive",ISNUMBER(AJ56),AJ56&gt;=8,AJ56&lt;=35),2,0)</x:f>
        <x:v>0</x:v>
      </x:c>
      <x:c r="BC56" t="n">
        <x:f>IF(AND('01_Run_Config'!$B$52="AN Bud Ignitor &gt; Big Bud &gt; Overdrive",ISNUMBER(AJ56),AJ56&gt;=36,AJ56&lt;=49),2,0)</x:f>
        <x:v>0</x:v>
      </x:c>
      <x:c r="BD56" t="n">
        <x:f>IF('01_Run_Config'!$B$53="ON / EXPERIMENTAL",IF(OR(AND(A56&gt;='01_Run_Config'!$B$32,A56&lt;'01_Run_Config'!$B$33),AND(ISNUMBER(AJ56),AJ56&gt;=15,AJ56&lt;=49)),2,0),0)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Sensizym",0,IF(AND(A57&gt;='01_Run_Config'!$B$32,OR(AJ57="",AJ57&lt;=49)),2,0))</x:f>
        <x:v>0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Overdrive",0,IF(AND(ISNUMBER(AJ57),AJ57&gt;=29,AJ57&lt;=42),0.25+((AJ57-29)/13)*0.25,0))</x:f>
        <x:v>0</x:v>
      </x:c>
      <x:c r="AC57" s="63" t="n">
        <x:f>IF('01_Run_Config'!$B$46="OFF",0,IF(OR(A57='01_Run_Config'!$B$32,A57='01_Run_Config'!$B$32+7,A57='01_Run_Config'!$B$33+1,A57='01_Run_Config'!$B$33+8),2,0))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A-B",0,IF(OR(AND(A57&gt;='01_Run_Config'!$B$32,A57&lt;'01_Run_Config'!$B$33),AND(ISNUMBER(AJ57),AJ57&gt;=15,AJ57&lt;=49)),2,0))</x:f>
        <x:v>0</x:v>
      </x:c>
      <x:c r="AW57" t="n">
        <x:f>IF('01_Run_Config'!$B$48="AN Bud Candy (replaces HESI Boost)",IF(AND(A57&gt;='01_Run_Config'!$B$32,OR(AJ57="",AJ57&lt;=49)),2,0),0)</x:f>
        <x:v>0</x:v>
      </x:c>
      <x:c r="AX57" t="n">
        <x:f>IF('01_Run_Config'!$B$49&lt;&gt;"ON / EXPERIMENTAL",0,IF(OR(AND(A57&gt;='01_Run_Config'!$B$32+7,A57&lt;'01_Run_Config'!$B$33),AND(ISNUMBER(AJ57),AJ57&gt;=1,AJ57&lt;=49)),2,0))</x:f>
        <x:v>0</x:v>
      </x:c>
      <x:c r="AY57" t="n">
        <x:f>IF('01_Run_Config'!$B$50="AN Sensizym",IF(AND(A57&gt;='01_Run_Config'!$B$32,OR(AJ57="",AJ57&lt;=49)),2,0),0)</x:f>
        <x:v>0</x:v>
      </x:c>
      <x:c r="AZ57" t="n">
        <x:f>IF('01_Run_Config'!$B$51="AN Rhino Skin",IF(AND(A57&gt;='01_Run_Config'!$B$32,OR(AJ57="",AJ57&lt;=49)),2,0),0)</x:f>
        <x:v>0</x:v>
      </x:c>
      <x:c r="BA57" t="n">
        <x:f>IF(AND('01_Run_Config'!$B$52="AN Bud Ignitor &gt; Big Bud &gt; Overdrive",ISNUMBER(AJ57),AJ57&gt;=1,AJ57&lt;=14),2,0)</x:f>
        <x:v>0</x:v>
      </x:c>
      <x:c r="BB57" t="n">
        <x:f>IF(AND('01_Run_Config'!$B$52="AN Bud Ignitor &gt; Big Bud &gt; Overdrive",ISNUMBER(AJ57),AJ57&gt;=8,AJ57&lt;=35),2,0)</x:f>
        <x:v>0</x:v>
      </x:c>
      <x:c r="BC57" t="n">
        <x:f>IF(AND('01_Run_Config'!$B$52="AN Bud Ignitor &gt; Big Bud &gt; Overdrive",ISNUMBER(AJ57),AJ57&gt;=36,AJ57&lt;=49),2,0)</x:f>
        <x:v>0</x:v>
      </x:c>
      <x:c r="BD57" t="n">
        <x:f>IF('01_Run_Config'!$B$53="ON / EXPERIMENTAL",IF(OR(AND(A57&gt;='01_Run_Config'!$B$32,A57&lt;'01_Run_Config'!$B$33),AND(ISNUMBER(AJ57),AJ57&gt;=15,AJ57&lt;=49)),2,0),0)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Sensizym",0,IF(AND(A58&gt;='01_Run_Config'!$B$32,OR(AJ58="",AJ58&lt;=49)),2,0))</x:f>
        <x:v>0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Overdrive",0,IF(AND(ISNUMBER(AJ58),AJ58&gt;=29,AJ58&lt;=42),0.25+((AJ58-29)/13)*0.25,0))</x:f>
        <x:v>0</x:v>
      </x:c>
      <x:c r="AC58" s="63" t="n">
        <x:f>IF('01_Run_Config'!$B$46="OFF",0,IF(OR(A58='01_Run_Config'!$B$32,A58='01_Run_Config'!$B$32+7,A58='01_Run_Config'!$B$33+1,A58='01_Run_Config'!$B$33+8),2,0))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A-B",0,IF(OR(AND(A58&gt;='01_Run_Config'!$B$32,A58&lt;'01_Run_Config'!$B$33),AND(ISNUMBER(AJ58),AJ58&gt;=15,AJ58&lt;=49)),2,0))</x:f>
        <x:v>0</x:v>
      </x:c>
      <x:c r="AW58" t="n">
        <x:f>IF('01_Run_Config'!$B$48="AN Bud Candy (replaces HESI Boost)",IF(AND(A58&gt;='01_Run_Config'!$B$32,OR(AJ58="",AJ58&lt;=49)),2,0),0)</x:f>
        <x:v>0</x:v>
      </x:c>
      <x:c r="AX58" t="n">
        <x:f>IF('01_Run_Config'!$B$49&lt;&gt;"ON / EXPERIMENTAL",0,IF(OR(AND(A58&gt;='01_Run_Config'!$B$32+7,A58&lt;'01_Run_Config'!$B$33),AND(ISNUMBER(AJ58),AJ58&gt;=1,AJ58&lt;=49)),2,0))</x:f>
        <x:v>0</x:v>
      </x:c>
      <x:c r="AY58" t="n">
        <x:f>IF('01_Run_Config'!$B$50="AN Sensizym",IF(AND(A58&gt;='01_Run_Config'!$B$32,OR(AJ58="",AJ58&lt;=49)),2,0),0)</x:f>
        <x:v>0</x:v>
      </x:c>
      <x:c r="AZ58" t="n">
        <x:f>IF('01_Run_Config'!$B$51="AN Rhino Skin",IF(AND(A58&gt;='01_Run_Config'!$B$32,OR(AJ58="",AJ58&lt;=49)),2,0),0)</x:f>
        <x:v>0</x:v>
      </x:c>
      <x:c r="BA58" t="n">
        <x:f>IF(AND('01_Run_Config'!$B$52="AN Bud Ignitor &gt; Big Bud &gt; Overdrive",ISNUMBER(AJ58),AJ58&gt;=1,AJ58&lt;=14),2,0)</x:f>
        <x:v>0</x:v>
      </x:c>
      <x:c r="BB58" t="n">
        <x:f>IF(AND('01_Run_Config'!$B$52="AN Bud Ignitor &gt; Big Bud &gt; Overdrive",ISNUMBER(AJ58),AJ58&gt;=8,AJ58&lt;=35),2,0)</x:f>
        <x:v>0</x:v>
      </x:c>
      <x:c r="BC58" t="n">
        <x:f>IF(AND('01_Run_Config'!$B$52="AN Bud Ignitor &gt; Big Bud &gt; Overdrive",ISNUMBER(AJ58),AJ58&gt;=36,AJ58&lt;=49),2,0)</x:f>
        <x:v>0</x:v>
      </x:c>
      <x:c r="BD58" t="n">
        <x:f>IF('01_Run_Config'!$B$53="ON / EXPERIMENTAL",IF(OR(AND(A58&gt;='01_Run_Config'!$B$32,A58&lt;'01_Run_Config'!$B$33),AND(ISNUMBER(AJ58),AJ58&gt;=15,AJ58&lt;=49)),2,0),0)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Sensizym",0,IF(AND(A59&gt;='01_Run_Config'!$B$32,OR(AJ59="",AJ59&lt;=49)),2,0))</x:f>
        <x:v>0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Overdrive",0,IF(AND(ISNUMBER(AJ59),AJ59&gt;=29,AJ59&lt;=42),0.25+((AJ59-29)/13)*0.25,0))</x:f>
        <x:v>0</x:v>
      </x:c>
      <x:c r="AC59" s="63" t="n">
        <x:f>IF('01_Run_Config'!$B$46="OFF",0,IF(OR(A59='01_Run_Config'!$B$32,A59='01_Run_Config'!$B$32+7,A59='01_Run_Config'!$B$33+1,A59='01_Run_Config'!$B$33+8),2,0))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A-B",0,IF(OR(AND(A59&gt;='01_Run_Config'!$B$32,A59&lt;'01_Run_Config'!$B$33),AND(ISNUMBER(AJ59),AJ59&gt;=15,AJ59&lt;=49)),2,0))</x:f>
        <x:v>0</x:v>
      </x:c>
      <x:c r="AW59" t="n">
        <x:f>IF('01_Run_Config'!$B$48="AN Bud Candy (replaces HESI Boost)",IF(AND(A59&gt;='01_Run_Config'!$B$32,OR(AJ59="",AJ59&lt;=49)),2,0),0)</x:f>
        <x:v>0</x:v>
      </x:c>
      <x:c r="AX59" t="n">
        <x:f>IF('01_Run_Config'!$B$49&lt;&gt;"ON / EXPERIMENTAL",0,IF(OR(AND(A59&gt;='01_Run_Config'!$B$32+7,A59&lt;'01_Run_Config'!$B$33),AND(ISNUMBER(AJ59),AJ59&gt;=1,AJ59&lt;=49)),2,0))</x:f>
        <x:v>0</x:v>
      </x:c>
      <x:c r="AY59" t="n">
        <x:f>IF('01_Run_Config'!$B$50="AN Sensizym",IF(AND(A59&gt;='01_Run_Config'!$B$32,OR(AJ59="",AJ59&lt;=49)),2,0),0)</x:f>
        <x:v>0</x:v>
      </x:c>
      <x:c r="AZ59" t="n">
        <x:f>IF('01_Run_Config'!$B$51="AN Rhino Skin",IF(AND(A59&gt;='01_Run_Config'!$B$32,OR(AJ59="",AJ59&lt;=49)),2,0),0)</x:f>
        <x:v>0</x:v>
      </x:c>
      <x:c r="BA59" t="n">
        <x:f>IF(AND('01_Run_Config'!$B$52="AN Bud Ignitor &gt; Big Bud &gt; Overdrive",ISNUMBER(AJ59),AJ59&gt;=1,AJ59&lt;=14),2,0)</x:f>
        <x:v>0</x:v>
      </x:c>
      <x:c r="BB59" t="n">
        <x:f>IF(AND('01_Run_Config'!$B$52="AN Bud Ignitor &gt; Big Bud &gt; Overdrive",ISNUMBER(AJ59),AJ59&gt;=8,AJ59&lt;=35),2,0)</x:f>
        <x:v>0</x:v>
      </x:c>
      <x:c r="BC59" t="n">
        <x:f>IF(AND('01_Run_Config'!$B$52="AN Bud Ignitor &gt; Big Bud &gt; Overdrive",ISNUMBER(AJ59),AJ59&gt;=36,AJ59&lt;=49),2,0)</x:f>
        <x:v>0</x:v>
      </x:c>
      <x:c r="BD59" t="n">
        <x:f>IF('01_Run_Config'!$B$53="ON / EXPERIMENTAL",IF(OR(AND(A59&gt;='01_Run_Config'!$B$32,A59&lt;'01_Run_Config'!$B$33),AND(ISNUMBER(AJ59),AJ59&gt;=15,AJ59&lt;=49)),2,0),0)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Sensizym",0,IF(AND(A60&gt;='01_Run_Config'!$B$32,OR(AJ60="",AJ60&lt;=49)),2,0))</x:f>
        <x:v>0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Overdrive",0,IF(AND(ISNUMBER(AJ60),AJ60&gt;=29,AJ60&lt;=42),0.25+((AJ60-29)/13)*0.25,0))</x:f>
        <x:v>0</x:v>
      </x:c>
      <x:c r="AC60" s="63" t="n">
        <x:f>IF('01_Run_Config'!$B$46="OFF",0,IF(OR(A60='01_Run_Config'!$B$32,A60='01_Run_Config'!$B$32+7,A60='01_Run_Config'!$B$33+1,A60='01_Run_Config'!$B$33+8),2,0))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A-B",0,IF(OR(AND(A60&gt;='01_Run_Config'!$B$32,A60&lt;'01_Run_Config'!$B$33),AND(ISNUMBER(AJ60),AJ60&gt;=15,AJ60&lt;=49)),2,0))</x:f>
        <x:v>0</x:v>
      </x:c>
      <x:c r="AW60" t="n">
        <x:f>IF('01_Run_Config'!$B$48="AN Bud Candy (replaces HESI Boost)",IF(AND(A60&gt;='01_Run_Config'!$B$32,OR(AJ60="",AJ60&lt;=49)),2,0),0)</x:f>
        <x:v>0</x:v>
      </x:c>
      <x:c r="AX60" t="n">
        <x:f>IF('01_Run_Config'!$B$49&lt;&gt;"ON / EXPERIMENTAL",0,IF(OR(AND(A60&gt;='01_Run_Config'!$B$32+7,A60&lt;'01_Run_Config'!$B$33),AND(ISNUMBER(AJ60),AJ60&gt;=1,AJ60&lt;=49)),2,0))</x:f>
        <x:v>0</x:v>
      </x:c>
      <x:c r="AY60" t="n">
        <x:f>IF('01_Run_Config'!$B$50="AN Sensizym",IF(AND(A60&gt;='01_Run_Config'!$B$32,OR(AJ60="",AJ60&lt;=49)),2,0),0)</x:f>
        <x:v>0</x:v>
      </x:c>
      <x:c r="AZ60" t="n">
        <x:f>IF('01_Run_Config'!$B$51="AN Rhino Skin",IF(AND(A60&gt;='01_Run_Config'!$B$32,OR(AJ60="",AJ60&lt;=49)),2,0),0)</x:f>
        <x:v>0</x:v>
      </x:c>
      <x:c r="BA60" t="n">
        <x:f>IF(AND('01_Run_Config'!$B$52="AN Bud Ignitor &gt; Big Bud &gt; Overdrive",ISNUMBER(AJ60),AJ60&gt;=1,AJ60&lt;=14),2,0)</x:f>
        <x:v>0</x:v>
      </x:c>
      <x:c r="BB60" t="n">
        <x:f>IF(AND('01_Run_Config'!$B$52="AN Bud Ignitor &gt; Big Bud &gt; Overdrive",ISNUMBER(AJ60),AJ60&gt;=8,AJ60&lt;=35),2,0)</x:f>
        <x:v>0</x:v>
      </x:c>
      <x:c r="BC60" t="n">
        <x:f>IF(AND('01_Run_Config'!$B$52="AN Bud Ignitor &gt; Big Bud &gt; Overdrive",ISNUMBER(AJ60),AJ60&gt;=36,AJ60&lt;=49),2,0)</x:f>
        <x:v>0</x:v>
      </x:c>
      <x:c r="BD60" t="n">
        <x:f>IF('01_Run_Config'!$B$53="ON / EXPERIMENTAL",IF(OR(AND(A60&gt;='01_Run_Config'!$B$32,A60&lt;'01_Run_Config'!$B$33),AND(ISNUMBER(AJ60),AJ60&gt;=15,AJ60&lt;=49)),2,0),0)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Sensizym",0,IF(AND(A61&gt;='01_Run_Config'!$B$32,OR(AJ61="",AJ61&lt;=49)),2,0))</x:f>
        <x:v>0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Overdrive",0,IF(AND(ISNUMBER(AJ61),AJ61&gt;=29,AJ61&lt;=42),0.25+((AJ61-29)/13)*0.25,0))</x:f>
        <x:v>0</x:v>
      </x:c>
      <x:c r="AC61" s="63" t="n">
        <x:f>IF('01_Run_Config'!$B$46="OFF",0,IF(OR(A61='01_Run_Config'!$B$32,A61='01_Run_Config'!$B$32+7,A61='01_Run_Config'!$B$33+1,A61='01_Run_Config'!$B$33+8),2,0))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A-B",0,IF(OR(AND(A61&gt;='01_Run_Config'!$B$32,A61&lt;'01_Run_Config'!$B$33),AND(ISNUMBER(AJ61),AJ61&gt;=15,AJ61&lt;=49)),2,0))</x:f>
        <x:v>0</x:v>
      </x:c>
      <x:c r="AW61" t="n">
        <x:f>IF('01_Run_Config'!$B$48="AN Bud Candy (replaces HESI Boost)",IF(AND(A61&gt;='01_Run_Config'!$B$32,OR(AJ61="",AJ61&lt;=49)),2,0),0)</x:f>
        <x:v>0</x:v>
      </x:c>
      <x:c r="AX61" t="n">
        <x:f>IF('01_Run_Config'!$B$49&lt;&gt;"ON / EXPERIMENTAL",0,IF(OR(AND(A61&gt;='01_Run_Config'!$B$32+7,A61&lt;'01_Run_Config'!$B$33),AND(ISNUMBER(AJ61),AJ61&gt;=1,AJ61&lt;=49)),2,0))</x:f>
        <x:v>0</x:v>
      </x:c>
      <x:c r="AY61" t="n">
        <x:f>IF('01_Run_Config'!$B$50="AN Sensizym",IF(AND(A61&gt;='01_Run_Config'!$B$32,OR(AJ61="",AJ61&lt;=49)),2,0),0)</x:f>
        <x:v>0</x:v>
      </x:c>
      <x:c r="AZ61" t="n">
        <x:f>IF('01_Run_Config'!$B$51="AN Rhino Skin",IF(AND(A61&gt;='01_Run_Config'!$B$32,OR(AJ61="",AJ61&lt;=49)),2,0),0)</x:f>
        <x:v>0</x:v>
      </x:c>
      <x:c r="BA61" t="n">
        <x:f>IF(AND('01_Run_Config'!$B$52="AN Bud Ignitor &gt; Big Bud &gt; Overdrive",ISNUMBER(AJ61),AJ61&gt;=1,AJ61&lt;=14),2,0)</x:f>
        <x:v>0</x:v>
      </x:c>
      <x:c r="BB61" t="n">
        <x:f>IF(AND('01_Run_Config'!$B$52="AN Bud Ignitor &gt; Big Bud &gt; Overdrive",ISNUMBER(AJ61),AJ61&gt;=8,AJ61&lt;=35),2,0)</x:f>
        <x:v>0</x:v>
      </x:c>
      <x:c r="BC61" t="n">
        <x:f>IF(AND('01_Run_Config'!$B$52="AN Bud Ignitor &gt; Big Bud &gt; Overdrive",ISNUMBER(AJ61),AJ61&gt;=36,AJ61&lt;=49),2,0)</x:f>
        <x:v>0</x:v>
      </x:c>
      <x:c r="BD61" t="n">
        <x:f>IF('01_Run_Config'!$B$53="ON / EXPERIMENTAL",IF(OR(AND(A61&gt;='01_Run_Config'!$B$32,A61&lt;'01_Run_Config'!$B$33),AND(ISNUMBER(AJ61),AJ61&gt;=15,AJ61&lt;=49)),2,0),0)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Sensizym",0,IF(AND(A62&gt;='01_Run_Config'!$B$32,OR(AJ62="",AJ62&lt;=49)),2,0))</x:f>
        <x:v>0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Overdrive",0,IF(AND(ISNUMBER(AJ62),AJ62&gt;=29,AJ62&lt;=42),0.25+((AJ62-29)/13)*0.25,0))</x:f>
        <x:v>0</x:v>
      </x:c>
      <x:c r="AC62" s="63" t="n">
        <x:f>IF('01_Run_Config'!$B$46="OFF",0,IF(OR(A62='01_Run_Config'!$B$32,A62='01_Run_Config'!$B$32+7,A62='01_Run_Config'!$B$33+1,A62='01_Run_Config'!$B$33+8),2,0))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A-B",0,IF(OR(AND(A62&gt;='01_Run_Config'!$B$32,A62&lt;'01_Run_Config'!$B$33),AND(ISNUMBER(AJ62),AJ62&gt;=15,AJ62&lt;=49)),2,0))</x:f>
        <x:v>0</x:v>
      </x:c>
      <x:c r="AW62" t="n">
        <x:f>IF('01_Run_Config'!$B$48="AN Bud Candy (replaces HESI Boost)",IF(AND(A62&gt;='01_Run_Config'!$B$32,OR(AJ62="",AJ62&lt;=49)),2,0),0)</x:f>
        <x:v>0</x:v>
      </x:c>
      <x:c r="AX62" t="n">
        <x:f>IF('01_Run_Config'!$B$49&lt;&gt;"ON / EXPERIMENTAL",0,IF(OR(AND(A62&gt;='01_Run_Config'!$B$32+7,A62&lt;'01_Run_Config'!$B$33),AND(ISNUMBER(AJ62),AJ62&gt;=1,AJ62&lt;=49)),2,0))</x:f>
        <x:v>0</x:v>
      </x:c>
      <x:c r="AY62" t="n">
        <x:f>IF('01_Run_Config'!$B$50="AN Sensizym",IF(AND(A62&gt;='01_Run_Config'!$B$32,OR(AJ62="",AJ62&lt;=49)),2,0),0)</x:f>
        <x:v>0</x:v>
      </x:c>
      <x:c r="AZ62" t="n">
        <x:f>IF('01_Run_Config'!$B$51="AN Rhino Skin",IF(AND(A62&gt;='01_Run_Config'!$B$32,OR(AJ62="",AJ62&lt;=49)),2,0),0)</x:f>
        <x:v>0</x:v>
      </x:c>
      <x:c r="BA62" t="n">
        <x:f>IF(AND('01_Run_Config'!$B$52="AN Bud Ignitor &gt; Big Bud &gt; Overdrive",ISNUMBER(AJ62),AJ62&gt;=1,AJ62&lt;=14),2,0)</x:f>
        <x:v>0</x:v>
      </x:c>
      <x:c r="BB62" t="n">
        <x:f>IF(AND('01_Run_Config'!$B$52="AN Bud Ignitor &gt; Big Bud &gt; Overdrive",ISNUMBER(AJ62),AJ62&gt;=8,AJ62&lt;=35),2,0)</x:f>
        <x:v>0</x:v>
      </x:c>
      <x:c r="BC62" t="n">
        <x:f>IF(AND('01_Run_Config'!$B$52="AN Bud Ignitor &gt; Big Bud &gt; Overdrive",ISNUMBER(AJ62),AJ62&gt;=36,AJ62&lt;=49),2,0)</x:f>
        <x:v>0</x:v>
      </x:c>
      <x:c r="BD62" t="n">
        <x:f>IF('01_Run_Config'!$B$53="ON / EXPERIMENTAL",IF(OR(AND(A62&gt;='01_Run_Config'!$B$32,A62&lt;'01_Run_Config'!$B$33),AND(ISNUMBER(AJ62),AJ62&gt;=15,AJ62&lt;=49)),2,0),0)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Sensizym",0,IF(AND(A63&gt;='01_Run_Config'!$B$32,OR(AJ63="",AJ63&lt;=49)),2,0))</x:f>
        <x:v>0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Overdrive",0,IF(AND(ISNUMBER(AJ63),AJ63&gt;=29,AJ63&lt;=42),0.25+((AJ63-29)/13)*0.25,0))</x:f>
        <x:v>0</x:v>
      </x:c>
      <x:c r="AC63" s="63" t="n">
        <x:f>IF('01_Run_Config'!$B$46="OFF",0,IF(OR(A63='01_Run_Config'!$B$32,A63='01_Run_Config'!$B$32+7,A63='01_Run_Config'!$B$33+1,A63='01_Run_Config'!$B$33+8),2,0))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A-B",0,IF(OR(AND(A63&gt;='01_Run_Config'!$B$32,A63&lt;'01_Run_Config'!$B$33),AND(ISNUMBER(AJ63),AJ63&gt;=15,AJ63&lt;=49)),2,0))</x:f>
        <x:v>0</x:v>
      </x:c>
      <x:c r="AW63" t="n">
        <x:f>IF('01_Run_Config'!$B$48="AN Bud Candy (replaces HESI Boost)",IF(AND(A63&gt;='01_Run_Config'!$B$32,OR(AJ63="",AJ63&lt;=49)),2,0),0)</x:f>
        <x:v>0</x:v>
      </x:c>
      <x:c r="AX63" t="n">
        <x:f>IF('01_Run_Config'!$B$49&lt;&gt;"ON / EXPERIMENTAL",0,IF(OR(AND(A63&gt;='01_Run_Config'!$B$32+7,A63&lt;'01_Run_Config'!$B$33),AND(ISNUMBER(AJ63),AJ63&gt;=1,AJ63&lt;=49)),2,0))</x:f>
        <x:v>0</x:v>
      </x:c>
      <x:c r="AY63" t="n">
        <x:f>IF('01_Run_Config'!$B$50="AN Sensizym",IF(AND(A63&gt;='01_Run_Config'!$B$32,OR(AJ63="",AJ63&lt;=49)),2,0),0)</x:f>
        <x:v>0</x:v>
      </x:c>
      <x:c r="AZ63" t="n">
        <x:f>IF('01_Run_Config'!$B$51="AN Rhino Skin",IF(AND(A63&gt;='01_Run_Config'!$B$32,OR(AJ63="",AJ63&lt;=49)),2,0),0)</x:f>
        <x:v>0</x:v>
      </x:c>
      <x:c r="BA63" t="n">
        <x:f>IF(AND('01_Run_Config'!$B$52="AN Bud Ignitor &gt; Big Bud &gt; Overdrive",ISNUMBER(AJ63),AJ63&gt;=1,AJ63&lt;=14),2,0)</x:f>
        <x:v>0</x:v>
      </x:c>
      <x:c r="BB63" t="n">
        <x:f>IF(AND('01_Run_Config'!$B$52="AN Bud Ignitor &gt; Big Bud &gt; Overdrive",ISNUMBER(AJ63),AJ63&gt;=8,AJ63&lt;=35),2,0)</x:f>
        <x:v>0</x:v>
      </x:c>
      <x:c r="BC63" t="n">
        <x:f>IF(AND('01_Run_Config'!$B$52="AN Bud Ignitor &gt; Big Bud &gt; Overdrive",ISNUMBER(AJ63),AJ63&gt;=36,AJ63&lt;=49),2,0)</x:f>
        <x:v>0</x:v>
      </x:c>
      <x:c r="BD63" t="n">
        <x:f>IF('01_Run_Config'!$B$53="ON / EXPERIMENTAL",IF(OR(AND(A63&gt;='01_Run_Config'!$B$32,A63&lt;'01_Run_Config'!$B$33),AND(ISNUMBER(AJ63),AJ63&gt;=15,AJ63&lt;=49)),2,0),0)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Sensizym",0,IF(AND(A64&gt;='01_Run_Config'!$B$32,OR(AJ64="",AJ64&lt;=49)),2,0))</x:f>
        <x:v>0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Overdrive",0,IF(AND(ISNUMBER(AJ64),AJ64&gt;=29,AJ64&lt;=42),0.25+((AJ64-29)/13)*0.25,0))</x:f>
        <x:v>0</x:v>
      </x:c>
      <x:c r="AC64" s="63" t="n">
        <x:f>IF('01_Run_Config'!$B$46="OFF",0,IF(OR(A64='01_Run_Config'!$B$32,A64='01_Run_Config'!$B$32+7,A64='01_Run_Config'!$B$33+1,A64='01_Run_Config'!$B$33+8),2,0))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A-B",0,IF(OR(AND(A64&gt;='01_Run_Config'!$B$32,A64&lt;'01_Run_Config'!$B$33),AND(ISNUMBER(AJ64),AJ64&gt;=15,AJ64&lt;=49)),2,0))</x:f>
        <x:v>0</x:v>
      </x:c>
      <x:c r="AW64" t="n">
        <x:f>IF('01_Run_Config'!$B$48="AN Bud Candy (replaces HESI Boost)",IF(AND(A64&gt;='01_Run_Config'!$B$32,OR(AJ64="",AJ64&lt;=49)),2,0),0)</x:f>
        <x:v>0</x:v>
      </x:c>
      <x:c r="AX64" t="n">
        <x:f>IF('01_Run_Config'!$B$49&lt;&gt;"ON / EXPERIMENTAL",0,IF(OR(AND(A64&gt;='01_Run_Config'!$B$32+7,A64&lt;'01_Run_Config'!$B$33),AND(ISNUMBER(AJ64),AJ64&gt;=1,AJ64&lt;=49)),2,0))</x:f>
        <x:v>0</x:v>
      </x:c>
      <x:c r="AY64" t="n">
        <x:f>IF('01_Run_Config'!$B$50="AN Sensizym",IF(AND(A64&gt;='01_Run_Config'!$B$32,OR(AJ64="",AJ64&lt;=49)),2,0),0)</x:f>
        <x:v>0</x:v>
      </x:c>
      <x:c r="AZ64" t="n">
        <x:f>IF('01_Run_Config'!$B$51="AN Rhino Skin",IF(AND(A64&gt;='01_Run_Config'!$B$32,OR(AJ64="",AJ64&lt;=49)),2,0),0)</x:f>
        <x:v>0</x:v>
      </x:c>
      <x:c r="BA64" t="n">
        <x:f>IF(AND('01_Run_Config'!$B$52="AN Bud Ignitor &gt; Big Bud &gt; Overdrive",ISNUMBER(AJ64),AJ64&gt;=1,AJ64&lt;=14),2,0)</x:f>
        <x:v>0</x:v>
      </x:c>
      <x:c r="BB64" t="n">
        <x:f>IF(AND('01_Run_Config'!$B$52="AN Bud Ignitor &gt; Big Bud &gt; Overdrive",ISNUMBER(AJ64),AJ64&gt;=8,AJ64&lt;=35),2,0)</x:f>
        <x:v>0</x:v>
      </x:c>
      <x:c r="BC64" t="n">
        <x:f>IF(AND('01_Run_Config'!$B$52="AN Bud Ignitor &gt; Big Bud &gt; Overdrive",ISNUMBER(AJ64),AJ64&gt;=36,AJ64&lt;=49),2,0)</x:f>
        <x:v>0</x:v>
      </x:c>
      <x:c r="BD64" t="n">
        <x:f>IF('01_Run_Config'!$B$53="ON / EXPERIMENTAL",IF(OR(AND(A64&gt;='01_Run_Config'!$B$32,A64&lt;'01_Run_Config'!$B$33),AND(ISNUMBER(AJ64),AJ64&gt;=15,AJ64&lt;=49)),2,0),0)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Sensizym",0,IF(AND(A65&gt;='01_Run_Config'!$B$32,OR(AJ65="",AJ65&lt;=49)),2,0))</x:f>
        <x:v>0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Overdrive",0,IF(AND(ISNUMBER(AJ65),AJ65&gt;=29,AJ65&lt;=42),0.25+((AJ65-29)/13)*0.25,0))</x:f>
        <x:v>0</x:v>
      </x:c>
      <x:c r="AC65" s="63" t="n">
        <x:f>IF('01_Run_Config'!$B$46="OFF",0,IF(OR(A65='01_Run_Config'!$B$32,A65='01_Run_Config'!$B$32+7,A65='01_Run_Config'!$B$33+1,A65='01_Run_Config'!$B$33+8),2,0))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A-B",0,IF(OR(AND(A65&gt;='01_Run_Config'!$B$32,A65&lt;'01_Run_Config'!$B$33),AND(ISNUMBER(AJ65),AJ65&gt;=15,AJ65&lt;=49)),2,0))</x:f>
        <x:v>0</x:v>
      </x:c>
      <x:c r="AW65" t="n">
        <x:f>IF('01_Run_Config'!$B$48="AN Bud Candy (replaces HESI Boost)",IF(AND(A65&gt;='01_Run_Config'!$B$32,OR(AJ65="",AJ65&lt;=49)),2,0),0)</x:f>
        <x:v>0</x:v>
      </x:c>
      <x:c r="AX65" t="n">
        <x:f>IF('01_Run_Config'!$B$49&lt;&gt;"ON / EXPERIMENTAL",0,IF(OR(AND(A65&gt;='01_Run_Config'!$B$32+7,A65&lt;'01_Run_Config'!$B$33),AND(ISNUMBER(AJ65),AJ65&gt;=1,AJ65&lt;=49)),2,0))</x:f>
        <x:v>0</x:v>
      </x:c>
      <x:c r="AY65" t="n">
        <x:f>IF('01_Run_Config'!$B$50="AN Sensizym",IF(AND(A65&gt;='01_Run_Config'!$B$32,OR(AJ65="",AJ65&lt;=49)),2,0),0)</x:f>
        <x:v>0</x:v>
      </x:c>
      <x:c r="AZ65" t="n">
        <x:f>IF('01_Run_Config'!$B$51="AN Rhino Skin",IF(AND(A65&gt;='01_Run_Config'!$B$32,OR(AJ65="",AJ65&lt;=49)),2,0),0)</x:f>
        <x:v>0</x:v>
      </x:c>
      <x:c r="BA65" t="n">
        <x:f>IF(AND('01_Run_Config'!$B$52="AN Bud Ignitor &gt; Big Bud &gt; Overdrive",ISNUMBER(AJ65),AJ65&gt;=1,AJ65&lt;=14),2,0)</x:f>
        <x:v>0</x:v>
      </x:c>
      <x:c r="BB65" t="n">
        <x:f>IF(AND('01_Run_Config'!$B$52="AN Bud Ignitor &gt; Big Bud &gt; Overdrive",ISNUMBER(AJ65),AJ65&gt;=8,AJ65&lt;=35),2,0)</x:f>
        <x:v>0</x:v>
      </x:c>
      <x:c r="BC65" t="n">
        <x:f>IF(AND('01_Run_Config'!$B$52="AN Bud Ignitor &gt; Big Bud &gt; Overdrive",ISNUMBER(AJ65),AJ65&gt;=36,AJ65&lt;=49),2,0)</x:f>
        <x:v>0</x:v>
      </x:c>
      <x:c r="BD65" t="n">
        <x:f>IF('01_Run_Config'!$B$53="ON / EXPERIMENTAL",IF(OR(AND(A65&gt;='01_Run_Config'!$B$32,A65&lt;'01_Run_Config'!$B$33),AND(ISNUMBER(AJ65),AJ65&gt;=15,AJ65&lt;=49)),2,0),0)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Sensizym",0,IF(AND(A66&gt;='01_Run_Config'!$B$32,OR(AJ66="",AJ66&lt;=49)),2,0))</x:f>
        <x:v>0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Overdrive",0,IF(AND(ISNUMBER(AJ66),AJ66&gt;=29,AJ66&lt;=42),0.25+((AJ66-29)/13)*0.25,0))</x:f>
        <x:v>0</x:v>
      </x:c>
      <x:c r="AC66" s="63" t="n">
        <x:f>IF('01_Run_Config'!$B$46="OFF",0,IF(OR(A66='01_Run_Config'!$B$32,A66='01_Run_Config'!$B$32+7,A66='01_Run_Config'!$B$33+1,A66='01_Run_Config'!$B$33+8),2,0))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A-B",0,IF(OR(AND(A66&gt;='01_Run_Config'!$B$32,A66&lt;'01_Run_Config'!$B$33),AND(ISNUMBER(AJ66),AJ66&gt;=15,AJ66&lt;=49)),2,0))</x:f>
        <x:v>0</x:v>
      </x:c>
      <x:c r="AW66" t="n">
        <x:f>IF('01_Run_Config'!$B$48="AN Bud Candy (replaces HESI Boost)",IF(AND(A66&gt;='01_Run_Config'!$B$32,OR(AJ66="",AJ66&lt;=49)),2,0),0)</x:f>
        <x:v>0</x:v>
      </x:c>
      <x:c r="AX66" t="n">
        <x:f>IF('01_Run_Config'!$B$49&lt;&gt;"ON / EXPERIMENTAL",0,IF(OR(AND(A66&gt;='01_Run_Config'!$B$32+7,A66&lt;'01_Run_Config'!$B$33),AND(ISNUMBER(AJ66),AJ66&gt;=1,AJ66&lt;=49)),2,0))</x:f>
        <x:v>0</x:v>
      </x:c>
      <x:c r="AY66" t="n">
        <x:f>IF('01_Run_Config'!$B$50="AN Sensizym",IF(AND(A66&gt;='01_Run_Config'!$B$32,OR(AJ66="",AJ66&lt;=49)),2,0),0)</x:f>
        <x:v>0</x:v>
      </x:c>
      <x:c r="AZ66" t="n">
        <x:f>IF('01_Run_Config'!$B$51="AN Rhino Skin",IF(AND(A66&gt;='01_Run_Config'!$B$32,OR(AJ66="",AJ66&lt;=49)),2,0),0)</x:f>
        <x:v>0</x:v>
      </x:c>
      <x:c r="BA66" t="n">
        <x:f>IF(AND('01_Run_Config'!$B$52="AN Bud Ignitor &gt; Big Bud &gt; Overdrive",ISNUMBER(AJ66),AJ66&gt;=1,AJ66&lt;=14),2,0)</x:f>
        <x:v>0</x:v>
      </x:c>
      <x:c r="BB66" t="n">
        <x:f>IF(AND('01_Run_Config'!$B$52="AN Bud Ignitor &gt; Big Bud &gt; Overdrive",ISNUMBER(AJ66),AJ66&gt;=8,AJ66&lt;=35),2,0)</x:f>
        <x:v>0</x:v>
      </x:c>
      <x:c r="BC66" t="n">
        <x:f>IF(AND('01_Run_Config'!$B$52="AN Bud Ignitor &gt; Big Bud &gt; Overdrive",ISNUMBER(AJ66),AJ66&gt;=36,AJ66&lt;=49),2,0)</x:f>
        <x:v>0</x:v>
      </x:c>
      <x:c r="BD66" t="n">
        <x:f>IF('01_Run_Config'!$B$53="ON / EXPERIMENTAL",IF(OR(AND(A66&gt;='01_Run_Config'!$B$32,A66&lt;'01_Run_Config'!$B$33),AND(ISNUMBER(AJ66),AJ66&gt;=15,AJ66&lt;=49)),2,0),0)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Sensizym",0,IF(AND(A67&gt;='01_Run_Config'!$B$32,OR(AJ67="",AJ67&lt;=49)),2,0))</x:f>
        <x:v>0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Overdrive",0,IF(AND(ISNUMBER(AJ67),AJ67&gt;=29,AJ67&lt;=42),0.25+((AJ67-29)/13)*0.25,0))</x:f>
        <x:v>0</x:v>
      </x:c>
      <x:c r="AC67" s="63" t="n">
        <x:f>IF('01_Run_Config'!$B$46="OFF",0,IF(OR(A67='01_Run_Config'!$B$32,A67='01_Run_Config'!$B$32+7,A67='01_Run_Config'!$B$33+1,A67='01_Run_Config'!$B$33+8),2,0))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A-B",0,IF(OR(AND(A67&gt;='01_Run_Config'!$B$32,A67&lt;'01_Run_Config'!$B$33),AND(ISNUMBER(AJ67),AJ67&gt;=15,AJ67&lt;=49)),2,0))</x:f>
        <x:v>0</x:v>
      </x:c>
      <x:c r="AW67" t="n">
        <x:f>IF('01_Run_Config'!$B$48="AN Bud Candy (replaces HESI Boost)",IF(AND(A67&gt;='01_Run_Config'!$B$32,OR(AJ67="",AJ67&lt;=49)),2,0),0)</x:f>
        <x:v>0</x:v>
      </x:c>
      <x:c r="AX67" t="n">
        <x:f>IF('01_Run_Config'!$B$49&lt;&gt;"ON / EXPERIMENTAL",0,IF(OR(AND(A67&gt;='01_Run_Config'!$B$32+7,A67&lt;'01_Run_Config'!$B$33),AND(ISNUMBER(AJ67),AJ67&gt;=1,AJ67&lt;=49)),2,0))</x:f>
        <x:v>0</x:v>
      </x:c>
      <x:c r="AY67" t="n">
        <x:f>IF('01_Run_Config'!$B$50="AN Sensizym",IF(AND(A67&gt;='01_Run_Config'!$B$32,OR(AJ67="",AJ67&lt;=49)),2,0),0)</x:f>
        <x:v>0</x:v>
      </x:c>
      <x:c r="AZ67" t="n">
        <x:f>IF('01_Run_Config'!$B$51="AN Rhino Skin",IF(AND(A67&gt;='01_Run_Config'!$B$32,OR(AJ67="",AJ67&lt;=49)),2,0),0)</x:f>
        <x:v>0</x:v>
      </x:c>
      <x:c r="BA67" t="n">
        <x:f>IF(AND('01_Run_Config'!$B$52="AN Bud Ignitor &gt; Big Bud &gt; Overdrive",ISNUMBER(AJ67),AJ67&gt;=1,AJ67&lt;=14),2,0)</x:f>
        <x:v>0</x:v>
      </x:c>
      <x:c r="BB67" t="n">
        <x:f>IF(AND('01_Run_Config'!$B$52="AN Bud Ignitor &gt; Big Bud &gt; Overdrive",ISNUMBER(AJ67),AJ67&gt;=8,AJ67&lt;=35),2,0)</x:f>
        <x:v>0</x:v>
      </x:c>
      <x:c r="BC67" t="n">
        <x:f>IF(AND('01_Run_Config'!$B$52="AN Bud Ignitor &gt; Big Bud &gt; Overdrive",ISNUMBER(AJ67),AJ67&gt;=36,AJ67&lt;=49),2,0)</x:f>
        <x:v>0</x:v>
      </x:c>
      <x:c r="BD67" t="n">
        <x:f>IF('01_Run_Config'!$B$53="ON / EXPERIMENTAL",IF(OR(AND(A67&gt;='01_Run_Config'!$B$32,A67&lt;'01_Run_Config'!$B$33),AND(ISNUMBER(AJ67),AJ67&gt;=15,AJ67&lt;=49)),2,0),0)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Sensizym",0,IF(AND(A68&gt;='01_Run_Config'!$B$32,OR(AJ68="",AJ68&lt;=49)),2,0))</x:f>
        <x:v>0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Overdrive",0,IF(AND(ISNUMBER(AJ68),AJ68&gt;=29,AJ68&lt;=42),0.25+((AJ68-29)/13)*0.25,0))</x:f>
        <x:v>0</x:v>
      </x:c>
      <x:c r="AC68" s="63" t="n">
        <x:f>IF('01_Run_Config'!$B$46="OFF",0,IF(OR(A68='01_Run_Config'!$B$32,A68='01_Run_Config'!$B$32+7,A68='01_Run_Config'!$B$33+1,A68='01_Run_Config'!$B$33+8),2,0))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A-B",0,IF(OR(AND(A68&gt;='01_Run_Config'!$B$32,A68&lt;'01_Run_Config'!$B$33),AND(ISNUMBER(AJ68),AJ68&gt;=15,AJ68&lt;=49)),2,0))</x:f>
        <x:v>0</x:v>
      </x:c>
      <x:c r="AW68" t="n">
        <x:f>IF('01_Run_Config'!$B$48="AN Bud Candy (replaces HESI Boost)",IF(AND(A68&gt;='01_Run_Config'!$B$32,OR(AJ68="",AJ68&lt;=49)),2,0),0)</x:f>
        <x:v>0</x:v>
      </x:c>
      <x:c r="AX68" t="n">
        <x:f>IF('01_Run_Config'!$B$49&lt;&gt;"ON / EXPERIMENTAL",0,IF(OR(AND(A68&gt;='01_Run_Config'!$B$32+7,A68&lt;'01_Run_Config'!$B$33),AND(ISNUMBER(AJ68),AJ68&gt;=1,AJ68&lt;=49)),2,0))</x:f>
        <x:v>0</x:v>
      </x:c>
      <x:c r="AY68" t="n">
        <x:f>IF('01_Run_Config'!$B$50="AN Sensizym",IF(AND(A68&gt;='01_Run_Config'!$B$32,OR(AJ68="",AJ68&lt;=49)),2,0),0)</x:f>
        <x:v>0</x:v>
      </x:c>
      <x:c r="AZ68" t="n">
        <x:f>IF('01_Run_Config'!$B$51="AN Rhino Skin",IF(AND(A68&gt;='01_Run_Config'!$B$32,OR(AJ68="",AJ68&lt;=49)),2,0),0)</x:f>
        <x:v>0</x:v>
      </x:c>
      <x:c r="BA68" t="n">
        <x:f>IF(AND('01_Run_Config'!$B$52="AN Bud Ignitor &gt; Big Bud &gt; Overdrive",ISNUMBER(AJ68),AJ68&gt;=1,AJ68&lt;=14),2,0)</x:f>
        <x:v>0</x:v>
      </x:c>
      <x:c r="BB68" t="n">
        <x:f>IF(AND('01_Run_Config'!$B$52="AN Bud Ignitor &gt; Big Bud &gt; Overdrive",ISNUMBER(AJ68),AJ68&gt;=8,AJ68&lt;=35),2,0)</x:f>
        <x:v>0</x:v>
      </x:c>
      <x:c r="BC68" t="n">
        <x:f>IF(AND('01_Run_Config'!$B$52="AN Bud Ignitor &gt; Big Bud &gt; Overdrive",ISNUMBER(AJ68),AJ68&gt;=36,AJ68&lt;=49),2,0)</x:f>
        <x:v>0</x:v>
      </x:c>
      <x:c r="BD68" t="n">
        <x:f>IF('01_Run_Config'!$B$53="ON / EXPERIMENTAL",IF(OR(AND(A68&gt;='01_Run_Config'!$B$32,A68&lt;'01_Run_Config'!$B$33),AND(ISNUMBER(AJ68),AJ68&gt;=15,AJ68&lt;=49)),2,0),0)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Sensizym",0,IF(AND(A69&gt;='01_Run_Config'!$B$32,OR(AJ69="",AJ69&lt;=49)),2,0))</x:f>
        <x:v>0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Overdrive",0,IF(AND(ISNUMBER(AJ69),AJ69&gt;=29,AJ69&lt;=42),0.25+((AJ69-29)/13)*0.25,0))</x:f>
        <x:v>0</x:v>
      </x:c>
      <x:c r="AC69" s="63" t="n">
        <x:f>IF('01_Run_Config'!$B$46="OFF",0,IF(OR(A69='01_Run_Config'!$B$32,A69='01_Run_Config'!$B$32+7,A69='01_Run_Config'!$B$33+1,A69='01_Run_Config'!$B$33+8),2,0))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A-B",0,IF(OR(AND(A69&gt;='01_Run_Config'!$B$32,A69&lt;'01_Run_Config'!$B$33),AND(ISNUMBER(AJ69),AJ69&gt;=15,AJ69&lt;=49)),2,0))</x:f>
        <x:v>0</x:v>
      </x:c>
      <x:c r="AW69" t="n">
        <x:f>IF('01_Run_Config'!$B$48="AN Bud Candy (replaces HESI Boost)",IF(AND(A69&gt;='01_Run_Config'!$B$32,OR(AJ69="",AJ69&lt;=49)),2,0),0)</x:f>
        <x:v>0</x:v>
      </x:c>
      <x:c r="AX69" t="n">
        <x:f>IF('01_Run_Config'!$B$49&lt;&gt;"ON / EXPERIMENTAL",0,IF(OR(AND(A69&gt;='01_Run_Config'!$B$32+7,A69&lt;'01_Run_Config'!$B$33),AND(ISNUMBER(AJ69),AJ69&gt;=1,AJ69&lt;=49)),2,0))</x:f>
        <x:v>0</x:v>
      </x:c>
      <x:c r="AY69" t="n">
        <x:f>IF('01_Run_Config'!$B$50="AN Sensizym",IF(AND(A69&gt;='01_Run_Config'!$B$32,OR(AJ69="",AJ69&lt;=49)),2,0),0)</x:f>
        <x:v>0</x:v>
      </x:c>
      <x:c r="AZ69" t="n">
        <x:f>IF('01_Run_Config'!$B$51="AN Rhino Skin",IF(AND(A69&gt;='01_Run_Config'!$B$32,OR(AJ69="",AJ69&lt;=49)),2,0),0)</x:f>
        <x:v>0</x:v>
      </x:c>
      <x:c r="BA69" t="n">
        <x:f>IF(AND('01_Run_Config'!$B$52="AN Bud Ignitor &gt; Big Bud &gt; Overdrive",ISNUMBER(AJ69),AJ69&gt;=1,AJ69&lt;=14),2,0)</x:f>
        <x:v>0</x:v>
      </x:c>
      <x:c r="BB69" t="n">
        <x:f>IF(AND('01_Run_Config'!$B$52="AN Bud Ignitor &gt; Big Bud &gt; Overdrive",ISNUMBER(AJ69),AJ69&gt;=8,AJ69&lt;=35),2,0)</x:f>
        <x:v>0</x:v>
      </x:c>
      <x:c r="BC69" t="n">
        <x:f>IF(AND('01_Run_Config'!$B$52="AN Bud Ignitor &gt; Big Bud &gt; Overdrive",ISNUMBER(AJ69),AJ69&gt;=36,AJ69&lt;=49),2,0)</x:f>
        <x:v>0</x:v>
      </x:c>
      <x:c r="BD69" t="n">
        <x:f>IF('01_Run_Config'!$B$53="ON / EXPERIMENTAL",IF(OR(AND(A69&gt;='01_Run_Config'!$B$32,A69&lt;'01_Run_Config'!$B$33),AND(ISNUMBER(AJ69),AJ69&gt;=15,AJ69&lt;=49)),2,0),0)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Sensizym",0,IF(AND(A70&gt;='01_Run_Config'!$B$32,OR(AJ70="",AJ70&lt;=49)),2,0))</x:f>
        <x:v>0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Overdrive",0,IF(AND(ISNUMBER(AJ70),AJ70&gt;=29,AJ70&lt;=42),0.25+((AJ70-29)/13)*0.25,0))</x:f>
        <x:v>0</x:v>
      </x:c>
      <x:c r="AC70" s="63" t="n">
        <x:f>IF('01_Run_Config'!$B$46="OFF",0,IF(OR(A70='01_Run_Config'!$B$32,A70='01_Run_Config'!$B$32+7,A70='01_Run_Config'!$B$33+1,A70='01_Run_Config'!$B$33+8),2,0))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A-B",0,IF(OR(AND(A70&gt;='01_Run_Config'!$B$32,A70&lt;'01_Run_Config'!$B$33),AND(ISNUMBER(AJ70),AJ70&gt;=15,AJ70&lt;=49)),2,0))</x:f>
        <x:v>0</x:v>
      </x:c>
      <x:c r="AW70" t="n">
        <x:f>IF('01_Run_Config'!$B$48="AN Bud Candy (replaces HESI Boost)",IF(AND(A70&gt;='01_Run_Config'!$B$32,OR(AJ70="",AJ70&lt;=49)),2,0),0)</x:f>
        <x:v>0</x:v>
      </x:c>
      <x:c r="AX70" t="n">
        <x:f>IF('01_Run_Config'!$B$49&lt;&gt;"ON / EXPERIMENTAL",0,IF(OR(AND(A70&gt;='01_Run_Config'!$B$32+7,A70&lt;'01_Run_Config'!$B$33),AND(ISNUMBER(AJ70),AJ70&gt;=1,AJ70&lt;=49)),2,0))</x:f>
        <x:v>0</x:v>
      </x:c>
      <x:c r="AY70" t="n">
        <x:f>IF('01_Run_Config'!$B$50="AN Sensizym",IF(AND(A70&gt;='01_Run_Config'!$B$32,OR(AJ70="",AJ70&lt;=49)),2,0),0)</x:f>
        <x:v>0</x:v>
      </x:c>
      <x:c r="AZ70" t="n">
        <x:f>IF('01_Run_Config'!$B$51="AN Rhino Skin",IF(AND(A70&gt;='01_Run_Config'!$B$32,OR(AJ70="",AJ70&lt;=49)),2,0),0)</x:f>
        <x:v>0</x:v>
      </x:c>
      <x:c r="BA70" t="n">
        <x:f>IF(AND('01_Run_Config'!$B$52="AN Bud Ignitor &gt; Big Bud &gt; Overdrive",ISNUMBER(AJ70),AJ70&gt;=1,AJ70&lt;=14),2,0)</x:f>
        <x:v>0</x:v>
      </x:c>
      <x:c r="BB70" t="n">
        <x:f>IF(AND('01_Run_Config'!$B$52="AN Bud Ignitor &gt; Big Bud &gt; Overdrive",ISNUMBER(AJ70),AJ70&gt;=8,AJ70&lt;=35),2,0)</x:f>
        <x:v>0</x:v>
      </x:c>
      <x:c r="BC70" t="n">
        <x:f>IF(AND('01_Run_Config'!$B$52="AN Bud Ignitor &gt; Big Bud &gt; Overdrive",ISNUMBER(AJ70),AJ70&gt;=36,AJ70&lt;=49),2,0)</x:f>
        <x:v>0</x:v>
      </x:c>
      <x:c r="BD70" t="n">
        <x:f>IF('01_Run_Config'!$B$53="ON / EXPERIMENTAL",IF(OR(AND(A70&gt;='01_Run_Config'!$B$32,A70&lt;'01_Run_Config'!$B$33),AND(ISNUMBER(AJ70),AJ70&gt;=15,AJ70&lt;=49)),2,0),0)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Sensizym",0,IF(AND(A71&gt;='01_Run_Config'!$B$32,OR(AJ71="",AJ71&lt;=49)),2,0))</x:f>
        <x:v>0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Overdrive",0,IF(AND(ISNUMBER(AJ71),AJ71&gt;=29,AJ71&lt;=42),0.25+((AJ71-29)/13)*0.25,0))</x:f>
        <x:v>0</x:v>
      </x:c>
      <x:c r="AC71" s="63" t="n">
        <x:f>IF('01_Run_Config'!$B$46="OFF",0,IF(OR(A71='01_Run_Config'!$B$32,A71='01_Run_Config'!$B$32+7,A71='01_Run_Config'!$B$33+1,A71='01_Run_Config'!$B$33+8),2,0))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A-B",0,IF(OR(AND(A71&gt;='01_Run_Config'!$B$32,A71&lt;'01_Run_Config'!$B$33),AND(ISNUMBER(AJ71),AJ71&gt;=15,AJ71&lt;=49)),2,0))</x:f>
        <x:v>0</x:v>
      </x:c>
      <x:c r="AW71" t="n">
        <x:f>IF('01_Run_Config'!$B$48="AN Bud Candy (replaces HESI Boost)",IF(AND(A71&gt;='01_Run_Config'!$B$32,OR(AJ71="",AJ71&lt;=49)),2,0),0)</x:f>
        <x:v>0</x:v>
      </x:c>
      <x:c r="AX71" t="n">
        <x:f>IF('01_Run_Config'!$B$49&lt;&gt;"ON / EXPERIMENTAL",0,IF(OR(AND(A71&gt;='01_Run_Config'!$B$32+7,A71&lt;'01_Run_Config'!$B$33),AND(ISNUMBER(AJ71),AJ71&gt;=1,AJ71&lt;=49)),2,0))</x:f>
        <x:v>0</x:v>
      </x:c>
      <x:c r="AY71" t="n">
        <x:f>IF('01_Run_Config'!$B$50="AN Sensizym",IF(AND(A71&gt;='01_Run_Config'!$B$32,OR(AJ71="",AJ71&lt;=49)),2,0),0)</x:f>
        <x:v>0</x:v>
      </x:c>
      <x:c r="AZ71" t="n">
        <x:f>IF('01_Run_Config'!$B$51="AN Rhino Skin",IF(AND(A71&gt;='01_Run_Config'!$B$32,OR(AJ71="",AJ71&lt;=49)),2,0),0)</x:f>
        <x:v>0</x:v>
      </x:c>
      <x:c r="BA71" t="n">
        <x:f>IF(AND('01_Run_Config'!$B$52="AN Bud Ignitor &gt; Big Bud &gt; Overdrive",ISNUMBER(AJ71),AJ71&gt;=1,AJ71&lt;=14),2,0)</x:f>
        <x:v>0</x:v>
      </x:c>
      <x:c r="BB71" t="n">
        <x:f>IF(AND('01_Run_Config'!$B$52="AN Bud Ignitor &gt; Big Bud &gt; Overdrive",ISNUMBER(AJ71),AJ71&gt;=8,AJ71&lt;=35),2,0)</x:f>
        <x:v>0</x:v>
      </x:c>
      <x:c r="BC71" t="n">
        <x:f>IF(AND('01_Run_Config'!$B$52="AN Bud Ignitor &gt; Big Bud &gt; Overdrive",ISNUMBER(AJ71),AJ71&gt;=36,AJ71&lt;=49),2,0)</x:f>
        <x:v>0</x:v>
      </x:c>
      <x:c r="BD71" t="n">
        <x:f>IF('01_Run_Config'!$B$53="ON / EXPERIMENTAL",IF(OR(AND(A71&gt;='01_Run_Config'!$B$32,A71&lt;'01_Run_Config'!$B$33),AND(ISNUMBER(AJ71),AJ71&gt;=15,AJ71&lt;=49)),2,0),0)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Sensizym",0,IF(AND(A72&gt;='01_Run_Config'!$B$32,OR(AJ72="",AJ72&lt;=49)),2,0))</x:f>
        <x:v>0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Overdrive",0,IF(AND(ISNUMBER(AJ72),AJ72&gt;=29,AJ72&lt;=42),0.25+((AJ72-29)/13)*0.25,0))</x:f>
        <x:v>0</x:v>
      </x:c>
      <x:c r="AC72" s="63" t="n">
        <x:f>IF('01_Run_Config'!$B$46="OFF",0,IF(OR(A72='01_Run_Config'!$B$32,A72='01_Run_Config'!$B$32+7,A72='01_Run_Config'!$B$33+1,A72='01_Run_Config'!$B$33+8),2,0))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A-B",0,IF(OR(AND(A72&gt;='01_Run_Config'!$B$32,A72&lt;'01_Run_Config'!$B$33),AND(ISNUMBER(AJ72),AJ72&gt;=15,AJ72&lt;=49)),2,0))</x:f>
        <x:v>0</x:v>
      </x:c>
      <x:c r="AW72" t="n">
        <x:f>IF('01_Run_Config'!$B$48="AN Bud Candy (replaces HESI Boost)",IF(AND(A72&gt;='01_Run_Config'!$B$32,OR(AJ72="",AJ72&lt;=49)),2,0),0)</x:f>
        <x:v>0</x:v>
      </x:c>
      <x:c r="AX72" t="n">
        <x:f>IF('01_Run_Config'!$B$49&lt;&gt;"ON / EXPERIMENTAL",0,IF(OR(AND(A72&gt;='01_Run_Config'!$B$32+7,A72&lt;'01_Run_Config'!$B$33),AND(ISNUMBER(AJ72),AJ72&gt;=1,AJ72&lt;=49)),2,0))</x:f>
        <x:v>0</x:v>
      </x:c>
      <x:c r="AY72" t="n">
        <x:f>IF('01_Run_Config'!$B$50="AN Sensizym",IF(AND(A72&gt;='01_Run_Config'!$B$32,OR(AJ72="",AJ72&lt;=49)),2,0),0)</x:f>
        <x:v>0</x:v>
      </x:c>
      <x:c r="AZ72" t="n">
        <x:f>IF('01_Run_Config'!$B$51="AN Rhino Skin",IF(AND(A72&gt;='01_Run_Config'!$B$32,OR(AJ72="",AJ72&lt;=49)),2,0),0)</x:f>
        <x:v>0</x:v>
      </x:c>
      <x:c r="BA72" t="n">
        <x:f>IF(AND('01_Run_Config'!$B$52="AN Bud Ignitor &gt; Big Bud &gt; Overdrive",ISNUMBER(AJ72),AJ72&gt;=1,AJ72&lt;=14),2,0)</x:f>
        <x:v>0</x:v>
      </x:c>
      <x:c r="BB72" t="n">
        <x:f>IF(AND('01_Run_Config'!$B$52="AN Bud Ignitor &gt; Big Bud &gt; Overdrive",ISNUMBER(AJ72),AJ72&gt;=8,AJ72&lt;=35),2,0)</x:f>
        <x:v>0</x:v>
      </x:c>
      <x:c r="BC72" t="n">
        <x:f>IF(AND('01_Run_Config'!$B$52="AN Bud Ignitor &gt; Big Bud &gt; Overdrive",ISNUMBER(AJ72),AJ72&gt;=36,AJ72&lt;=49),2,0)</x:f>
        <x:v>0</x:v>
      </x:c>
      <x:c r="BD72" t="n">
        <x:f>IF('01_Run_Config'!$B$53="ON / EXPERIMENTAL",IF(OR(AND(A72&gt;='01_Run_Config'!$B$32,A72&lt;'01_Run_Config'!$B$33),AND(ISNUMBER(AJ72),AJ72&gt;=15,AJ72&lt;=49)),2,0),0)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Sensizym",0,IF(AND(A73&gt;='01_Run_Config'!$B$32,OR(AJ73="",AJ73&lt;=49)),2,0))</x:f>
        <x:v>0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Overdrive",0,IF(AND(ISNUMBER(AJ73),AJ73&gt;=29,AJ73&lt;=42),0.25+((AJ73-29)/13)*0.25,0))</x:f>
        <x:v>0</x:v>
      </x:c>
      <x:c r="AC73" s="63" t="n">
        <x:f>IF('01_Run_Config'!$B$46="OFF",0,IF(OR(A73='01_Run_Config'!$B$32,A73='01_Run_Config'!$B$32+7,A73='01_Run_Config'!$B$33+1,A73='01_Run_Config'!$B$33+8),2,0))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A-B",0,IF(OR(AND(A73&gt;='01_Run_Config'!$B$32,A73&lt;'01_Run_Config'!$B$33),AND(ISNUMBER(AJ73),AJ73&gt;=15,AJ73&lt;=49)),2,0))</x:f>
        <x:v>0</x:v>
      </x:c>
      <x:c r="AW73" t="n">
        <x:f>IF('01_Run_Config'!$B$48="AN Bud Candy (replaces HESI Boost)",IF(AND(A73&gt;='01_Run_Config'!$B$32,OR(AJ73="",AJ73&lt;=49)),2,0),0)</x:f>
        <x:v>0</x:v>
      </x:c>
      <x:c r="AX73" t="n">
        <x:f>IF('01_Run_Config'!$B$49&lt;&gt;"ON / EXPERIMENTAL",0,IF(OR(AND(A73&gt;='01_Run_Config'!$B$32+7,A73&lt;'01_Run_Config'!$B$33),AND(ISNUMBER(AJ73),AJ73&gt;=1,AJ73&lt;=49)),2,0))</x:f>
        <x:v>0</x:v>
      </x:c>
      <x:c r="AY73" t="n">
        <x:f>IF('01_Run_Config'!$B$50="AN Sensizym",IF(AND(A73&gt;='01_Run_Config'!$B$32,OR(AJ73="",AJ73&lt;=49)),2,0),0)</x:f>
        <x:v>0</x:v>
      </x:c>
      <x:c r="AZ73" t="n">
        <x:f>IF('01_Run_Config'!$B$51="AN Rhino Skin",IF(AND(A73&gt;='01_Run_Config'!$B$32,OR(AJ73="",AJ73&lt;=49)),2,0),0)</x:f>
        <x:v>0</x:v>
      </x:c>
      <x:c r="BA73" t="n">
        <x:f>IF(AND('01_Run_Config'!$B$52="AN Bud Ignitor &gt; Big Bud &gt; Overdrive",ISNUMBER(AJ73),AJ73&gt;=1,AJ73&lt;=14),2,0)</x:f>
        <x:v>0</x:v>
      </x:c>
      <x:c r="BB73" t="n">
        <x:f>IF(AND('01_Run_Config'!$B$52="AN Bud Ignitor &gt; Big Bud &gt; Overdrive",ISNUMBER(AJ73),AJ73&gt;=8,AJ73&lt;=35),2,0)</x:f>
        <x:v>0</x:v>
      </x:c>
      <x:c r="BC73" t="n">
        <x:f>IF(AND('01_Run_Config'!$B$52="AN Bud Ignitor &gt; Big Bud &gt; Overdrive",ISNUMBER(AJ73),AJ73&gt;=36,AJ73&lt;=49),2,0)</x:f>
        <x:v>0</x:v>
      </x:c>
      <x:c r="BD73" t="n">
        <x:f>IF('01_Run_Config'!$B$53="ON / EXPERIMENTAL",IF(OR(AND(A73&gt;='01_Run_Config'!$B$32,A73&lt;'01_Run_Config'!$B$33),AND(ISNUMBER(AJ73),AJ73&gt;=15,AJ73&lt;=49)),2,0),0)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Sensizym",0,IF(AND(A74&gt;='01_Run_Config'!$B$32,OR(AJ74="",AJ74&lt;=49)),2,0))</x:f>
        <x:v>0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Overdrive",0,IF(AND(ISNUMBER(AJ74),AJ74&gt;=29,AJ74&lt;=42),0.25+((AJ74-29)/13)*0.25,0))</x:f>
        <x:v>0</x:v>
      </x:c>
      <x:c r="AC74" s="63" t="n">
        <x:f>IF('01_Run_Config'!$B$46="OFF",0,IF(OR(A74='01_Run_Config'!$B$32,A74='01_Run_Config'!$B$32+7,A74='01_Run_Config'!$B$33+1,A74='01_Run_Config'!$B$33+8),2,0))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A-B",0,IF(OR(AND(A74&gt;='01_Run_Config'!$B$32,A74&lt;'01_Run_Config'!$B$33),AND(ISNUMBER(AJ74),AJ74&gt;=15,AJ74&lt;=49)),2,0))</x:f>
        <x:v>0</x:v>
      </x:c>
      <x:c r="AW74" t="n">
        <x:f>IF('01_Run_Config'!$B$48="AN Bud Candy (replaces HESI Boost)",IF(AND(A74&gt;='01_Run_Config'!$B$32,OR(AJ74="",AJ74&lt;=49)),2,0),0)</x:f>
        <x:v>0</x:v>
      </x:c>
      <x:c r="AX74" t="n">
        <x:f>IF('01_Run_Config'!$B$49&lt;&gt;"ON / EXPERIMENTAL",0,IF(OR(AND(A74&gt;='01_Run_Config'!$B$32+7,A74&lt;'01_Run_Config'!$B$33),AND(ISNUMBER(AJ74),AJ74&gt;=1,AJ74&lt;=49)),2,0))</x:f>
        <x:v>0</x:v>
      </x:c>
      <x:c r="AY74" t="n">
        <x:f>IF('01_Run_Config'!$B$50="AN Sensizym",IF(AND(A74&gt;='01_Run_Config'!$B$32,OR(AJ74="",AJ74&lt;=49)),2,0),0)</x:f>
        <x:v>0</x:v>
      </x:c>
      <x:c r="AZ74" t="n">
        <x:f>IF('01_Run_Config'!$B$51="AN Rhino Skin",IF(AND(A74&gt;='01_Run_Config'!$B$32,OR(AJ74="",AJ74&lt;=49)),2,0),0)</x:f>
        <x:v>0</x:v>
      </x:c>
      <x:c r="BA74" t="n">
        <x:f>IF(AND('01_Run_Config'!$B$52="AN Bud Ignitor &gt; Big Bud &gt; Overdrive",ISNUMBER(AJ74),AJ74&gt;=1,AJ74&lt;=14),2,0)</x:f>
        <x:v>0</x:v>
      </x:c>
      <x:c r="BB74" t="n">
        <x:f>IF(AND('01_Run_Config'!$B$52="AN Bud Ignitor &gt; Big Bud &gt; Overdrive",ISNUMBER(AJ74),AJ74&gt;=8,AJ74&lt;=35),2,0)</x:f>
        <x:v>0</x:v>
      </x:c>
      <x:c r="BC74" t="n">
        <x:f>IF(AND('01_Run_Config'!$B$52="AN Bud Ignitor &gt; Big Bud &gt; Overdrive",ISNUMBER(AJ74),AJ74&gt;=36,AJ74&lt;=49),2,0)</x:f>
        <x:v>0</x:v>
      </x:c>
      <x:c r="BD74" t="n">
        <x:f>IF('01_Run_Config'!$B$53="ON / EXPERIMENTAL",IF(OR(AND(A74&gt;='01_Run_Config'!$B$32,A74&lt;'01_Run_Config'!$B$33),AND(ISNUMBER(AJ74),AJ74&gt;=15,AJ74&lt;=49)),2,0),0)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Sensizym",0,IF(AND(A75&gt;='01_Run_Config'!$B$32,OR(AJ75="",AJ75&lt;=49)),2,0))</x:f>
        <x:v>0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Overdrive",0,IF(AND(ISNUMBER(AJ75),AJ75&gt;=29,AJ75&lt;=42),0.25+((AJ75-29)/13)*0.25,0))</x:f>
        <x:v>0</x:v>
      </x:c>
      <x:c r="AC75" s="63" t="n">
        <x:f>IF('01_Run_Config'!$B$46="OFF",0,IF(OR(A75='01_Run_Config'!$B$32,A75='01_Run_Config'!$B$32+7,A75='01_Run_Config'!$B$33+1,A75='01_Run_Config'!$B$33+8),2,0))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A-B",0,IF(OR(AND(A75&gt;='01_Run_Config'!$B$32,A75&lt;'01_Run_Config'!$B$33),AND(ISNUMBER(AJ75),AJ75&gt;=15,AJ75&lt;=49)),2,0))</x:f>
        <x:v>0</x:v>
      </x:c>
      <x:c r="AW75" t="n">
        <x:f>IF('01_Run_Config'!$B$48="AN Bud Candy (replaces HESI Boost)",IF(AND(A75&gt;='01_Run_Config'!$B$32,OR(AJ75="",AJ75&lt;=49)),2,0),0)</x:f>
        <x:v>0</x:v>
      </x:c>
      <x:c r="AX75" t="n">
        <x:f>IF('01_Run_Config'!$B$49&lt;&gt;"ON / EXPERIMENTAL",0,IF(OR(AND(A75&gt;='01_Run_Config'!$B$32+7,A75&lt;'01_Run_Config'!$B$33),AND(ISNUMBER(AJ75),AJ75&gt;=1,AJ75&lt;=49)),2,0))</x:f>
        <x:v>0</x:v>
      </x:c>
      <x:c r="AY75" t="n">
        <x:f>IF('01_Run_Config'!$B$50="AN Sensizym",IF(AND(A75&gt;='01_Run_Config'!$B$32,OR(AJ75="",AJ75&lt;=49)),2,0),0)</x:f>
        <x:v>0</x:v>
      </x:c>
      <x:c r="AZ75" t="n">
        <x:f>IF('01_Run_Config'!$B$51="AN Rhino Skin",IF(AND(A75&gt;='01_Run_Config'!$B$32,OR(AJ75="",AJ75&lt;=49)),2,0),0)</x:f>
        <x:v>0</x:v>
      </x:c>
      <x:c r="BA75" t="n">
        <x:f>IF(AND('01_Run_Config'!$B$52="AN Bud Ignitor &gt; Big Bud &gt; Overdrive",ISNUMBER(AJ75),AJ75&gt;=1,AJ75&lt;=14),2,0)</x:f>
        <x:v>0</x:v>
      </x:c>
      <x:c r="BB75" t="n">
        <x:f>IF(AND('01_Run_Config'!$B$52="AN Bud Ignitor &gt; Big Bud &gt; Overdrive",ISNUMBER(AJ75),AJ75&gt;=8,AJ75&lt;=35),2,0)</x:f>
        <x:v>0</x:v>
      </x:c>
      <x:c r="BC75" t="n">
        <x:f>IF(AND('01_Run_Config'!$B$52="AN Bud Ignitor &gt; Big Bud &gt; Overdrive",ISNUMBER(AJ75),AJ75&gt;=36,AJ75&lt;=49),2,0)</x:f>
        <x:v>0</x:v>
      </x:c>
      <x:c r="BD75" t="n">
        <x:f>IF('01_Run_Config'!$B$53="ON / EXPERIMENTAL",IF(OR(AND(A75&gt;='01_Run_Config'!$B$32,A75&lt;'01_Run_Config'!$B$33),AND(ISNUMBER(AJ75),AJ75&gt;=15,AJ75&lt;=49)),2,0),0)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Sensizym",0,IF(AND(A76&gt;='01_Run_Config'!$B$32,OR(AJ76="",AJ76&lt;=49)),2,0))</x:f>
        <x:v>0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Overdrive",0,IF(AND(ISNUMBER(AJ76),AJ76&gt;=29,AJ76&lt;=42),0.25+((AJ76-29)/13)*0.25,0))</x:f>
        <x:v>0</x:v>
      </x:c>
      <x:c r="AC76" s="63" t="n">
        <x:f>IF('01_Run_Config'!$B$46="OFF",0,IF(OR(A76='01_Run_Config'!$B$32,A76='01_Run_Config'!$B$32+7,A76='01_Run_Config'!$B$33+1,A76='01_Run_Config'!$B$33+8),2,0))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A-B",0,IF(OR(AND(A76&gt;='01_Run_Config'!$B$32,A76&lt;'01_Run_Config'!$B$33),AND(ISNUMBER(AJ76),AJ76&gt;=15,AJ76&lt;=49)),2,0))</x:f>
        <x:v>0</x:v>
      </x:c>
      <x:c r="AW76" t="n">
        <x:f>IF('01_Run_Config'!$B$48="AN Bud Candy (replaces HESI Boost)",IF(AND(A76&gt;='01_Run_Config'!$B$32,OR(AJ76="",AJ76&lt;=49)),2,0),0)</x:f>
        <x:v>0</x:v>
      </x:c>
      <x:c r="AX76" t="n">
        <x:f>IF('01_Run_Config'!$B$49&lt;&gt;"ON / EXPERIMENTAL",0,IF(OR(AND(A76&gt;='01_Run_Config'!$B$32+7,A76&lt;'01_Run_Config'!$B$33),AND(ISNUMBER(AJ76),AJ76&gt;=1,AJ76&lt;=49)),2,0))</x:f>
        <x:v>0</x:v>
      </x:c>
      <x:c r="AY76" t="n">
        <x:f>IF('01_Run_Config'!$B$50="AN Sensizym",IF(AND(A76&gt;='01_Run_Config'!$B$32,OR(AJ76="",AJ76&lt;=49)),2,0),0)</x:f>
        <x:v>0</x:v>
      </x:c>
      <x:c r="AZ76" t="n">
        <x:f>IF('01_Run_Config'!$B$51="AN Rhino Skin",IF(AND(A76&gt;='01_Run_Config'!$B$32,OR(AJ76="",AJ76&lt;=49)),2,0),0)</x:f>
        <x:v>0</x:v>
      </x:c>
      <x:c r="BA76" t="n">
        <x:f>IF(AND('01_Run_Config'!$B$52="AN Bud Ignitor &gt; Big Bud &gt; Overdrive",ISNUMBER(AJ76),AJ76&gt;=1,AJ76&lt;=14),2,0)</x:f>
        <x:v>0</x:v>
      </x:c>
      <x:c r="BB76" t="n">
        <x:f>IF(AND('01_Run_Config'!$B$52="AN Bud Ignitor &gt; Big Bud &gt; Overdrive",ISNUMBER(AJ76),AJ76&gt;=8,AJ76&lt;=35),2,0)</x:f>
        <x:v>0</x:v>
      </x:c>
      <x:c r="BC76" t="n">
        <x:f>IF(AND('01_Run_Config'!$B$52="AN Bud Ignitor &gt; Big Bud &gt; Overdrive",ISNUMBER(AJ76),AJ76&gt;=36,AJ76&lt;=49),2,0)</x:f>
        <x:v>0</x:v>
      </x:c>
      <x:c r="BD76" t="n">
        <x:f>IF('01_Run_Config'!$B$53="ON / EXPERIMENTAL",IF(OR(AND(A76&gt;='01_Run_Config'!$B$32,A76&lt;'01_Run_Config'!$B$33),AND(ISNUMBER(AJ76),AJ76&gt;=15,AJ76&lt;=49)),2,0),0)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Sensizym",0,IF(AND(A77&gt;='01_Run_Config'!$B$32,OR(AJ77="",AJ77&lt;=49)),2,0))</x:f>
        <x:v>0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Overdrive",0,IF(AND(ISNUMBER(AJ77),AJ77&gt;=29,AJ77&lt;=42),0.25+((AJ77-29)/13)*0.25,0))</x:f>
        <x:v>0</x:v>
      </x:c>
      <x:c r="AC77" s="63" t="n">
        <x:f>IF('01_Run_Config'!$B$46="OFF",0,IF(OR(A77='01_Run_Config'!$B$32,A77='01_Run_Config'!$B$32+7,A77='01_Run_Config'!$B$33+1,A77='01_Run_Config'!$B$33+8),2,0))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A-B",0,IF(OR(AND(A77&gt;='01_Run_Config'!$B$32,A77&lt;'01_Run_Config'!$B$33),AND(ISNUMBER(AJ77),AJ77&gt;=15,AJ77&lt;=49)),2,0))</x:f>
        <x:v>0</x:v>
      </x:c>
      <x:c r="AW77" t="n">
        <x:f>IF('01_Run_Config'!$B$48="AN Bud Candy (replaces HESI Boost)",IF(AND(A77&gt;='01_Run_Config'!$B$32,OR(AJ77="",AJ77&lt;=49)),2,0),0)</x:f>
        <x:v>0</x:v>
      </x:c>
      <x:c r="AX77" t="n">
        <x:f>IF('01_Run_Config'!$B$49&lt;&gt;"ON / EXPERIMENTAL",0,IF(OR(AND(A77&gt;='01_Run_Config'!$B$32+7,A77&lt;'01_Run_Config'!$B$33),AND(ISNUMBER(AJ77),AJ77&gt;=1,AJ77&lt;=49)),2,0))</x:f>
        <x:v>0</x:v>
      </x:c>
      <x:c r="AY77" t="n">
        <x:f>IF('01_Run_Config'!$B$50="AN Sensizym",IF(AND(A77&gt;='01_Run_Config'!$B$32,OR(AJ77="",AJ77&lt;=49)),2,0),0)</x:f>
        <x:v>0</x:v>
      </x:c>
      <x:c r="AZ77" t="n">
        <x:f>IF('01_Run_Config'!$B$51="AN Rhino Skin",IF(AND(A77&gt;='01_Run_Config'!$B$32,OR(AJ77="",AJ77&lt;=49)),2,0),0)</x:f>
        <x:v>0</x:v>
      </x:c>
      <x:c r="BA77" t="n">
        <x:f>IF(AND('01_Run_Config'!$B$52="AN Bud Ignitor &gt; Big Bud &gt; Overdrive",ISNUMBER(AJ77),AJ77&gt;=1,AJ77&lt;=14),2,0)</x:f>
        <x:v>0</x:v>
      </x:c>
      <x:c r="BB77" t="n">
        <x:f>IF(AND('01_Run_Config'!$B$52="AN Bud Ignitor &gt; Big Bud &gt; Overdrive",ISNUMBER(AJ77),AJ77&gt;=8,AJ77&lt;=35),2,0)</x:f>
        <x:v>0</x:v>
      </x:c>
      <x:c r="BC77" t="n">
        <x:f>IF(AND('01_Run_Config'!$B$52="AN Bud Ignitor &gt; Big Bud &gt; Overdrive",ISNUMBER(AJ77),AJ77&gt;=36,AJ77&lt;=49),2,0)</x:f>
        <x:v>0</x:v>
      </x:c>
      <x:c r="BD77" t="n">
        <x:f>IF('01_Run_Config'!$B$53="ON / EXPERIMENTAL",IF(OR(AND(A77&gt;='01_Run_Config'!$B$32,A77&lt;'01_Run_Config'!$B$33),AND(ISNUMBER(AJ77),AJ77&gt;=15,AJ77&lt;=49)),2,0),0)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Sensizym",0,IF(AND(A78&gt;='01_Run_Config'!$B$32,OR(AJ78="",AJ78&lt;=49)),2,0))</x:f>
        <x:v>0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Overdrive",0,IF(AND(ISNUMBER(AJ78),AJ78&gt;=29,AJ78&lt;=42),0.25+((AJ78-29)/13)*0.25,0))</x:f>
        <x:v>0</x:v>
      </x:c>
      <x:c r="AC78" s="63" t="n">
        <x:f>IF('01_Run_Config'!$B$46="OFF",0,IF(OR(A78='01_Run_Config'!$B$32,A78='01_Run_Config'!$B$32+7,A78='01_Run_Config'!$B$33+1,A78='01_Run_Config'!$B$33+8),2,0))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A-B",0,IF(OR(AND(A78&gt;='01_Run_Config'!$B$32,A78&lt;'01_Run_Config'!$B$33),AND(ISNUMBER(AJ78),AJ78&gt;=15,AJ78&lt;=49)),2,0))</x:f>
        <x:v>0</x:v>
      </x:c>
      <x:c r="AW78" t="n">
        <x:f>IF('01_Run_Config'!$B$48="AN Bud Candy (replaces HESI Boost)",IF(AND(A78&gt;='01_Run_Config'!$B$32,OR(AJ78="",AJ78&lt;=49)),2,0),0)</x:f>
        <x:v>0</x:v>
      </x:c>
      <x:c r="AX78" t="n">
        <x:f>IF('01_Run_Config'!$B$49&lt;&gt;"ON / EXPERIMENTAL",0,IF(OR(AND(A78&gt;='01_Run_Config'!$B$32+7,A78&lt;'01_Run_Config'!$B$33),AND(ISNUMBER(AJ78),AJ78&gt;=1,AJ78&lt;=49)),2,0))</x:f>
        <x:v>0</x:v>
      </x:c>
      <x:c r="AY78" t="n">
        <x:f>IF('01_Run_Config'!$B$50="AN Sensizym",IF(AND(A78&gt;='01_Run_Config'!$B$32,OR(AJ78="",AJ78&lt;=49)),2,0),0)</x:f>
        <x:v>0</x:v>
      </x:c>
      <x:c r="AZ78" t="n">
        <x:f>IF('01_Run_Config'!$B$51="AN Rhino Skin",IF(AND(A78&gt;='01_Run_Config'!$B$32,OR(AJ78="",AJ78&lt;=49)),2,0),0)</x:f>
        <x:v>0</x:v>
      </x:c>
      <x:c r="BA78" t="n">
        <x:f>IF(AND('01_Run_Config'!$B$52="AN Bud Ignitor &gt; Big Bud &gt; Overdrive",ISNUMBER(AJ78),AJ78&gt;=1,AJ78&lt;=14),2,0)</x:f>
        <x:v>0</x:v>
      </x:c>
      <x:c r="BB78" t="n">
        <x:f>IF(AND('01_Run_Config'!$B$52="AN Bud Ignitor &gt; Big Bud &gt; Overdrive",ISNUMBER(AJ78),AJ78&gt;=8,AJ78&lt;=35),2,0)</x:f>
        <x:v>0</x:v>
      </x:c>
      <x:c r="BC78" t="n">
        <x:f>IF(AND('01_Run_Config'!$B$52="AN Bud Ignitor &gt; Big Bud &gt; Overdrive",ISNUMBER(AJ78),AJ78&gt;=36,AJ78&lt;=49),2,0)</x:f>
        <x:v>0</x:v>
      </x:c>
      <x:c r="BD78" t="n">
        <x:f>IF('01_Run_Config'!$B$53="ON / EXPERIMENTAL",IF(OR(AND(A78&gt;='01_Run_Config'!$B$32,A78&lt;'01_Run_Config'!$B$33),AND(ISNUMBER(AJ78),AJ78&gt;=15,AJ78&lt;=49)),2,0),0)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Sensizym",0,IF(AND(A79&gt;='01_Run_Config'!$B$32,OR(AJ79="",AJ79&lt;=49)),2,0))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Overdrive",0,IF(AND(ISNUMBER(AJ79),AJ79&gt;=29,AJ79&lt;=42),0.25+((AJ79-29)/13)*0.25,0))</x:f>
        <x:v>0</x:v>
      </x:c>
      <x:c r="AC79" s="63" t="n">
        <x:f>IF('01_Run_Config'!$B$46="OFF",0,IF(OR(A79='01_Run_Config'!$B$32,A79='01_Run_Config'!$B$32+7,A79='01_Run_Config'!$B$33+1,A79='01_Run_Config'!$B$33+8),2,0))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A-B",0,IF(OR(AND(A79&gt;='01_Run_Config'!$B$32,A79&lt;'01_Run_Config'!$B$33),AND(ISNUMBER(AJ79),AJ79&gt;=15,AJ79&lt;=49)),2,0))</x:f>
        <x:v>0</x:v>
      </x:c>
      <x:c r="AW79" t="n">
        <x:f>IF('01_Run_Config'!$B$48="AN Bud Candy (replaces HESI Boost)",IF(AND(A79&gt;='01_Run_Config'!$B$32,OR(AJ79="",AJ79&lt;=49)),2,0),0)</x:f>
        <x:v>0</x:v>
      </x:c>
      <x:c r="AX79" t="n">
        <x:f>IF('01_Run_Config'!$B$49&lt;&gt;"ON / EXPERIMENTAL",0,IF(OR(AND(A79&gt;='01_Run_Config'!$B$32+7,A79&lt;'01_Run_Config'!$B$33),AND(ISNUMBER(AJ79),AJ79&gt;=1,AJ79&lt;=49)),2,0))</x:f>
        <x:v>0</x:v>
      </x:c>
      <x:c r="AY79" t="n">
        <x:f>IF('01_Run_Config'!$B$50="AN Sensizym",IF(AND(A79&gt;='01_Run_Config'!$B$32,OR(AJ79="",AJ79&lt;=49)),2,0),0)</x:f>
        <x:v>0</x:v>
      </x:c>
      <x:c r="AZ79" t="n">
        <x:f>IF('01_Run_Config'!$B$51="AN Rhino Skin",IF(AND(A79&gt;='01_Run_Config'!$B$32,OR(AJ79="",AJ79&lt;=49)),2,0),0)</x:f>
        <x:v>0</x:v>
      </x:c>
      <x:c r="BA79" t="n">
        <x:f>IF(AND('01_Run_Config'!$B$52="AN Bud Ignitor &gt; Big Bud &gt; Overdrive",ISNUMBER(AJ79),AJ79&gt;=1,AJ79&lt;=14),2,0)</x:f>
        <x:v>0</x:v>
      </x:c>
      <x:c r="BB79" t="n">
        <x:f>IF(AND('01_Run_Config'!$B$52="AN Bud Ignitor &gt; Big Bud &gt; Overdrive",ISNUMBER(AJ79),AJ79&gt;=8,AJ79&lt;=35),2,0)</x:f>
        <x:v>0</x:v>
      </x:c>
      <x:c r="BC79" t="n">
        <x:f>IF(AND('01_Run_Config'!$B$52="AN Bud Ignitor &gt; Big Bud &gt; Overdrive",ISNUMBER(AJ79),AJ79&gt;=36,AJ79&lt;=49),2,0)</x:f>
        <x:v>0</x:v>
      </x:c>
      <x:c r="BD79" t="n">
        <x:f>IF('01_Run_Config'!$B$53="ON / EXPERIMENTAL",IF(OR(AND(A79&gt;='01_Run_Config'!$B$32,A79&lt;'01_Run_Config'!$B$33),AND(ISNUMBER(AJ79),AJ79&gt;=15,AJ79&lt;=49)),2,0),0)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Sensizym",0,IF(AND(A80&gt;='01_Run_Config'!$B$32,OR(AJ80="",AJ80&lt;=49)),2,0))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Overdrive",0,IF(AND(ISNUMBER(AJ80),AJ80&gt;=29,AJ80&lt;=42),0.25+((AJ80-29)/13)*0.25,0))</x:f>
        <x:v>0</x:v>
      </x:c>
      <x:c r="AC80" s="63" t="n">
        <x:f>IF('01_Run_Config'!$B$46="OFF",0,IF(OR(A80='01_Run_Config'!$B$32,A80='01_Run_Config'!$B$32+7,A80='01_Run_Config'!$B$33+1,A80='01_Run_Config'!$B$33+8),2,0))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A-B",0,IF(OR(AND(A80&gt;='01_Run_Config'!$B$32,A80&lt;'01_Run_Config'!$B$33),AND(ISNUMBER(AJ80),AJ80&gt;=15,AJ80&lt;=49)),2,0))</x:f>
        <x:v>0</x:v>
      </x:c>
      <x:c r="AW80" t="n">
        <x:f>IF('01_Run_Config'!$B$48="AN Bud Candy (replaces HESI Boost)",IF(AND(A80&gt;='01_Run_Config'!$B$32,OR(AJ80="",AJ80&lt;=49)),2,0),0)</x:f>
        <x:v>0</x:v>
      </x:c>
      <x:c r="AX80" t="n">
        <x:f>IF('01_Run_Config'!$B$49&lt;&gt;"ON / EXPERIMENTAL",0,IF(OR(AND(A80&gt;='01_Run_Config'!$B$32+7,A80&lt;'01_Run_Config'!$B$33),AND(ISNUMBER(AJ80),AJ80&gt;=1,AJ80&lt;=49)),2,0))</x:f>
        <x:v>0</x:v>
      </x:c>
      <x:c r="AY80" t="n">
        <x:f>IF('01_Run_Config'!$B$50="AN Sensizym",IF(AND(A80&gt;='01_Run_Config'!$B$32,OR(AJ80="",AJ80&lt;=49)),2,0),0)</x:f>
        <x:v>0</x:v>
      </x:c>
      <x:c r="AZ80" t="n">
        <x:f>IF('01_Run_Config'!$B$51="AN Rhino Skin",IF(AND(A80&gt;='01_Run_Config'!$B$32,OR(AJ80="",AJ80&lt;=49)),2,0),0)</x:f>
        <x:v>0</x:v>
      </x:c>
      <x:c r="BA80" t="n">
        <x:f>IF(AND('01_Run_Config'!$B$52="AN Bud Ignitor &gt; Big Bud &gt; Overdrive",ISNUMBER(AJ80),AJ80&gt;=1,AJ80&lt;=14),2,0)</x:f>
        <x:v>0</x:v>
      </x:c>
      <x:c r="BB80" t="n">
        <x:f>IF(AND('01_Run_Config'!$B$52="AN Bud Ignitor &gt; Big Bud &gt; Overdrive",ISNUMBER(AJ80),AJ80&gt;=8,AJ80&lt;=35),2,0)</x:f>
        <x:v>0</x:v>
      </x:c>
      <x:c r="BC80" t="n">
        <x:f>IF(AND('01_Run_Config'!$B$52="AN Bud Ignitor &gt; Big Bud &gt; Overdrive",ISNUMBER(AJ80),AJ80&gt;=36,AJ80&lt;=49),2,0)</x:f>
        <x:v>0</x:v>
      </x:c>
      <x:c r="BD80" t="n">
        <x:f>IF('01_Run_Config'!$B$53="ON / EXPERIMENTAL",IF(OR(AND(A80&gt;='01_Run_Config'!$B$32,A80&lt;'01_Run_Config'!$B$33),AND(ISNUMBER(AJ80),AJ80&gt;=15,AJ80&lt;=49)),2,0),0)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Sensizym",0,IF(AND(A81&gt;='01_Run_Config'!$B$32,OR(AJ81="",AJ81&lt;=49)),2,0))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Overdrive",0,IF(AND(ISNUMBER(AJ81),AJ81&gt;=29,AJ81&lt;=42),0.25+((AJ81-29)/13)*0.25,0))</x:f>
        <x:v>0</x:v>
      </x:c>
      <x:c r="AC81" s="63" t="n">
        <x:f>IF('01_Run_Config'!$B$46="OFF",0,IF(OR(A81='01_Run_Config'!$B$32,A81='01_Run_Config'!$B$32+7,A81='01_Run_Config'!$B$33+1,A81='01_Run_Config'!$B$33+8),2,0))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A-B",0,IF(OR(AND(A81&gt;='01_Run_Config'!$B$32,A81&lt;'01_Run_Config'!$B$33),AND(ISNUMBER(AJ81),AJ81&gt;=15,AJ81&lt;=49)),2,0))</x:f>
        <x:v>0</x:v>
      </x:c>
      <x:c r="AW81" t="n">
        <x:f>IF('01_Run_Config'!$B$48="AN Bud Candy (replaces HESI Boost)",IF(AND(A81&gt;='01_Run_Config'!$B$32,OR(AJ81="",AJ81&lt;=49)),2,0),0)</x:f>
        <x:v>0</x:v>
      </x:c>
      <x:c r="AX81" t="n">
        <x:f>IF('01_Run_Config'!$B$49&lt;&gt;"ON / EXPERIMENTAL",0,IF(OR(AND(A81&gt;='01_Run_Config'!$B$32+7,A81&lt;'01_Run_Config'!$B$33),AND(ISNUMBER(AJ81),AJ81&gt;=1,AJ81&lt;=49)),2,0))</x:f>
        <x:v>0</x:v>
      </x:c>
      <x:c r="AY81" t="n">
        <x:f>IF('01_Run_Config'!$B$50="AN Sensizym",IF(AND(A81&gt;='01_Run_Config'!$B$32,OR(AJ81="",AJ81&lt;=49)),2,0),0)</x:f>
        <x:v>0</x:v>
      </x:c>
      <x:c r="AZ81" t="n">
        <x:f>IF('01_Run_Config'!$B$51="AN Rhino Skin",IF(AND(A81&gt;='01_Run_Config'!$B$32,OR(AJ81="",AJ81&lt;=49)),2,0),0)</x:f>
        <x:v>0</x:v>
      </x:c>
      <x:c r="BA81" t="n">
        <x:f>IF(AND('01_Run_Config'!$B$52="AN Bud Ignitor &gt; Big Bud &gt; Overdrive",ISNUMBER(AJ81),AJ81&gt;=1,AJ81&lt;=14),2,0)</x:f>
        <x:v>0</x:v>
      </x:c>
      <x:c r="BB81" t="n">
        <x:f>IF(AND('01_Run_Config'!$B$52="AN Bud Ignitor &gt; Big Bud &gt; Overdrive",ISNUMBER(AJ81),AJ81&gt;=8,AJ81&lt;=35),2,0)</x:f>
        <x:v>0</x:v>
      </x:c>
      <x:c r="BC81" t="n">
        <x:f>IF(AND('01_Run_Config'!$B$52="AN Bud Ignitor &gt; Big Bud &gt; Overdrive",ISNUMBER(AJ81),AJ81&gt;=36,AJ81&lt;=49),2,0)</x:f>
        <x:v>0</x:v>
      </x:c>
      <x:c r="BD81" t="n">
        <x:f>IF('01_Run_Config'!$B$53="ON / EXPERIMENTAL",IF(OR(AND(A81&gt;='01_Run_Config'!$B$32,A81&lt;'01_Run_Config'!$B$33),AND(ISNUMBER(AJ81),AJ81&gt;=15,AJ81&lt;=49)),2,0),0)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Sensizym",0,IF(AND(A82&gt;='01_Run_Config'!$B$32,OR(AJ82="",AJ82&lt;=49)),2,0))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Overdrive",0,IF(AND(ISNUMBER(AJ82),AJ82&gt;=29,AJ82&lt;=42),0.25+((AJ82-29)/13)*0.25,0))</x:f>
        <x:v>0</x:v>
      </x:c>
      <x:c r="AC82" s="64" t="n">
        <x:f>IF('01_Run_Config'!$B$46="OFF",0,IF(OR(A82='01_Run_Config'!$B$32,A82='01_Run_Config'!$B$32+7,A82='01_Run_Config'!$B$33+1,A82='01_Run_Config'!$B$33+8),2,0))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v7 evidence-guarded: Hersteller-Kompatibilität erlaubt Cross-Brand technisch, beweist aber keine Hybrid-Wirksamkeit. Funktionsduplikate werden als Alternativpfade geführt; Messdaten/Safety-Gates überschreiben Kalender."</x:f>
        <x:v>UKD v7 evidence-guarded: Hersteller-Kompatibilität erlaubt Cross-Brand technisch, beweist aber keine Hybrid-Wirksamkeit. Funktionsduplikate werden als Alternativpfade geführt; Messdaten/Safety-Gates überschreiben Kalender.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A-B",0,IF(OR(AND(A82&gt;='01_Run_Config'!$B$32,A82&lt;'01_Run_Config'!$B$33),AND(ISNUMBER(AJ82),AJ82&gt;=15,AJ82&lt;=49)),2,0))</x:f>
        <x:v>0</x:v>
      </x:c>
      <x:c r="AW82" t="n">
        <x:f>IF('01_Run_Config'!$B$48="AN Bud Candy (replaces HESI Boost)",IF(AND(A82&gt;='01_Run_Config'!$B$32,OR(AJ82="",AJ82&lt;=49)),2,0),0)</x:f>
        <x:v>0</x:v>
      </x:c>
      <x:c r="AX82" t="n">
        <x:f>IF('01_Run_Config'!$B$49&lt;&gt;"ON / EXPERIMENTAL",0,IF(OR(AND(A82&gt;='01_Run_Config'!$B$32+7,A82&lt;'01_Run_Config'!$B$33),AND(ISNUMBER(AJ82),AJ82&gt;=1,AJ82&lt;=49)),2,0))</x:f>
        <x:v>0</x:v>
      </x:c>
      <x:c r="AY82" t="n">
        <x:f>IF('01_Run_Config'!$B$50="AN Sensizym",IF(AND(A82&gt;='01_Run_Config'!$B$32,OR(AJ82="",AJ82&lt;=49)),2,0),0)</x:f>
        <x:v>0</x:v>
      </x:c>
      <x:c r="AZ82" t="n">
        <x:f>IF('01_Run_Config'!$B$51="AN Rhino Skin",IF(AND(A82&gt;='01_Run_Config'!$B$32,OR(AJ82="",AJ82&lt;=49)),2,0),0)</x:f>
        <x:v>0</x:v>
      </x:c>
      <x:c r="BA82" t="n">
        <x:f>IF(AND('01_Run_Config'!$B$52="AN Bud Ignitor &gt; Big Bud &gt; Overdrive",ISNUMBER(AJ82),AJ82&gt;=1,AJ82&lt;=14),2,0)</x:f>
        <x:v>0</x:v>
      </x:c>
      <x:c r="BB82" t="n">
        <x:f>IF(AND('01_Run_Config'!$B$52="AN Bud Ignitor &gt; Big Bud &gt; Overdrive",ISNUMBER(AJ82),AJ82&gt;=8,AJ82&lt;=35),2,0)</x:f>
        <x:v>0</x:v>
      </x:c>
      <x:c r="BC82" t="n">
        <x:f>IF(AND('01_Run_Config'!$B$52="AN Bud Ignitor &gt; Big Bud &gt; Overdrive",ISNUMBER(AJ82),AJ82&gt;=36,AJ82&lt;=49),2,0)</x:f>
        <x:v>0</x:v>
      </x:c>
      <x:c r="BD82" t="n">
        <x:f>IF('01_Run_Config'!$B$53="ON / EXPERIMENTAL",IF(OR(AND(A82&gt;='01_Run_Config'!$B$32,A82&lt;'01_Run_Config'!$B$33),AND(ISNUMBER(AJ82),AJ82&gt;=15,AJ82&lt;=49)),2,0),0)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23029de5fd457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AUDIT-HINWEIS: Wochenwerte sind verdichtete Richtwerte. 02_Daily_Master ist für den einzelnen Tag maßgeblich; Fütterungs-/AN-Fenster folgen dem Blüte-Trigger in 01_Run_Config.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6cebc648c5ff4f34"/>
  <x:tableParts count="1">
    <x:tablePart xmlns:r="http://schemas.openxmlformats.org/officeDocument/2006/relationships" r:id="Rd59c7438f46747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1787" t="str">
        <x:v>MIX CALCULATOR v5 — OWNED-STOCK HESI + Voodoo/Tarantula + Athena · fail-closed</x:v>
      </x:c>
      <x:c r="B1" s="1787"/>
      <x:c r="C1" s="1787"/>
      <x:c r="D1" s="1787"/>
      <x:c r="E1" s="1787"/>
      <x:c r="F1" s="1787"/>
      <x:c r="G1" s="1787"/>
      <x:c r="H1" s="1787"/>
    </x:row>
    <x:row r="2">
      <x:c r="J2" s="1789" t="str">
        <x:v>AN HYBRID MODULES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05b0e2b85c43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97d2f050c46459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Fenster, kein Trigger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e7a2b98b2144f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5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v6 · FORENSISCHER CONTENT-/WORKBOOK-AUDIT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early grow/bloom</x:v>
      </x:c>
      <x:c r="F8" s="60" t="str">
        <x:v>microbiome redundancy</x:v>
      </x:c>
      <x:c r="G8" s="60" t="str">
        <x:v>COMPLEMENT</x:v>
      </x:c>
      <x:c r="H8" s="60" t="str">
        <x:v>ON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G1-G2/B1-B2</x:v>
      </x:c>
      <x:c r="F10" s="60" t="str">
        <x:v>Voodoo/microbiome redundancy</x:v>
      </x:c>
      <x:c r="G10" s="60" t="str">
        <x:v>COMPLEMENT</x:v>
      </x:c>
      <x:c r="H10" s="60" t="str">
        <x:v>ON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