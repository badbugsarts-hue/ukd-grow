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3b8cb52ad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22efc0d010b34739"/>
    <x:sheet xmlns:r="http://schemas.openxmlformats.org/officeDocument/2006/relationships" name="01_Run_Config" sheetId="2" r:id="Rb1025f08aa1d497b"/>
    <x:sheet xmlns:r="http://schemas.openxmlformats.org/officeDocument/2006/relationships" name="02_Daily_Master" sheetId="3" r:id="R08a4bc843d1b459e"/>
    <x:sheet xmlns:r="http://schemas.openxmlformats.org/officeDocument/2006/relationships" name="03_Weekly_Master" sheetId="4" r:id="Rbfb3976894f14784"/>
    <x:sheet xmlns:r="http://schemas.openxmlformats.org/officeDocument/2006/relationships" name="04_Monthly_Master" sheetId="5" r:id="R619c897d38f44e2a"/>
    <x:sheet xmlns:r="http://schemas.openxmlformats.org/officeDocument/2006/relationships" name="05_Mix_Calculator" sheetId="6" r:id="R5866cad5553242ae"/>
    <x:sheet xmlns:r="http://schemas.openxmlformats.org/officeDocument/2006/relationships" name="06_HESI_Reference" sheetId="7" r:id="R9d0cddda6ea1477a"/>
    <x:sheet xmlns:r="http://schemas.openxmlformats.org/officeDocument/2006/relationships" name="07_AN_pHPerfect" sheetId="8" r:id="R8955b3ab1f3c4ad7"/>
    <x:sheet xmlns:r="http://schemas.openxmlformats.org/officeDocument/2006/relationships" name="08_Hybrid_AB" sheetId="9" r:id="Ref4082ad64f14756"/>
    <x:sheet xmlns:r="http://schemas.openxmlformats.org/officeDocument/2006/relationships" name="09_Irrigation_Blumat" sheetId="10" r:id="R6b1949c16cbd4ee7"/>
    <x:sheet xmlns:r="http://schemas.openxmlformats.org/officeDocument/2006/relationships" name="10_Climate_Light" sheetId="11" r:id="Reef21bbcab7747d6"/>
    <x:sheet xmlns:r="http://schemas.openxmlformats.org/officeDocument/2006/relationships" name="11_Training_Canopy" sheetId="12" r:id="Rd28412e7f4074aab"/>
    <x:sheet xmlns:r="http://schemas.openxmlformats.org/officeDocument/2006/relationships" name="12_Daily_Log" sheetId="13" r:id="Re9e83ab89db04b46"/>
    <x:sheet xmlns:r="http://schemas.openxmlformats.org/officeDocument/2006/relationships" name="13_Diagnostics" sheetId="14" r:id="Rade23d86e1c243a0"/>
    <x:sheet xmlns:r="http://schemas.openxmlformats.org/officeDocument/2006/relationships" name="14_Harvest_Dry" sheetId="15" r:id="R6dde9c18be59478a"/>
    <x:sheet xmlns:r="http://schemas.openxmlformats.org/officeDocument/2006/relationships" name="15_Strains" sheetId="16" r:id="Red8f1b4c4fd34992"/>
    <x:sheet xmlns:r="http://schemas.openxmlformats.org/officeDocument/2006/relationships" name="16_Compatibility" sheetId="17" r:id="R844db11f1cd8428f"/>
    <x:sheet xmlns:r="http://schemas.openxmlformats.org/officeDocument/2006/relationships" name="17_All_Products" sheetId="18" r:id="R9de4daf8e7b94fda"/>
    <x:sheet xmlns:r="http://schemas.openxmlformats.org/officeDocument/2006/relationships" name="18_Mineral_Interactions" sheetId="19" r:id="Red47349ec8c84d1b"/>
    <x:sheet xmlns:r="http://schemas.openxmlformats.org/officeDocument/2006/relationships" name="19_Do_Not_Stack" sheetId="20" r:id="R52a2c76ae5304b3b"/>
    <x:sheet xmlns:r="http://schemas.openxmlformats.org/officeDocument/2006/relationships" name="20_Practice_Evidence" sheetId="21" r:id="Rcb880daeed9d4fa0"/>
    <x:sheet xmlns:r="http://schemas.openxmlformats.org/officeDocument/2006/relationships" name="21_Legal_Safety" sheetId="22" r:id="R45fd254f78b34bf1"/>
    <x:sheet xmlns:r="http://schemas.openxmlformats.org/officeDocument/2006/relationships" name="22_Sources" sheetId="23" r:id="R129eb5802a1f4099"/>
    <x:sheet xmlns:r="http://schemas.openxmlformats.org/officeDocument/2006/relationships" name="23_README" sheetId="24" r:id="Rbfae0f5544ea4484"/>
    <x:sheet xmlns:r="http://schemas.openxmlformats.org/officeDocument/2006/relationships" name="24_Athena_Balance" sheetId="25" r:id="R3076be144fb04207"/>
    <x:sheet xmlns:r="http://schemas.openxmlformats.org/officeDocument/2006/relationships" name="25_AN_GrandMaster" sheetId="26" r:id="R0e2ceb566fd444f2"/>
    <x:sheet xmlns:r="http://schemas.openxmlformats.org/officeDocument/2006/relationships" name="26_Audit_Report" sheetId="27" r:id="R62a985097a1a4766"/>
    <x:sheet xmlns:r="http://schemas.openxmlformats.org/officeDocument/2006/relationships" name="27_HESI_AN_Hybrid" sheetId="28" r:id="Rdbe10ebc846243aa"/>
    <x:sheet xmlns:r="http://schemas.openxmlformats.org/officeDocument/2006/relationships" name="28_Current_Inventory" sheetId="29" r:id="R8f2c264620474cfd"/>
    <x:sheet xmlns:r="http://schemas.openxmlformats.org/officeDocument/2006/relationships" name="29_GOAL_PROBLEM" sheetId="30" r:id="Rd46a185f538a44c1"/>
    <x:sheet xmlns:r="http://schemas.openxmlformats.org/officeDocument/2006/relationships" name="30_APP_UX_PLAN" sheetId="31" r:id="Rcf3d4f9f30e04b79"/>
    <x:sheet xmlns:r="http://schemas.openxmlformats.org/officeDocument/2006/relationships" name="31_FEED_SCHEMA" sheetId="32" r:id="Re8210a7a72eb421a"/>
    <x:sheet xmlns:r="http://schemas.openxmlformats.org/officeDocument/2006/relationships" name="32_GLOSSARY_STATES" sheetId="33" r:id="R245f7d1329364d3c"/>
    <x:sheet xmlns:r="http://schemas.openxmlformats.org/officeDocument/2006/relationships" name="33_RELEASE_GATES" sheetId="34" r:id="Raf151939af15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47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  <x:font>
      <x:b/>
      <x:sz val="11"/>
      <x:color rgb="FF173C30"/>
      <x:name val="Carlito"/>
    </x:font>
    <x:font>
      <x:b/>
      <x:i/>
      <x:sz val="11"/>
      <x:color rgb="FF17324D"/>
      <x:name val="Carlito"/>
    </x:font>
    <x:font>
      <x:sz val="11"/>
      <x:color rgb="FF173C30"/>
      <x:name val="Carlito"/>
    </x:font>
    <x:font>
      <x:b/>
      <x:sz val="11"/>
      <x:color rgb="FF6D1F1F"/>
      <x:name val="Carlito"/>
    </x:font>
    <x:font>
      <x:sz val="11"/>
      <x:color rgb="FF6D1F1F"/>
      <x:name val="Carlito"/>
    </x:font>
    <x:font>
      <x:b/>
      <x:sz val="12"/>
      <x:color rgb="FFFFFFFF"/>
      <x:name val="Carlito"/>
    </x:font>
    <x:font>
      <x:b/>
      <x:sz val="11"/>
      <x:color rgb="FF163E5A"/>
      <x:name val="Carlito"/>
    </x:font>
    <x:font>
      <x:sz val="11"/>
      <x:color rgb="FF163E5A"/>
      <x:name val="Carlito"/>
    </x:font>
    <x:font>
      <x:b/>
      <x:sz val="11"/>
      <x:color rgb="FF664400"/>
      <x:name val="Carlito"/>
    </x:font>
    <x:font>
      <x:sz val="11"/>
      <x:color rgb="FF664400"/>
      <x:name val="Carlito"/>
    </x:font>
    <x:font>
      <x:b/>
      <x:sz val="11"/>
      <x:color rgb="FF37424B"/>
      <x:name val="Carlito"/>
    </x:font>
    <x:font>
      <x:sz val="11"/>
      <x:color rgb="FF37424B"/>
      <x:name val="Carlito"/>
    </x:font>
    <x:font>
      <x:b/>
      <x:sz val="11"/>
      <x:color rgb="FF4B2369"/>
      <x:name val="Carlito"/>
    </x:font>
    <x:font>
      <x:sz val="11"/>
      <x:color rgb="FF4B2369"/>
      <x:name val="Carlito"/>
    </x:font>
    <x:font>
      <x:b/>
      <x:sz val="11"/>
      <x:color rgb="FF17324D"/>
      <x:name val="Carlito"/>
    </x:font>
    <x:font>
      <x:sz val="11"/>
      <x:color rgb="FF5A4300"/>
      <x:name val="Carlito"/>
    </x:font>
  </x:fonts>
  <x:fills count="6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  <x:fill>
      <x:patternFill patternType="solid">
        <x:fgColor rgb="FF214A3B"/>
      </x:patternFill>
    </x:fill>
    <x:fill>
      <x:patternFill patternType="solid">
        <x:fgColor rgb="FFDDEFE7"/>
      </x:patternFill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FFF1CC"/>
      </x:patternFill>
    </x:fill>
    <x:fill>
      <x:patternFill patternType="solid">
        <x:fgColor rgb="FFEEF1F3"/>
      </x:patternFill>
    </x:fill>
    <x:fill>
      <x:patternFill patternType="solid">
        <x:fgColor rgb="FFF0E6F7"/>
      </x:patternFill>
    </x:fill>
    <x:fill>
      <x:patternFill patternType="solid">
        <x:fgColor rgb="FFF7F9FB"/>
      </x:patternFill>
    </x:fill>
    <x:fill>
      <x:patternFill patternType="solid">
        <x:fgColor rgb="FFFFF7DF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3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31" fillId="56" borderId="0" xfId="0" applyNumberFormat="1" applyFont="1" applyFill="1" applyBorder="1"/>
    <x:xf numFmtId="0" fontId="31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horizontal="left" vertical="center"/>
    </x:xf>
    <x:xf numFmtId="0" fontId="1" fillId="57" borderId="0" xfId="0" applyNumberFormat="1" applyFont="1" applyFill="1" applyBorder="1" applyAlignment="1">
      <x:alignment horizontal="left" vertical="center"/>
    </x:xf>
    <x:xf numFmtId="0" fontId="8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 wrapText="1"/>
    </x:xf>
    <x:xf numFmtId="0" fontId="9" fillId="56" borderId="32" xfId="0" applyNumberFormat="1" applyFont="1" applyFill="1" applyBorder="1" applyAlignment="1">
      <x:alignment horizontal="center" vertical="center" wrapText="1"/>
    </x:xf>
    <x:xf numFmtId="0" fontId="9" fillId="56" borderId="33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 wrapText="1"/>
    </x:xf>
    <x:xf numFmtId="0" fontId="9" fillId="56" borderId="46" xfId="0" applyNumberFormat="1" applyFont="1" applyFill="1" applyBorder="1" applyAlignment="1">
      <x:alignment horizontal="center" vertical="center" wrapText="1"/>
    </x:xf>
    <x:xf numFmtId="203" fontId="10" fillId="56" borderId="35" xfId="0" applyNumberFormat="1" applyFont="1" applyFill="1" applyBorder="1" applyAlignment="1">
      <x:alignment horizontal="center" vertical="center" wrapText="1"/>
    </x:xf>
    <x:xf numFmtId="203" fontId="10" fillId="56" borderId="36" xfId="0" applyNumberFormat="1" applyFont="1" applyFill="1" applyBorder="1" applyAlignment="1">
      <x:alignment horizontal="center" vertical="center" wrapText="1"/>
    </x:xf>
    <x:xf numFmtId="203" fontId="10" fillId="56" borderId="37" xfId="0" applyNumberFormat="1" applyFont="1" applyFill="1" applyBorder="1" applyAlignment="1">
      <x:alignment horizontal="center" vertical="center" wrapText="1"/>
    </x:xf>
    <x:xf numFmtId="0" fontId="10" fillId="56" borderId="35" xfId="0" applyNumberFormat="1" applyFont="1" applyFill="1" applyBorder="1" applyAlignment="1">
      <x:alignment horizontal="center" vertical="center" wrapText="1"/>
    </x:xf>
    <x:xf numFmtId="0" fontId="10" fillId="56" borderId="42" xfId="0" applyNumberFormat="1" applyFont="1" applyFill="1" applyBorder="1" applyAlignment="1">
      <x:alignment horizontal="center" vertical="center" wrapText="1"/>
    </x:xf>
    <x:xf numFmtId="0" fontId="10" fillId="56" borderId="37" xfId="0" applyNumberFormat="1" applyFont="1" applyFill="1" applyBorder="1" applyAlignment="1">
      <x:alignment horizontal="center" vertical="center" wrapText="1"/>
    </x:xf>
    <x:xf numFmtId="0" fontId="10" fillId="56" borderId="48" xfId="0" applyNumberFormat="1" applyFont="1" applyFill="1" applyBorder="1" applyAlignment="1">
      <x:alignment horizontal="center" vertical="center" wrapText="1"/>
    </x:xf>
    <x:xf numFmtId="203" fontId="10" fillId="56" borderId="38" xfId="0" applyNumberFormat="1" applyFont="1" applyFill="1" applyBorder="1" applyAlignment="1">
      <x:alignment horizontal="center" vertical="center" wrapText="1"/>
    </x:xf>
    <x:xf numFmtId="203" fontId="10" fillId="56" borderId="39" xfId="0" applyNumberFormat="1" applyFont="1" applyFill="1" applyBorder="1" applyAlignment="1">
      <x:alignment horizontal="center" vertical="center" wrapText="1"/>
    </x:xf>
    <x:xf numFmtId="203" fontId="10" fillId="56" borderId="40" xfId="0" applyNumberFormat="1" applyFont="1" applyFill="1" applyBorder="1" applyAlignment="1">
      <x:alignment horizontal="center" vertical="center" wrapText="1"/>
    </x:xf>
    <x:xf numFmtId="0" fontId="10" fillId="56" borderId="43" xfId="0" applyNumberFormat="1" applyFont="1" applyFill="1" applyBorder="1" applyAlignment="1">
      <x:alignment horizontal="center" vertical="center" wrapText="1"/>
    </x:xf>
    <x:xf numFmtId="0" fontId="10" fillId="56" xfId="0" applyNumberFormat="1" applyFont="1" applyFill="1" applyBorder="0" applyAlignment="1">
      <x:alignment horizontal="center" vertical="center" wrapText="1"/>
    </x:xf>
    <x:xf numFmtId="0" fontId="10" fillId="56" borderId="44" xfId="0" applyNumberFormat="1" applyFont="1" applyFill="1" applyBorder="1" applyAlignment="1">
      <x:alignment horizontal="center" vertical="center" wrapText="1"/>
    </x:xf>
    <x:xf numFmtId="0" fontId="10" fillId="56" borderId="50" xfId="0" applyNumberFormat="1" applyFont="1" applyFill="1" applyBorder="1" applyAlignment="1">
      <x:alignment horizontal="center" vertical="center" wrapText="1"/>
    </x:xf>
    <x:xf numFmtId="0" fontId="11" fillId="56" borderId="32" xfId="0" applyNumberFormat="1" applyFont="1" applyFill="1" applyBorder="1" applyAlignment="1">
      <x:alignment horizontal="center" vertical="top" wrapText="1"/>
    </x:xf>
    <x:xf numFmtId="0" fontId="11" fillId="56" borderId="33" xfId="0" applyNumberFormat="1" applyFont="1" applyFill="1" applyBorder="1" applyAlignment="1">
      <x:alignment horizontal="center" vertical="top" wrapText="1"/>
    </x:xf>
    <x:xf numFmtId="0" fontId="11" fillId="56" borderId="34" xfId="0" applyNumberFormat="1" applyFont="1" applyFill="1" applyBorder="1" applyAlignment="1">
      <x:alignment horizontal="center"/>
    </x:xf>
    <x:xf numFmtId="0" fontId="10" fillId="56" borderId="38" xfId="0" applyNumberFormat="1" applyFont="1" applyFill="1" applyBorder="1" applyAlignment="1">
      <x:alignment horizontal="center" vertical="center" wrapText="1"/>
    </x:xf>
    <x:xf numFmtId="0" fontId="10" fillId="56" borderId="45" xfId="0" applyNumberFormat="1" applyFont="1" applyFill="1" applyBorder="1" applyAlignment="1">
      <x:alignment horizontal="center" vertical="center" wrapText="1"/>
    </x:xf>
    <x:xf numFmtId="0" fontId="10" fillId="56" borderId="40" xfId="0" applyNumberFormat="1" applyFont="1" applyFill="1" applyBorder="1" applyAlignment="1">
      <x:alignment horizontal="center" vertical="center" wrapText="1"/>
    </x:xf>
    <x:xf numFmtId="0" fontId="10" fillId="56" borderId="52" xfId="0" applyNumberFormat="1" applyFont="1" applyFill="1" applyBorder="1" applyAlignment="1">
      <x:alignment horizontal="center" vertical="center" wrapText="1"/>
    </x:xf>
    <x:xf numFmtId="0" fontId="0" fillId="56" borderId="4" xfId="0" applyNumberFormat="1" applyFont="1" applyFill="1" applyBorder="1" applyAlignment="1">
      <x:alignment vertical="top" wrapText="1"/>
    </x:xf>
    <x:xf numFmtId="0" fontId="0" fillId="56" borderId="5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31" fillId="56" borderId="32" xfId="0" applyNumberFormat="1" applyFont="1" applyFill="1" applyBorder="1" applyAlignment="1">
      <x:alignment horizontal="center" vertical="center" wrapText="1"/>
    </x:xf>
    <x:xf numFmtId="0" fontId="31" fillId="56" borderId="33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 wrapText="1"/>
    </x:xf>
    <x:xf numFmtId="0" fontId="31" fillId="56" borderId="46" xfId="0" applyNumberFormat="1" applyFont="1" applyFill="1" applyBorder="1" applyAlignment="1">
      <x:alignment horizontal="center" vertical="center" wrapText="1"/>
    </x:xf>
    <x:xf numFmtId="203" fontId="31" fillId="56" borderId="35" xfId="0" applyNumberFormat="1" applyFont="1" applyFill="1" applyBorder="1" applyAlignment="1">
      <x:alignment horizontal="center" vertical="center" wrapText="1"/>
    </x:xf>
    <x:xf numFmtId="203" fontId="31" fillId="56" borderId="36" xfId="0" applyNumberFormat="1" applyFont="1" applyFill="1" applyBorder="1" applyAlignment="1">
      <x:alignment horizontal="center" vertical="center" wrapText="1"/>
    </x:xf>
    <x:xf numFmtId="203" fontId="31" fillId="56" borderId="37" xfId="0" applyNumberFormat="1" applyFont="1" applyFill="1" applyBorder="1" applyAlignment="1">
      <x:alignment horizontal="center" vertical="center" wrapText="1"/>
    </x:xf>
    <x:xf numFmtId="0" fontId="31" fillId="56" borderId="35" xfId="0" applyNumberFormat="1" applyFont="1" applyFill="1" applyBorder="1" applyAlignment="1">
      <x:alignment horizontal="center" vertical="center" wrapText="1"/>
    </x:xf>
    <x:xf numFmtId="0" fontId="31" fillId="56" borderId="42" xfId="0" applyNumberFormat="1" applyFont="1" applyFill="1" applyBorder="1" applyAlignment="1">
      <x:alignment horizontal="center" vertical="center" wrapText="1"/>
    </x:xf>
    <x:xf numFmtId="0" fontId="31" fillId="56" borderId="37" xfId="0" applyNumberFormat="1" applyFont="1" applyFill="1" applyBorder="1" applyAlignment="1">
      <x:alignment horizontal="center" vertical="center" wrapText="1"/>
    </x:xf>
    <x:xf numFmtId="0" fontId="31" fillId="56" borderId="48" xfId="0" applyNumberFormat="1" applyFont="1" applyFill="1" applyBorder="1" applyAlignment="1">
      <x:alignment horizontal="center" vertical="center" wrapText="1"/>
    </x:xf>
    <x:xf numFmtId="203" fontId="31" fillId="56" borderId="38" xfId="0" applyNumberFormat="1" applyFont="1" applyFill="1" applyBorder="1" applyAlignment="1">
      <x:alignment horizontal="center" vertical="center" wrapText="1"/>
    </x:xf>
    <x:xf numFmtId="203" fontId="31" fillId="56" borderId="39" xfId="0" applyNumberFormat="1" applyFont="1" applyFill="1" applyBorder="1" applyAlignment="1">
      <x:alignment horizontal="center" vertical="center" wrapText="1"/>
    </x:xf>
    <x:xf numFmtId="203" fontId="31" fillId="56" borderId="40" xfId="0" applyNumberFormat="1" applyFont="1" applyFill="1" applyBorder="1" applyAlignment="1">
      <x:alignment horizontal="center" vertical="center" wrapText="1"/>
    </x:xf>
    <x:xf numFmtId="0" fontId="31" fillId="56" borderId="43" xfId="0" applyNumberFormat="1" applyFont="1" applyFill="1" applyBorder="1" applyAlignment="1">
      <x:alignment horizontal="center" vertical="center" wrapText="1"/>
    </x:xf>
    <x:xf numFmtId="0" fontId="31" fillId="56" xfId="0" applyNumberFormat="1" applyFont="1" applyFill="1" applyBorder="0" applyAlignment="1">
      <x:alignment horizontal="center" vertical="center" wrapText="1"/>
    </x:xf>
    <x:xf numFmtId="0" fontId="31" fillId="56" borderId="44" xfId="0" applyNumberFormat="1" applyFont="1" applyFill="1" applyBorder="1" applyAlignment="1">
      <x:alignment horizontal="center" vertical="center" wrapText="1"/>
    </x:xf>
    <x:xf numFmtId="0" fontId="31" fillId="56" borderId="50" xfId="0" applyNumberFormat="1" applyFont="1" applyFill="1" applyBorder="1" applyAlignment="1">
      <x:alignment horizontal="center" vertical="center" wrapText="1"/>
    </x:xf>
    <x:xf numFmtId="0" fontId="33" fillId="56" borderId="32" xfId="0" applyNumberFormat="1" applyFont="1" applyFill="1" applyBorder="1" applyAlignment="1">
      <x:alignment horizontal="center" vertical="top" wrapText="1"/>
    </x:xf>
    <x:xf numFmtId="0" fontId="33" fillId="56" borderId="33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/>
    </x:xf>
    <x:xf numFmtId="0" fontId="31" fillId="56" borderId="38" xfId="0" applyNumberFormat="1" applyFont="1" applyFill="1" applyBorder="1" applyAlignment="1">
      <x:alignment horizontal="center" vertical="center" wrapText="1"/>
    </x:xf>
    <x:xf numFmtId="0" fontId="31" fillId="56" borderId="45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horizontal="center" vertical="center" wrapText="1"/>
    </x:xf>
    <x:xf numFmtId="0" fontId="31" fillId="56" borderId="52" xfId="0" applyNumberFormat="1" applyFont="1" applyFill="1" applyBorder="1" applyAlignment="1">
      <x:alignment horizontal="center" vertical="center" wrapText="1"/>
    </x:xf>
    <x:xf numFmtId="0" fontId="33" fillId="56" borderId="4" xfId="0" applyNumberFormat="1" applyFont="1" applyFill="1" applyBorder="1" applyAlignment="1">
      <x:alignment vertical="top" wrapText="1"/>
    </x:xf>
    <x:xf numFmtId="0" fontId="33" fillId="56" borderId="5" xfId="0" applyNumberFormat="1" applyFont="1" applyFill="1" applyBorder="1" applyAlignment="1">
      <x:alignment vertical="top" wrapText="1"/>
    </x:xf>
    <x:xf numFmtId="0" fontId="33" fillId="56" borderId="0" xfId="0" applyNumberFormat="1" applyFont="1" applyFill="1" applyBorder="1"/>
    <x:xf numFmtId="0" fontId="33" fillId="56" xfId="0" applyNumberFormat="1" applyFont="1" applyFill="1" applyBorder="0" applyAlignment="1">
      <x:alignment vertical="top" wrapText="1"/>
    </x:xf>
    <x:xf numFmtId="0" fontId="33" fillId="56" borderId="34" xfId="0" applyNumberFormat="1" applyFont="1" applyFill="1" applyBorder="1" applyAlignment="1">
      <x:alignment horizontal="center" wrapText="1"/>
    </x:xf>
    <x:xf numFmtId="0" fontId="33" fillId="56" borderId="0" xfId="0" applyNumberFormat="1" applyFont="1" applyFill="1" applyBorder="1" applyAlignment="1">
      <x:alignment wrapText="1"/>
    </x:xf>
    <x:xf numFmtId="0" fontId="31" fillId="56" borderId="32" xfId="0" applyNumberFormat="1" applyFont="1" applyFill="1" applyBorder="1" applyAlignment="1">
      <x:alignment horizontal="center" vertical="top" wrapText="1"/>
    </x:xf>
    <x:xf numFmtId="0" fontId="31" fillId="56" borderId="33" xfId="0" applyNumberFormat="1" applyFont="1" applyFill="1" applyBorder="1" applyAlignment="1">
      <x:alignment horizontal="center" vertical="top" wrapText="1"/>
    </x:xf>
    <x:xf numFmtId="0" fontId="31" fillId="56" borderId="34" xfId="0" applyNumberFormat="1" applyFont="1" applyFill="1" applyBorder="1" applyAlignment="1">
      <x:alignment horizontal="center" vertical="top" wrapText="1"/>
    </x:xf>
    <x:xf numFmtId="0" fontId="31" fillId="56" borderId="41" xfId="0" applyNumberFormat="1" applyFont="1" applyFill="1" applyBorder="1" applyAlignment="1">
      <x:alignment horizontal="center" vertical="top" wrapText="1"/>
    </x:xf>
    <x:xf numFmtId="0" fontId="31" fillId="56" borderId="46" xfId="0" applyNumberFormat="1" applyFont="1" applyFill="1" applyBorder="1" applyAlignment="1">
      <x:alignment horizontal="center" vertical="top" wrapText="1"/>
    </x:xf>
    <x:xf numFmtId="203" fontId="31" fillId="56" borderId="35" xfId="0" applyNumberFormat="1" applyFont="1" applyFill="1" applyBorder="1" applyAlignment="1">
      <x:alignment horizontal="center" vertical="top" wrapText="1"/>
    </x:xf>
    <x:xf numFmtId="203" fontId="31" fillId="56" borderId="36" xfId="0" applyNumberFormat="1" applyFont="1" applyFill="1" applyBorder="1" applyAlignment="1">
      <x:alignment horizontal="center" vertical="top" wrapText="1"/>
    </x:xf>
    <x:xf numFmtId="203" fontId="31" fillId="56" borderId="37" xfId="0" applyNumberFormat="1" applyFont="1" applyFill="1" applyBorder="1" applyAlignment="1">
      <x:alignment horizontal="center" vertical="top" wrapText="1"/>
    </x:xf>
    <x:xf numFmtId="0" fontId="31" fillId="56" borderId="35" xfId="0" applyNumberFormat="1" applyFont="1" applyFill="1" applyBorder="1" applyAlignment="1">
      <x:alignment horizontal="center" vertical="top" wrapText="1"/>
    </x:xf>
    <x:xf numFmtId="0" fontId="31" fillId="56" borderId="42" xfId="0" applyNumberFormat="1" applyFont="1" applyFill="1" applyBorder="1" applyAlignment="1">
      <x:alignment horizontal="center" vertical="top" wrapText="1"/>
    </x:xf>
    <x:xf numFmtId="0" fontId="31" fillId="56" borderId="37" xfId="0" applyNumberFormat="1" applyFont="1" applyFill="1" applyBorder="1" applyAlignment="1">
      <x:alignment horizontal="center" vertical="top" wrapText="1"/>
    </x:xf>
    <x:xf numFmtId="0" fontId="31" fillId="56" borderId="48" xfId="0" applyNumberFormat="1" applyFont="1" applyFill="1" applyBorder="1" applyAlignment="1">
      <x:alignment horizontal="center" vertical="top" wrapText="1"/>
    </x:xf>
    <x:xf numFmtId="203" fontId="31" fillId="56" borderId="38" xfId="0" applyNumberFormat="1" applyFont="1" applyFill="1" applyBorder="1" applyAlignment="1">
      <x:alignment horizontal="center" vertical="top" wrapText="1"/>
    </x:xf>
    <x:xf numFmtId="203" fontId="31" fillId="56" borderId="39" xfId="0" applyNumberFormat="1" applyFont="1" applyFill="1" applyBorder="1" applyAlignment="1">
      <x:alignment horizontal="center" vertical="top" wrapText="1"/>
    </x:xf>
    <x:xf numFmtId="203" fontId="31" fillId="56" borderId="40" xfId="0" applyNumberFormat="1" applyFont="1" applyFill="1" applyBorder="1" applyAlignment="1">
      <x:alignment horizontal="center" vertical="top" wrapText="1"/>
    </x:xf>
    <x:xf numFmtId="0" fontId="31" fillId="56" borderId="43" xfId="0" applyNumberFormat="1" applyFont="1" applyFill="1" applyBorder="1" applyAlignment="1">
      <x:alignment horizontal="center" vertical="top" wrapText="1"/>
    </x:xf>
    <x:xf numFmtId="0" fontId="31" fillId="56" xfId="0" applyNumberFormat="1" applyFont="1" applyFill="1" applyBorder="0" applyAlignment="1">
      <x:alignment horizontal="center" vertical="top" wrapText="1"/>
    </x:xf>
    <x:xf numFmtId="0" fontId="31" fillId="56" borderId="44" xfId="0" applyNumberFormat="1" applyFont="1" applyFill="1" applyBorder="1" applyAlignment="1">
      <x:alignment horizontal="center" vertical="top" wrapText="1"/>
    </x:xf>
    <x:xf numFmtId="0" fontId="31" fillId="56" borderId="50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 vertical="top" wrapText="1"/>
    </x:xf>
    <x:xf numFmtId="0" fontId="31" fillId="56" borderId="38" xfId="0" applyNumberFormat="1" applyFont="1" applyFill="1" applyBorder="1" applyAlignment="1">
      <x:alignment horizontal="center" vertical="top" wrapText="1"/>
    </x:xf>
    <x:xf numFmtId="0" fontId="31" fillId="56" borderId="45" xfId="0" applyNumberFormat="1" applyFont="1" applyFill="1" applyBorder="1" applyAlignment="1">
      <x:alignment horizontal="center" vertical="top" wrapText="1"/>
    </x:xf>
    <x:xf numFmtId="0" fontId="31" fillId="56" borderId="40" xfId="0" applyNumberFormat="1" applyFont="1" applyFill="1" applyBorder="1" applyAlignment="1">
      <x:alignment horizontal="center" vertical="top" wrapText="1"/>
    </x:xf>
    <x:xf numFmtId="0" fontId="31" fillId="56" borderId="52" xfId="0" applyNumberFormat="1" applyFont="1" applyFill="1" applyBorder="1" applyAlignment="1">
      <x:alignment horizontal="center" vertical="top" wrapText="1"/>
    </x:xf>
    <x:xf numFmtId="0" fontId="33" fillId="56" borderId="0" xfId="0" applyNumberFormat="1" applyFont="1" applyFill="1" applyBorder="1" applyAlignment="1">
      <x:alignment vertical="top" wrapText="1"/>
    </x:xf>
    <x:xf numFmtId="0" fontId="9" fillId="59" borderId="47" xfId="0" applyNumberFormat="1" applyFont="1" applyFill="1" applyBorder="1" applyAlignment="1">
      <x:alignment horizontal="center" vertical="center"/>
    </x:xf>
    <x:xf numFmtId="0" fontId="9" fillId="59" borderId="32" xfId="0" applyNumberFormat="1" applyFont="1" applyFill="1" applyBorder="1" applyAlignment="1">
      <x:alignment horizontal="center" vertical="center"/>
    </x:xf>
    <x:xf numFmtId="0" fontId="9" fillId="59" borderId="41" xfId="0" applyNumberFormat="1" applyFont="1" applyFill="1" applyBorder="1" applyAlignment="1">
      <x:alignment horizontal="center" vertical="center"/>
    </x:xf>
    <x:xf numFmtId="0" fontId="9" fillId="59" borderId="34" xfId="0" applyNumberFormat="1" applyFont="1" applyFill="1" applyBorder="1" applyAlignment="1">
      <x:alignment horizontal="center" vertical="center"/>
    </x:xf>
    <x:xf numFmtId="0" fontId="9" fillId="59" borderId="33" xfId="0" applyNumberFormat="1" applyFont="1" applyFill="1" applyBorder="1" applyAlignment="1">
      <x:alignment horizontal="center" vertical="center"/>
    </x:xf>
    <x:xf numFmtId="0" fontId="10" fillId="59" borderId="49" xfId="0" applyNumberFormat="1" applyFont="1" applyFill="1" applyBorder="1" applyAlignment="1">
      <x:alignment horizontal="center" vertical="center" wrapText="1"/>
    </x:xf>
    <x:xf numFmtId="0" fontId="10" fillId="59" borderId="35" xfId="0" applyNumberFormat="1" applyFont="1" applyFill="1" applyBorder="1" applyAlignment="1">
      <x:alignment horizontal="center" vertical="center" wrapText="1"/>
    </x:xf>
    <x:xf numFmtId="0" fontId="10" fillId="59" borderId="42" xfId="0" applyNumberFormat="1" applyFont="1" applyFill="1" applyBorder="1" applyAlignment="1">
      <x:alignment horizontal="center" vertical="center" wrapText="1"/>
    </x:xf>
    <x:xf numFmtId="0" fontId="10" fillId="59" borderId="37" xfId="0" applyNumberFormat="1" applyFont="1" applyFill="1" applyBorder="1" applyAlignment="1">
      <x:alignment horizontal="center" vertical="center" wrapText="1"/>
    </x:xf>
    <x:xf numFmtId="0" fontId="10" fillId="59" borderId="36" xfId="0" applyNumberFormat="1" applyFont="1" applyFill="1" applyBorder="1" applyAlignment="1">
      <x:alignment horizontal="center" vertical="center" wrapText="1"/>
    </x:xf>
    <x:xf numFmtId="0" fontId="10" fillId="59" borderId="51" xfId="0" applyNumberFormat="1" applyFont="1" applyFill="1" applyBorder="1" applyAlignment="1">
      <x:alignment horizontal="center" vertical="center" wrapText="1"/>
    </x:xf>
    <x:xf numFmtId="0" fontId="10" fillId="59" borderId="43" xfId="0" applyNumberFormat="1" applyFont="1" applyFill="1" applyBorder="1" applyAlignment="1">
      <x:alignment horizontal="center" vertical="center" wrapText="1"/>
    </x:xf>
    <x:xf numFmtId="0" fontId="10" fillId="59" xfId="0" applyNumberFormat="1" applyFont="1" applyFill="1" applyBorder="0" applyAlignment="1">
      <x:alignment horizontal="center" vertical="center" wrapText="1"/>
    </x:xf>
    <x:xf numFmtId="0" fontId="10" fillId="59" borderId="44" xfId="0" applyNumberFormat="1" applyFont="1" applyFill="1" applyBorder="1" applyAlignment="1">
      <x:alignment horizontal="center" vertical="center" wrapText="1"/>
    </x:xf>
    <x:xf numFmtId="0" fontId="10" fillId="59" borderId="5" xfId="0" applyNumberFormat="1" applyFont="1" applyFill="1" applyBorder="1" applyAlignment="1">
      <x:alignment horizontal="center" vertical="center" wrapText="1"/>
    </x:xf>
    <x:xf numFmtId="0" fontId="10" fillId="59" borderId="53" xfId="0" applyNumberFormat="1" applyFont="1" applyFill="1" applyBorder="1" applyAlignment="1">
      <x:alignment horizontal="center" vertical="center" wrapText="1"/>
    </x:xf>
    <x:xf numFmtId="0" fontId="10" fillId="59" borderId="38" xfId="0" applyNumberFormat="1" applyFont="1" applyFill="1" applyBorder="1" applyAlignment="1">
      <x:alignment horizontal="center" vertical="center" wrapText="1"/>
    </x:xf>
    <x:xf numFmtId="0" fontId="10" fillId="59" borderId="45" xfId="0" applyNumberFormat="1" applyFont="1" applyFill="1" applyBorder="1" applyAlignment="1">
      <x:alignment horizontal="center" vertical="center" wrapText="1"/>
    </x:xf>
    <x:xf numFmtId="0" fontId="10" fillId="59" borderId="40" xfId="0" applyNumberFormat="1" applyFont="1" applyFill="1" applyBorder="1" applyAlignment="1">
      <x:alignment horizontal="center" vertical="center" wrapText="1"/>
    </x:xf>
    <x:xf numFmtId="0" fontId="10" fillId="59" borderId="39" xfId="0" applyNumberFormat="1" applyFont="1" applyFill="1" applyBorder="1" applyAlignment="1">
      <x:alignment horizontal="center" vertical="center" wrapText="1"/>
    </x:xf>
    <x:xf numFmtId="0" fontId="0" fillId="59" borderId="4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/>
    </x:xf>
    <x:xf numFmtId="0" fontId="34" fillId="59" borderId="32" xfId="0" applyNumberFormat="1" applyFont="1" applyFill="1" applyBorder="1" applyAlignment="1">
      <x:alignment horizontal="center" vertical="center"/>
    </x:xf>
    <x:xf numFmtId="0" fontId="34" fillId="59" borderId="41" xfId="0" applyNumberFormat="1" applyFont="1" applyFill="1" applyBorder="1" applyAlignment="1">
      <x:alignment horizontal="center" vertical="center"/>
    </x:xf>
    <x:xf numFmtId="0" fontId="34" fillId="59" borderId="34" xfId="0" applyNumberFormat="1" applyFont="1" applyFill="1" applyBorder="1" applyAlignment="1">
      <x:alignment horizontal="center" vertical="center"/>
    </x:xf>
    <x:xf numFmtId="0" fontId="34" fillId="59" borderId="33" xfId="0" applyNumberFormat="1" applyFont="1" applyFill="1" applyBorder="1" applyAlignment="1">
      <x:alignment horizontal="center" vertical="center"/>
    </x:xf>
    <x:xf numFmtId="0" fontId="34" fillId="59" borderId="49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horizontal="center" vertical="center" wrapText="1"/>
    </x:xf>
    <x:xf numFmtId="0" fontId="34" fillId="59" borderId="42" xfId="0" applyNumberFormat="1" applyFont="1" applyFill="1" applyBorder="1" applyAlignment="1">
      <x:alignment horizontal="center" vertical="center" wrapText="1"/>
    </x:xf>
    <x:xf numFmtId="0" fontId="34" fillId="59" borderId="37" xfId="0" applyNumberFormat="1" applyFont="1" applyFill="1" applyBorder="1" applyAlignment="1">
      <x:alignment horizontal="center" vertical="center" wrapText="1"/>
    </x:xf>
    <x:xf numFmtId="0" fontId="34" fillId="59" borderId="36" xfId="0" applyNumberFormat="1" applyFont="1" applyFill="1" applyBorder="1" applyAlignment="1">
      <x:alignment horizontal="center" vertical="center" wrapText="1"/>
    </x:xf>
    <x:xf numFmtId="0" fontId="34" fillId="59" borderId="51" xfId="0" applyNumberFormat="1" applyFont="1" applyFill="1" applyBorder="1" applyAlignment="1">
      <x:alignment horizontal="center" vertical="center" wrapText="1"/>
    </x:xf>
    <x:xf numFmtId="0" fontId="34" fillId="59" borderId="43" xfId="0" applyNumberFormat="1" applyFont="1" applyFill="1" applyBorder="1" applyAlignment="1">
      <x:alignment horizontal="center" vertical="center" wrapText="1"/>
    </x:xf>
    <x:xf numFmtId="0" fontId="34" fillId="59" xfId="0" applyNumberFormat="1" applyFont="1" applyFill="1" applyBorder="0" applyAlignment="1">
      <x:alignment horizontal="center" vertical="center" wrapText="1"/>
    </x:xf>
    <x:xf numFmtId="0" fontId="34" fillId="59" borderId="44" xfId="0" applyNumberFormat="1" applyFont="1" applyFill="1" applyBorder="1" applyAlignment="1">
      <x:alignment horizontal="center" vertical="center" wrapText="1"/>
    </x:xf>
    <x:xf numFmtId="0" fontId="34" fillId="59" borderId="5" xfId="0" applyNumberFormat="1" applyFont="1" applyFill="1" applyBorder="1" applyAlignment="1">
      <x:alignment horizontal="center" vertical="center" wrapText="1"/>
    </x:xf>
    <x:xf numFmtId="0" fontId="34" fillId="59" borderId="53" xfId="0" applyNumberFormat="1" applyFont="1" applyFill="1" applyBorder="1" applyAlignment="1">
      <x:alignment horizontal="center" vertical="center" wrapText="1"/>
    </x:xf>
    <x:xf numFmtId="0" fontId="34" fillId="59" borderId="38" xfId="0" applyNumberFormat="1" applyFont="1" applyFill="1" applyBorder="1" applyAlignment="1">
      <x:alignment horizontal="center" vertical="center" wrapText="1"/>
    </x:xf>
    <x:xf numFmtId="0" fontId="34" fillId="59" borderId="45" xfId="0" applyNumberFormat="1" applyFont="1" applyFill="1" applyBorder="1" applyAlignment="1">
      <x:alignment horizontal="center" vertical="center" wrapText="1"/>
    </x:xf>
    <x:xf numFmtId="0" fontId="34" fillId="59" borderId="40" xfId="0" applyNumberFormat="1" applyFont="1" applyFill="1" applyBorder="1" applyAlignment="1">
      <x:alignment horizontal="center" vertical="center" wrapText="1"/>
    </x:xf>
    <x:xf numFmtId="0" fontId="34" fillId="59" borderId="39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 applyAlignment="1">
      <x:alignment horizontal="center"/>
    </x:xf>
    <x:xf numFmtId="0" fontId="35" fillId="59" borderId="5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 wrapText="1"/>
    </x:xf>
    <x:xf numFmtId="0" fontId="34" fillId="59" borderId="32" xfId="0" applyNumberFormat="1" applyFont="1" applyFill="1" applyBorder="1" applyAlignment="1">
      <x:alignment horizontal="center" vertical="center" wrapText="1"/>
    </x:xf>
    <x:xf numFmtId="0" fontId="34" fillId="59" borderId="41" xfId="0" applyNumberFormat="1" applyFont="1" applyFill="1" applyBorder="1" applyAlignment="1">
      <x:alignment horizontal="center" vertical="center" wrapText="1"/>
    </x:xf>
    <x:xf numFmtId="0" fontId="34" fillId="59" borderId="34" xfId="0" applyNumberFormat="1" applyFont="1" applyFill="1" applyBorder="1" applyAlignment="1">
      <x:alignment horizontal="center" vertical="center" wrapText="1"/>
    </x:xf>
    <x:xf numFmtId="0" fontId="34" fillId="59" borderId="33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horizontal="center" wrapText="1"/>
    </x:xf>
    <x:xf numFmtId="0" fontId="35" fillId="59" borderId="5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wrapText="1"/>
    </x:xf>
    <x:xf numFmtId="0" fontId="34" fillId="59" borderId="47" xfId="0" applyNumberFormat="1" applyFont="1" applyFill="1" applyBorder="1" applyAlignment="1">
      <x:alignment horizontal="center" vertical="top" wrapText="1"/>
    </x:xf>
    <x:xf numFmtId="0" fontId="34" fillId="59" borderId="32" xfId="0" applyNumberFormat="1" applyFont="1" applyFill="1" applyBorder="1" applyAlignment="1">
      <x:alignment horizontal="center" vertical="top" wrapText="1"/>
    </x:xf>
    <x:xf numFmtId="0" fontId="34" fillId="59" borderId="41" xfId="0" applyNumberFormat="1" applyFont="1" applyFill="1" applyBorder="1" applyAlignment="1">
      <x:alignment horizontal="center" vertical="top" wrapText="1"/>
    </x:xf>
    <x:xf numFmtId="0" fontId="34" fillId="59" borderId="34" xfId="0" applyNumberFormat="1" applyFont="1" applyFill="1" applyBorder="1" applyAlignment="1">
      <x:alignment horizontal="center" vertical="top" wrapText="1"/>
    </x:xf>
    <x:xf numFmtId="0" fontId="34" fillId="59" borderId="33" xfId="0" applyNumberFormat="1" applyFont="1" applyFill="1" applyBorder="1" applyAlignment="1">
      <x:alignment horizontal="center" vertical="top" wrapText="1"/>
    </x:xf>
    <x:xf numFmtId="0" fontId="34" fillId="59" borderId="49" xfId="0" applyNumberFormat="1" applyFont="1" applyFill="1" applyBorder="1" applyAlignment="1">
      <x:alignment horizontal="center" vertical="top" wrapText="1"/>
    </x:xf>
    <x:xf numFmtId="0" fontId="34" fillId="59" borderId="35" xfId="0" applyNumberFormat="1" applyFont="1" applyFill="1" applyBorder="1" applyAlignment="1">
      <x:alignment horizontal="center" vertical="top" wrapText="1"/>
    </x:xf>
    <x:xf numFmtId="0" fontId="34" fillId="59" borderId="42" xfId="0" applyNumberFormat="1" applyFont="1" applyFill="1" applyBorder="1" applyAlignment="1">
      <x:alignment horizontal="center" vertical="top" wrapText="1"/>
    </x:xf>
    <x:xf numFmtId="0" fontId="34" fillId="59" borderId="37" xfId="0" applyNumberFormat="1" applyFont="1" applyFill="1" applyBorder="1" applyAlignment="1">
      <x:alignment horizontal="center" vertical="top" wrapText="1"/>
    </x:xf>
    <x:xf numFmtId="0" fontId="34" fillId="59" borderId="36" xfId="0" applyNumberFormat="1" applyFont="1" applyFill="1" applyBorder="1" applyAlignment="1">
      <x:alignment horizontal="center" vertical="top" wrapText="1"/>
    </x:xf>
    <x:xf numFmtId="0" fontId="34" fillId="59" borderId="51" xfId="0" applyNumberFormat="1" applyFont="1" applyFill="1" applyBorder="1" applyAlignment="1">
      <x:alignment horizontal="center" vertical="top" wrapText="1"/>
    </x:xf>
    <x:xf numFmtId="0" fontId="34" fillId="59" borderId="43" xfId="0" applyNumberFormat="1" applyFont="1" applyFill="1" applyBorder="1" applyAlignment="1">
      <x:alignment horizontal="center" vertical="top" wrapText="1"/>
    </x:xf>
    <x:xf numFmtId="0" fontId="34" fillId="59" xfId="0" applyNumberFormat="1" applyFont="1" applyFill="1" applyBorder="0" applyAlignment="1">
      <x:alignment horizontal="center" vertical="top" wrapText="1"/>
    </x:xf>
    <x:xf numFmtId="0" fontId="34" fillId="59" borderId="44" xfId="0" applyNumberFormat="1" applyFont="1" applyFill="1" applyBorder="1" applyAlignment="1">
      <x:alignment horizontal="center" vertical="top" wrapText="1"/>
    </x:xf>
    <x:xf numFmtId="0" fontId="34" fillId="59" borderId="5" xfId="0" applyNumberFormat="1" applyFont="1" applyFill="1" applyBorder="1" applyAlignment="1">
      <x:alignment horizontal="center" vertical="top" wrapText="1"/>
    </x:xf>
    <x:xf numFmtId="0" fontId="34" fillId="59" borderId="53" xfId="0" applyNumberFormat="1" applyFont="1" applyFill="1" applyBorder="1" applyAlignment="1">
      <x:alignment horizontal="center" vertical="top" wrapText="1"/>
    </x:xf>
    <x:xf numFmtId="0" fontId="34" fillId="59" borderId="38" xfId="0" applyNumberFormat="1" applyFont="1" applyFill="1" applyBorder="1" applyAlignment="1">
      <x:alignment horizontal="center" vertical="top" wrapText="1"/>
    </x:xf>
    <x:xf numFmtId="0" fontId="34" fillId="59" borderId="45" xfId="0" applyNumberFormat="1" applyFont="1" applyFill="1" applyBorder="1" applyAlignment="1">
      <x:alignment horizontal="center" vertical="top" wrapText="1"/>
    </x:xf>
    <x:xf numFmtId="0" fontId="34" fillId="59" borderId="40" xfId="0" applyNumberFormat="1" applyFont="1" applyFill="1" applyBorder="1" applyAlignment="1">
      <x:alignment horizontal="center" vertical="top" wrapText="1"/>
    </x:xf>
    <x:xf numFmtId="0" fontId="34" fillId="59" borderId="39" xfId="0" applyNumberFormat="1" applyFont="1" applyFill="1" applyBorder="1" applyAlignment="1">
      <x:alignment horizontal="center" vertical="top" wrapText="1"/>
    </x:xf>
    <x:xf numFmtId="0" fontId="35" fillId="59" borderId="4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horizontal="center" vertical="top" wrapText="1"/>
    </x:xf>
    <x:xf numFmtId="0" fontId="35" fillId="59" borderId="5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vertical="top" wrapText="1"/>
    </x:xf>
    <x:xf numFmtId="0" fontId="9" fillId="55" borderId="32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 wrapText="1"/>
    </x:xf>
    <x:xf numFmtId="0" fontId="9" fillId="55" borderId="32" xfId="0" applyNumberFormat="1" applyFont="1" applyFill="1" applyBorder="1" applyAlignment="1">
      <x:alignment horizontal="center" vertical="center"/>
    </x:xf>
    <x:xf numFmtId="0" fontId="9" fillId="55" borderId="47" xfId="0" applyNumberFormat="1" applyFont="1" applyFill="1" applyBorder="1" applyAlignment="1">
      <x:alignment horizontal="center" vertical="center" wrapText="1"/>
    </x:xf>
    <x:xf numFmtId="0" fontId="9" fillId="55" borderId="46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/>
    </x:xf>
    <x:xf numFmtId="0" fontId="9" fillId="55" borderId="33" xfId="0" applyNumberFormat="1" applyFont="1" applyFill="1" applyBorder="1" applyAlignment="1">
      <x:alignment horizontal="center" vertical="center"/>
    </x:xf>
    <x:xf numFmtId="0" fontId="36" fillId="55" borderId="32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 wrapText="1"/>
    </x:xf>
    <x:xf numFmtId="0" fontId="36" fillId="55" borderId="32" xfId="0" applyNumberFormat="1" applyFont="1" applyFill="1" applyBorder="1" applyAlignment="1">
      <x:alignment horizontal="center" vertical="center"/>
    </x:xf>
    <x:xf numFmtId="0" fontId="36" fillId="55" borderId="47" xfId="0" applyNumberFormat="1" applyFont="1" applyFill="1" applyBorder="1" applyAlignment="1">
      <x:alignment horizontal="center" vertical="center" wrapText="1"/>
    </x:xf>
    <x:xf numFmtId="0" fontId="36" fillId="55" borderId="46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/>
    </x:xf>
    <x:xf numFmtId="0" fontId="36" fillId="55" borderId="33" xfId="0" applyNumberFormat="1" applyFont="1" applyFill="1" applyBorder="1" applyAlignment="1">
      <x:alignment horizontal="center" vertical="center"/>
    </x:xf>
    <x:xf numFmtId="0" fontId="10" fillId="60" borderId="32" xfId="0" applyNumberFormat="1" applyFont="1" applyFill="1" applyBorder="1" applyAlignment="1">
      <x:alignment horizontal="center" vertical="center" wrapText="1"/>
    </x:xf>
    <x:xf numFmtId="0" fontId="10" fillId="60" borderId="34" xfId="0" applyNumberFormat="1" applyFont="1" applyFill="1" applyBorder="1" applyAlignment="1">
      <x:alignment horizontal="center" vertical="center" wrapText="1"/>
    </x:xf>
    <x:xf numFmtId="0" fontId="10" fillId="60" borderId="47" xfId="0" applyNumberFormat="1" applyFont="1" applyFill="1" applyBorder="1" applyAlignment="1">
      <x:alignment horizontal="center" vertical="center" wrapText="1"/>
    </x:xf>
    <x:xf numFmtId="0" fontId="10" fillId="60" borderId="38" xfId="0" applyNumberFormat="1" applyFont="1" applyFill="1" applyBorder="1" applyAlignment="1">
      <x:alignment horizontal="center" vertical="center" wrapText="1"/>
    </x:xf>
    <x:xf numFmtId="0" fontId="10" fillId="60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 applyAlignment="1">
      <x:alignment horizontal="left" vertical="center"/>
    </x:xf>
    <x:xf numFmtId="0" fontId="9" fillId="60" borderId="32" xfId="0" applyNumberFormat="1" applyFont="1" applyFill="1" applyBorder="1" applyAlignment="1">
      <x:alignment horizontal="center" vertical="center" wrapText="1"/>
    </x:xf>
    <x:xf numFmtId="0" fontId="9" fillId="60" borderId="41" xfId="0" applyNumberFormat="1" applyFont="1" applyFill="1" applyBorder="1" applyAlignment="1">
      <x:alignment horizontal="center" vertical="center" wrapText="1"/>
    </x:xf>
    <x:xf numFmtId="0" fontId="9" fillId="60" borderId="34" xfId="0" applyNumberFormat="1" applyFont="1" applyFill="1" applyBorder="1" applyAlignment="1">
      <x:alignment horizontal="center" vertical="center" wrapText="1"/>
    </x:xf>
    <x:xf numFmtId="0" fontId="10" fillId="60" borderId="41" xfId="0" applyNumberFormat="1" applyFont="1" applyFill="1" applyBorder="1" applyAlignment="1">
      <x:alignment horizontal="center" vertical="center" wrapText="1"/>
    </x:xf>
    <x:xf numFmtId="0" fontId="37" fillId="60" borderId="32" xfId="0" applyNumberFormat="1" applyFont="1" applyFill="1" applyBorder="1" applyAlignment="1">
      <x:alignment horizontal="center" vertical="center" wrapText="1"/>
    </x:xf>
    <x:xf numFmtId="0" fontId="37" fillId="60" borderId="34" xfId="0" applyNumberFormat="1" applyFont="1" applyFill="1" applyBorder="1" applyAlignment="1">
      <x:alignment horizontal="center" vertical="center" wrapText="1"/>
    </x:xf>
    <x:xf numFmtId="0" fontId="37" fillId="60" borderId="47" xfId="0" applyNumberFormat="1" applyFont="1" applyFill="1" applyBorder="1" applyAlignment="1">
      <x:alignment horizontal="center" vertical="center" wrapText="1"/>
    </x:xf>
    <x:xf numFmtId="0" fontId="37" fillId="60" borderId="38" xfId="0" applyNumberFormat="1" applyFont="1" applyFill="1" applyBorder="1" applyAlignment="1">
      <x:alignment horizontal="center" vertical="center" wrapText="1"/>
    </x:xf>
    <x:xf numFmtId="0" fontId="37" fillId="60" borderId="40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/>
    <x:xf numFmtId="0" fontId="37" fillId="60" borderId="0" xfId="0" applyNumberFormat="1" applyFont="1" applyFill="1" applyBorder="1" applyAlignment="1">
      <x:alignment horizontal="left" vertical="center"/>
    </x:xf>
    <x:xf numFmtId="0" fontId="37" fillId="60" borderId="41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 applyAlignment="1">
      <x:alignment wrapText="1"/>
    </x:xf>
    <x:xf numFmtId="0" fontId="37" fillId="60" borderId="0" xfId="0" applyNumberFormat="1" applyFont="1" applyFill="1" applyBorder="1" applyAlignment="1">
      <x:alignment horizontal="left" vertical="center" wrapText="1"/>
    </x:xf>
    <x:xf numFmtId="0" fontId="37" fillId="60" borderId="32" xfId="0" applyNumberFormat="1" applyFont="1" applyFill="1" applyBorder="1" applyAlignment="1">
      <x:alignment horizontal="center" vertical="top" wrapText="1"/>
    </x:xf>
    <x:xf numFmtId="0" fontId="37" fillId="60" borderId="34" xfId="0" applyNumberFormat="1" applyFont="1" applyFill="1" applyBorder="1" applyAlignment="1">
      <x:alignment horizontal="center" vertical="top" wrapText="1"/>
    </x:xf>
    <x:xf numFmtId="0" fontId="37" fillId="60" borderId="47" xfId="0" applyNumberFormat="1" applyFont="1" applyFill="1" applyBorder="1" applyAlignment="1">
      <x:alignment horizontal="center" vertical="top" wrapText="1"/>
    </x:xf>
    <x:xf numFmtId="0" fontId="37" fillId="60" borderId="38" xfId="0" applyNumberFormat="1" applyFont="1" applyFill="1" applyBorder="1" applyAlignment="1">
      <x:alignment horizontal="center" vertical="top" wrapText="1"/>
    </x:xf>
    <x:xf numFmtId="0" fontId="37" fillId="60" borderId="40" xfId="0" applyNumberFormat="1" applyFont="1" applyFill="1" applyBorder="1" applyAlignment="1">
      <x:alignment horizontal="center" vertical="top" wrapText="1"/>
    </x:xf>
    <x:xf numFmtId="0" fontId="38" fillId="60" borderId="0" xfId="0" applyNumberFormat="1" applyFont="1" applyFill="1" applyBorder="1" applyAlignment="1">
      <x:alignment vertical="top" wrapText="1"/>
    </x:xf>
    <x:xf numFmtId="0" fontId="37" fillId="60" borderId="0" xfId="0" applyNumberFormat="1" applyFont="1" applyFill="1" applyBorder="1" applyAlignment="1">
      <x:alignment horizontal="left" vertical="top" wrapText="1"/>
    </x:xf>
    <x:xf numFmtId="0" fontId="37" fillId="60" borderId="41" xfId="0" applyNumberFormat="1" applyFont="1" applyFill="1" applyBorder="1" applyAlignment="1">
      <x:alignment horizontal="center" vertical="top" wrapText="1"/>
    </x:xf>
    <x:xf numFmtId="0" fontId="10" fillId="56" borderId="34" xfId="0" applyNumberFormat="1" applyFont="1" applyFill="1" applyBorder="1" applyAlignment="1">
      <x:alignment horizontal="center" vertical="center" wrapText="1"/>
    </x:xf>
    <x:xf numFmtId="0" fontId="10" fillId="56" borderId="46" xfId="0" applyNumberFormat="1" applyFont="1" applyFill="1" applyBorder="1" applyAlignment="1">
      <x:alignment horizontal="center" vertical="center" wrapText="1"/>
    </x:xf>
    <x:xf numFmtId="0" fontId="10" fillId="56" borderId="32" xfId="0" applyNumberFormat="1" applyFont="1" applyFill="1" applyBorder="1" applyAlignment="1">
      <x:alignment horizontal="center" vertical="center" wrapText="1"/>
    </x:xf>
    <x:xf numFmtId="0" fontId="5" fillId="56" borderId="0" xfId="0" applyNumberFormat="1" applyFont="1" applyFill="1" applyBorder="1" applyAlignment="1">
      <x:alignment horizontal="left" vertical="center"/>
    </x:xf>
    <x:xf numFmtId="0" fontId="9" fillId="56" borderId="32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/>
    </x:xf>
    <x:xf numFmtId="0" fontId="10" fillId="56" borderId="41" xfId="0" applyNumberFormat="1" applyFont="1" applyFill="1" applyBorder="1" applyAlignment="1">
      <x:alignment horizontal="center" vertical="center" wrapText="1"/>
    </x:xf>
    <x:xf numFmtId="0" fontId="31" fillId="56" borderId="0" xfId="0" applyNumberFormat="1" applyFont="1" applyFill="1" applyBorder="1" applyAlignment="1">
      <x:alignment horizontal="left" vertical="center"/>
    </x:xf>
    <x:xf numFmtId="0" fontId="31" fillId="56" borderId="32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/>
    </x:xf>
    <x:xf numFmtId="0" fontId="31" fillId="56" borderId="0" xfId="0" applyNumberFormat="1" applyFont="1" applyFill="1" applyBorder="1" applyAlignment="1">
      <x:alignment horizontal="left" vertical="center" wrapText="1"/>
    </x:xf>
    <x:xf numFmtId="0" fontId="31" fillId="56" borderId="0" xfId="0" applyNumberFormat="1" applyFont="1" applyFill="1" applyBorder="1" applyAlignment="1">
      <x:alignment horizontal="left" vertical="top" wrapText="1"/>
    </x:xf>
    <x:xf numFmtId="0" fontId="10" fillId="61" borderId="32" xfId="0" applyNumberFormat="1" applyFont="1" applyFill="1" applyBorder="1" applyAlignment="1">
      <x:alignment horizontal="center" vertical="center" wrapText="1"/>
    </x:xf>
    <x:xf numFmtId="0" fontId="10" fillId="61" borderId="34" xfId="0" applyNumberFormat="1" applyFont="1" applyFill="1" applyBorder="1" applyAlignment="1">
      <x:alignment horizontal="center" vertical="center" wrapText="1"/>
    </x:xf>
    <x:xf numFmtId="0" fontId="10" fillId="61" borderId="41" xfId="0" applyNumberFormat="1" applyFont="1" applyFill="1" applyBorder="1" applyAlignment="1">
      <x:alignment horizontal="center" vertical="center" wrapText="1"/>
    </x:xf>
    <x:xf numFmtId="0" fontId="10" fillId="61" borderId="38" xfId="0" applyNumberFormat="1" applyFont="1" applyFill="1" applyBorder="1" applyAlignment="1">
      <x:alignment horizontal="center" vertical="center" wrapText="1"/>
    </x:xf>
    <x:xf numFmtId="0" fontId="10" fillId="61" borderId="40" xfId="0" applyNumberFormat="1" applyFont="1" applyFill="1" applyBorder="1" applyAlignment="1">
      <x:alignment horizontal="center" vertical="center" wrapText="1"/>
    </x:xf>
    <x:xf numFmtId="0" fontId="10" fillId="61" borderId="45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left" vertical="center"/>
    </x:xf>
    <x:xf numFmtId="0" fontId="9" fillId="61" borderId="41" xfId="0" applyNumberFormat="1" applyFont="1" applyFill="1" applyBorder="1" applyAlignment="1">
      <x:alignment horizontal="center" vertical="center"/>
    </x:xf>
    <x:xf numFmtId="0" fontId="9" fillId="61" borderId="34" xfId="0" applyNumberFormat="1" applyFont="1" applyFill="1" applyBorder="1" applyAlignment="1">
      <x:alignment horizontal="center" vertical="center"/>
    </x:xf>
    <x:xf numFmtId="0" fontId="9" fillId="61" borderId="32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 wrapText="1"/>
    </x:xf>
    <x:xf numFmtId="0" fontId="39" fillId="61" borderId="34" xfId="0" applyNumberFormat="1" applyFont="1" applyFill="1" applyBorder="1" applyAlignment="1">
      <x:alignment horizontal="center" vertical="center" wrapText="1"/>
    </x:xf>
    <x:xf numFmtId="0" fontId="39" fillId="61" borderId="41" xfId="0" applyNumberFormat="1" applyFont="1" applyFill="1" applyBorder="1" applyAlignment="1">
      <x:alignment horizontal="center" vertical="center" wrapText="1"/>
    </x:xf>
    <x:xf numFmtId="0" fontId="39" fillId="61" borderId="38" xfId="0" applyNumberFormat="1" applyFont="1" applyFill="1" applyBorder="1" applyAlignment="1">
      <x:alignment horizontal="center" vertical="center" wrapText="1"/>
    </x:xf>
    <x:xf numFmtId="0" fontId="39" fillId="61" borderId="40" xfId="0" applyNumberFormat="1" applyFont="1" applyFill="1" applyBorder="1" applyAlignment="1">
      <x:alignment horizontal="center" vertical="center" wrapText="1"/>
    </x:xf>
    <x:xf numFmtId="0" fontId="39" fillId="61" borderId="45" xfId="0" applyNumberFormat="1" applyFont="1" applyFill="1" applyBorder="1" applyAlignment="1">
      <x:alignment horizontal="center" vertical="center" wrapText="1"/>
    </x:xf>
    <x:xf numFmtId="0" fontId="40" fillId="61" borderId="0" xfId="0" applyNumberFormat="1" applyFont="1" applyFill="1" applyBorder="1"/>
    <x:xf numFmtId="0" fontId="39" fillId="61" borderId="0" xfId="0" applyNumberFormat="1" applyFont="1" applyFill="1" applyBorder="1" applyAlignment="1">
      <x:alignment horizontal="left" vertical="center"/>
    </x:xf>
    <x:xf numFmtId="0" fontId="39" fillId="61" borderId="41" xfId="0" applyNumberFormat="1" applyFont="1" applyFill="1" applyBorder="1" applyAlignment="1">
      <x:alignment horizontal="center" vertical="center"/>
    </x:xf>
    <x:xf numFmtId="0" fontId="39" fillId="61" borderId="34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/>
    </x:xf>
    <x:xf numFmtId="0" fontId="40" fillId="61" borderId="0" xfId="0" applyNumberFormat="1" applyFont="1" applyFill="1" applyBorder="1" applyAlignment="1">
      <x:alignment wrapText="1"/>
    </x:xf>
    <x:xf numFmtId="0" fontId="39" fillId="61" borderId="0" xfId="0" applyNumberFormat="1" applyFont="1" applyFill="1" applyBorder="1" applyAlignment="1">
      <x:alignment horizontal="left" vertical="center" wrapText="1"/>
    </x:xf>
    <x:xf numFmtId="0" fontId="39" fillId="61" borderId="32" xfId="0" applyNumberFormat="1" applyFont="1" applyFill="1" applyBorder="1" applyAlignment="1">
      <x:alignment horizontal="center" vertical="top" wrapText="1"/>
    </x:xf>
    <x:xf numFmtId="0" fontId="39" fillId="61" borderId="34" xfId="0" applyNumberFormat="1" applyFont="1" applyFill="1" applyBorder="1" applyAlignment="1">
      <x:alignment horizontal="center" vertical="top" wrapText="1"/>
    </x:xf>
    <x:xf numFmtId="0" fontId="39" fillId="61" borderId="41" xfId="0" applyNumberFormat="1" applyFont="1" applyFill="1" applyBorder="1" applyAlignment="1">
      <x:alignment horizontal="center" vertical="top" wrapText="1"/>
    </x:xf>
    <x:xf numFmtId="0" fontId="39" fillId="61" borderId="38" xfId="0" applyNumberFormat="1" applyFont="1" applyFill="1" applyBorder="1" applyAlignment="1">
      <x:alignment horizontal="center" vertical="top" wrapText="1"/>
    </x:xf>
    <x:xf numFmtId="0" fontId="39" fillId="61" borderId="40" xfId="0" applyNumberFormat="1" applyFont="1" applyFill="1" applyBorder="1" applyAlignment="1">
      <x:alignment horizontal="center" vertical="top" wrapText="1"/>
    </x:xf>
    <x:xf numFmtId="0" fontId="39" fillId="61" borderId="45" xfId="0" applyNumberFormat="1" applyFont="1" applyFill="1" applyBorder="1" applyAlignment="1">
      <x:alignment horizontal="center" vertical="top" wrapText="1"/>
    </x:xf>
    <x:xf numFmtId="0" fontId="40" fillId="61" borderId="0" xfId="0" applyNumberFormat="1" applyFont="1" applyFill="1" applyBorder="1" applyAlignment="1">
      <x:alignment vertical="top" wrapText="1"/>
    </x:xf>
    <x:xf numFmtId="0" fontId="39" fillId="61" borderId="0" xfId="0" applyNumberFormat="1" applyFont="1" applyFill="1" applyBorder="1" applyAlignment="1">
      <x:alignment horizontal="left" vertical="top" wrapText="1"/>
    </x:xf>
    <x:xf numFmtId="0" fontId="0" fillId="57" borderId="4" xfId="0" applyNumberFormat="1" applyFont="1" applyFill="1" applyBorder="1"/>
    <x:xf numFmtId="0" fontId="0" fillId="57" borderId="0" xfId="0" applyNumberFormat="1" applyFont="1" applyFill="1" applyBorder="1"/>
    <x:xf numFmtId="0" fontId="0" fillId="57" borderId="5" xfId="0" applyNumberFormat="1" applyFont="1" applyFill="1" applyBorder="1"/>
    <x:xf numFmtId="0" fontId="36" fillId="57" borderId="4" xfId="0" applyNumberFormat="1" applyFont="1" applyFill="1" applyBorder="1"/>
    <x:xf numFmtId="0" fontId="36" fillId="57" borderId="0" xfId="0" applyNumberFormat="1" applyFont="1" applyFill="1" applyBorder="1"/>
    <x:xf numFmtId="0" fontId="36" fillId="57" borderId="5" xfId="0" applyNumberFormat="1" applyFont="1" applyFill="1" applyBorder="1"/>
    <x:xf numFmtId="0" fontId="5" fillId="62" borderId="4" xfId="0" applyNumberFormat="1" applyFont="1" applyFill="1" applyBorder="1" applyAlignment="1">
      <x:alignment horizontal="left" vertical="center"/>
    </x:xf>
    <x:xf numFmtId="0" fontId="5" fillId="62" borderId="0" xfId="0" applyNumberFormat="1" applyFont="1" applyFill="1" applyBorder="1" applyAlignment="1">
      <x:alignment horizontal="left" vertical="center"/>
    </x:xf>
    <x:xf numFmtId="0" fontId="2" fillId="62" borderId="4" xfId="0" applyNumberFormat="1" applyFont="1" applyFill="1" applyBorder="1" applyAlignment="1">
      <x:alignment horizontal="center" vertical="center" wrapText="1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12" fillId="62" borderId="35" xfId="0" applyNumberFormat="1" applyFont="1" applyFill="1" applyBorder="1" applyAlignment="1">
      <x:alignment vertical="top" wrapText="1"/>
    </x:xf>
    <x:xf numFmtId="0" fontId="12" fillId="62" borderId="42" xfId="0" applyNumberFormat="1" applyFont="1" applyFill="1" applyBorder="1" applyAlignment="1">
      <x:alignment vertical="top" wrapText="1"/>
    </x:xf>
    <x:xf numFmtId="0" fontId="12" fillId="62" borderId="37" xfId="0" applyNumberFormat="1" applyFont="1" applyFill="1" applyBorder="1" applyAlignment="1">
      <x:alignment vertical="top" wrapText="1"/>
    </x:xf>
    <x:xf numFmtId="0" fontId="12" fillId="62" borderId="43" xfId="0" applyNumberFormat="1" applyFont="1" applyFill="1" applyBorder="1" applyAlignment="1">
      <x:alignment vertical="top" wrapText="1"/>
    </x:xf>
    <x:xf numFmtId="0" fontId="12" fillId="62" xfId="0" applyNumberFormat="1" applyFont="1" applyFill="1" applyBorder="0" applyAlignment="1">
      <x:alignment vertical="top" wrapText="1"/>
    </x:xf>
    <x:xf numFmtId="0" fontId="12" fillId="62" borderId="44" xfId="0" applyNumberFormat="1" applyFont="1" applyFill="1" applyBorder="1" applyAlignment="1">
      <x:alignment vertical="top" wrapText="1"/>
    </x:xf>
    <x:xf numFmtId="0" fontId="2" fillId="62" borderId="43" xfId="0" applyNumberFormat="1" applyFont="1" applyFill="1" applyBorder="1" applyAlignment="1">
      <x:alignment vertical="center" wrapText="1"/>
    </x:xf>
    <x:xf numFmtId="0" fontId="2" fillId="62" xfId="0" applyNumberFormat="1" applyFont="1" applyFill="1" applyBorder="0" applyAlignment="1">
      <x:alignment vertical="center" wrapText="1"/>
    </x:xf>
    <x:xf numFmtId="0" fontId="2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4" xfId="0" applyNumberFormat="1" applyFont="1" applyFill="1" applyBorder="1" applyAlignment="1">
      <x:alignment horizontal="center" vertical="center" wrapText="1"/>
    </x:xf>
    <x:xf numFmtId="0" fontId="41" fillId="62" borderId="0" xfId="0" applyNumberFormat="1" applyFont="1" applyFill="1" applyBorder="1" applyAlignment="1">
      <x:alignment horizontal="center" vertical="center" wrapText="1"/>
    </x:xf>
    <x:xf numFmtId="0" fontId="42" fillId="62" borderId="35" xfId="0" applyNumberFormat="1" applyFont="1" applyFill="1" applyBorder="1" applyAlignment="1">
      <x:alignment vertical="top" wrapText="1"/>
    </x:xf>
    <x:xf numFmtId="0" fontId="42" fillId="62" borderId="42" xfId="0" applyNumberFormat="1" applyFont="1" applyFill="1" applyBorder="1" applyAlignment="1">
      <x:alignment vertical="top" wrapText="1"/>
    </x:xf>
    <x:xf numFmtId="0" fontId="42" fillId="62" borderId="37" xfId="0" applyNumberFormat="1" applyFont="1" applyFill="1" applyBorder="1" applyAlignment="1">
      <x:alignment vertical="top" wrapText="1"/>
    </x:xf>
    <x:xf numFmtId="0" fontId="42" fillId="62" borderId="43" xfId="0" applyNumberFormat="1" applyFont="1" applyFill="1" applyBorder="1" applyAlignment="1">
      <x:alignment vertical="top" wrapText="1"/>
    </x:xf>
    <x:xf numFmtId="0" fontId="42" fillId="62" xfId="0" applyNumberFormat="1" applyFont="1" applyFill="1" applyBorder="0" applyAlignment="1">
      <x:alignment vertical="top" wrapText="1"/>
    </x:xf>
    <x:xf numFmtId="0" fontId="42" fillId="62" borderId="44" xfId="0" applyNumberFormat="1" applyFont="1" applyFill="1" applyBorder="1" applyAlignment="1">
      <x:alignment vertical="top" wrapText="1"/>
    </x:xf>
    <x:xf numFmtId="0" fontId="41" fillId="62" borderId="43" xfId="0" applyNumberFormat="1" applyFont="1" applyFill="1" applyBorder="1" applyAlignment="1">
      <x:alignment vertical="center" wrapText="1"/>
    </x:xf>
    <x:xf numFmtId="0" fontId="41" fillId="62" xfId="0" applyNumberFormat="1" applyFont="1" applyFill="1" applyBorder="0" applyAlignment="1">
      <x:alignment vertical="center" wrapText="1"/>
    </x:xf>
    <x:xf numFmtId="0" fontId="41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1" fillId="62" borderId="4" xfId="0" applyNumberFormat="1" applyFont="1" applyFill="1" applyBorder="1" applyAlignment="1">
      <x:alignment horizontal="left" vertical="top" wrapText="1"/>
    </x:xf>
    <x:xf numFmtId="0" fontId="41" fillId="62" borderId="0" xfId="0" applyNumberFormat="1" applyFont="1" applyFill="1" applyBorder="1" applyAlignment="1">
      <x:alignment horizontal="left" vertical="top" wrapText="1"/>
    </x:xf>
    <x:xf numFmtId="0" fontId="41" fillId="62" borderId="4" xfId="0" applyNumberFormat="1" applyFont="1" applyFill="1" applyBorder="1" applyAlignment="1">
      <x:alignment horizontal="center" vertical="top" wrapText="1"/>
    </x:xf>
    <x:xf numFmtId="0" fontId="41" fillId="62" borderId="0" xfId="0" applyNumberFormat="1" applyFont="1" applyFill="1" applyBorder="1" applyAlignment="1">
      <x:alignment horizontal="center" vertical="top" wrapText="1"/>
    </x:xf>
    <x:xf numFmtId="0" fontId="41" fillId="62" borderId="43" xfId="0" applyNumberFormat="1" applyFont="1" applyFill="1" applyBorder="1" applyAlignment="1">
      <x:alignment vertical="top" wrapText="1"/>
    </x:xf>
    <x:xf numFmtId="0" fontId="41" fillId="62" xfId="0" applyNumberFormat="1" applyFont="1" applyFill="1" applyBorder="0" applyAlignment="1">
      <x:alignment vertical="top" wrapText="1"/>
    </x:xf>
    <x:xf numFmtId="0" fontId="41" fillId="62" borderId="44" xfId="0" applyNumberFormat="1" applyFont="1" applyFill="1" applyBorder="1" applyAlignment="1">
      <x:alignment vertical="top" wrapText="1"/>
    </x:xf>
    <x:xf numFmtId="0" fontId="5" fillId="60" borderId="5" xfId="0" applyNumberFormat="1" applyFont="1" applyFill="1" applyBorder="1" applyAlignment="1">
      <x:alignment horizontal="left" vertical="center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2" fillId="60" borderId="5" xfId="0" applyNumberFormat="1" applyFont="1" applyFill="1" applyBorder="1" applyAlignment="1">
      <x:alignment horizontal="center" vertical="center" wrapText="1"/>
    </x:xf>
    <x:xf numFmtId="0" fontId="12" fillId="60" borderId="35" xfId="0" applyNumberFormat="1" applyFont="1" applyFill="1" applyBorder="1" applyAlignment="1">
      <x:alignment vertical="top" wrapText="1"/>
    </x:xf>
    <x:xf numFmtId="0" fontId="12" fillId="60" borderId="42" xfId="0" applyNumberFormat="1" applyFont="1" applyFill="1" applyBorder="1" applyAlignment="1">
      <x:alignment vertical="top" wrapText="1"/>
    </x:xf>
    <x:xf numFmtId="0" fontId="12" fillId="60" borderId="37" xfId="0" applyNumberFormat="1" applyFont="1" applyFill="1" applyBorder="1" applyAlignment="1">
      <x:alignment vertical="top" wrapText="1"/>
    </x:xf>
    <x:xf numFmtId="0" fontId="12" fillId="60" borderId="43" xfId="0" applyNumberFormat="1" applyFont="1" applyFill="1" applyBorder="1" applyAlignment="1">
      <x:alignment vertical="top" wrapText="1"/>
    </x:xf>
    <x:xf numFmtId="0" fontId="12" fillId="60" xfId="0" applyNumberFormat="1" applyFont="1" applyFill="1" applyBorder="0" applyAlignment="1">
      <x:alignment vertical="top" wrapText="1"/>
    </x:xf>
    <x:xf numFmtId="0" fontId="12" fillId="60" borderId="44" xfId="0" applyNumberFormat="1" applyFont="1" applyFill="1" applyBorder="1" applyAlignment="1">
      <x:alignment vertical="top" wrapText="1"/>
    </x:xf>
    <x:xf numFmtId="0" fontId="2" fillId="60" borderId="43" xfId="0" applyNumberFormat="1" applyFont="1" applyFill="1" applyBorder="1" applyAlignment="1">
      <x:alignment vertical="center" wrapText="1"/>
    </x:xf>
    <x:xf numFmtId="0" fontId="2" fillId="60" xfId="0" applyNumberFormat="1" applyFont="1" applyFill="1" applyBorder="0" applyAlignment="1">
      <x:alignment vertical="center" wrapText="1"/>
    </x:xf>
    <x:xf numFmtId="0" fontId="2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/>
    </x:xf>
    <x:xf numFmtId="0" fontId="37" fillId="60" borderId="0" xfId="0" applyNumberFormat="1" applyFont="1" applyFill="1" applyBorder="1" applyAlignment="1">
      <x:alignment horizontal="center" vertical="center" wrapText="1"/>
    </x:xf>
    <x:xf numFmtId="0" fontId="37" fillId="60" borderId="5" xfId="0" applyNumberFormat="1" applyFont="1" applyFill="1" applyBorder="1" applyAlignment="1">
      <x:alignment horizontal="center" vertical="center" wrapText="1"/>
    </x:xf>
    <x:xf numFmtId="0" fontId="38" fillId="60" borderId="35" xfId="0" applyNumberFormat="1" applyFont="1" applyFill="1" applyBorder="1" applyAlignment="1">
      <x:alignment vertical="top" wrapText="1"/>
    </x:xf>
    <x:xf numFmtId="0" fontId="38" fillId="60" borderId="42" xfId="0" applyNumberFormat="1" applyFont="1" applyFill="1" applyBorder="1" applyAlignment="1">
      <x:alignment vertical="top" wrapText="1"/>
    </x:xf>
    <x:xf numFmtId="0" fontId="38" fillId="60" borderId="37" xfId="0" applyNumberFormat="1" applyFont="1" applyFill="1" applyBorder="1" applyAlignment="1">
      <x:alignment vertical="top" wrapText="1"/>
    </x:xf>
    <x:xf numFmtId="0" fontId="38" fillId="60" borderId="43" xfId="0" applyNumberFormat="1" applyFont="1" applyFill="1" applyBorder="1" applyAlignment="1">
      <x:alignment vertical="top" wrapText="1"/>
    </x:xf>
    <x:xf numFmtId="0" fontId="38" fillId="60" xfId="0" applyNumberFormat="1" applyFont="1" applyFill="1" applyBorder="0" applyAlignment="1">
      <x:alignment vertical="top" wrapText="1"/>
    </x:xf>
    <x:xf numFmtId="0" fontId="38" fillId="60" borderId="44" xfId="0" applyNumberFormat="1" applyFont="1" applyFill="1" applyBorder="1" applyAlignment="1">
      <x:alignment vertical="top" wrapText="1"/>
    </x:xf>
    <x:xf numFmtId="0" fontId="37" fillId="60" borderId="43" xfId="0" applyNumberFormat="1" applyFont="1" applyFill="1" applyBorder="1" applyAlignment="1">
      <x:alignment vertical="center" wrapText="1"/>
    </x:xf>
    <x:xf numFmtId="0" fontId="37" fillId="60" xfId="0" applyNumberFormat="1" applyFont="1" applyFill="1" applyBorder="0" applyAlignment="1">
      <x:alignment vertical="center" wrapText="1"/>
    </x:xf>
    <x:xf numFmtId="0" fontId="37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 wrapText="1"/>
    </x:xf>
    <x:xf numFmtId="0" fontId="37" fillId="60" borderId="5" xfId="0" applyNumberFormat="1" applyFont="1" applyFill="1" applyBorder="1" applyAlignment="1">
      <x:alignment horizontal="left" vertical="top" wrapText="1"/>
    </x:xf>
    <x:xf numFmtId="0" fontId="37" fillId="60" borderId="0" xfId="0" applyNumberFormat="1" applyFont="1" applyFill="1" applyBorder="1" applyAlignment="1">
      <x:alignment horizontal="center" vertical="top" wrapText="1"/>
    </x:xf>
    <x:xf numFmtId="0" fontId="37" fillId="60" borderId="5" xfId="0" applyNumberFormat="1" applyFont="1" applyFill="1" applyBorder="1" applyAlignment="1">
      <x:alignment horizontal="center" vertical="top" wrapText="1"/>
    </x:xf>
    <x:xf numFmtId="0" fontId="37" fillId="60" borderId="43" xfId="0" applyNumberFormat="1" applyFont="1" applyFill="1" applyBorder="1" applyAlignment="1">
      <x:alignment vertical="top" wrapText="1"/>
    </x:xf>
    <x:xf numFmtId="0" fontId="37" fillId="60" xfId="0" applyNumberFormat="1" applyFont="1" applyFill="1" applyBorder="0" applyAlignment="1">
      <x:alignment vertical="top" wrapText="1"/>
    </x:xf>
    <x:xf numFmtId="0" fontId="37" fillId="60" borderId="44" xfId="0" applyNumberFormat="1" applyFont="1" applyFill="1" applyBorder="1" applyAlignment="1">
      <x:alignment vertical="top" wrapText="1"/>
    </x:xf>
    <x:xf numFmtId="0" fontId="5" fillId="63" borderId="0" xfId="0" applyNumberFormat="1" applyFont="1" applyFill="1" applyBorder="1" applyAlignment="1">
      <x:alignment horizontal="left" vertical="center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12" fillId="63" borderId="35" xfId="0" applyNumberFormat="1" applyFont="1" applyFill="1" applyBorder="1" applyAlignment="1">
      <x:alignment vertical="top" wrapText="1"/>
    </x:xf>
    <x:xf numFmtId="0" fontId="12" fillId="63" borderId="42" xfId="0" applyNumberFormat="1" applyFont="1" applyFill="1" applyBorder="1" applyAlignment="1">
      <x:alignment vertical="top" wrapText="1"/>
    </x:xf>
    <x:xf numFmtId="0" fontId="12" fillId="63" borderId="37" xfId="0" applyNumberFormat="1" applyFont="1" applyFill="1" applyBorder="1" applyAlignment="1">
      <x:alignment vertical="top" wrapText="1"/>
    </x:xf>
    <x:xf numFmtId="0" fontId="12" fillId="63" borderId="43" xfId="0" applyNumberFormat="1" applyFont="1" applyFill="1" applyBorder="1" applyAlignment="1">
      <x:alignment vertical="top" wrapText="1"/>
    </x:xf>
    <x:xf numFmtId="0" fontId="12" fillId="63" xfId="0" applyNumberFormat="1" applyFont="1" applyFill="1" applyBorder="0" applyAlignment="1">
      <x:alignment vertical="top" wrapText="1"/>
    </x:xf>
    <x:xf numFmtId="0" fontId="12" fillId="63" borderId="44" xfId="0" applyNumberFormat="1" applyFont="1" applyFill="1" applyBorder="1" applyAlignment="1">
      <x:alignment vertical="top" wrapText="1"/>
    </x:xf>
    <x:xf numFmtId="0" fontId="2" fillId="63" borderId="43" xfId="0" applyNumberFormat="1" applyFont="1" applyFill="1" applyBorder="1" applyAlignment="1">
      <x:alignment vertical="center" wrapText="1"/>
    </x:xf>
    <x:xf numFmtId="0" fontId="2" fillId="63" xfId="0" applyNumberFormat="1" applyFont="1" applyFill="1" applyBorder="0" applyAlignment="1">
      <x:alignment vertical="center" wrapText="1"/>
    </x:xf>
    <x:xf numFmtId="0" fontId="2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/>
    </x:xf>
    <x:xf numFmtId="0" fontId="43" fillId="63" borderId="0" xfId="0" applyNumberFormat="1" applyFont="1" applyFill="1" applyBorder="1" applyAlignment="1">
      <x:alignment horizontal="center" vertical="center" wrapText="1"/>
    </x:xf>
    <x:xf numFmtId="0" fontId="44" fillId="63" borderId="35" xfId="0" applyNumberFormat="1" applyFont="1" applyFill="1" applyBorder="1" applyAlignment="1">
      <x:alignment vertical="top" wrapText="1"/>
    </x:xf>
    <x:xf numFmtId="0" fontId="44" fillId="63" borderId="42" xfId="0" applyNumberFormat="1" applyFont="1" applyFill="1" applyBorder="1" applyAlignment="1">
      <x:alignment vertical="top" wrapText="1"/>
    </x:xf>
    <x:xf numFmtId="0" fontId="44" fillId="63" borderId="37" xfId="0" applyNumberFormat="1" applyFont="1" applyFill="1" applyBorder="1" applyAlignment="1">
      <x:alignment vertical="top" wrapText="1"/>
    </x:xf>
    <x:xf numFmtId="0" fontId="44" fillId="63" borderId="43" xfId="0" applyNumberFormat="1" applyFont="1" applyFill="1" applyBorder="1" applyAlignment="1">
      <x:alignment vertical="top" wrapText="1"/>
    </x:xf>
    <x:xf numFmtId="0" fontId="44" fillId="63" xfId="0" applyNumberFormat="1" applyFont="1" applyFill="1" applyBorder="0" applyAlignment="1">
      <x:alignment vertical="top" wrapText="1"/>
    </x:xf>
    <x:xf numFmtId="0" fontId="44" fillId="63" borderId="44" xfId="0" applyNumberFormat="1" applyFont="1" applyFill="1" applyBorder="1" applyAlignment="1">
      <x:alignment vertical="top" wrapText="1"/>
    </x:xf>
    <x:xf numFmtId="0" fontId="43" fillId="63" borderId="43" xfId="0" applyNumberFormat="1" applyFont="1" applyFill="1" applyBorder="1" applyAlignment="1">
      <x:alignment vertical="center" wrapText="1"/>
    </x:xf>
    <x:xf numFmtId="0" fontId="43" fillId="63" xfId="0" applyNumberFormat="1" applyFont="1" applyFill="1" applyBorder="0" applyAlignment="1">
      <x:alignment vertical="center" wrapText="1"/>
    </x:xf>
    <x:xf numFmtId="0" fontId="43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 wrapText="1"/>
    </x:xf>
    <x:xf numFmtId="0" fontId="43" fillId="63" borderId="0" xfId="0" applyNumberFormat="1" applyFont="1" applyFill="1" applyBorder="1" applyAlignment="1">
      <x:alignment horizontal="left" vertical="top" wrapText="1"/>
    </x:xf>
    <x:xf numFmtId="0" fontId="43" fillId="63" borderId="0" xfId="0" applyNumberFormat="1" applyFont="1" applyFill="1" applyBorder="1" applyAlignment="1">
      <x:alignment horizontal="center" vertical="top" wrapText="1"/>
    </x:xf>
    <x:xf numFmtId="0" fontId="43" fillId="63" borderId="43" xfId="0" applyNumberFormat="1" applyFont="1" applyFill="1" applyBorder="1" applyAlignment="1">
      <x:alignment vertical="top" wrapText="1"/>
    </x:xf>
    <x:xf numFmtId="0" fontId="43" fillId="63" xfId="0" applyNumberFormat="1" applyFont="1" applyFill="1" applyBorder="0" applyAlignment="1">
      <x:alignment vertical="top" wrapText="1"/>
    </x:xf>
    <x:xf numFmtId="0" fontId="43" fillId="63" borderId="44" xfId="0" applyNumberFormat="1" applyFont="1" applyFill="1" applyBorder="1" applyAlignment="1">
      <x:alignment vertical="top" wrapText="1"/>
    </x:xf>
    <x:xf numFmtId="0" fontId="5" fillId="59" borderId="0" xfId="0" applyNumberFormat="1" applyFont="1" applyFill="1" applyBorder="1" applyAlignment="1">
      <x:alignment horizontal="left" vertical="center"/>
    </x:xf>
    <x:xf numFmtId="0" fontId="2" fillId="59" borderId="0" xfId="0" applyNumberFormat="1" applyFont="1" applyFill="1" applyBorder="1" applyAlignment="1">
      <x:alignment horizontal="center" vertical="center" wrapText="1"/>
    </x:xf>
    <x:xf numFmtId="0" fontId="13" fillId="59" borderId="35" xfId="0" applyNumberFormat="1" applyFont="1" applyFill="1" applyBorder="1" applyAlignment="1">
      <x:alignment vertical="top" wrapText="1"/>
    </x:xf>
    <x:xf numFmtId="0" fontId="13" fillId="59" borderId="42" xfId="0" applyNumberFormat="1" applyFont="1" applyFill="1" applyBorder="1" applyAlignment="1">
      <x:alignment vertical="top" wrapText="1"/>
    </x:xf>
    <x:xf numFmtId="0" fontId="13" fillId="59" borderId="37" xfId="0" applyNumberFormat="1" applyFont="1" applyFill="1" applyBorder="1" applyAlignment="1">
      <x:alignment vertical="top" wrapText="1"/>
    </x:xf>
    <x:xf numFmtId="0" fontId="13" fillId="59" borderId="43" xfId="0" applyNumberFormat="1" applyFont="1" applyFill="1" applyBorder="1" applyAlignment="1">
      <x:alignment vertical="top" wrapText="1"/>
    </x:xf>
    <x:xf numFmtId="0" fontId="13" fillId="59" xfId="0" applyNumberFormat="1" applyFont="1" applyFill="1" applyBorder="0" applyAlignment="1">
      <x:alignment vertical="top" wrapText="1"/>
    </x:xf>
    <x:xf numFmtId="0" fontId="13" fillId="59" borderId="44" xfId="0" applyNumberFormat="1" applyFont="1" applyFill="1" applyBorder="1" applyAlignment="1">
      <x:alignment vertical="top" wrapText="1"/>
    </x:xf>
    <x:xf numFmtId="0" fontId="9" fillId="59" borderId="43" xfId="0" applyNumberFormat="1" applyFont="1" applyFill="1" applyBorder="1" applyAlignment="1">
      <x:alignment vertical="center" wrapText="1"/>
    </x:xf>
    <x:xf numFmtId="0" fontId="9" fillId="59" xfId="0" applyNumberFormat="1" applyFont="1" applyFill="1" applyBorder="0" applyAlignment="1">
      <x:alignment vertical="center" wrapText="1"/>
    </x:xf>
    <x:xf numFmtId="0" fontId="9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/>
    </x:xf>
    <x:xf numFmtId="0" fontId="34" fillId="59" borderId="0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vertical="top" wrapText="1"/>
    </x:xf>
    <x:xf numFmtId="0" fontId="34" fillId="59" borderId="42" xfId="0" applyNumberFormat="1" applyFont="1" applyFill="1" applyBorder="1" applyAlignment="1">
      <x:alignment vertical="top" wrapText="1"/>
    </x:xf>
    <x:xf numFmtId="0" fontId="34" fillId="59" borderId="37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top" wrapText="1"/>
    </x:xf>
    <x:xf numFmtId="0" fontId="34" fillId="59" xfId="0" applyNumberFormat="1" applyFont="1" applyFill="1" applyBorder="0" applyAlignment="1">
      <x:alignment vertical="top" wrapText="1"/>
    </x:xf>
    <x:xf numFmtId="0" fontId="34" fillId="59" borderId="44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center" wrapText="1"/>
    </x:xf>
    <x:xf numFmtId="0" fontId="34" fillId="59" xfId="0" applyNumberFormat="1" applyFont="1" applyFill="1" applyBorder="0" applyAlignment="1">
      <x:alignment vertical="center" wrapText="1"/>
    </x:xf>
    <x:xf numFmtId="0" fontId="34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 wrapText="1"/>
    </x:xf>
    <x:xf numFmtId="0" fontId="34" fillId="59" borderId="0" xfId="0" applyNumberFormat="1" applyFont="1" applyFill="1" applyBorder="1" applyAlignment="1">
      <x:alignment horizontal="left" vertical="top" wrapText="1"/>
    </x:xf>
    <x:xf numFmtId="0" fontId="34" fillId="59" borderId="0" xfId="0" applyNumberFormat="1" applyFont="1" applyFill="1" applyBorder="1" applyAlignment="1">
      <x:alignment horizontal="center" vertical="top" wrapText="1"/>
    </x:xf>
    <x:xf numFmtId="0" fontId="0" fillId="55" borderId="4" xfId="0" applyNumberFormat="1" applyFont="1" applyFill="1" applyBorder="1"/>
    <x:xf numFmtId="0" fontId="0" fillId="55" borderId="5" xfId="0" applyNumberFormat="1" applyFont="1" applyFill="1" applyBorder="1"/>
    <x:xf numFmtId="0" fontId="36" fillId="55" borderId="4" xfId="0" applyNumberFormat="1" applyFont="1" applyFill="1" applyBorder="1"/>
    <x:xf numFmtId="0" fontId="36" fillId="55" borderId="0" xfId="0" applyNumberFormat="1" applyFont="1" applyFill="1" applyBorder="1"/>
    <x:xf numFmtId="0" fontId="36" fillId="55" borderId="5" xfId="0" applyNumberFormat="1" applyFont="1" applyFill="1" applyBorder="1"/>
    <x:xf numFmtId="0" fontId="5" fillId="56" borderId="4" xfId="0" applyNumberFormat="1" applyFont="1" applyFill="1" applyBorder="1" applyAlignment="1">
      <x:alignment horizontal="left" vertical="center"/>
    </x:xf>
    <x:xf numFmtId="0" fontId="2" fillId="56" borderId="55" xfId="0" applyNumberFormat="1" applyFont="1" applyFill="1" applyBorder="1" applyAlignment="1">
      <x:alignment horizontal="center" vertical="center" wrapText="1"/>
    </x:xf>
    <x:xf numFmtId="0" fontId="2" fillId="56" borderId="58" xfId="0" applyNumberFormat="1" applyFont="1" applyFill="1" applyBorder="1" applyAlignment="1">
      <x:alignment horizontal="center" vertical="center" wrapText="1"/>
    </x:xf>
    <x:xf numFmtId="0" fontId="2" fillId="56" borderId="56" xfId="0" applyNumberFormat="1" applyFont="1" applyFill="1" applyBorder="1" applyAlignment="1">
      <x:alignment horizontal="center" vertical="center" wrapText="1"/>
    </x:xf>
    <x:xf numFmtId="0" fontId="2" fillId="56" borderId="38" xfId="0" applyNumberFormat="1" applyFont="1" applyFill="1" applyBorder="1" applyAlignment="1">
      <x:alignment horizontal="center" vertical="center" wrapText="1"/>
    </x:xf>
    <x:xf numFmtId="0" fontId="2" fillId="56" borderId="45" xfId="0" applyNumberFormat="1" applyFont="1" applyFill="1" applyBorder="1" applyAlignment="1">
      <x:alignment horizontal="center" vertical="center" wrapText="1"/>
    </x:xf>
    <x:xf numFmtId="0" fontId="2" fillId="56" borderId="40" xfId="0" applyNumberFormat="1" applyFont="1" applyFill="1" applyBorder="1" applyAlignment="1">
      <x:alignment horizontal="center" vertical="center" wrapText="1"/>
    </x:xf>
    <x:xf numFmtId="0" fontId="2" fillId="56" borderId="35" xfId="0" applyNumberFormat="1" applyFont="1" applyFill="1" applyBorder="1" applyAlignment="1">
      <x:alignment horizontal="center" vertical="center" wrapText="1"/>
    </x:xf>
    <x:xf numFmtId="0" fontId="2" fillId="56" borderId="42" xfId="0" applyNumberFormat="1" applyFont="1" applyFill="1" applyBorder="1" applyAlignment="1">
      <x:alignment horizontal="center" vertical="center" wrapText="1"/>
    </x:xf>
    <x:xf numFmtId="0" fontId="2" fillId="56" borderId="37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/>
    </x:xf>
    <x:xf numFmtId="0" fontId="31" fillId="56" borderId="55" xfId="0" applyNumberFormat="1" applyFont="1" applyFill="1" applyBorder="1" applyAlignment="1">
      <x:alignment horizontal="center" vertical="center" wrapText="1"/>
    </x:xf>
    <x:xf numFmtId="0" fontId="31" fillId="56" borderId="58" xfId="0" applyNumberFormat="1" applyFont="1" applyFill="1" applyBorder="1" applyAlignment="1">
      <x:alignment horizontal="center" vertical="center" wrapText="1"/>
    </x:xf>
    <x:xf numFmtId="0" fontId="31" fillId="56" borderId="56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 wrapText="1"/>
    </x:xf>
    <x:xf numFmtId="0" fontId="31" fillId="56" borderId="4" xfId="0" applyNumberFormat="1" applyFont="1" applyFill="1" applyBorder="1" applyAlignment="1">
      <x:alignment horizontal="left" vertical="top" wrapText="1"/>
    </x:xf>
    <x:xf numFmtId="0" fontId="31" fillId="56" borderId="55" xfId="0" applyNumberFormat="1" applyFont="1" applyFill="1" applyBorder="1" applyAlignment="1">
      <x:alignment horizontal="center" vertical="top" wrapText="1"/>
    </x:xf>
    <x:xf numFmtId="0" fontId="31" fillId="56" borderId="58" xfId="0" applyNumberFormat="1" applyFont="1" applyFill="1" applyBorder="1" applyAlignment="1">
      <x:alignment horizontal="center" vertical="top" wrapText="1"/>
    </x:xf>
    <x:xf numFmtId="0" fontId="31" fillId="56" borderId="56" xfId="0" applyNumberFormat="1" applyFont="1" applyFill="1" applyBorder="1" applyAlignment="1">
      <x:alignment horizontal="center" vertical="top" wrapText="1"/>
    </x:xf>
    <x:xf numFmtId="0" fontId="5" fillId="63" borderId="5" xfId="0" applyNumberFormat="1" applyFont="1" applyFill="1" applyBorder="1" applyAlignment="1">
      <x:alignment horizontal="left" vertical="center"/>
    </x:xf>
    <x:xf numFmtId="0" fontId="2" fillId="63" borderId="56" xfId="0" applyNumberFormat="1" applyFont="1" applyFill="1" applyBorder="1" applyAlignment="1">
      <x:alignment horizontal="center" vertical="center" wrapText="1"/>
    </x:xf>
    <x:xf numFmtId="0" fontId="2" fillId="63" borderId="35" xfId="0" applyNumberFormat="1" applyFont="1" applyFill="1" applyBorder="1" applyAlignment="1">
      <x:alignment horizontal="center" vertical="center" wrapText="1"/>
    </x:xf>
    <x:xf numFmtId="0" fontId="2" fillId="63" borderId="42" xfId="0" applyNumberFormat="1" applyFont="1" applyFill="1" applyBorder="1" applyAlignment="1">
      <x:alignment horizontal="center" vertical="center" wrapText="1"/>
    </x:xf>
    <x:xf numFmtId="0" fontId="2" fillId="63" borderId="37" xfId="0" applyNumberFormat="1" applyFont="1" applyFill="1" applyBorder="1" applyAlignment="1">
      <x:alignment horizontal="center" vertical="center" wrapText="1"/>
    </x:xf>
    <x:xf numFmtId="0" fontId="2" fillId="63" borderId="40" xfId="0" applyNumberFormat="1" applyFont="1" applyFill="1" applyBorder="1" applyAlignment="1">
      <x:alignment horizontal="center" vertical="center" wrapText="1"/>
    </x:xf>
    <x:xf numFmtId="0" fontId="2" fillId="63" borderId="38" xfId="0" applyNumberFormat="1" applyFont="1" applyFill="1" applyBorder="1" applyAlignment="1">
      <x:alignment horizontal="center" vertical="center" wrapText="1"/>
    </x:xf>
    <x:xf numFmtId="0" fontId="2" fillId="63" borderId="45" xfId="0" applyNumberFormat="1" applyFont="1" applyFill="1" applyBorder="1" applyAlignment="1">
      <x:alignment horizontal="center" vertical="center" wrapText="1"/>
    </x:xf>
    <x:xf numFmtId="0" fontId="0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/>
    </x:xf>
    <x:xf numFmtId="0" fontId="43" fillId="63" borderId="56" xfId="0" applyNumberFormat="1" applyFont="1" applyFill="1" applyBorder="1" applyAlignment="1">
      <x:alignment horizontal="center" vertical="center" wrapText="1"/>
    </x:xf>
    <x:xf numFmtId="0" fontId="43" fillId="63" borderId="35" xfId="0" applyNumberFormat="1" applyFont="1" applyFill="1" applyBorder="1" applyAlignment="1">
      <x:alignment horizontal="center" vertical="center" wrapText="1"/>
    </x:xf>
    <x:xf numFmtId="0" fontId="43" fillId="63" borderId="42" xfId="0" applyNumberFormat="1" applyFont="1" applyFill="1" applyBorder="1" applyAlignment="1">
      <x:alignment horizontal="center" vertical="center" wrapText="1"/>
    </x:xf>
    <x:xf numFmtId="0" fontId="43" fillId="63" borderId="37" xfId="0" applyNumberFormat="1" applyFont="1" applyFill="1" applyBorder="1" applyAlignment="1">
      <x:alignment horizontal="center" vertical="center" wrapText="1"/>
    </x:xf>
    <x:xf numFmtId="0" fontId="43" fillId="63" borderId="40" xfId="0" applyNumberFormat="1" applyFont="1" applyFill="1" applyBorder="1" applyAlignment="1">
      <x:alignment horizontal="center" vertical="center" wrapText="1"/>
    </x:xf>
    <x:xf numFmtId="0" fontId="43" fillId="63" borderId="38" xfId="0" applyNumberFormat="1" applyFont="1" applyFill="1" applyBorder="1" applyAlignment="1">
      <x:alignment horizontal="center" vertical="center" wrapText="1"/>
    </x:xf>
    <x:xf numFmtId="0" fontId="43" fillId="63" borderId="45" xfId="0" applyNumberFormat="1" applyFont="1" applyFill="1" applyBorder="1" applyAlignment="1">
      <x:alignment horizontal="center" vertical="center" wrapText="1"/>
    </x:xf>
    <x:xf numFmtId="0" fontId="44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 wrapText="1"/>
    </x:xf>
    <x:xf numFmtId="0" fontId="44" fillId="63" borderId="0" xfId="0" applyNumberFormat="1" applyFont="1" applyFill="1" applyBorder="1" applyAlignment="1">
      <x:alignment wrapText="1"/>
    </x:xf>
    <x:xf numFmtId="0" fontId="43" fillId="63" borderId="5" xfId="0" applyNumberFormat="1" applyFont="1" applyFill="1" applyBorder="1" applyAlignment="1">
      <x:alignment horizontal="left" vertical="top" wrapText="1"/>
    </x:xf>
    <x:xf numFmtId="0" fontId="43" fillId="63" borderId="56" xfId="0" applyNumberFormat="1" applyFont="1" applyFill="1" applyBorder="1" applyAlignment="1">
      <x:alignment horizontal="center" vertical="top" wrapText="1"/>
    </x:xf>
    <x:xf numFmtId="0" fontId="43" fillId="63" borderId="35" xfId="0" applyNumberFormat="1" applyFont="1" applyFill="1" applyBorder="1" applyAlignment="1">
      <x:alignment horizontal="center" vertical="top" wrapText="1"/>
    </x:xf>
    <x:xf numFmtId="0" fontId="43" fillId="63" borderId="42" xfId="0" applyNumberFormat="1" applyFont="1" applyFill="1" applyBorder="1" applyAlignment="1">
      <x:alignment horizontal="center" vertical="top" wrapText="1"/>
    </x:xf>
    <x:xf numFmtId="0" fontId="43" fillId="63" borderId="37" xfId="0" applyNumberFormat="1" applyFont="1" applyFill="1" applyBorder="1" applyAlignment="1">
      <x:alignment horizontal="center" vertical="top" wrapText="1"/>
    </x:xf>
    <x:xf numFmtId="0" fontId="43" fillId="63" borderId="40" xfId="0" applyNumberFormat="1" applyFont="1" applyFill="1" applyBorder="1" applyAlignment="1">
      <x:alignment horizontal="center" vertical="top" wrapText="1"/>
    </x:xf>
    <x:xf numFmtId="0" fontId="43" fillId="63" borderId="38" xfId="0" applyNumberFormat="1" applyFont="1" applyFill="1" applyBorder="1" applyAlignment="1">
      <x:alignment horizontal="center" vertical="top" wrapText="1"/>
    </x:xf>
    <x:xf numFmtId="0" fontId="43" fillId="63" borderId="45" xfId="0" applyNumberFormat="1" applyFont="1" applyFill="1" applyBorder="1" applyAlignment="1">
      <x:alignment horizontal="center" vertical="top" wrapText="1"/>
    </x:xf>
    <x:xf numFmtId="0" fontId="44" fillId="63" borderId="0" xfId="0" applyNumberFormat="1" applyFont="1" applyFill="1" applyBorder="1" applyAlignment="1">
      <x:alignment vertical="top" wrapText="1"/>
    </x:xf>
    <x:xf numFmtId="0" fontId="2" fillId="61" borderId="42" xfId="0" applyNumberFormat="1" applyFont="1" applyFill="1" applyBorder="1" applyAlignment="1">
      <x:alignment horizontal="center" vertical="center" wrapText="1"/>
    </x:xf>
    <x:xf numFmtId="0" fontId="2" fillId="61" borderId="37" xfId="0" applyNumberFormat="1" applyFont="1" applyFill="1" applyBorder="1" applyAlignment="1">
      <x:alignment horizontal="center" vertical="center" wrapText="1"/>
    </x:xf>
    <x:xf numFmtId="0" fontId="2" fillId="61" borderId="35" xfId="0" applyNumberFormat="1" applyFont="1" applyFill="1" applyBorder="1" applyAlignment="1">
      <x:alignment horizontal="center" vertical="center" wrapText="1"/>
    </x:xf>
    <x:xf numFmtId="0" fontId="2" fillId="61" borderId="45" xfId="0" applyNumberFormat="1" applyFont="1" applyFill="1" applyBorder="1" applyAlignment="1">
      <x:alignment horizontal="center" vertical="center" wrapText="1"/>
    </x:xf>
    <x:xf numFmtId="0" fontId="2" fillId="61" borderId="40" xfId="0" applyNumberFormat="1" applyFont="1" applyFill="1" applyBorder="1" applyAlignment="1">
      <x:alignment horizontal="center" vertical="center" wrapText="1"/>
    </x:xf>
    <x:xf numFmtId="0" fontId="2" fillId="61" borderId="38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center" wrapText="1"/>
    </x:xf>
    <x:xf numFmtId="0" fontId="39" fillId="61" borderId="37" xfId="0" applyNumberFormat="1" applyFont="1" applyFill="1" applyBorder="1" applyAlignment="1">
      <x:alignment horizontal="center" vertical="center" wrapText="1"/>
    </x:xf>
    <x:xf numFmtId="0" fontId="39" fillId="61" borderId="35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top" wrapText="1"/>
    </x:xf>
    <x:xf numFmtId="0" fontId="39" fillId="61" borderId="37" xfId="0" applyNumberFormat="1" applyFont="1" applyFill="1" applyBorder="1" applyAlignment="1">
      <x:alignment horizontal="center" vertical="top" wrapText="1"/>
    </x:xf>
    <x:xf numFmtId="0" fontId="39" fillId="61" borderId="35" xfId="0" applyNumberFormat="1" applyFont="1" applyFill="1" applyBorder="1" applyAlignment="1">
      <x:alignment horizontal="center" vertical="top" wrapText="1"/>
    </x:xf>
    <x:xf numFmtId="0" fontId="0" fillId="57" borderId="0" xfId="0" applyNumberFormat="1" applyFont="1" applyFill="1" applyBorder="1" applyAlignment="1">
      <x:alignment wrapText="1"/>
    </x:xf>
    <x:xf numFmtId="0" fontId="36" fillId="57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horizontal="left" vertical="center"/>
    </x:xf>
    <x:xf numFmtId="0" fontId="14" fillId="64" borderId="35" xfId="0" applyNumberFormat="1" applyFont="1" applyFill="1" applyBorder="1" applyAlignment="1">
      <x:alignment horizontal="center" vertical="center"/>
    </x:xf>
    <x:xf numFmtId="0" fontId="14" fillId="64" borderId="42" xfId="0" applyNumberFormat="1" applyFont="1" applyFill="1" applyBorder="1" applyAlignment="1">
      <x:alignment horizontal="center" vertical="center"/>
    </x:xf>
    <x:xf numFmtId="0" fontId="14" fillId="64" borderId="37" xfId="0" applyNumberFormat="1" applyFont="1" applyFill="1" applyBorder="1" applyAlignment="1">
      <x:alignment horizontal="center" vertical="center"/>
    </x:xf>
    <x:xf numFmtId="0" fontId="15" fillId="64" borderId="35" xfId="0" applyNumberFormat="1" applyFont="1" applyFill="1" applyBorder="1" applyAlignment="1">
      <x:alignment horizontal="center" vertical="center"/>
    </x:xf>
    <x:xf numFmtId="0" fontId="15" fillId="64" borderId="42" xfId="0" applyNumberFormat="1" applyFont="1" applyFill="1" applyBorder="1" applyAlignment="1">
      <x:alignment horizontal="center" vertical="center"/>
    </x:xf>
    <x:xf numFmtId="0" fontId="15" fillId="64" borderId="37" xfId="0" applyNumberFormat="1" applyFont="1" applyFill="1" applyBorder="1" applyAlignment="1">
      <x:alignment horizontal="center" vertical="center"/>
    </x:xf>
    <x:xf numFmtId="0" fontId="16" fillId="64" borderId="35" xfId="0" applyNumberFormat="1" applyFont="1" applyFill="1" applyBorder="1" applyAlignment="1">
      <x:alignment horizontal="center" vertical="center"/>
    </x:xf>
    <x:xf numFmtId="0" fontId="16" fillId="64" borderId="42" xfId="0" applyNumberFormat="1" applyFont="1" applyFill="1" applyBorder="1" applyAlignment="1">
      <x:alignment horizontal="center" vertical="center"/>
    </x:xf>
    <x:xf numFmtId="0" fontId="16" fillId="64" borderId="37" xfId="0" applyNumberFormat="1" applyFont="1" applyFill="1" applyBorder="1" applyAlignment="1">
      <x:alignment horizontal="center" vertical="center"/>
    </x:xf>
    <x:xf numFmtId="0" fontId="17" fillId="64" borderId="35" xfId="0" applyNumberFormat="1" applyFont="1" applyFill="1" applyBorder="1" applyAlignment="1">
      <x:alignment horizontal="center" vertical="center"/>
    </x:xf>
    <x:xf numFmtId="0" fontId="17" fillId="64" borderId="42" xfId="0" applyNumberFormat="1" applyFont="1" applyFill="1" applyBorder="1" applyAlignment="1">
      <x:alignment horizontal="center" vertical="center"/>
    </x:xf>
    <x:xf numFmtId="0" fontId="17" fillId="64" borderId="37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horizontal="center" vertical="center"/>
    </x:xf>
    <x:xf numFmtId="0" fontId="18" fillId="64" borderId="42" xfId="0" applyNumberFormat="1" applyFont="1" applyFill="1" applyBorder="1" applyAlignment="1">
      <x:alignment horizontal="center" vertical="center"/>
    </x:xf>
    <x:xf numFmtId="0" fontId="18" fillId="64" borderId="37" xfId="0" applyNumberFormat="1" applyFont="1" applyFill="1" applyBorder="1" applyAlignment="1">
      <x:alignment horizontal="center" vertical="center"/>
    </x:xf>
    <x:xf numFmtId="0" fontId="14" fillId="64" borderId="38" xfId="0" applyNumberFormat="1" applyFont="1" applyFill="1" applyBorder="1" applyAlignment="1">
      <x:alignment horizontal="center" vertical="center"/>
    </x:xf>
    <x:xf numFmtId="0" fontId="14" fillId="64" borderId="45" xfId="0" applyNumberFormat="1" applyFont="1" applyFill="1" applyBorder="1" applyAlignment="1">
      <x:alignment horizontal="center" vertical="center"/>
    </x:xf>
    <x:xf numFmtId="0" fontId="14" fillId="64" borderId="40" xfId="0" applyNumberFormat="1" applyFont="1" applyFill="1" applyBorder="1" applyAlignment="1">
      <x:alignment horizontal="center" vertical="center"/>
    </x:xf>
    <x:xf numFmtId="0" fontId="15" fillId="64" borderId="38" xfId="0" applyNumberFormat="1" applyFont="1" applyFill="1" applyBorder="1" applyAlignment="1">
      <x:alignment horizontal="center" vertical="center"/>
    </x:xf>
    <x:xf numFmtId="0" fontId="15" fillId="64" borderId="45" xfId="0" applyNumberFormat="1" applyFont="1" applyFill="1" applyBorder="1" applyAlignment="1">
      <x:alignment horizontal="center" vertical="center"/>
    </x:xf>
    <x:xf numFmtId="0" fontId="15" fillId="64" borderId="40" xfId="0" applyNumberFormat="1" applyFont="1" applyFill="1" applyBorder="1" applyAlignment="1">
      <x:alignment horizontal="center" vertical="center"/>
    </x:xf>
    <x:xf numFmtId="0" fontId="16" fillId="64" borderId="38" xfId="0" applyNumberFormat="1" applyFont="1" applyFill="1" applyBorder="1" applyAlignment="1">
      <x:alignment horizontal="center" vertical="center"/>
    </x:xf>
    <x:xf numFmtId="0" fontId="16" fillId="64" borderId="45" xfId="0" applyNumberFormat="1" applyFont="1" applyFill="1" applyBorder="1" applyAlignment="1">
      <x:alignment horizontal="center" vertical="center"/>
    </x:xf>
    <x:xf numFmtId="0" fontId="16" fillId="64" borderId="40" xfId="0" applyNumberFormat="1" applyFont="1" applyFill="1" applyBorder="1" applyAlignment="1">
      <x:alignment horizontal="center" vertical="center"/>
    </x:xf>
    <x:xf numFmtId="0" fontId="17" fillId="64" borderId="38" xfId="0" applyNumberFormat="1" applyFont="1" applyFill="1" applyBorder="1" applyAlignment="1">
      <x:alignment horizontal="center" vertical="center"/>
    </x:xf>
    <x:xf numFmtId="0" fontId="17" fillId="64" borderId="45" xfId="0" applyNumberFormat="1" applyFont="1" applyFill="1" applyBorder="1" applyAlignment="1">
      <x:alignment horizontal="center" vertical="center"/>
    </x:xf>
    <x:xf numFmtId="0" fontId="17" fillId="64" borderId="40" xfId="0" applyNumberFormat="1" applyFont="1" applyFill="1" applyBorder="1" applyAlignment="1">
      <x:alignment horizontal="center" vertical="center"/>
    </x:xf>
    <x:xf numFmtId="0" fontId="18" fillId="64" borderId="38" xfId="0" applyNumberFormat="1" applyFont="1" applyFill="1" applyBorder="1" applyAlignment="1">
      <x:alignment horizontal="center" vertical="center"/>
    </x:xf>
    <x:xf numFmtId="0" fontId="18" fillId="64" borderId="45" xfId="0" applyNumberFormat="1" applyFont="1" applyFill="1" applyBorder="1" applyAlignment="1">
      <x:alignment horizontal="center" vertical="center"/>
    </x:xf>
    <x:xf numFmtId="0" fontId="18" fillId="64" borderId="40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wrapText="1"/>
    </x:xf>
    <x:xf numFmtId="0" fontId="18" fillId="64" borderId="42" xfId="0" applyNumberFormat="1" applyFont="1" applyFill="1" applyBorder="1" applyAlignment="1">
      <x:alignment wrapText="1"/>
    </x:xf>
    <x:xf numFmtId="0" fontId="18" fillId="64" borderId="37" xfId="0" applyNumberFormat="1" applyFont="1" applyFill="1" applyBorder="1" applyAlignment="1">
      <x:alignment wrapText="1"/>
    </x:xf>
    <x:xf numFmtId="0" fontId="18" fillId="64" borderId="38" xfId="0" applyNumberFormat="1" applyFont="1" applyFill="1" applyBorder="1" applyAlignment="1">
      <x:alignment wrapText="1"/>
    </x:xf>
    <x:xf numFmtId="0" fontId="18" fillId="64" borderId="45" xfId="0" applyNumberFormat="1" applyFont="1" applyFill="1" applyBorder="1" applyAlignment="1">
      <x:alignment wrapText="1"/>
    </x:xf>
    <x:xf numFmtId="0" fontId="18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/>
    </x:xf>
    <x:xf numFmtId="0" fontId="41" fillId="64" borderId="35" xfId="0" applyNumberFormat="1" applyFont="1" applyFill="1" applyBorder="1" applyAlignment="1">
      <x:alignment horizontal="center" vertical="center"/>
    </x:xf>
    <x:xf numFmtId="0" fontId="41" fillId="64" borderId="42" xfId="0" applyNumberFormat="1" applyFont="1" applyFill="1" applyBorder="1" applyAlignment="1">
      <x:alignment horizontal="center" vertical="center"/>
    </x:xf>
    <x:xf numFmtId="0" fontId="41" fillId="64" borderId="37" xfId="0" applyNumberFormat="1" applyFont="1" applyFill="1" applyBorder="1" applyAlignment="1">
      <x:alignment horizontal="center" vertical="center"/>
    </x:xf>
    <x:xf numFmtId="0" fontId="41" fillId="64" borderId="38" xfId="0" applyNumberFormat="1" applyFont="1" applyFill="1" applyBorder="1" applyAlignment="1">
      <x:alignment horizontal="center" vertical="center"/>
    </x:xf>
    <x:xf numFmtId="0" fontId="41" fillId="64" borderId="45" xfId="0" applyNumberFormat="1" applyFont="1" applyFill="1" applyBorder="1" applyAlignment="1">
      <x:alignment horizontal="center" vertical="center"/>
    </x:xf>
    <x:xf numFmtId="0" fontId="41" fillId="64" borderId="40" xfId="0" applyNumberFormat="1" applyFont="1" applyFill="1" applyBorder="1" applyAlignment="1">
      <x:alignment horizontal="center" vertical="center"/>
    </x:xf>
    <x:xf numFmtId="0" fontId="41" fillId="64" borderId="35" xfId="0" applyNumberFormat="1" applyFont="1" applyFill="1" applyBorder="1" applyAlignment="1">
      <x:alignment wrapText="1"/>
    </x:xf>
    <x:xf numFmtId="0" fontId="41" fillId="64" borderId="42" xfId="0" applyNumberFormat="1" applyFont="1" applyFill="1" applyBorder="1" applyAlignment="1">
      <x:alignment wrapText="1"/>
    </x:xf>
    <x:xf numFmtId="0" fontId="41" fillId="64" borderId="37" xfId="0" applyNumberFormat="1" applyFont="1" applyFill="1" applyBorder="1" applyAlignment="1">
      <x:alignment wrapText="1"/>
    </x:xf>
    <x:xf numFmtId="0" fontId="41" fillId="64" borderId="38" xfId="0" applyNumberFormat="1" applyFont="1" applyFill="1" applyBorder="1" applyAlignment="1">
      <x:alignment wrapText="1"/>
    </x:xf>
    <x:xf numFmtId="0" fontId="41" fillId="64" borderId="45" xfId="0" applyNumberFormat="1" applyFont="1" applyFill="1" applyBorder="1" applyAlignment="1">
      <x:alignment wrapText="1"/>
    </x:xf>
    <x:xf numFmtId="0" fontId="41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1" fillId="64" borderId="35" xfId="0" applyNumberFormat="1" applyFont="1" applyFill="1" applyBorder="1" applyAlignment="1">
      <x:alignment horizontal="center" vertical="center" wrapText="1"/>
    </x:xf>
    <x:xf numFmtId="0" fontId="41" fillId="64" borderId="42" xfId="0" applyNumberFormat="1" applyFont="1" applyFill="1" applyBorder="1" applyAlignment="1">
      <x:alignment horizontal="center" vertical="center" wrapText="1"/>
    </x:xf>
    <x:xf numFmtId="0" fontId="41" fillId="64" borderId="37" xfId="0" applyNumberFormat="1" applyFont="1" applyFill="1" applyBorder="1" applyAlignment="1">
      <x:alignment horizontal="center" vertical="center" wrapText="1"/>
    </x:xf>
    <x:xf numFmtId="0" fontId="41" fillId="64" borderId="38" xfId="0" applyNumberFormat="1" applyFont="1" applyFill="1" applyBorder="1" applyAlignment="1">
      <x:alignment horizontal="center" vertical="center" wrapText="1"/>
    </x:xf>
    <x:xf numFmtId="0" fontId="41" fillId="64" borderId="45" xfId="0" applyNumberFormat="1" applyFont="1" applyFill="1" applyBorder="1" applyAlignment="1">
      <x:alignment horizontal="center" vertical="center" wrapText="1"/>
    </x:xf>
    <x:xf numFmtId="0" fontId="41" fillId="64" borderId="40" xfId="0" applyNumberFormat="1" applyFont="1" applyFill="1" applyBorder="1" applyAlignment="1">
      <x:alignment horizontal="center" vertical="center" wrapText="1"/>
    </x:xf>
    <x:xf numFmtId="0" fontId="41" fillId="64" borderId="0" xfId="0" applyNumberFormat="1" applyFont="1" applyFill="1" applyBorder="1" applyAlignment="1">
      <x:alignment horizontal="left" vertical="top" wrapText="1"/>
    </x:xf>
    <x:xf numFmtId="0" fontId="41" fillId="64" borderId="35" xfId="0" applyNumberFormat="1" applyFont="1" applyFill="1" applyBorder="1" applyAlignment="1">
      <x:alignment horizontal="center" vertical="top" wrapText="1"/>
    </x:xf>
    <x:xf numFmtId="0" fontId="41" fillId="64" borderId="42" xfId="0" applyNumberFormat="1" applyFont="1" applyFill="1" applyBorder="1" applyAlignment="1">
      <x:alignment horizontal="center" vertical="top" wrapText="1"/>
    </x:xf>
    <x:xf numFmtId="0" fontId="41" fillId="64" borderId="37" xfId="0" applyNumberFormat="1" applyFont="1" applyFill="1" applyBorder="1" applyAlignment="1">
      <x:alignment horizontal="center" vertical="top" wrapText="1"/>
    </x:xf>
    <x:xf numFmtId="0" fontId="41" fillId="64" borderId="38" xfId="0" applyNumberFormat="1" applyFont="1" applyFill="1" applyBorder="1" applyAlignment="1">
      <x:alignment horizontal="center" vertical="top" wrapText="1"/>
    </x:xf>
    <x:xf numFmtId="0" fontId="41" fillId="64" borderId="45" xfId="0" applyNumberFormat="1" applyFont="1" applyFill="1" applyBorder="1" applyAlignment="1">
      <x:alignment horizontal="center" vertical="top" wrapText="1"/>
    </x:xf>
    <x:xf numFmtId="0" fontId="41" fillId="64" borderId="40" xfId="0" applyNumberFormat="1" applyFont="1" applyFill="1" applyBorder="1" applyAlignment="1">
      <x:alignment horizontal="center" vertical="top" wrapText="1"/>
    </x:xf>
    <x:xf numFmtId="0" fontId="41" fillId="64" borderId="35" xfId="0" applyNumberFormat="1" applyFont="1" applyFill="1" applyBorder="1" applyAlignment="1">
      <x:alignment vertical="top" wrapText="1"/>
    </x:xf>
    <x:xf numFmtId="0" fontId="41" fillId="64" borderId="42" xfId="0" applyNumberFormat="1" applyFont="1" applyFill="1" applyBorder="1" applyAlignment="1">
      <x:alignment vertical="top" wrapText="1"/>
    </x:xf>
    <x:xf numFmtId="0" fontId="41" fillId="64" borderId="37" xfId="0" applyNumberFormat="1" applyFont="1" applyFill="1" applyBorder="1" applyAlignment="1">
      <x:alignment vertical="top" wrapText="1"/>
    </x:xf>
    <x:xf numFmtId="0" fontId="41" fillId="64" borderId="38" xfId="0" applyNumberFormat="1" applyFont="1" applyFill="1" applyBorder="1" applyAlignment="1">
      <x:alignment vertical="top" wrapText="1"/>
    </x:xf>
    <x:xf numFmtId="0" fontId="41" fillId="64" borderId="45" xfId="0" applyNumberFormat="1" applyFont="1" applyFill="1" applyBorder="1" applyAlignment="1">
      <x:alignment vertical="top" wrapText="1"/>
    </x:xf>
    <x:xf numFmtId="0" fontId="41" fillId="64" borderId="40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6" fillId="55" borderId="33" xfId="0" applyNumberFormat="1" applyFont="1" applyFill="1" applyBorder="1" applyAlignment="1">
      <x:alignment horizontal="center" vertical="center" wrapText="1"/>
    </x:xf>
    <x:xf numFmtId="0" fontId="36" fillId="57" borderId="4" xfId="0" applyNumberFormat="1" applyFont="1" applyFill="1" applyBorder="1" applyAlignment="1">
      <x:alignment wrapText="1"/>
    </x:xf>
    <x:xf numFmtId="0" fontId="36" fillId="57" borderId="5" xfId="0" applyNumberFormat="1" applyFont="1" applyFill="1" applyBorder="1" applyAlignment="1">
      <x:alignment wrapText="1"/>
    </x:xf>
    <x:xf numFmtId="0" fontId="36" fillId="55" borderId="4" xfId="0" applyNumberFormat="1" applyFont="1" applyFill="1" applyBorder="1" applyAlignment="1">
      <x:alignment wrapText="1"/>
    </x:xf>
    <x:xf numFmtId="0" fontId="36" fillId="55" borderId="0" xfId="0" applyNumberFormat="1" applyFont="1" applyFill="1" applyBorder="1" applyAlignment="1">
      <x:alignment wrapText="1"/>
    </x:xf>
    <x:xf numFmtId="0" fontId="36" fillId="55" borderId="5" xfId="0" applyNumberFormat="1" applyFont="1" applyFill="1" applyBorder="1" applyAlignment="1">
      <x:alignment wrapText="1"/>
    </x:xf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wrapText="1"/>
    </x:xf>
    <x:xf numFmtId="0" fontId="22" fillId="57" borderId="0" xfId="0" applyNumberFormat="1" applyFont="1" applyFill="1" applyBorder="1"/>
    <x:xf numFmtId="0" fontId="0" fillId="58" borderId="0" xfId="0" applyNumberFormat="1" applyFont="1" applyFill="1" applyBorder="1"/>
    <x:xf numFmtId="0" fontId="45" fillId="58" borderId="0" xfId="0" applyNumberFormat="1" applyFont="1" applyFill="1" applyBorder="1"/>
    <x:xf numFmtId="0" fontId="45" fillId="58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6" fillId="65" borderId="0" xfId="0" applyNumberFormat="1" applyFont="1" applyFill="1" applyBorder="1"/>
    <x:xf numFmtId="0" fontId="46" fillId="65" borderId="0" xfId="0" applyNumberFormat="1" applyFont="1" applyFill="1" applyBorder="1" applyAlignment="1">
      <x:alignment wrapText="1"/>
    </x:xf>
    <x:xf numFmtId="0" fontId="46" fillId="65" borderId="0" xfId="0" applyNumberFormat="1" applyFont="1" applyFill="1" applyBorder="1" applyAlignment="1">
      <x:alignment vertical="top" wrapText="1"/>
    </x:xf>
    <x:xf numFmtId="0" fontId="2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6" fillId="57" borderId="0" xfId="0" applyNumberFormat="1" applyFont="1" applyFill="1" applyBorder="1" applyAlignment="1">
      <x:alignment horizontal="left" vertical="center"/>
    </x:xf>
    <x:xf numFmtId="0" fontId="36" fillId="57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9988032e94dd4" /><Relationship Type="http://schemas.openxmlformats.org/officeDocument/2006/relationships/theme" Target="/xl/theme/theme1.xml" Id="Rf9388fa4c3274251" /><Relationship Type="http://schemas.openxmlformats.org/officeDocument/2006/relationships/sharedStrings" Target="/xl/sharedStrings.xml" Id="Ra301b16f56724831" /><Relationship Type="http://schemas.openxmlformats.org/officeDocument/2006/relationships/worksheet" Target="/xl/worksheets/sheet1.xml" Id="R22efc0d010b34739" /><Relationship Type="http://schemas.openxmlformats.org/officeDocument/2006/relationships/worksheet" Target="/xl/worksheets/sheet2.xml" Id="Rb1025f08aa1d497b" /><Relationship Type="http://schemas.openxmlformats.org/officeDocument/2006/relationships/worksheet" Target="/xl/worksheets/sheet3.xml" Id="R08a4bc843d1b459e" /><Relationship Type="http://schemas.openxmlformats.org/officeDocument/2006/relationships/worksheet" Target="/xl/worksheets/sheet4.xml" Id="Rbfb3976894f14784" /><Relationship Type="http://schemas.openxmlformats.org/officeDocument/2006/relationships/worksheet" Target="/xl/worksheets/sheet5.xml" Id="R619c897d38f44e2a" /><Relationship Type="http://schemas.openxmlformats.org/officeDocument/2006/relationships/worksheet" Target="/xl/worksheets/sheet6.xml" Id="R5866cad5553242ae" /><Relationship Type="http://schemas.openxmlformats.org/officeDocument/2006/relationships/worksheet" Target="/xl/worksheets/sheet7.xml" Id="R9d0cddda6ea1477a" /><Relationship Type="http://schemas.openxmlformats.org/officeDocument/2006/relationships/worksheet" Target="/xl/worksheets/sheet8.xml" Id="R8955b3ab1f3c4ad7" /><Relationship Type="http://schemas.openxmlformats.org/officeDocument/2006/relationships/worksheet" Target="/xl/worksheets/sheet9.xml" Id="Ref4082ad64f14756" /><Relationship Type="http://schemas.openxmlformats.org/officeDocument/2006/relationships/worksheet" Target="/xl/worksheets/sheet10.xml" Id="R6b1949c16cbd4ee7" /><Relationship Type="http://schemas.openxmlformats.org/officeDocument/2006/relationships/worksheet" Target="/xl/worksheets/sheet11.xml" Id="Reef21bbcab7747d6" /><Relationship Type="http://schemas.openxmlformats.org/officeDocument/2006/relationships/worksheet" Target="/xl/worksheets/sheet12.xml" Id="Rd28412e7f4074aab" /><Relationship Type="http://schemas.openxmlformats.org/officeDocument/2006/relationships/worksheet" Target="/xl/worksheets/sheet13.xml" Id="Re9e83ab89db04b46" /><Relationship Type="http://schemas.openxmlformats.org/officeDocument/2006/relationships/worksheet" Target="/xl/worksheets/sheet14.xml" Id="Rade23d86e1c243a0" /><Relationship Type="http://schemas.openxmlformats.org/officeDocument/2006/relationships/worksheet" Target="/xl/worksheets/sheet15.xml" Id="R6dde9c18be59478a" /><Relationship Type="http://schemas.openxmlformats.org/officeDocument/2006/relationships/worksheet" Target="/xl/worksheets/sheet16.xml" Id="Red8f1b4c4fd34992" /><Relationship Type="http://schemas.openxmlformats.org/officeDocument/2006/relationships/worksheet" Target="/xl/worksheets/sheet17.xml" Id="R844db11f1cd8428f" /><Relationship Type="http://schemas.openxmlformats.org/officeDocument/2006/relationships/worksheet" Target="/xl/worksheets/sheet18.xml" Id="R9de4daf8e7b94fda" /><Relationship Type="http://schemas.openxmlformats.org/officeDocument/2006/relationships/worksheet" Target="/xl/worksheets/sheet19.xml" Id="Red47349ec8c84d1b" /><Relationship Type="http://schemas.openxmlformats.org/officeDocument/2006/relationships/worksheet" Target="/xl/worksheets/sheet20.xml" Id="R52a2c76ae5304b3b" /><Relationship Type="http://schemas.openxmlformats.org/officeDocument/2006/relationships/worksheet" Target="/xl/worksheets/sheet21.xml" Id="Rcb880daeed9d4fa0" /><Relationship Type="http://schemas.openxmlformats.org/officeDocument/2006/relationships/worksheet" Target="/xl/worksheets/sheet22.xml" Id="R45fd254f78b34bf1" /><Relationship Type="http://schemas.openxmlformats.org/officeDocument/2006/relationships/worksheet" Target="/xl/worksheets/sheet23.xml" Id="R129eb5802a1f4099" /><Relationship Type="http://schemas.openxmlformats.org/officeDocument/2006/relationships/worksheet" Target="/xl/worksheets/sheet24.xml" Id="Rbfae0f5544ea4484" /><Relationship Type="http://schemas.openxmlformats.org/officeDocument/2006/relationships/worksheet" Target="/xl/worksheets/sheet25.xml" Id="R3076be144fb04207" /><Relationship Type="http://schemas.openxmlformats.org/officeDocument/2006/relationships/worksheet" Target="/xl/worksheets/sheet26.xml" Id="R0e2ceb566fd444f2" /><Relationship Type="http://schemas.openxmlformats.org/officeDocument/2006/relationships/worksheet" Target="/xl/worksheets/sheet27.xml" Id="R62a985097a1a4766" /><Relationship Type="http://schemas.openxmlformats.org/officeDocument/2006/relationships/worksheet" Target="/xl/worksheets/sheet28.xml" Id="Rdbe10ebc846243aa" /><Relationship Type="http://schemas.openxmlformats.org/officeDocument/2006/relationships/worksheet" Target="/xl/worksheets/sheet29.xml" Id="R8f2c264620474cfd" /><Relationship Type="http://schemas.openxmlformats.org/officeDocument/2006/relationships/worksheet" Target="/xl/worksheets/sheet30.xml" Id="Rd46a185f538a44c1" /><Relationship Type="http://schemas.openxmlformats.org/officeDocument/2006/relationships/worksheet" Target="/xl/worksheets/sheet31.xml" Id="Rcf3d4f9f30e04b79" /><Relationship Type="http://schemas.openxmlformats.org/officeDocument/2006/relationships/worksheet" Target="/xl/worksheets/sheet32.xml" Id="Re8210a7a72eb421a" /><Relationship Type="http://schemas.openxmlformats.org/officeDocument/2006/relationships/worksheet" Target="/xl/worksheets/sheet33.xml" Id="R245f7d1329364d3c" /><Relationship Type="http://schemas.openxmlformats.org/officeDocument/2006/relationships/worksheet" Target="/xl/worksheets/sheet34.xml" Id="Raf151939af154f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fe7634f3834981" /><Relationship Type="http://schemas.openxmlformats.org/officeDocument/2006/relationships/chart" Target="/xl/drawings/charts/chart2.xml" Id="R8f474b68ce4441e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5e53e12621844f4" /><Relationship Type="http://schemas.openxmlformats.org/officeDocument/2006/relationships/chart" Target="/xl/drawings/charts/chart4.xml" Id="R0954bf6e2b2640ee" /><Relationship Type="http://schemas.openxmlformats.org/officeDocument/2006/relationships/chart" Target="/xl/drawings/charts/chart5.xml" Id="R27ee63a5231845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fe7634f383498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474b68ce4441e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e53e12621844f4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54bf6e2b2640ee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ee63a5231845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16fde046d9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a0a61fee3546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fb3349c7a6641db" /><Relationship Type="http://schemas.openxmlformats.org/officeDocument/2006/relationships/table" Target="/xl/tables/table2.xml" Id="R5d981a0b380d47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c2edba48ed624a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a614be4fd7c54a8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2305f220fa76410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2" hidden="0" customWidth="1"/>
    <x:col min="8" max="8" width="12" hidden="0" customWidth="1"/>
    <x:col min="15" max="15" width="12" hidden="0" customWidth="1"/>
  </x:cols>
  <x:sheetData>
    <x:row r="1" ht="28" customHeight="1">
      <x:c r="A1" s="2339" t="str">
        <x:v>UKD GROW MASTERPLAN v9 · START HERE</x:v>
      </x:c>
      <x:c r="B1" s="2339"/>
      <x:c r="C1" s="2339"/>
      <x:c r="D1" s="2339"/>
      <x:c r="E1" s="2339"/>
      <x:c r="F1" s="2339"/>
      <x:c r="G1" s="2339"/>
      <x:c r="H1" s="2339"/>
      <x:c r="I1" s="2339"/>
      <x:c r="J1" s="2339"/>
      <x:c r="K1" s="2339"/>
      <x:c r="L1" s="2339"/>
      <x:c r="M1" s="2339"/>
      <x:c r="N1" s="2339"/>
      <x:c r="O1" s="2339"/>
    </x:row>
    <x:row r="2" ht="30" customHeight="1">
      <x:c r="A2" s="1817" t="str">
        <x:v>NORTH STAR: In unter 30 Sekunden erkennen: Wo bin ich? Was muss ich messen? Was darf ich tun? Was ist blockiert? Warum? Was muss ich danach loggen?</x:v>
      </x:c>
      <x:c r="B2" s="1817"/>
      <x:c r="C2" s="1817"/>
      <x:c r="D2" s="1817"/>
      <x:c r="E2" s="1817"/>
      <x:c r="F2" s="1817"/>
      <x:c r="G2" s="1817"/>
      <x:c r="H2" s="1817"/>
      <x:c r="I2" s="1817"/>
      <x:c r="J2" s="1817"/>
      <x:c r="K2" s="1817"/>
      <x:c r="L2" s="1817"/>
      <x:c r="M2" s="1817"/>
      <x:c r="N2" s="1817"/>
      <x:c r="O2" s="1817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C3" s="60"/>
      <x:c r="D3" s="14"/>
      <x:c r="E3" s="14"/>
      <x:c r="F3" s="14"/>
      <x:c r="G3" s="14"/>
      <x:c r="H3" s="60"/>
      <x:c r="I3" s="14"/>
      <x:c r="J3" s="14"/>
      <x:c r="K3" s="14"/>
      <x:c r="L3" s="14"/>
      <x:c r="M3" s="14"/>
      <x:c r="N3" s="14"/>
      <x:c r="O3" s="60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2" customHeight="1">
      <x:c r="A4" s="1881" t="str">
        <x:v>GOAL
Eine sichere Tagesentscheidung aus EINER Sicht:
1. Status verstehen
2. fehlende Messung erkennen
3. nächste Aktion ausführen
4. Ergebnis protokollieren
Guided / Advanced / Expert ändern nur Erklärungstiefe, niemals die fachliche Wahrheit.</x:v>
      </x:c>
      <x:c r="B4" s="1882"/>
      <x:c r="C4" s="1883"/>
      <x:c r="D4" s="1881"/>
      <x:c r="E4" s="1884"/>
      <x:c r="F4" s="1883"/>
      <x:c r="G4" s="1885"/>
      <x:c r="H4" s="711"/>
      <x:c r="I4" s="1963" t="str">
        <x:v>PROBLEM, DAS v9 LÖST
- v8 war detailreich, aber Einstieg und 'Was jetzt?' waren zu indirekt.
- App-Laufzeit ist im Quellstand noch v6, während XLSX/PDF bereits v8 waren.
- App hat aktuell 12 Routen, nicht 21; Setup und Log sind noch keine eigenen Routen.
- Mehrere Daily-Formeln referenzierten die Textspalte GM Phase statt den numerischen Bloom-Tag.
- Propagation Eazy Plug/Block -&gt; UGro Rhiza war nicht als eigener Setup-Pfad modelliert.</x:v>
      </x:c>
      <x:c r="J4" s="1964"/>
      <x:c r="K4" s="1965"/>
      <x:c r="L4" s="1966"/>
      <x:c r="M4" s="1964"/>
      <x:c r="N4" s="1967"/>
      <x:c r="O4" s="1966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2" customHeight="1">
      <x:c r="A5" s="1886"/>
      <x:c r="B5" s="1887"/>
      <x:c r="C5" s="1888"/>
      <x:c r="D5" s="1889"/>
      <x:c r="E5" s="1890"/>
      <x:c r="F5" s="1891"/>
      <x:c r="G5" s="1892"/>
      <x:c r="H5" s="488"/>
      <x:c r="I5" s="1968"/>
      <x:c r="J5" s="1969"/>
      <x:c r="K5" s="1970"/>
      <x:c r="L5" s="1971"/>
      <x:c r="M5" s="1969"/>
      <x:c r="N5" s="1972"/>
      <x:c r="O5" s="1971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2" customHeight="1">
      <x:c r="A6" s="1893"/>
      <x:c r="B6" s="1894"/>
      <x:c r="C6" s="1895"/>
      <x:c r="D6" s="1896"/>
      <x:c r="E6" s="1897"/>
      <x:c r="F6" s="1898"/>
      <x:c r="G6" s="1899"/>
      <x:c r="H6" s="491"/>
      <x:c r="I6" s="1973"/>
      <x:c r="J6" s="1974"/>
      <x:c r="K6" s="1975"/>
      <x:c r="L6" s="1976"/>
      <x:c r="M6" s="1974"/>
      <x:c r="N6" s="1977"/>
      <x:c r="O6" s="1976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2" customHeight="1">
      <x:c r="A7" s="1868"/>
      <x:c r="B7" s="1869"/>
      <x:c r="C7" s="1900"/>
      <x:c r="D7" s="1901"/>
      <x:c r="E7" s="1902"/>
      <x:c r="F7" s="1903"/>
      <x:c r="G7" s="1904"/>
      <x:c r="H7" s="494"/>
      <x:c r="I7" s="1978"/>
      <x:c r="J7" s="1979"/>
      <x:c r="K7" s="1980"/>
      <x:c r="L7" s="1981"/>
      <x:c r="M7" s="1979"/>
      <x:c r="N7" s="1982"/>
      <x:c r="O7" s="1981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 ht="22" customHeight="1">
      <x:c r="A8" s="1875"/>
      <x:c r="B8" s="1876"/>
      <x:c r="C8" s="1905"/>
      <x:c r="D8" s="1875"/>
      <x:c r="E8" s="1878"/>
      <x:c r="F8" s="1878"/>
      <x:c r="G8" s="1876"/>
      <x:c r="H8" s="60"/>
      <x:c r="I8" s="1983"/>
      <x:c r="J8" s="1984"/>
      <x:c r="K8" s="1984"/>
      <x:c r="L8" s="1984"/>
      <x:c r="M8" s="1984"/>
      <x:c r="N8" s="1985"/>
      <x:c r="O8" s="1986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/>
      <x:c r="B9" s="601"/>
      <x:c r="C9" s="2340"/>
      <x:c r="D9" s="600"/>
      <x:c r="E9" s="603"/>
      <x:c r="F9" s="603"/>
      <x:c r="G9" s="601"/>
      <x:c r="H9" s="2340"/>
      <x:c r="I9" s="600"/>
      <x:c r="J9" s="2340"/>
      <x:c r="K9" s="2340"/>
      <x:c r="L9" s="2340"/>
      <x:c r="M9" s="2340"/>
      <x:c r="N9" s="601"/>
      <x:c r="O9" s="2340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2" customHeight="1">
      <x:c r="A10" s="1994" t="str">
        <x:v>START HERE · HEUTE IN 3 SCHRITTEN</x:v>
      </x:c>
      <x:c r="B10" s="1995"/>
      <x:c r="C10" s="1994"/>
      <x:c r="D10" s="1997"/>
      <x:c r="E10" s="1994"/>
      <x:c r="F10" s="1995"/>
      <x:c r="G10" s="1998"/>
      <x:c r="H10" s="1995"/>
      <x:c r="I10" s="1994"/>
      <x:c r="J10" s="1995"/>
      <x:c r="K10" s="1994"/>
      <x:c r="L10" s="1995"/>
      <x:c r="M10" s="1994"/>
      <x:c r="N10" s="2341"/>
      <x:c r="O10" s="1995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22" customHeight="1">
      <x:c r="A11" s="2022" t="str">
        <x:f>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</x:f>
        <x:v>1 · MESSEN / PRÜFEN
Phase: Keimung
Wasserchemie: UNKNOWN
pH-Meter: offen
EC-Meter: offen
Propagation: Eazy Plug Mini -&gt; Eazy Block Standard
Regel: Erst fehlende oder fragliche Eingaben klären; Kalender ist keine Freigabe.</x:v>
      </x:c>
      <x:c r="B11" s="2023"/>
      <x:c r="C11" s="2022"/>
      <x:c r="D11" s="2024"/>
      <x:c r="E11" s="2022"/>
      <x:c r="F11" s="1883" t="str">
        <x:f>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</x:f>
        <x:v>2 · ENTSCHEIDEN / AUSFÜHREN
Basis: Kein Basisdünger · 0.00 ml/L
Root: 2.50 · PowerZyme: 0.00
Boost/PK: 0.00 / 0.00
AN heute: keine AN-Dosis heute
Coverage/Gate: OK</x:v>
      </x:c>
      <x:c r="G11" s="1885"/>
      <x:c r="H11" s="1883"/>
      <x:c r="I11" s="1881"/>
      <x:c r="J11" s="1883"/>
      <x:c r="K11" s="2066" t="str">
        <x:f>"3 · LOGGEN / NÄCHSTEN SCHRITT SETZEN"&amp;CHAR(10)&amp;CHAR(10)&amp;"Heute loggen: tatsächliche Bewässerung, Input-pH/EC, Drain/Topfstatus, Beobachtung, Abweichung."&amp;CHAR(10)&amp;CHAR(10)&amp;"STOP-Regel:"&amp;CHAR(10)&amp;INDEX('02_Daily_Master'!$AG$2:$AG$82,'01_Run_Config'!$B$5+1)&amp;CHAR(10)&amp;CHAR(10)&amp;"Danach: Ist-Wert != Soll-Wert sichtbar halten; Korrekturen als neues Ereignis, nicht überschreiben."</x:f>
        <x:v>3 · LOGGEN / NÄCHSTEN SCHRITT SETZEN
Heute loggen: tatsächliche Bewässerung, Input-pH/EC, Drain/Topfstatus, Beobachtung, Abweichung.
STOP-Regel:
EC nicht erhöhen bei steigender Diagnose-Drain-EC; PPFD nicht erhöhen bei Stress; Wasserband nie erzwingen; nie mehrere neue Booster gleichzeitig.
Danach: Ist-Wert != Soll-Wert sichtbar halten; Korrekturen als neues Ereignis, nicht überschreiben.</x:v>
      </x:c>
      <x:c r="L11" s="2067"/>
      <x:c r="M11" s="2066"/>
      <x:c r="N11" s="2068"/>
      <x:c r="O11" s="20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22" customHeight="1">
      <x:c r="A12" s="2025"/>
      <x:c r="B12" s="2026"/>
      <x:c r="C12" s="2025"/>
      <x:c r="D12" s="2026"/>
      <x:c r="E12" s="2025"/>
      <x:c r="F12" s="1903"/>
      <x:c r="G12" s="1901"/>
      <x:c r="H12" s="1903"/>
      <x:c r="I12" s="1901"/>
      <x:c r="J12" s="1903"/>
      <x:c r="K12" s="2069"/>
      <x:c r="L12" s="2070"/>
      <x:c r="M12" s="2069"/>
      <x:c r="N12" s="2071"/>
      <x:c r="O12" s="2070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 ht="22" customHeight="1">
      <x:c r="A13" s="2027"/>
      <x:c r="B13" s="2027"/>
      <x:c r="C13" s="2027"/>
      <x:c r="D13" s="2027"/>
      <x:c r="E13" s="2027"/>
      <x:c r="F13" s="1905"/>
      <x:c r="G13" s="1905"/>
      <x:c r="H13" s="1905"/>
      <x:c r="I13" s="1905"/>
      <x:c r="J13" s="1905"/>
      <x:c r="K13" s="2072"/>
      <x:c r="L13" s="2072"/>
      <x:c r="M13" s="2072"/>
      <x:c r="N13" s="2072"/>
      <x:c r="O13" s="2072"/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2028"/>
      <x:c r="B14" s="2028"/>
      <x:c r="C14" s="2028"/>
      <x:c r="D14" s="2028"/>
      <x:c r="E14" s="2028"/>
      <x:c r="F14" s="2041"/>
      <x:c r="G14" s="2041"/>
      <x:c r="H14" s="2041"/>
      <x:c r="I14" s="2041"/>
      <x:c r="J14" s="2041"/>
      <x:c r="K14" s="2073"/>
      <x:c r="L14" s="2073"/>
      <x:c r="M14" s="2073"/>
      <x:c r="N14" s="2073"/>
      <x:c r="O14" s="2073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2" customHeight="1">
      <x:c r="A15" s="2022"/>
      <x:c r="B15" s="2029"/>
      <x:c r="C15" s="2023"/>
      <x:c r="D15" s="2022"/>
      <x:c r="E15" s="2029"/>
      <x:c r="F15" s="1883"/>
      <x:c r="G15" s="1881"/>
      <x:c r="H15" s="1884"/>
      <x:c r="I15" s="1883"/>
      <x:c r="J15" s="1881"/>
      <x:c r="K15" s="2068"/>
      <x:c r="L15" s="2067"/>
      <x:c r="M15" s="2066"/>
      <x:c r="N15" s="2068"/>
      <x:c r="O15" s="2067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22" customHeight="1">
      <x:c r="A16" s="2022"/>
      <x:c r="B16" s="2029"/>
      <x:c r="C16" s="2023"/>
      <x:c r="D16" s="2022"/>
      <x:c r="E16" s="2029"/>
      <x:c r="F16" s="1883"/>
      <x:c r="G16" s="1881"/>
      <x:c r="H16" s="1884"/>
      <x:c r="I16" s="1883"/>
      <x:c r="J16" s="1881"/>
      <x:c r="K16" s="2068"/>
      <x:c r="L16" s="2067"/>
      <x:c r="M16" s="2066"/>
      <x:c r="N16" s="2068"/>
      <x:c r="O16" s="2067"/>
      <x:c r="P16"/>
      <x:c r="Q16"/>
      <x:c r="R16"/>
      <x:c r="T16"/>
      <x:c r="U16"/>
      <x:c r="V16"/>
      <x:c r="X16"/>
      <x:c r="Y16"/>
      <x:c r="Z16"/>
      <x:c r="AA16"/>
    </x:row>
    <x:row r="17" ht="22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 ht="22" customHeight="1">
      <x:c r="A18" s="2342" t="str">
        <x:v>TODAY / NOW · SOLLWERTE, STATUS UND BLOCKER</x:v>
      </x:c>
      <x:c r="B18" s="2265"/>
      <x:c r="C18" s="2265"/>
      <x:c r="D18" s="2265"/>
      <x:c r="E18" s="2265"/>
      <x:c r="F18" s="2343"/>
      <x:c r="G18" s="2265"/>
      <x:c r="H18" s="2265"/>
      <x:c r="I18" s="2265"/>
      <x:c r="J18" s="2265"/>
      <x:c r="K18" s="2265"/>
      <x:c r="L18" s="2265"/>
      <x:c r="M18" s="2265"/>
      <x:c r="N18" s="2265"/>
      <x:c r="O18" s="2265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2108" t="str">
        <x:f>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</x:f>
        <x:v>RUN
Tag 0 / 80
Phase: Keimung
Ziel: Keimung + Wurzelstart
Medium: UGro Rhiza Coco</x:v>
      </x:c>
      <x:c r="B19" s="2109"/>
      <x:c r="C19" s="2109"/>
      <x:c r="D19" s="2028" t="str">
        <x:f>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</x:f>
        <x:v>TARGETS
PPFD 160 · DLI 10.4
Temp 25.0 °C · rF 73%
EC 0.55 · pH 5.9
Wasserband 0.03–0.08 L</x:v>
      </x:c>
      <x:c r="E19" s="2028"/>
      <x:c r="F19" s="2140"/>
      <x:c r="G19" s="2169" t="str">
        <x:f>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</x:f>
        <x:v>STACK
HESI: UKD HESI + Owned AN 2026-08-10
Microbiome: Voodoo + Tarantula
Si/pH: Athena Balance conditional
CalMag: AN Sensi CalMag Xtra conditional
Tasty Terpenes: OWNED / A-B OFF</x:v>
      </x:c>
      <x:c r="H19" s="2169"/>
      <x:c r="I19" s="2169"/>
      <x:c r="J19" s="2169"/>
      <x:c r="K19" s="2197" t="str">
        <x:f>"BLOCKERS / UNKNOWN"&amp;CHAR(10)&amp;CHAR(10)&amp;"Hybrid coverage: "&amp;'01_Run_Config'!$E$57&amp;CHAR(10)&amp;"Water chemistry: "&amp;'01_Run_Config'!$E$34&amp;CHAR(10)&amp;"Propagation readiness: "&amp;'01_Run_Config'!$E$75&amp;CHAR(10)&amp;"Athena: "&amp;'01_Run_Config'!$E$35&amp;CHAR(10)&amp;"CalMag: "&amp;'01_Run_Config'!$E$54</x:f>
        <x:v>BLOCKERS / UNKNOWN
Hybrid coverage: OK
Water chemistry: UNKNOWN
Propagation readiness: OPEN
Athena: OFF/SAFE
CalMag: SAFE / DOSE 0</x:v>
      </x:c>
      <x:c r="L19" s="2197"/>
      <x:c r="M19" s="2197"/>
      <x:c r="N19" s="2197"/>
      <x:c r="O19" s="2197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2110"/>
      <x:c r="B20" s="2111"/>
      <x:c r="C20" s="2111"/>
      <x:c r="D20" s="2141"/>
      <x:c r="E20" s="2141"/>
      <x:c r="F20" s="2142"/>
      <x:c r="G20" s="2170"/>
      <x:c r="H20" s="2170"/>
      <x:c r="I20" s="2170"/>
      <x:c r="J20" s="2170"/>
      <x:c r="K20" s="2198"/>
      <x:c r="L20" s="2198"/>
      <x:c r="M20" s="2198"/>
      <x:c r="N20" s="2198"/>
      <x:c r="O20" s="2198"/>
      <x:c r="P20"/>
      <x:c r="Q20"/>
      <x:c r="R20"/>
      <x:c r="T20"/>
      <x:c r="U20"/>
      <x:c r="V20"/>
      <x:c r="X20"/>
      <x:c r="Y20"/>
      <x:c r="Z20"/>
      <x:c r="AA20"/>
    </x:row>
    <x:row r="21" ht="22" customHeight="1">
      <x:c r="A21" s="2097"/>
      <x:c r="B21" s="2098"/>
      <x:c r="C21" s="2099"/>
      <x:c r="D21" s="2130"/>
      <x:c r="E21" s="2131"/>
      <x:c r="F21" s="2132"/>
      <x:c r="G21" s="2159"/>
      <x:c r="H21" s="2160"/>
      <x:c r="I21" s="2160"/>
      <x:c r="J21" s="2161"/>
      <x:c r="K21" s="2187"/>
      <x:c r="L21" s="2188"/>
      <x:c r="M21" s="2188"/>
      <x:c r="N21" s="2188"/>
      <x:c r="O21" s="2189"/>
      <x:c r="P21"/>
      <x:c r="Q21"/>
      <x:c r="R21"/>
      <x:c r="T21"/>
      <x:c r="U21"/>
      <x:c r="V21"/>
      <x:c r="X21"/>
      <x:c r="Y21"/>
      <x:c r="Z21"/>
      <x:c r="AA21"/>
    </x:row>
    <x:row r="22" ht="22" customHeight="1">
      <x:c r="A22" s="2100"/>
      <x:c r="B22" s="2101"/>
      <x:c r="C22" s="2102"/>
      <x:c r="D22" s="2133"/>
      <x:c r="E22" s="2134"/>
      <x:c r="F22" s="2135"/>
      <x:c r="G22" s="2162"/>
      <x:c r="H22" s="2163"/>
      <x:c r="I22" s="2163"/>
      <x:c r="J22" s="2164"/>
      <x:c r="K22" s="2190"/>
      <x:c r="L22" s="2191"/>
      <x:c r="M22" s="2191"/>
      <x:c r="N22" s="2191"/>
      <x:c r="O22" s="2192"/>
      <x:c r="P22"/>
      <x:c r="Q22"/>
      <x:c r="R22"/>
      <x:c r="T22"/>
      <x:c r="U22"/>
      <x:c r="V22"/>
      <x:c r="X22"/>
      <x:c r="Y22"/>
      <x:c r="Z22"/>
      <x:c r="AA22"/>
    </x:row>
    <x:row r="23" ht="22" customHeight="1">
      <x:c r="A23" s="2112"/>
      <x:c r="B23" s="2113"/>
      <x:c r="C23" s="2114"/>
      <x:c r="D23" s="2143"/>
      <x:c r="E23" s="2144"/>
      <x:c r="F23" s="2145"/>
      <x:c r="G23" s="2171"/>
      <x:c r="H23" s="2172"/>
      <x:c r="I23" s="2172"/>
      <x:c r="J23" s="2173"/>
      <x:c r="K23" s="2190"/>
      <x:c r="L23" s="2191"/>
      <x:c r="M23" s="2191"/>
      <x:c r="N23" s="2191"/>
      <x:c r="O23" s="2192"/>
      <x:c r="P23"/>
      <x:c r="Q23"/>
      <x:c r="R23"/>
      <x:c r="T23"/>
      <x:c r="U23"/>
      <x:c r="V23"/>
      <x:c r="X23"/>
      <x:c r="Y23"/>
      <x:c r="Z23"/>
      <x:c r="AA23"/>
    </x:row>
    <x:row r="24" ht="22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 ht="22" customHeight="1">
      <x:c r="A25" s="2344" t="str">
        <x:v>CURRENT SETUP · KNOWN / UNKNOWN / WHAT TO CONFIRM</x:v>
      </x:c>
      <x:c r="B25" s="2345"/>
      <x:c r="C25" s="2345"/>
      <x:c r="D25" s="2345"/>
      <x:c r="E25" s="2345"/>
      <x:c r="F25" s="2346"/>
      <x:c r="G25" s="2345"/>
      <x:c r="H25" s="2345"/>
      <x:c r="I25" s="2345"/>
      <x:c r="J25" s="2345"/>
      <x:c r="K25" s="2345"/>
      <x:c r="L25" s="2345"/>
      <x:c r="M25" s="2345"/>
      <x:c r="N25" s="2345"/>
      <x:c r="O25" s="2345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2219" t="str">
        <x:f>"PROPAGATION"&amp;CHAR(10)&amp;CHAR(10)&amp;'01_Run_Config'!$B$67&amp;" -&gt; "&amp;'01_Run_Config'!$B$68&amp;" -&gt; "&amp;'01_Run_Config'!$B$69&amp;CHAR(10)&amp;CHAR(10)&amp;"Eazy reference: "&amp;'01_Run_Config'!$B$70&amp;CHAR(10)&amp;"Rule: "&amp;'01_Run_Config'!$B$73</x:f>
        <x:v>PROPAGATION
Eazy Plug Mini -&gt; Eazy Block Standard -&gt; UGro Rhiza Coco
Eazy reference: pH 5.9 · EC 1.0 mS/cm (1:1.5)
Rule: Do not chase block pH</x:v>
      </x:c>
      <x:c r="B26" s="2041"/>
      <x:c r="C26" s="2041"/>
      <x:c r="D26" s="2041"/>
      <x:c r="E26" s="2041"/>
      <x:c r="F26" s="2243" t="str">
        <x:v>OWNED STOCK
HESI: TNT, Coco, Wurzel Complex, PowerZyme, SuperVit, Boost, PK13/14
AN: Voodoo Juice + Tarantula selected
Conditional: Athena Balance, Sensi Cal Mag Xtra
Owned but OFF: Tasty Terpenes
Tiny remainder / no repurchase: CarboLoad</x:v>
      </x:c>
      <x:c r="G26" s="2169"/>
      <x:c r="H26" s="2169"/>
      <x:c r="I26" s="2169"/>
      <x:c r="J26" s="2169"/>
      <x:c r="K26" s="2073" t="str">
        <x:v>SETUP READINESS
Still missing / to verify:
- water Ca / Mg / HCO3
- meter calibration status
- exact Eazy sizes
- exact UGro Rhiza format/fill volume
- lamp model / PPFD map
- actual run log + photos
Unknown is allowed. Unknown must never become an invented dose.</x:v>
      </x:c>
      <x:c r="L26" s="2073"/>
      <x:c r="M26" s="2073"/>
      <x:c r="N26" s="2073"/>
      <x:c r="O26" s="2073"/>
      <x:c r="P26"/>
      <x:c r="Q26"/>
      <x:c r="R26"/>
      <x:c r="T26"/>
      <x:c r="U26"/>
      <x:c r="V26"/>
      <x:c r="X26"/>
      <x:c r="Y26"/>
      <x:c r="Z26"/>
      <x:c r="AA26"/>
    </x:row>
    <x:row r="27" ht="22" customHeight="1">
      <x:c r="A27" s="2220"/>
      <x:c r="B27" s="2221"/>
      <x:c r="C27" s="2222"/>
      <x:c r="D27" s="2220"/>
      <x:c r="E27" s="2221"/>
      <x:c r="F27" s="2244"/>
      <x:c r="G27" s="2245"/>
      <x:c r="H27" s="2246"/>
      <x:c r="I27" s="2247"/>
      <x:c r="J27" s="2245"/>
      <x:c r="K27" s="2261"/>
      <x:c r="L27" s="2262"/>
      <x:c r="M27" s="2263"/>
      <x:c r="N27" s="2261"/>
      <x:c r="O27" s="2262"/>
      <x:c r="P27"/>
      <x:c r="Q27"/>
      <x:c r="R27"/>
      <x:c r="T27"/>
      <x:c r="U27"/>
      <x:c r="V27"/>
      <x:c r="X27"/>
      <x:c r="Y27"/>
      <x:c r="Z27"/>
      <x:c r="AA27"/>
    </x:row>
    <x:row r="28" ht="22" customHeight="1">
      <x:c r="A28" s="1901"/>
      <x:c r="B28" s="1902"/>
      <x:c r="C28" s="1903"/>
      <x:c r="D28" s="1901"/>
      <x:c r="E28" s="1902"/>
      <x:c r="F28" s="2248"/>
      <x:c r="G28" s="2249"/>
      <x:c r="H28" s="2250"/>
      <x:c r="I28" s="2248"/>
      <x:c r="J28" s="2249"/>
      <x:c r="K28" s="2071"/>
      <x:c r="L28" s="2070"/>
      <x:c r="M28" s="2069"/>
      <x:c r="N28" s="2071"/>
      <x:c r="O28" s="2070"/>
    </x:row>
    <x:row r="29" ht="22" customHeight="1">
      <x:c r="A29" s="1905"/>
      <x:c r="B29" s="1905"/>
      <x:c r="C29" s="1905"/>
      <x:c r="D29" s="1905"/>
      <x:c r="E29" s="1905"/>
      <x:c r="F29" s="2251"/>
      <x:c r="G29" s="2251"/>
      <x:c r="H29" s="2251"/>
      <x:c r="I29" s="2251"/>
      <x:c r="J29" s="2251"/>
      <x:c r="K29" s="2072"/>
      <x:c r="L29" s="2072"/>
      <x:c r="M29" s="2072"/>
      <x:c r="N29" s="2072"/>
      <x:c r="O29" s="2072"/>
    </x:row>
    <x:row r="30" ht="22" customHeight="1">
      <x:c r="A30" s="1889"/>
      <x:c r="B30" s="1890"/>
      <x:c r="C30" s="1891"/>
      <x:c r="D30" s="1889"/>
      <x:c r="E30" s="1890"/>
      <x:c r="F30" s="2247"/>
      <x:c r="G30" s="2245"/>
      <x:c r="H30" s="2246"/>
      <x:c r="I30" s="2247"/>
      <x:c r="J30" s="2245"/>
      <x:c r="K30" s="2261"/>
      <x:c r="L30" s="2262"/>
      <x:c r="M30" s="2263"/>
      <x:c r="N30" s="2261"/>
      <x:c r="O30" s="2262"/>
    </x:row>
    <x:row r="31" ht="22" customHeight="1">
      <x:c r="A31" s="1796"/>
      <x:c r="B31" s="1797"/>
      <x:c r="C31" s="1798"/>
      <x:c r="D31" s="1796"/>
      <x:c r="E31" s="1797"/>
      <x:c r="F31" s="1798"/>
      <x:c r="G31" s="1796"/>
      <x:c r="H31" s="1797"/>
      <x:c r="I31" s="1798"/>
      <x:c r="J31" s="1796"/>
      <x:c r="K31" s="1797"/>
      <x:c r="L31" s="1798"/>
      <x:c r="M31" s="1796"/>
      <x:c r="N31" s="1797"/>
      <x:c r="O31" s="1798"/>
    </x:row>
    <x:row r="32" ht="22" customHeight="1">
      <x:c r="A32" s="2265" t="str">
        <x:v>HOW TO USE THIS WORKBOOK · ONE CANONICAL JOURNEY</x:v>
      </x:c>
      <x:c r="B32" s="2265"/>
      <x:c r="C32" s="2265"/>
      <x:c r="D32" s="2265"/>
      <x:c r="E32" s="2265"/>
      <x:c r="F32" s="2265"/>
      <x:c r="G32" s="2265"/>
      <x:c r="H32" s="2265"/>
      <x:c r="I32" s="2265"/>
      <x:c r="J32" s="2265"/>
      <x:c r="K32" s="2265"/>
      <x:c r="L32" s="2265"/>
      <x:c r="M32" s="2265"/>
      <x:c r="N32" s="2265"/>
      <x:c r="O32" s="2265"/>
    </x:row>
    <x:row r="33" ht="22" customHeight="1">
      <x:c r="A33" s="2323" t="str">
        <x:v>1 SETUP / 01_Run_Config -&gt; known, unknown, blockers, propagation, inventory
2 TODAY / 02_Daily_Master -&gt; what is eligible today; plan target != measured fact
3 MIX / 05_Mix_Calculator -&gt; only the resolved active stack; blocked paths stay zero
4 LOG / 12_Daily_Log -&gt; actual irrigation/feed/measurements/observations/photos
5 REVIEW / 03_Weekly_Master + Timeline -&gt; phase, trends, next trigger, deviations
6 WHY? / README + Evidence + Sources -&gt; manufacturer / research / UKD inference stay separated
Rule: if these surfaces disagree, RELEASE BLOCK - fix the canonical source instead of manually reconciling by eye.</x:v>
      </x:c>
      <x:c r="B33" s="2323"/>
      <x:c r="C33" s="2323"/>
      <x:c r="D33" s="2323"/>
      <x:c r="E33" s="2323"/>
      <x:c r="F33" s="2323"/>
      <x:c r="G33" s="2323"/>
      <x:c r="H33" s="2323"/>
      <x:c r="I33" s="2323"/>
      <x:c r="J33" s="2323"/>
      <x:c r="K33" s="2323"/>
      <x:c r="L33" s="2323"/>
      <x:c r="M33" s="2323"/>
      <x:c r="N33" s="2323"/>
      <x:c r="O33" s="2323"/>
    </x:row>
    <x:row r="34" ht="22" customHeight="1">
      <x:c r="A34" s="2324"/>
      <x:c r="B34" s="2325"/>
      <x:c r="C34" s="2326"/>
      <x:c r="D34" s="2324"/>
      <x:c r="E34" s="2325"/>
      <x:c r="F34" s="2326"/>
      <x:c r="G34" s="2324"/>
      <x:c r="H34" s="2325"/>
      <x:c r="I34" s="2326"/>
      <x:c r="J34" s="2324"/>
      <x:c r="K34" s="2325"/>
      <x:c r="L34" s="2326"/>
      <x:c r="M34" s="2324"/>
      <x:c r="N34" s="2325"/>
      <x:c r="O34" s="2326"/>
    </x:row>
    <x:row r="35" ht="22" customHeight="1">
      <x:c r="A35" s="2327"/>
      <x:c r="B35" s="2328"/>
      <x:c r="C35" s="2329"/>
      <x:c r="D35" s="2327"/>
      <x:c r="E35" s="2328"/>
      <x:c r="F35" s="2329"/>
      <x:c r="G35" s="2327"/>
      <x:c r="H35" s="2328"/>
      <x:c r="I35" s="2329"/>
      <x:c r="J35" s="2327"/>
      <x:c r="K35" s="2328"/>
      <x:c r="L35" s="2329"/>
      <x:c r="M35" s="2327"/>
      <x:c r="N35" s="2328"/>
      <x:c r="O35" s="2329"/>
    </x:row>
    <x:row r="36" ht="22" customHeight="1">
      <x:c r="A36" s="2330"/>
      <x:c r="B36" s="2331"/>
      <x:c r="C36" s="2331"/>
      <x:c r="D36" s="2331"/>
      <x:c r="E36" s="2331"/>
      <x:c r="F36" s="2331"/>
      <x:c r="G36" s="2331"/>
      <x:c r="H36" s="2331"/>
      <x:c r="I36" s="2331"/>
      <x:c r="J36" s="2331"/>
      <x:c r="K36" s="2331"/>
      <x:c r="L36" s="2331"/>
      <x:c r="M36" s="2331"/>
      <x:c r="N36" s="2331"/>
      <x:c r="O36" s="2332"/>
    </x:row>
    <x:row r="37" ht="22" customHeight="1">
      <x:c r="A37" s="2333"/>
      <x:c r="B37" s="2334"/>
      <x:c r="C37" s="2334"/>
      <x:c r="D37" s="2334"/>
      <x:c r="E37" s="2334"/>
      <x:c r="F37" s="2334"/>
      <x:c r="G37" s="2334"/>
      <x:c r="H37" s="2334"/>
      <x:c r="I37" s="2334"/>
      <x:c r="J37" s="2334"/>
      <x:c r="K37" s="2334"/>
      <x:c r="L37" s="2334"/>
      <x:c r="M37" s="2334"/>
      <x:c r="N37" s="2334"/>
      <x:c r="O37" s="2335"/>
    </x:row>
    <x:row r="38" ht="22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</x:row>
    <x:row r="39" ht="22" customHeight="1">
      <x:c r="A39" s="2265" t="str">
        <x:v>STATUS &amp; EVIDENCE LEGEND</x:v>
      </x:c>
      <x:c r="B39" s="2265"/>
      <x:c r="C39" s="2265"/>
      <x:c r="D39" s="2265"/>
      <x:c r="E39" s="2265"/>
      <x:c r="F39" s="2265"/>
      <x:c r="G39" s="2265"/>
      <x:c r="H39" s="2265"/>
      <x:c r="I39" s="2265"/>
      <x:c r="J39" s="2265"/>
      <x:c r="K39" s="2265"/>
      <x:c r="L39" s="2265"/>
      <x:c r="M39" s="2265"/>
      <x:c r="N39" s="2265"/>
      <x:c r="O39" s="2265"/>
    </x:row>
    <x:row r="40" ht="22" customHeight="1">
      <x:c r="A40" s="2020" t="str">
        <x:v>TARGET
Planwert / Trajektorie
Nicht automatisch gemessen oder freigegeben.</x:v>
      </x:c>
      <x:c r="B40" s="2020"/>
      <x:c r="C40" s="2020"/>
      <x:c r="D40" s="1880" t="str">
        <x:v>MEASURED
Tatsächlich gemessener Wert
Braucht Zeitpunkt, Einheit, Gerät/Methodik.</x:v>
      </x:c>
      <x:c r="E40" s="1880"/>
      <x:c r="F40" s="1880"/>
      <x:c r="G40" s="2338" t="str">
        <x:v>USER INPUT / UNKNOWN
Setup-Fakt oder offene Lücke
Nutzereingabe ist keine Evidenz. Unknown bleibt Unknown.</x:v>
      </x:c>
      <x:c r="H40" s="2338"/>
      <x:c r="I40" s="2338"/>
      <x:c r="J40" s="2242" t="str">
        <x:v>MANUFACTURER / UKD
Label + technische Freigabe getrennt von UKD-Engineering-Inferenz.
Keine stille Vermischung.</x:v>
      </x:c>
      <x:c r="K40" s="2242"/>
      <x:c r="L40" s="2242"/>
      <x:c r="M40" s="1962" t="str">
        <x:v>BLOCKED / EXPERIMENTAL
Kein operativer Automatismus.
Blocker persistent; Experiment braucht explizite Aktivierung + Log.</x:v>
      </x:c>
      <x:c r="N40" s="1962"/>
      <x:c r="O40" s="1962"/>
    </x:row>
    <x:row r="41" ht="22" customHeight="1">
      <x:c r="A41" s="2020"/>
      <x:c r="B41" s="2020"/>
      <x:c r="C41" s="2020"/>
      <x:c r="D41" s="1880"/>
      <x:c r="E41" s="1880"/>
      <x:c r="F41" s="1880"/>
      <x:c r="G41" s="2338"/>
      <x:c r="H41" s="2338"/>
      <x:c r="I41" s="2338"/>
      <x:c r="J41" s="2242"/>
      <x:c r="K41" s="2242"/>
      <x:c r="L41" s="2242"/>
      <x:c r="M41" s="1962"/>
      <x:c r="N41" s="1962"/>
      <x:c r="O41" s="1962"/>
    </x:row>
    <x:row r="42" ht="22" customHeight="1">
      <x:c r="A42" s="2020"/>
      <x:c r="B42" s="2020"/>
      <x:c r="C42" s="2020"/>
      <x:c r="D42" s="1880"/>
      <x:c r="E42" s="1880"/>
      <x:c r="F42" s="1880"/>
      <x:c r="G42" s="2338"/>
      <x:c r="H42" s="2338"/>
      <x:c r="I42" s="2338"/>
      <x:c r="J42" s="2242"/>
      <x:c r="K42" s="2242"/>
      <x:c r="L42" s="2242"/>
      <x:c r="M42" s="1962"/>
      <x:c r="N42" s="1962"/>
      <x:c r="O42" s="1962"/>
    </x:row>
    <x:row r="43" ht="22" customHeight="1">
      <x:c r="A43" s="2020"/>
      <x:c r="B43" s="2020"/>
      <x:c r="C43" s="2020"/>
      <x:c r="D43" s="1880"/>
      <x:c r="E43" s="1880"/>
      <x:c r="F43" s="1880"/>
      <x:c r="G43" s="2338"/>
      <x:c r="H43" s="2338"/>
      <x:c r="I43" s="2338"/>
      <x:c r="J43" s="2242"/>
      <x:c r="K43" s="2242"/>
      <x:c r="L43" s="2242"/>
      <x:c r="M43" s="1962"/>
      <x:c r="N43" s="1962"/>
      <x:c r="O43" s="1962"/>
    </x:row>
    <x:row r="44" ht="22" customHeight="1">
      <x:c r="A44" s="2020"/>
      <x:c r="B44" s="2020"/>
      <x:c r="C44" s="2020"/>
      <x:c r="D44" s="1880"/>
      <x:c r="E44" s="1880"/>
      <x:c r="F44" s="1880"/>
      <x:c r="G44" s="2338"/>
      <x:c r="H44" s="2338"/>
      <x:c r="I44" s="2338"/>
      <x:c r="J44" s="2242"/>
      <x:c r="K44" s="2242"/>
      <x:c r="L44" s="2242"/>
      <x:c r="M44" s="1962"/>
      <x:c r="N44" s="1962"/>
      <x:c r="O44" s="1962"/>
    </x:row>
    <x:row r="45" ht="22" customHeight="1">
      <x:c r="A45" s="2020"/>
      <x:c r="B45" s="2020"/>
      <x:c r="C45" s="2020"/>
      <x:c r="D45" s="1880"/>
      <x:c r="E45" s="1880"/>
      <x:c r="F45" s="1880"/>
      <x:c r="G45" s="2338"/>
      <x:c r="H45" s="2338"/>
      <x:c r="I45" s="2338"/>
      <x:c r="J45" s="2242"/>
      <x:c r="K45" s="2242"/>
      <x:c r="L45" s="2242"/>
      <x:c r="M45" s="1962"/>
      <x:c r="N45" s="1962"/>
      <x:c r="O45" s="1962"/>
    </x:row>
  </x:sheetData>
  <x:mergeCells>
    <x:mergeCell ref="A9:O9"/>
    <x:mergeCell ref="A24:F24"/>
    <x:mergeCell ref="G24:J24"/>
    <x:mergeCell ref="K24:O24"/>
    <x:mergeCell ref="A31:F31"/>
    <x:mergeCell ref="G31:J31"/>
    <x:mergeCell ref="K31:O31"/>
    <x:mergeCell ref="A1:O1"/>
    <x:mergeCell ref="A2:O2"/>
    <x:mergeCell ref="A4:G8"/>
    <x:mergeCell ref="I4:O8"/>
    <x:mergeCell ref="A10:O10"/>
    <x:mergeCell ref="A11:E16"/>
    <x:mergeCell ref="F11:J16"/>
    <x:mergeCell ref="K11:O16"/>
    <x:mergeCell ref="A18:O18"/>
    <x:mergeCell ref="A19:C23"/>
    <x:mergeCell ref="D19:F23"/>
    <x:mergeCell ref="G19:J23"/>
    <x:mergeCell ref="K19:O23"/>
    <x:mergeCell ref="A25:O25"/>
    <x:mergeCell ref="A26:E30"/>
    <x:mergeCell ref="F26:J30"/>
    <x:mergeCell ref="K26:O30"/>
    <x:mergeCell ref="A32:O32"/>
    <x:mergeCell ref="A33:O37"/>
    <x:mergeCell ref="A39:O39"/>
    <x:mergeCell ref="A40:C45"/>
    <x:mergeCell ref="D40:F45"/>
    <x:mergeCell ref="G40:I45"/>
    <x:mergeCell ref="J40:L45"/>
    <x:mergeCell ref="M40:O45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f616fde046d9443e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6" hidden="0" customWidth="1"/>
    <x:col min="5" max="5" width="18" hidden="0" customWidth="1"/>
    <x:col min="6" max="6" width="42" hidden="0" customWidth="1"/>
    <x:col min="7" max="7" width="40" hidden="0" customWidth="1"/>
    <x:col min="8" max="8" width="28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Plan-Endtag (Tag 0 = Start)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aus Tagesplan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11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Rhiza Coco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Nur nach Messung / Default AUS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frühester Referenztag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Kalender-Untergrenze, keine Freigabe. Bei Eazy Plug/Block erst Propagation-/Pflanzengate prüfen.</x:v>
      </x:c>
      <x:c r="G32" s="1705" t="str">
        <x:v>Action</x:v>
      </x:c>
      <x:c r="H32" s="1706" t="str">
        <x:v>Evidence</x:v>
      </x:c>
    </x:row>
    <x:row r="33">
      <x:c r="A33" s="1156" t="str">
        <x:v>Blüte-Trigger Tag</x:v>
      </x:c>
      <x:c r="B33" s="1386" t="n"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Nährstoffstart muss vor Blüte-Trigger liegen; beide innerhalb Planfenster.</x:v>
      </x:c>
      <x:c r="G33" s="1708" t="str">
        <x:v>Bei BLOCK keine triggerbasierten Feedwerte als operative Anleitung nutzen.</x:v>
      </x:c>
      <x:c r="H33" s="1709" t="str">
        <x:v>Spreadsheet logic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Athena-/CalMag-Entscheidungen sind ohne gemessenen Source-pH, Ca, Mg und HCO3/Alkalinität unterbestimmt.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</x:v>
      </x:c>
      <x:c r="B35" s="1386" t="str">
        <x:v>unbekannt</x:v>
      </x:c>
      <x:c r="D35" s="1707" t="str">
        <x:v>Athena Balance</x:v>
      </x:c>
      <x:c r="E35" s="1708" t="str">
        <x:f>IF($B$22=0,"OFF/SAFE",IF($E$34="MEASURED","TEST ONLY","BLOCK"))</x:f>
        <x:v>OFF/SAFE</x:v>
      </x:c>
      <x:c r="F35" s="1708" t="str">
        <x:v>Kein universeller offizieller ml/L-Kalenderwert; Einsatz nur als gemessene pH-Anhebung/Testbatch.</x:v>
      </x:c>
      <x:c r="G35" s="1708" t="str">
        <x:v>Bei BLOCK nicht dosieren; erst Baseline-Endmix ohne Balance messen.</x:v>
      </x:c>
      <x:c r="H35" s="1709" t="str">
        <x:v>Athena manufacturer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5.9 ist UKD-Arbeitssetpoint innerhalb HESI-Coco-Herstellerband 5.8–6.2, kein universelles 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Preferred Si/pH buffer</x:v>
      </x:c>
      <x:c r="E64" s="60" t="str">
        <x:v>CONDITIONAL</x:v>
      </x:c>
      <x:c r="F64" s="60" t="str">
        <x:v>Owned and selected, but Athena publishes no universal calendar rate.</x:v>
      </x:c>
      <x:c r="G64" s="60" t="str">
        <x:v>Baseline endmix/water chemistry first; titrate only when needed.</x:v>
      </x:c>
      <x:c r="H64" s="60" t="str">
        <x:v>Athena manufacturer</x:v>
      </x:c>
    </x:row>
    <x:row r="66" ht="32" customHeight="1">
      <x:c r="A66" s="1809" t="str">
        <x:v>PROPAGATION &amp; MEDIUM PATH · v9</x:v>
      </x:c>
      <x:c r="B66" s="1809"/>
      <x:c r="C66" s="1809"/>
      <x:c r="D66" s="1809" t="str">
        <x:v>GOAL / PROBLEM</x:v>
      </x:c>
      <x:c r="E66" s="1809" t="str">
        <x:v>STATUS</x:v>
      </x:c>
      <x:c r="F66" s="1809" t="str">
        <x:v>WHY</x:v>
      </x:c>
      <x:c r="G66" s="1809" t="str">
        <x:v>ACTION</x:v>
      </x:c>
      <x:c r="H66" s="1809" t="str">
        <x:v>SOURCE</x:v>
      </x:c>
    </x:row>
    <x:row r="67" ht="32" customHeight="1">
      <x:c r="A67" s="1812" t="str">
        <x:v>Propagation Start</x:v>
      </x:c>
      <x:c r="B67" s="60" t="str">
        <x:v>Eazy Plug Mini</x:v>
      </x:c>
      <x:c r="C67" s="60"/>
      <x:c r="D67" s="60" t="str">
        <x:v>GOAL</x:v>
      </x:c>
      <x:c r="E67" s="60" t="str">
        <x:v>KNOWN</x:v>
      </x:c>
      <x:c r="F67" s="60" t="str">
        <x:v>Vorgepufferter Startblock; separates propagation from final coco root zone.</x:v>
      </x:c>
      <x:c r="G67" s="60" t="str">
        <x:v>Produktvariante/Abmessung später exakt erfassen.</x:v>
      </x:c>
      <x:c r="H67" s="60" t="str">
        <x:v>Eazy Plug manufacturer</x:v>
      </x:c>
    </x:row>
    <x:row r="68" ht="32" customHeight="1">
      <x:c r="A68" s="1812" t="str">
        <x:v>Intermediate</x:v>
      </x:c>
      <x:c r="B68" s="60" t="str">
        <x:v>Eazy Block Standard</x:v>
      </x:c>
      <x:c r="C68" s="60"/>
      <x:c r="D68" s="60" t="str">
        <x:v>GOAL</x:v>
      </x:c>
      <x:c r="E68" s="60" t="str">
        <x:v>KNOWN</x:v>
      </x:c>
      <x:c r="F68" s="60" t="str">
        <x:v>Transplant-/Rooting bridge before final medium.</x:v>
      </x:c>
      <x:c r="G68" s="60" t="str">
        <x:v>Nicht nach Kalender transplantieren; root-fill/plant state dokumentieren.</x:v>
      </x:c>
      <x:c r="H68" s="60" t="str">
        <x:v>Eazy Plug manufacturer</x:v>
      </x:c>
    </x:row>
    <x:row r="69" ht="32" customHeight="1">
      <x:c r="A69" s="1812" t="str">
        <x:v>Final medium</x:v>
      </x:c>
      <x:c r="B69" s="60" t="str">
        <x:v>UGro Rhiza Coco</x:v>
      </x:c>
      <x:c r="C69" s="60"/>
      <x:c r="D69" s="60" t="str">
        <x:v>GOAL</x:v>
      </x:c>
      <x:c r="E69" s="60" t="str">
        <x:v>KNOWN</x:v>
      </x:c>
      <x:c r="F69" s="60" t="str">
        <x:v>True-buffered coco; Rhiza variant contains endomycorrhizae.</x:v>
      </x:c>
      <x:c r="G69" s="60" t="str">
        <x:v>Exact UGro format/volume in Setup Profile speichern.</x:v>
      </x:c>
      <x:c r="H69" s="60" t="str">
        <x:v>UGro COCO / Simply Organic</x:v>
      </x:c>
    </x:row>
    <x:row r="70" ht="32" customHeight="1">
      <x:c r="A70" s="1812" t="str">
        <x:v>Eazy Plug pH / EC reference</x:v>
      </x:c>
      <x:c r="B70" s="60" t="str">
        <x:v>pH 5.9 · EC 1.0 mS/cm (1:1.5)</x:v>
      </x:c>
      <x:c r="C70" s="60"/>
      <x:c r="D70" s="60" t="str">
        <x:v>PROBLEM</x:v>
      </x:c>
      <x:c r="E70" s="60" t="str">
        <x:v>REFERENCE</x:v>
      </x:c>
      <x:c r="F70" s="60" t="str">
        <x:v>Plug/Block hat bereits predetermined/buffered pH/EC; 'pH des Blocks korrigieren' ist falsches Mentalmodell.</x:v>
      </x:c>
      <x:c r="G70" s="60" t="str">
        <x:v>Irrigation mix beurteilen, Block nicht aggressiv reconditionieren.</x:v>
      </x:c>
      <x:c r="H70" s="60" t="str">
        <x:v>Eazy Plug tech specs / FAQ</x:v>
      </x:c>
    </x:row>
    <x:row r="71" ht="32" customHeight="1">
      <x:c r="A71" s="1812" t="str">
        <x:v>UGro Rhiza pH / EC reference</x:v>
      </x:c>
      <x:c r="B71" s="60" t="str">
        <x:v>pH 5.5–6.5 · EC &lt;0.6 mS/cm (1:1.5)</x:v>
      </x:c>
      <x:c r="C71" s="60"/>
      <x:c r="D71" s="60" t="str">
        <x:v>PROBLEM</x:v>
      </x:c>
      <x:c r="E71" s="60" t="str">
        <x:v>REFERENCE</x:v>
      </x:c>
      <x:c r="F71" s="60" t="str">
        <x:v>Substrat-Spezifikation ist keine fertige Nährlösung und kein universelles Ziel für den Endmix.</x:v>
      </x:c>
      <x:c r="G71" s="60" t="str">
        <x:v>Medium spec getrennt von irrigation target darstellen.</x:v>
      </x:c>
      <x:c r="H71" s="60" t="str">
        <x:v>UGro COCO</x:v>
      </x:c>
    </x:row>
    <x:row r="72" ht="32" customHeight="1">
      <x:c r="A72" s="1812" t="str">
        <x:v>Base-feed activation</x:v>
      </x:c>
      <x:c r="B72" s="60" t="str">
        <x:v>Biological/medium gate</x:v>
      </x:c>
      <x:c r="C72" s="60"/>
      <x:c r="D72" s="60" t="str">
        <x:v>PROBLEM</x:v>
      </x:c>
      <x:c r="E72" s="60" t="str">
        <x:v>REQUIRES CHECK</x:v>
      </x:c>
      <x:c r="F72" s="60" t="str">
        <x:v>Seed + pre-fertilised propagation media make a fixed day-only start unsafe.</x:v>
      </x:c>
      <x:c r="G72" s="60" t="str">
        <x:v>Cotyledon/true-leaf state, plant response and medium/feed context before TNT activation.</x:v>
      </x:c>
      <x:c r="H72" s="60" t="str">
        <x:v>HESI TNT + Eazy Plug</x:v>
      </x:c>
    </x:row>
    <x:row r="73" ht="32" customHeight="1">
      <x:c r="A73" s="1812" t="str">
        <x:v>pH handling propagation</x:v>
      </x:c>
      <x:c r="B73" s="60" t="str">
        <x:v>Do not chase block pH</x:v>
      </x:c>
      <x:c r="C73" s="60"/>
      <x:c r="D73" s="60" t="str">
        <x:v>GOAL</x:v>
      </x:c>
      <x:c r="E73" s="60" t="str">
        <x:v>ACTIVE RULE</x:v>
      </x:c>
      <x:c r="F73" s="60" t="str">
        <x:v>Eazy Plug/Block manufacturer says no pre-correction needed; pH is buffered.</x:v>
      </x:c>
      <x:c r="G73" s="60" t="str">
        <x:v>Only adjust irrigation/fertigation if the complete mix requires it.</x:v>
      </x:c>
      <x:c r="H73" s="60" t="str">
        <x:v>Eazy Plug FAQ</x:v>
      </x:c>
    </x:row>
    <x:row r="74" ht="32" customHeight="1">
      <x:c r="A74" s="1812" t="str">
        <x:v>Transplant trigger</x:v>
      </x:c>
      <x:c r="B74" s="60" t="str">
        <x:v>Root-fill + plant state</x:v>
      </x:c>
      <x:c r="C74" s="60"/>
      <x:c r="D74" s="60" t="str">
        <x:v>PROBLEM</x:v>
      </x:c>
      <x:c r="E74" s="60" t="str">
        <x:v>USER OBSERVATION</x:v>
      </x:c>
      <x:c r="F74" s="60" t="str">
        <x:v>Calendar age alone does not prove root readiness.</x:v>
      </x:c>
      <x:c r="G74" s="60" t="str">
        <x:v>Photo/root observation + event log; preserve actual date.</x:v>
      </x:c>
      <x:c r="H74" s="60" t="str">
        <x:v>UKD process rule</x:v>
      </x:c>
    </x:row>
    <x:row r="75" ht="32" customHeight="1">
      <x:c r="A75" s="1812" t="str">
        <x:v>Setup readiness</x:v>
      </x:c>
      <x:c r="B75" s="60" t="str">
        <x:v>REVIEW</x:v>
      </x:c>
      <x:c r="C75" s="60"/>
      <x:c r="D75" s="60" t="str">
        <x:v>PROBLEM</x:v>
      </x:c>
      <x:c r="E75" s="60" t="str">
        <x:v>OPEN</x:v>
      </x:c>
      <x:c r="F75" s="60" t="str">
        <x:v>Exact Eazy product sizes, water chemistry, meter calibration and final UGro format still need structured setup facts.</x:v>
      </x:c>
      <x:c r="G75" s="60" t="str">
        <x:v>Complete Setup Profile before activating a run snapshot.</x:v>
      </x:c>
      <x:c r="H75" s="60" t="str">
        <x:v>UKD v9 UX</x:v>
      </x:c>
    </x:row>
    <x:row r="76" ht="32" customHeight="1">
      <x:c r="A76" s="1812" t="str">
        <x:v>App handoff</x:v>
      </x:c>
      <x:c r="B76" s="60" t="str">
        <x:v>SetupProfile → RunConfigurationSnapshot</x:v>
      </x:c>
      <x:c r="C76" s="60"/>
      <x:c r="D76" s="60" t="str">
        <x:v>GOAL</x:v>
      </x:c>
      <x:c r="E76" s="60" t="str">
        <x:v>PLANNED</x:v>
      </x:c>
      <x:c r="F76" s="60" t="str">
        <x:v>Propagation path must be immutable per run once activated.</x:v>
      </x:c>
      <x:c r="G76" s="60" t="str">
        <x:v>Implement in app P1 Setup wizard.</x:v>
      </x:c>
      <x:c r="H76" s="60" t="str">
        <x:v>UKD architecture</x:v>
      </x:c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Setpoint (HESI band 5.8–6.2)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Sensizym",0,IF(AND(A2&gt;='01_Run_Config'!$B$32,OR(AL2="",AL2&lt;=49)),2,0))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Overdrive",0,IF(AND(ISNUMBER(AL2),AL2&gt;=29,AL2&lt;=42),0.25+((AL2-29)/13)*0.25,0))</x:f>
        <x:v>0</x:v>
      </x:c>
      <x:c r="AC2" s="62" t="n">
        <x:f>IF('01_Run_Config'!$B$46="OFF",0,IF(OR(A2='01_Run_Config'!$B$32,A2='01_Run_Config'!$B$32+7,A2='01_Run_Config'!$B$33+1,A2='01_Run_Config'!$B$33+8),2,0))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A-B",0,IF(OR(AND(A2&gt;='01_Run_Config'!$B$32,A2&lt;'01_Run_Config'!$B$33),AND(ISNUMBER(AL2),AL2&gt;=15,AL2&lt;=49)),2,0))</x:f>
        <x:v>0</x:v>
      </x:c>
      <x:c r="AW2" t="n">
        <x:f>IF('01_Run_Config'!$B$48="AN Bud Candy (replaces HESI Boost)",IF(AND(A2&gt;='01_Run_Config'!$B$32,OR(AL2="",AL2&lt;=49)),2,0),0)</x:f>
        <x:v>0</x:v>
      </x:c>
      <x:c r="AX2" t="n">
        <x:f>IF('01_Run_Config'!$B$49&lt;&gt;"ON / EXPERIMENTAL",0,IF(OR(AND(A2&gt;='01_Run_Config'!$B$32+7,A2&lt;'01_Run_Config'!$B$33),AND(ISNUMBER(AL2),AL2&gt;=1,AL2&lt;=49)),2,0))</x:f>
        <x:v>0</x:v>
      </x:c>
      <x:c r="AY2" t="n">
        <x:f>IF('01_Run_Config'!$B$50="AN Sensizym",IF(AND(A2&gt;='01_Run_Config'!$B$32,OR(AL2="",AL2&lt;=49)),2,0),0)</x:f>
        <x:v>0</x:v>
      </x:c>
      <x:c r="AZ2" t="n">
        <x:f>IF('01_Run_Config'!$B$51="AN Rhino Skin",IF(AND(A2&gt;='01_Run_Config'!$B$32,OR(AL2="",AL2&lt;=49)),2,0),0)</x:f>
        <x:v>0</x:v>
      </x:c>
      <x:c r="BA2" t="n">
        <x:f>IF(AND('01_Run_Config'!$B$52="AN Bud Ignitor &gt; Big Bud &gt; Overdrive",ISNUMBER(AL2),AL2&gt;=1,AL2&lt;=14),2,0)</x:f>
        <x:v>0</x:v>
      </x:c>
      <x:c r="BB2" t="n">
        <x:f>IF(AND('01_Run_Config'!$B$52="AN Bud Ignitor &gt; Big Bud &gt; Overdrive",ISNUMBER(AL2),AL2&gt;=8,AL2&lt;=35),2,0)</x:f>
        <x:v>0</x:v>
      </x:c>
      <x:c r="BC2" t="n">
        <x:f>IF(AND('01_Run_Config'!$B$52="AN Bud Ignitor &gt; Big Bud &gt; Overdrive",ISNUMBER(AL2),AL2&gt;=36,AL2&lt;=49),2,0)</x:f>
        <x:v>0</x:v>
      </x:c>
      <x:c r="BD2" t="n">
        <x:f>IF('01_Run_Config'!$B$53="ON / EXPERIMENTAL",IF(OR(AND(A2&gt;='01_Run_Config'!$B$32,A2&lt;'01_Run_Config'!$B$33),AND(ISNUMBER(AL2),AL2&gt;=15,AL2&lt;=49)),2,0),0)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Sensizym",0,IF(AND(A3&gt;='01_Run_Config'!$B$32,OR(AL3="",AL3&lt;=49)),2,0))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Overdrive",0,IF(AND(ISNUMBER(AL3),AL3&gt;=29,AL3&lt;=42),0.25+((AL3-29)/13)*0.25,0))</x:f>
        <x:v>0</x:v>
      </x:c>
      <x:c r="AC3" s="63" t="n">
        <x:f>IF('01_Run_Config'!$B$46="OFF",0,IF(OR(A3='01_Run_Config'!$B$32,A3='01_Run_Config'!$B$32+7,A3='01_Run_Config'!$B$33+1,A3='01_Run_Config'!$B$33+8),2,0))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A-B",0,IF(OR(AND(A3&gt;='01_Run_Config'!$B$32,A3&lt;'01_Run_Config'!$B$33),AND(ISNUMBER(AL3),AL3&gt;=15,AL3&lt;=49)),2,0))</x:f>
        <x:v>0</x:v>
      </x:c>
      <x:c r="AW3" t="n">
        <x:f>IF('01_Run_Config'!$B$48="AN Bud Candy (replaces HESI Boost)",IF(AND(A3&gt;='01_Run_Config'!$B$32,OR(AL3="",AL3&lt;=49)),2,0),0)</x:f>
        <x:v>0</x:v>
      </x:c>
      <x:c r="AX3" t="n">
        <x:f>IF('01_Run_Config'!$B$49&lt;&gt;"ON / EXPERIMENTAL",0,IF(OR(AND(A3&gt;='01_Run_Config'!$B$32+7,A3&lt;'01_Run_Config'!$B$33),AND(ISNUMBER(AL3),AL3&gt;=1,AL3&lt;=49)),2,0))</x:f>
        <x:v>0</x:v>
      </x:c>
      <x:c r="AY3" t="n">
        <x:f>IF('01_Run_Config'!$B$50="AN Sensizym",IF(AND(A3&gt;='01_Run_Config'!$B$32,OR(AL3="",AL3&lt;=49)),2,0),0)</x:f>
        <x:v>0</x:v>
      </x:c>
      <x:c r="AZ3" t="n">
        <x:f>IF('01_Run_Config'!$B$51="AN Rhino Skin",IF(AND(A3&gt;='01_Run_Config'!$B$32,OR(AL3="",AL3&lt;=49)),2,0),0)</x:f>
        <x:v>0</x:v>
      </x:c>
      <x:c r="BA3" t="n">
        <x:f>IF(AND('01_Run_Config'!$B$52="AN Bud Ignitor &gt; Big Bud &gt; Overdrive",ISNUMBER(AL3),AL3&gt;=1,AL3&lt;=14),2,0)</x:f>
        <x:v>0</x:v>
      </x:c>
      <x:c r="BB3" t="n">
        <x:f>IF(AND('01_Run_Config'!$B$52="AN Bud Ignitor &gt; Big Bud &gt; Overdrive",ISNUMBER(AL3),AL3&gt;=8,AL3&lt;=35),2,0)</x:f>
        <x:v>0</x:v>
      </x:c>
      <x:c r="BC3" t="n">
        <x:f>IF(AND('01_Run_Config'!$B$52="AN Bud Ignitor &gt; Big Bud &gt; Overdrive",ISNUMBER(AL3),AL3&gt;=36,AL3&lt;=49),2,0)</x:f>
        <x:v>0</x:v>
      </x:c>
      <x:c r="BD3" t="n">
        <x:f>IF('01_Run_Config'!$B$53="ON / EXPERIMENTAL",IF(OR(AND(A3&gt;='01_Run_Config'!$B$32,A3&lt;'01_Run_Config'!$B$33),AND(ISNUMBER(AL3),AL3&gt;=15,AL3&lt;=49)),2,0),0)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Sensizym",0,IF(AND(A4&gt;='01_Run_Config'!$B$32,OR(AL4="",AL4&lt;=49)),2,0))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Overdrive",0,IF(AND(ISNUMBER(AL4),AL4&gt;=29,AL4&lt;=42),0.25+((AL4-29)/13)*0.25,0))</x:f>
        <x:v>0</x:v>
      </x:c>
      <x:c r="AC4" s="63" t="n">
        <x:f>IF('01_Run_Config'!$B$46="OFF",0,IF(OR(A4='01_Run_Config'!$B$32,A4='01_Run_Config'!$B$32+7,A4='01_Run_Config'!$B$33+1,A4='01_Run_Config'!$B$33+8),2,0))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A-B",0,IF(OR(AND(A4&gt;='01_Run_Config'!$B$32,A4&lt;'01_Run_Config'!$B$33),AND(ISNUMBER(AL4),AL4&gt;=15,AL4&lt;=49)),2,0))</x:f>
        <x:v>0</x:v>
      </x:c>
      <x:c r="AW4" t="n">
        <x:f>IF('01_Run_Config'!$B$48="AN Bud Candy (replaces HESI Boost)",IF(AND(A4&gt;='01_Run_Config'!$B$32,OR(AL4="",AL4&lt;=49)),2,0),0)</x:f>
        <x:v>0</x:v>
      </x:c>
      <x:c r="AX4" t="n">
        <x:f>IF('01_Run_Config'!$B$49&lt;&gt;"ON / EXPERIMENTAL",0,IF(OR(AND(A4&gt;='01_Run_Config'!$B$32+7,A4&lt;'01_Run_Config'!$B$33),AND(ISNUMBER(AL4),AL4&gt;=1,AL4&lt;=49)),2,0))</x:f>
        <x:v>0</x:v>
      </x:c>
      <x:c r="AY4" t="n">
        <x:f>IF('01_Run_Config'!$B$50="AN Sensizym",IF(AND(A4&gt;='01_Run_Config'!$B$32,OR(AL4="",AL4&lt;=49)),2,0),0)</x:f>
        <x:v>0</x:v>
      </x:c>
      <x:c r="AZ4" t="n">
        <x:f>IF('01_Run_Config'!$B$51="AN Rhino Skin",IF(AND(A4&gt;='01_Run_Config'!$B$32,OR(AL4="",AL4&lt;=49)),2,0),0)</x:f>
        <x:v>0</x:v>
      </x:c>
      <x:c r="BA4" t="n">
        <x:f>IF(AND('01_Run_Config'!$B$52="AN Bud Ignitor &gt; Big Bud &gt; Overdrive",ISNUMBER(AL4),AL4&gt;=1,AL4&lt;=14),2,0)</x:f>
        <x:v>0</x:v>
      </x:c>
      <x:c r="BB4" t="n">
        <x:f>IF(AND('01_Run_Config'!$B$52="AN Bud Ignitor &gt; Big Bud &gt; Overdrive",ISNUMBER(AL4),AL4&gt;=8,AL4&lt;=35),2,0)</x:f>
        <x:v>0</x:v>
      </x:c>
      <x:c r="BC4" t="n">
        <x:f>IF(AND('01_Run_Config'!$B$52="AN Bud Ignitor &gt; Big Bud &gt; Overdrive",ISNUMBER(AL4),AL4&gt;=36,AL4&lt;=49),2,0)</x:f>
        <x:v>0</x:v>
      </x:c>
      <x:c r="BD4" t="n">
        <x:f>IF('01_Run_Config'!$B$53="ON / EXPERIMENTAL",IF(OR(AND(A4&gt;='01_Run_Config'!$B$32,A4&lt;'01_Run_Config'!$B$33),AND(ISNUMBER(AL4),AL4&gt;=15,AL4&lt;=49)),2,0),0)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Sensizym",0,IF(AND(A5&gt;='01_Run_Config'!$B$32,OR(AL5="",AL5&lt;=49)),2,0))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Overdrive",0,IF(AND(ISNUMBER(AL5),AL5&gt;=29,AL5&lt;=42),0.25+((AL5-29)/13)*0.25,0))</x:f>
        <x:v>0</x:v>
      </x:c>
      <x:c r="AC5" s="63" t="n">
        <x:f>IF('01_Run_Config'!$B$46="OFF",0,IF(OR(A5='01_Run_Config'!$B$32,A5='01_Run_Config'!$B$32+7,A5='01_Run_Config'!$B$33+1,A5='01_Run_Config'!$B$33+8),2,0))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A-B",0,IF(OR(AND(A5&gt;='01_Run_Config'!$B$32,A5&lt;'01_Run_Config'!$B$33),AND(ISNUMBER(AL5),AL5&gt;=15,AL5&lt;=49)),2,0))</x:f>
        <x:v>0</x:v>
      </x:c>
      <x:c r="AW5" t="n">
        <x:f>IF('01_Run_Config'!$B$48="AN Bud Candy (replaces HESI Boost)",IF(AND(A5&gt;='01_Run_Config'!$B$32,OR(AL5="",AL5&lt;=49)),2,0),0)</x:f>
        <x:v>0</x:v>
      </x:c>
      <x:c r="AX5" t="n">
        <x:f>IF('01_Run_Config'!$B$49&lt;&gt;"ON / EXPERIMENTAL",0,IF(OR(AND(A5&gt;='01_Run_Config'!$B$32+7,A5&lt;'01_Run_Config'!$B$33),AND(ISNUMBER(AL5),AL5&gt;=1,AL5&lt;=49)),2,0))</x:f>
        <x:v>0</x:v>
      </x:c>
      <x:c r="AY5" t="n">
        <x:f>IF('01_Run_Config'!$B$50="AN Sensizym",IF(AND(A5&gt;='01_Run_Config'!$B$32,OR(AL5="",AL5&lt;=49)),2,0),0)</x:f>
        <x:v>0</x:v>
      </x:c>
      <x:c r="AZ5" t="n">
        <x:f>IF('01_Run_Config'!$B$51="AN Rhino Skin",IF(AND(A5&gt;='01_Run_Config'!$B$32,OR(AL5="",AL5&lt;=49)),2,0),0)</x:f>
        <x:v>0</x:v>
      </x:c>
      <x:c r="BA5" t="n">
        <x:f>IF(AND('01_Run_Config'!$B$52="AN Bud Ignitor &gt; Big Bud &gt; Overdrive",ISNUMBER(AL5),AL5&gt;=1,AL5&lt;=14),2,0)</x:f>
        <x:v>0</x:v>
      </x:c>
      <x:c r="BB5" t="n">
        <x:f>IF(AND('01_Run_Config'!$B$52="AN Bud Ignitor &gt; Big Bud &gt; Overdrive",ISNUMBER(AL5),AL5&gt;=8,AL5&lt;=35),2,0)</x:f>
        <x:v>0</x:v>
      </x:c>
      <x:c r="BC5" t="n">
        <x:f>IF(AND('01_Run_Config'!$B$52="AN Bud Ignitor &gt; Big Bud &gt; Overdrive",ISNUMBER(AL5),AL5&gt;=36,AL5&lt;=49),2,0)</x:f>
        <x:v>0</x:v>
      </x:c>
      <x:c r="BD5" t="n">
        <x:f>IF('01_Run_Config'!$B$53="ON / EXPERIMENTAL",IF(OR(AND(A5&gt;='01_Run_Config'!$B$32,A5&lt;'01_Run_Config'!$B$33),AND(ISNUMBER(AL5),AL5&gt;=15,AL5&lt;=49)),2,0),0)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Sensizym",0,IF(AND(A6&gt;='01_Run_Config'!$B$32,OR(AL6="",AL6&lt;=49)),2,0))</x:f>
        <x:v>2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Overdrive",0,IF(AND(ISNUMBER(AL6),AL6&gt;=29,AL6&lt;=42),0.25+((AL6-29)/13)*0.25,0))</x:f>
        <x:v>0</x:v>
      </x:c>
      <x:c r="AC6" s="63" t="n">
        <x:f>IF('01_Run_Config'!$B$46="OFF",0,IF(OR(A6='01_Run_Config'!$B$32,A6='01_Run_Config'!$B$32+7,A6='01_Run_Config'!$B$33+1,A6='01_Run_Config'!$B$33+8),2,0))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A-B",0,IF(OR(AND(A6&gt;='01_Run_Config'!$B$32,A6&lt;'01_Run_Config'!$B$33),AND(ISNUMBER(AL6),AL6&gt;=15,AL6&lt;=49)),2,0))</x:f>
        <x:v>0</x:v>
      </x:c>
      <x:c r="AW6" t="n">
        <x:f>IF('01_Run_Config'!$B$48="AN Bud Candy (replaces HESI Boost)",IF(AND(A6&gt;='01_Run_Config'!$B$32,OR(AL6="",AL6&lt;=49)),2,0),0)</x:f>
        <x:v>0</x:v>
      </x:c>
      <x:c r="AX6" t="n">
        <x:f>IF('01_Run_Config'!$B$49&lt;&gt;"ON / EXPERIMENTAL",0,IF(OR(AND(A6&gt;='01_Run_Config'!$B$32+7,A6&lt;'01_Run_Config'!$B$33),AND(ISNUMBER(AL6),AL6&gt;=1,AL6&lt;=49)),2,0))</x:f>
        <x:v>0</x:v>
      </x:c>
      <x:c r="AY6" t="n">
        <x:f>IF('01_Run_Config'!$B$50="AN Sensizym",IF(AND(A6&gt;='01_Run_Config'!$B$32,OR(AL6="",AL6&lt;=49)),2,0),0)</x:f>
        <x:v>0</x:v>
      </x:c>
      <x:c r="AZ6" t="n">
        <x:f>IF('01_Run_Config'!$B$51="AN Rhino Skin",IF(AND(A6&gt;='01_Run_Config'!$B$32,OR(AL6="",AL6&lt;=49)),2,0),0)</x:f>
        <x:v>0</x:v>
      </x:c>
      <x:c r="BA6" t="n">
        <x:f>IF(AND('01_Run_Config'!$B$52="AN Bud Ignitor &gt; Big Bud &gt; Overdrive",ISNUMBER(AL6),AL6&gt;=1,AL6&lt;=14),2,0)</x:f>
        <x:v>0</x:v>
      </x:c>
      <x:c r="BB6" t="n">
        <x:f>IF(AND('01_Run_Config'!$B$52="AN Bud Ignitor &gt; Big Bud &gt; Overdrive",ISNUMBER(AL6),AL6&gt;=8,AL6&lt;=35),2,0)</x:f>
        <x:v>0</x:v>
      </x:c>
      <x:c r="BC6" t="n">
        <x:f>IF(AND('01_Run_Config'!$B$52="AN Bud Ignitor &gt; Big Bud &gt; Overdrive",ISNUMBER(AL6),AL6&gt;=36,AL6&lt;=49),2,0)</x:f>
        <x:v>0</x:v>
      </x:c>
      <x:c r="BD6" t="n">
        <x:f>IF('01_Run_Config'!$B$53="ON / EXPERIMENTAL",IF(OR(AND(A6&gt;='01_Run_Config'!$B$32,A6&lt;'01_Run_Config'!$B$33),AND(ISNUMBER(AL6),AL6&gt;=15,AL6&lt;=49)),2,0),0)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Sensizym",0,IF(AND(A7&gt;='01_Run_Config'!$B$32,OR(AL7="",AL7&lt;=49)),2,0))</x:f>
        <x:v>2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Overdrive",0,IF(AND(ISNUMBER(AL7),AL7&gt;=29,AL7&lt;=42),0.25+((AL7-29)/13)*0.25,0))</x:f>
        <x:v>0</x:v>
      </x:c>
      <x:c r="AC7" s="63" t="n">
        <x:f>IF('01_Run_Config'!$B$46="OFF",0,IF(OR(A7='01_Run_Config'!$B$32,A7='01_Run_Config'!$B$32+7,A7='01_Run_Config'!$B$33+1,A7='01_Run_Config'!$B$33+8),2,0))</x:f>
        <x:v>0</x:v>
      </x:c>
      <x:c r="AD7" s="63" t="str">
        <x:f>IF(BG7="BLOCK","HYBRID BLOCKED - Konfiguration prüfen",IF(SUM(AC7,AT7:BF7)&gt;0,"AN aktiv: "&amp;BH7,"AN: keine Dosis heute / Module aus"))</x:f>
        <x:v>AN: keine Dosis heute / Module aus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0</x:v>
      </x:c>
      <x:c r="AV7" t="n">
        <x:f>IF('01_Run_Config'!$B$47&lt;&gt;"ON / A-B",0,IF(OR(AND(A7&gt;='01_Run_Config'!$B$32,A7&lt;'01_Run_Config'!$B$33),AND(ISNUMBER(AL7),AL7&gt;=15,AL7&lt;=49)),2,0))</x:f>
        <x:v>0</x:v>
      </x:c>
      <x:c r="AW7" t="n">
        <x:f>IF('01_Run_Config'!$B$48="AN Bud Candy (replaces HESI Boost)",IF(AND(A7&gt;='01_Run_Config'!$B$32,OR(AL7="",AL7&lt;=49)),2,0),0)</x:f>
        <x:v>0</x:v>
      </x:c>
      <x:c r="AX7" t="n">
        <x:f>IF('01_Run_Config'!$B$49&lt;&gt;"ON / EXPERIMENTAL",0,IF(OR(AND(A7&gt;='01_Run_Config'!$B$32+7,A7&lt;'01_Run_Config'!$B$33),AND(ISNUMBER(AL7),AL7&gt;=1,AL7&lt;=49)),2,0))</x:f>
        <x:v>0</x:v>
      </x:c>
      <x:c r="AY7" t="n">
        <x:f>IF('01_Run_Config'!$B$50="AN Sensizym",IF(AND(A7&gt;='01_Run_Config'!$B$32,OR(AL7="",AL7&lt;=49)),2,0),0)</x:f>
        <x:v>0</x:v>
      </x:c>
      <x:c r="AZ7" t="n">
        <x:f>IF('01_Run_Config'!$B$51="AN Rhino Skin",IF(AND(A7&gt;='01_Run_Config'!$B$32,OR(AL7="",AL7&lt;=49)),2,0),0)</x:f>
        <x:v>0</x:v>
      </x:c>
      <x:c r="BA7" t="n">
        <x:f>IF(AND('01_Run_Config'!$B$52="AN Bud Ignitor &gt; Big Bud &gt; Overdrive",ISNUMBER(AL7),AL7&gt;=1,AL7&lt;=14),2,0)</x:f>
        <x:v>0</x:v>
      </x:c>
      <x:c r="BB7" t="n">
        <x:f>IF(AND('01_Run_Config'!$B$52="AN Bud Ignitor &gt; Big Bud &gt; Overdrive",ISNUMBER(AL7),AL7&gt;=8,AL7&lt;=35),2,0)</x:f>
        <x:v>0</x:v>
      </x:c>
      <x:c r="BC7" t="n">
        <x:f>IF(AND('01_Run_Config'!$B$52="AN Bud Ignitor &gt; Big Bud &gt; Overdrive",ISNUMBER(AL7),AL7&gt;=36,AL7&lt;=49),2,0)</x:f>
        <x:v>0</x:v>
      </x:c>
      <x:c r="BD7" t="n">
        <x:f>IF('01_Run_Config'!$B$53="ON / EXPERIMENTAL",IF(OR(AND(A7&gt;='01_Run_Config'!$B$32,A7&lt;'01_Run_Config'!$B$33),AND(ISNUMBER(AL7),AL7&gt;=15,AL7&lt;=49)),2,0),0)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keine AN-Dosis heute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Sensizym",0,IF(AND(A8&gt;='01_Run_Config'!$B$32,OR(AL8="",AL8&lt;=49)),2,0))</x:f>
        <x:v>2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Overdrive",0,IF(AND(ISNUMBER(AL8),AL8&gt;=29,AL8&lt;=42),0.25+((AL8-29)/13)*0.25,0))</x:f>
        <x:v>0</x:v>
      </x:c>
      <x:c r="AC8" s="63" t="n">
        <x:f>IF('01_Run_Config'!$B$46="OFF",0,IF(OR(A8='01_Run_Config'!$B$32,A8='01_Run_Config'!$B$32+7,A8='01_Run_Config'!$B$33+1,A8='01_Run_Config'!$B$33+8),2,0))</x:f>
        <x:v>0</x:v>
      </x:c>
      <x:c r="AD8" s="63" t="str">
        <x:f>IF(BG8="BLOCK","HYBRID BLOCKED - Konfiguration prüfen",IF(SUM(AC8,AT8:BF8)&gt;0,"AN aktiv: "&amp;BH8,"AN: keine Dosis heute / Module aus"))</x:f>
        <x:v>AN: keine Dosis heute / Module aus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0</x:v>
      </x:c>
      <x:c r="AV8" t="n">
        <x:f>IF('01_Run_Config'!$B$47&lt;&gt;"ON / A-B",0,IF(OR(AND(A8&gt;='01_Run_Config'!$B$32,A8&lt;'01_Run_Config'!$B$33),AND(ISNUMBER(AL8),AL8&gt;=15,AL8&lt;=49)),2,0))</x:f>
        <x:v>0</x:v>
      </x:c>
      <x:c r="AW8" t="n">
        <x:f>IF('01_Run_Config'!$B$48="AN Bud Candy (replaces HESI Boost)",IF(AND(A8&gt;='01_Run_Config'!$B$32,OR(AL8="",AL8&lt;=49)),2,0),0)</x:f>
        <x:v>0</x:v>
      </x:c>
      <x:c r="AX8" t="n">
        <x:f>IF('01_Run_Config'!$B$49&lt;&gt;"ON / EXPERIMENTAL",0,IF(OR(AND(A8&gt;='01_Run_Config'!$B$32+7,A8&lt;'01_Run_Config'!$B$33),AND(ISNUMBER(AL8),AL8&gt;=1,AL8&lt;=49)),2,0))</x:f>
        <x:v>0</x:v>
      </x:c>
      <x:c r="AY8" t="n">
        <x:f>IF('01_Run_Config'!$B$50="AN Sensizym",IF(AND(A8&gt;='01_Run_Config'!$B$32,OR(AL8="",AL8&lt;=49)),2,0),0)</x:f>
        <x:v>0</x:v>
      </x:c>
      <x:c r="AZ8" t="n">
        <x:f>IF('01_Run_Config'!$B$51="AN Rhino Skin",IF(AND(A8&gt;='01_Run_Config'!$B$32,OR(AL8="",AL8&lt;=49)),2,0),0)</x:f>
        <x:v>0</x:v>
      </x:c>
      <x:c r="BA8" t="n">
        <x:f>IF(AND('01_Run_Config'!$B$52="AN Bud Ignitor &gt; Big Bud &gt; Overdrive",ISNUMBER(AL8),AL8&gt;=1,AL8&lt;=14),2,0)</x:f>
        <x:v>0</x:v>
      </x:c>
      <x:c r="BB8" t="n">
        <x:f>IF(AND('01_Run_Config'!$B$52="AN Bud Ignitor &gt; Big Bud &gt; Overdrive",ISNUMBER(AL8),AL8&gt;=8,AL8&lt;=35),2,0)</x:f>
        <x:v>0</x:v>
      </x:c>
      <x:c r="BC8" t="n">
        <x:f>IF(AND('01_Run_Config'!$B$52="AN Bud Ignitor &gt; Big Bud &gt; Overdrive",ISNUMBER(AL8),AL8&gt;=36,AL8&lt;=49),2,0)</x:f>
        <x:v>0</x:v>
      </x:c>
      <x:c r="BD8" t="n">
        <x:f>IF('01_Run_Config'!$B$53="ON / EXPERIMENTAL",IF(OR(AND(A8&gt;='01_Run_Config'!$B$32,A8&lt;'01_Run_Config'!$B$33),AND(ISNUMBER(AL8),AL8&gt;=15,AL8&lt;=49)),2,0),0)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keine AN-Dosis heute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Sensizym",0,IF(AND(A9&gt;='01_Run_Config'!$B$32,OR(AL9="",AL9&lt;=49)),2,0))</x:f>
        <x:v>2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Overdrive",0,IF(AND(ISNUMBER(AL9),AL9&gt;=29,AL9&lt;=42),0.25+((AL9-29)/13)*0.25,0))</x:f>
        <x:v>0</x:v>
      </x:c>
      <x:c r="AC9" s="63" t="n">
        <x:f>IF('01_Run_Config'!$B$46="OFF",0,IF(OR(A9='01_Run_Config'!$B$32,A9='01_Run_Config'!$B$32+7,A9='01_Run_Config'!$B$33+1,A9='01_Run_Config'!$B$33+8),2,0))</x:f>
        <x:v>0</x:v>
      </x:c>
      <x:c r="AD9" s="63" t="str">
        <x:f>IF(BG9="BLOCK","HYBRID BLOCKED - Konfiguration prüfen",IF(SUM(AC9,AT9:BF9)&gt;0,"AN aktiv: "&amp;BH9,"AN: keine Dosis heute / Module aus"))</x:f>
        <x:v>AN: keine Dosis heute / Module aus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0</x:v>
      </x:c>
      <x:c r="AV9" t="n">
        <x:f>IF('01_Run_Config'!$B$47&lt;&gt;"ON / A-B",0,IF(OR(AND(A9&gt;='01_Run_Config'!$B$32,A9&lt;'01_Run_Config'!$B$33),AND(ISNUMBER(AL9),AL9&gt;=15,AL9&lt;=49)),2,0))</x:f>
        <x:v>0</x:v>
      </x:c>
      <x:c r="AW9" t="n">
        <x:f>IF('01_Run_Config'!$B$48="AN Bud Candy (replaces HESI Boost)",IF(AND(A9&gt;='01_Run_Config'!$B$32,OR(AL9="",AL9&lt;=49)),2,0),0)</x:f>
        <x:v>0</x:v>
      </x:c>
      <x:c r="AX9" t="n">
        <x:f>IF('01_Run_Config'!$B$49&lt;&gt;"ON / EXPERIMENTAL",0,IF(OR(AND(A9&gt;='01_Run_Config'!$B$32+7,A9&lt;'01_Run_Config'!$B$33),AND(ISNUMBER(AL9),AL9&gt;=1,AL9&lt;=49)),2,0))</x:f>
        <x:v>0</x:v>
      </x:c>
      <x:c r="AY9" t="n">
        <x:f>IF('01_Run_Config'!$B$50="AN Sensizym",IF(AND(A9&gt;='01_Run_Config'!$B$32,OR(AL9="",AL9&lt;=49)),2,0),0)</x:f>
        <x:v>0</x:v>
      </x:c>
      <x:c r="AZ9" t="n">
        <x:f>IF('01_Run_Config'!$B$51="AN Rhino Skin",IF(AND(A9&gt;='01_Run_Config'!$B$32,OR(AL9="",AL9&lt;=49)),2,0),0)</x:f>
        <x:v>0</x:v>
      </x:c>
      <x:c r="BA9" t="n">
        <x:f>IF(AND('01_Run_Config'!$B$52="AN Bud Ignitor &gt; Big Bud &gt; Overdrive",ISNUMBER(AL9),AL9&gt;=1,AL9&lt;=14),2,0)</x:f>
        <x:v>0</x:v>
      </x:c>
      <x:c r="BB9" t="n">
        <x:f>IF(AND('01_Run_Config'!$B$52="AN Bud Ignitor &gt; Big Bud &gt; Overdrive",ISNUMBER(AL9),AL9&gt;=8,AL9&lt;=35),2,0)</x:f>
        <x:v>0</x:v>
      </x:c>
      <x:c r="BC9" t="n">
        <x:f>IF(AND('01_Run_Config'!$B$52="AN Bud Ignitor &gt; Big Bud &gt; Overdrive",ISNUMBER(AL9),AL9&gt;=36,AL9&lt;=49),2,0)</x:f>
        <x:v>0</x:v>
      </x:c>
      <x:c r="BD9" t="n">
        <x:f>IF('01_Run_Config'!$B$53="ON / EXPERIMENTAL",IF(OR(AND(A9&gt;='01_Run_Config'!$B$32,A9&lt;'01_Run_Config'!$B$33),AND(ISNUMBER(AL9),AL9&gt;=15,AL9&lt;=49)),2,0),0)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keine AN-Dosis heute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Sensizym",0,IF(AND(A10&gt;='01_Run_Config'!$B$32,OR(AL10="",AL10&lt;=49)),2,0))</x:f>
        <x:v>2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Overdrive",0,IF(AND(ISNUMBER(AL10),AL10&gt;=29,AL10&lt;=42),0.25+((AL10-29)/13)*0.25,0))</x:f>
        <x:v>0</x:v>
      </x:c>
      <x:c r="AC10" s="63" t="n">
        <x:f>IF('01_Run_Config'!$B$46="OFF",0,IF(OR(A10='01_Run_Config'!$B$32,A10='01_Run_Config'!$B$32+7,A10='01_Run_Config'!$B$33+1,A10='01_Run_Config'!$B$33+8),2,0))</x:f>
        <x:v>0</x:v>
      </x:c>
      <x:c r="AD10" s="63" t="str">
        <x:f>IF(BG10="BLOCK","HYBRID BLOCKED - Konfiguration prüfen",IF(SUM(AC10,AT10:BF10)&gt;0,"AN aktiv: "&amp;BH10,"AN: keine Dosis heute / Module aus"))</x:f>
        <x:v>AN: keine Dosis heute / Module aus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0</x:v>
      </x:c>
      <x:c r="AV10" t="n">
        <x:f>IF('01_Run_Config'!$B$47&lt;&gt;"ON / A-B",0,IF(OR(AND(A10&gt;='01_Run_Config'!$B$32,A10&lt;'01_Run_Config'!$B$33),AND(ISNUMBER(AL10),AL10&gt;=15,AL10&lt;=49)),2,0))</x:f>
        <x:v>0</x:v>
      </x:c>
      <x:c r="AW10" t="n">
        <x:f>IF('01_Run_Config'!$B$48="AN Bud Candy (replaces HESI Boost)",IF(AND(A10&gt;='01_Run_Config'!$B$32,OR(AL10="",AL10&lt;=49)),2,0),0)</x:f>
        <x:v>0</x:v>
      </x:c>
      <x:c r="AX10" t="n">
        <x:f>IF('01_Run_Config'!$B$49&lt;&gt;"ON / EXPERIMENTAL",0,IF(OR(AND(A10&gt;='01_Run_Config'!$B$32+7,A10&lt;'01_Run_Config'!$B$33),AND(ISNUMBER(AL10),AL10&gt;=1,AL10&lt;=49)),2,0))</x:f>
        <x:v>0</x:v>
      </x:c>
      <x:c r="AY10" t="n">
        <x:f>IF('01_Run_Config'!$B$50="AN Sensizym",IF(AND(A10&gt;='01_Run_Config'!$B$32,OR(AL10="",AL10&lt;=49)),2,0),0)</x:f>
        <x:v>0</x:v>
      </x:c>
      <x:c r="AZ10" t="n">
        <x:f>IF('01_Run_Config'!$B$51="AN Rhino Skin",IF(AND(A10&gt;='01_Run_Config'!$B$32,OR(AL10="",AL10&lt;=49)),2,0),0)</x:f>
        <x:v>0</x:v>
      </x:c>
      <x:c r="BA10" t="n">
        <x:f>IF(AND('01_Run_Config'!$B$52="AN Bud Ignitor &gt; Big Bud &gt; Overdrive",ISNUMBER(AL10),AL10&gt;=1,AL10&lt;=14),2,0)</x:f>
        <x:v>0</x:v>
      </x:c>
      <x:c r="BB10" t="n">
        <x:f>IF(AND('01_Run_Config'!$B$52="AN Bud Ignitor &gt; Big Bud &gt; Overdrive",ISNUMBER(AL10),AL10&gt;=8,AL10&lt;=35),2,0)</x:f>
        <x:v>0</x:v>
      </x:c>
      <x:c r="BC10" t="n">
        <x:f>IF(AND('01_Run_Config'!$B$52="AN Bud Ignitor &gt; Big Bud &gt; Overdrive",ISNUMBER(AL10),AL10&gt;=36,AL10&lt;=49),2,0)</x:f>
        <x:v>0</x:v>
      </x:c>
      <x:c r="BD10" t="n">
        <x:f>IF('01_Run_Config'!$B$53="ON / EXPERIMENTAL",IF(OR(AND(A10&gt;='01_Run_Config'!$B$32,A10&lt;'01_Run_Config'!$B$33),AND(ISNUMBER(AL10),AL10&gt;=15,AL10&lt;=49)),2,0),0)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keine AN-Dosis heute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Sensizym",0,IF(AND(A11&gt;='01_Run_Config'!$B$32,OR(AL11="",AL11&lt;=49)),2,0))</x:f>
        <x:v>2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Overdrive",0,IF(AND(ISNUMBER(AL11),AL11&gt;=29,AL11&lt;=42),0.25+((AL11-29)/13)*0.25,0))</x:f>
        <x:v>0</x:v>
      </x:c>
      <x:c r="AC11" s="63" t="n">
        <x:f>IF('01_Run_Config'!$B$46="OFF",0,IF(OR(A11='01_Run_Config'!$B$32,A11='01_Run_Config'!$B$32+7,A11='01_Run_Config'!$B$33+1,A11='01_Run_Config'!$B$33+8),2,0))</x:f>
        <x:v>0</x:v>
      </x:c>
      <x:c r="AD11" s="63" t="str">
        <x:f>IF(BG11="BLOCK","HYBRID BLOCKED - Konfiguration prüfen",IF(SUM(AC11,AT11:BF11)&gt;0,"AN aktiv: "&amp;BH11,"AN: keine Dosis heute / Module aus"))</x:f>
        <x:v>AN: keine Dosis heute / Module aus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0</x:v>
      </x:c>
      <x:c r="AV11" t="n">
        <x:f>IF('01_Run_Config'!$B$47&lt;&gt;"ON / A-B",0,IF(OR(AND(A11&gt;='01_Run_Config'!$B$32,A11&lt;'01_Run_Config'!$B$33),AND(ISNUMBER(AL11),AL11&gt;=15,AL11&lt;=49)),2,0))</x:f>
        <x:v>0</x:v>
      </x:c>
      <x:c r="AW11" t="n">
        <x:f>IF('01_Run_Config'!$B$48="AN Bud Candy (replaces HESI Boost)",IF(AND(A11&gt;='01_Run_Config'!$B$32,OR(AL11="",AL11&lt;=49)),2,0),0)</x:f>
        <x:v>0</x:v>
      </x:c>
      <x:c r="AX11" t="n">
        <x:f>IF('01_Run_Config'!$B$49&lt;&gt;"ON / EXPERIMENTAL",0,IF(OR(AND(A11&gt;='01_Run_Config'!$B$32+7,A11&lt;'01_Run_Config'!$B$33),AND(ISNUMBER(AL11),AL11&gt;=1,AL11&lt;=49)),2,0))</x:f>
        <x:v>0</x:v>
      </x:c>
      <x:c r="AY11" t="n">
        <x:f>IF('01_Run_Config'!$B$50="AN Sensizym",IF(AND(A11&gt;='01_Run_Config'!$B$32,OR(AL11="",AL11&lt;=49)),2,0),0)</x:f>
        <x:v>0</x:v>
      </x:c>
      <x:c r="AZ11" t="n">
        <x:f>IF('01_Run_Config'!$B$51="AN Rhino Skin",IF(AND(A11&gt;='01_Run_Config'!$B$32,OR(AL11="",AL11&lt;=49)),2,0),0)</x:f>
        <x:v>0</x:v>
      </x:c>
      <x:c r="BA11" t="n">
        <x:f>IF(AND('01_Run_Config'!$B$52="AN Bud Ignitor &gt; Big Bud &gt; Overdrive",ISNUMBER(AL11),AL11&gt;=1,AL11&lt;=14),2,0)</x:f>
        <x:v>0</x:v>
      </x:c>
      <x:c r="BB11" t="n">
        <x:f>IF(AND('01_Run_Config'!$B$52="AN Bud Ignitor &gt; Big Bud &gt; Overdrive",ISNUMBER(AL11),AL11&gt;=8,AL11&lt;=35),2,0)</x:f>
        <x:v>0</x:v>
      </x:c>
      <x:c r="BC11" t="n">
        <x:f>IF(AND('01_Run_Config'!$B$52="AN Bud Ignitor &gt; Big Bud &gt; Overdrive",ISNUMBER(AL11),AL11&gt;=36,AL11&lt;=49),2,0)</x:f>
        <x:v>0</x:v>
      </x:c>
      <x:c r="BD11" t="n">
        <x:f>IF('01_Run_Config'!$B$53="ON / EXPERIMENTAL",IF(OR(AND(A11&gt;='01_Run_Config'!$B$32,A11&lt;'01_Run_Config'!$B$33),AND(ISNUMBER(AL11),AL11&gt;=15,AL11&lt;=49)),2,0),0)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keine AN-Dosis heute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Sensizym",0,IF(AND(A12&gt;='01_Run_Config'!$B$32,OR(AL12="",AL12&lt;=49)),2,0))</x:f>
        <x:v>2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Overdrive",0,IF(AND(ISNUMBER(AL12),AL12&gt;=29,AL12&lt;=42),0.25+((AL12-29)/13)*0.25,0))</x:f>
        <x:v>0</x:v>
      </x:c>
      <x:c r="AC12" s="63" t="n">
        <x:f>IF('01_Run_Config'!$B$46="OFF",0,IF(OR(A12='01_Run_Config'!$B$32,A12='01_Run_Config'!$B$32+7,A12='01_Run_Config'!$B$33+1,A12='01_Run_Config'!$B$33+8),2,0))</x:f>
        <x:v>0</x:v>
      </x:c>
      <x:c r="AD12" s="63" t="str">
        <x:f>IF(BG12="BLOCK","HYBRID BLOCKED - Konfiguration prüfen",IF(SUM(AC12,AT12:BF12)&gt;0,"AN aktiv: "&amp;BH12,"AN: keine Dosis heute / Module aus"))</x:f>
        <x:v>AN: keine Dosis heute / Module aus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0</x:v>
      </x:c>
      <x:c r="AV12" t="n">
        <x:f>IF('01_Run_Config'!$B$47&lt;&gt;"ON / A-B",0,IF(OR(AND(A12&gt;='01_Run_Config'!$B$32,A12&lt;'01_Run_Config'!$B$33),AND(ISNUMBER(AL12),AL12&gt;=15,AL12&lt;=49)),2,0))</x:f>
        <x:v>0</x:v>
      </x:c>
      <x:c r="AW12" t="n">
        <x:f>IF('01_Run_Config'!$B$48="AN Bud Candy (replaces HESI Boost)",IF(AND(A12&gt;='01_Run_Config'!$B$32,OR(AL12="",AL12&lt;=49)),2,0),0)</x:f>
        <x:v>0</x:v>
      </x:c>
      <x:c r="AX12" t="n">
        <x:f>IF('01_Run_Config'!$B$49&lt;&gt;"ON / EXPERIMENTAL",0,IF(OR(AND(A12&gt;='01_Run_Config'!$B$32+7,A12&lt;'01_Run_Config'!$B$33),AND(ISNUMBER(AL12),AL12&gt;=1,AL12&lt;=49)),2,0))</x:f>
        <x:v>0</x:v>
      </x:c>
      <x:c r="AY12" t="n">
        <x:f>IF('01_Run_Config'!$B$50="AN Sensizym",IF(AND(A12&gt;='01_Run_Config'!$B$32,OR(AL12="",AL12&lt;=49)),2,0),0)</x:f>
        <x:v>0</x:v>
      </x:c>
      <x:c r="AZ12" t="n">
        <x:f>IF('01_Run_Config'!$B$51="AN Rhino Skin",IF(AND(A12&gt;='01_Run_Config'!$B$32,OR(AL12="",AL12&lt;=49)),2,0),0)</x:f>
        <x:v>0</x:v>
      </x:c>
      <x:c r="BA12" t="n">
        <x:f>IF(AND('01_Run_Config'!$B$52="AN Bud Ignitor &gt; Big Bud &gt; Overdrive",ISNUMBER(AL12),AL12&gt;=1,AL12&lt;=14),2,0)</x:f>
        <x:v>0</x:v>
      </x:c>
      <x:c r="BB12" t="n">
        <x:f>IF(AND('01_Run_Config'!$B$52="AN Bud Ignitor &gt; Big Bud &gt; Overdrive",ISNUMBER(AL12),AL12&gt;=8,AL12&lt;=35),2,0)</x:f>
        <x:v>0</x:v>
      </x:c>
      <x:c r="BC12" t="n">
        <x:f>IF(AND('01_Run_Config'!$B$52="AN Bud Ignitor &gt; Big Bud &gt; Overdrive",ISNUMBER(AL12),AL12&gt;=36,AL12&lt;=49),2,0)</x:f>
        <x:v>0</x:v>
      </x:c>
      <x:c r="BD12" t="n">
        <x:f>IF('01_Run_Config'!$B$53="ON / EXPERIMENTAL",IF(OR(AND(A12&gt;='01_Run_Config'!$B$32,A12&lt;'01_Run_Config'!$B$33),AND(ISNUMBER(AL12),AL12&gt;=15,AL12&lt;=49)),2,0),0)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keine AN-Dosis heute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Sensizym",0,IF(AND(A13&gt;='01_Run_Config'!$B$32,OR(AL13="",AL13&lt;=49)),2,0))</x:f>
        <x:v>2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Overdrive",0,IF(AND(ISNUMBER(AL13),AL13&gt;=29,AL13&lt;=42),0.25+((AL13-29)/13)*0.25,0))</x:f>
        <x:v>0</x:v>
      </x:c>
      <x:c r="AC13" s="63" t="n">
        <x:f>IF('01_Run_Config'!$B$46="OFF",0,IF(OR(A13='01_Run_Config'!$B$32,A13='01_Run_Config'!$B$32+7,A13='01_Run_Config'!$B$33+1,A13='01_Run_Config'!$B$33+8),2,0))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A-B",0,IF(OR(AND(A13&gt;='01_Run_Config'!$B$32,A13&lt;'01_Run_Config'!$B$33),AND(ISNUMBER(AL13),AL13&gt;=15,AL13&lt;=49)),2,0))</x:f>
        <x:v>0</x:v>
      </x:c>
      <x:c r="AW13" t="n">
        <x:f>IF('01_Run_Config'!$B$48="AN Bud Candy (replaces HESI Boost)",IF(AND(A13&gt;='01_Run_Config'!$B$32,OR(AL13="",AL13&lt;=49)),2,0),0)</x:f>
        <x:v>0</x:v>
      </x:c>
      <x:c r="AX13" t="n">
        <x:f>IF('01_Run_Config'!$B$49&lt;&gt;"ON / EXPERIMENTAL",0,IF(OR(AND(A13&gt;='01_Run_Config'!$B$32+7,A13&lt;'01_Run_Config'!$B$33),AND(ISNUMBER(AL13),AL13&gt;=1,AL13&lt;=49)),2,0))</x:f>
        <x:v>0</x:v>
      </x:c>
      <x:c r="AY13" t="n">
        <x:f>IF('01_Run_Config'!$B$50="AN Sensizym",IF(AND(A13&gt;='01_Run_Config'!$B$32,OR(AL13="",AL13&lt;=49)),2,0),0)</x:f>
        <x:v>0</x:v>
      </x:c>
      <x:c r="AZ13" t="n">
        <x:f>IF('01_Run_Config'!$B$51="AN Rhino Skin",IF(AND(A13&gt;='01_Run_Config'!$B$32,OR(AL13="",AL13&lt;=49)),2,0),0)</x:f>
        <x:v>0</x:v>
      </x:c>
      <x:c r="BA13" t="n">
        <x:f>IF(AND('01_Run_Config'!$B$52="AN Bud Ignitor &gt; Big Bud &gt; Overdrive",ISNUMBER(AL13),AL13&gt;=1,AL13&lt;=14),2,0)</x:f>
        <x:v>0</x:v>
      </x:c>
      <x:c r="BB13" t="n">
        <x:f>IF(AND('01_Run_Config'!$B$52="AN Bud Ignitor &gt; Big Bud &gt; Overdrive",ISNUMBER(AL13),AL13&gt;=8,AL13&lt;=35),2,0)</x:f>
        <x:v>0</x:v>
      </x:c>
      <x:c r="BC13" t="n">
        <x:f>IF(AND('01_Run_Config'!$B$52="AN Bud Ignitor &gt; Big Bud &gt; Overdrive",ISNUMBER(AL13),AL13&gt;=36,AL13&lt;=49),2,0)</x:f>
        <x:v>0</x:v>
      </x:c>
      <x:c r="BD13" t="n">
        <x:f>IF('01_Run_Config'!$B$53="ON / EXPERIMENTAL",IF(OR(AND(A13&gt;='01_Run_Config'!$B$32,A13&lt;'01_Run_Config'!$B$33),AND(ISNUMBER(AL13),AL13&gt;=15,AL13&lt;=49)),2,0),0)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Sensizym",0,IF(AND(A14&gt;='01_Run_Config'!$B$32,OR(AL14="",AL14&lt;=49)),2,0))</x:f>
        <x:v>2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Overdrive",0,IF(AND(ISNUMBER(AL14),AL14&gt;=29,AL14&lt;=42),0.25+((AL14-29)/13)*0.25,0))</x:f>
        <x:v>0</x:v>
      </x:c>
      <x:c r="AC14" s="63" t="n">
        <x:f>IF('01_Run_Config'!$B$46="OFF",0,IF(OR(A14='01_Run_Config'!$B$32,A14='01_Run_Config'!$B$32+7,A14='01_Run_Config'!$B$33+1,A14='01_Run_Config'!$B$33+8),2,0))</x:f>
        <x:v>0</x:v>
      </x:c>
      <x:c r="AD14" s="63" t="str">
        <x:f>IF(BG14="BLOCK","HYBRID BLOCKED - Konfiguration prüfen",IF(SUM(AC14,AT14:BF14)&gt;0,"AN aktiv: "&amp;BH14,"AN: keine Dosis heute / Module aus"))</x:f>
        <x:v>AN: keine Dosis heute / Module aus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0</x:v>
      </x:c>
      <x:c r="AV14" t="n">
        <x:f>IF('01_Run_Config'!$B$47&lt;&gt;"ON / A-B",0,IF(OR(AND(A14&gt;='01_Run_Config'!$B$32,A14&lt;'01_Run_Config'!$B$33),AND(ISNUMBER(AL14),AL14&gt;=15,AL14&lt;=49)),2,0))</x:f>
        <x:v>0</x:v>
      </x:c>
      <x:c r="AW14" t="n">
        <x:f>IF('01_Run_Config'!$B$48="AN Bud Candy (replaces HESI Boost)",IF(AND(A14&gt;='01_Run_Config'!$B$32,OR(AL14="",AL14&lt;=49)),2,0),0)</x:f>
        <x:v>0</x:v>
      </x:c>
      <x:c r="AX14" t="n">
        <x:f>IF('01_Run_Config'!$B$49&lt;&gt;"ON / EXPERIMENTAL",0,IF(OR(AND(A14&gt;='01_Run_Config'!$B$32+7,A14&lt;'01_Run_Config'!$B$33),AND(ISNUMBER(AL14),AL14&gt;=1,AL14&lt;=49)),2,0))</x:f>
        <x:v>0</x:v>
      </x:c>
      <x:c r="AY14" t="n">
        <x:f>IF('01_Run_Config'!$B$50="AN Sensizym",IF(AND(A14&gt;='01_Run_Config'!$B$32,OR(AL14="",AL14&lt;=49)),2,0),0)</x:f>
        <x:v>0</x:v>
      </x:c>
      <x:c r="AZ14" t="n">
        <x:f>IF('01_Run_Config'!$B$51="AN Rhino Skin",IF(AND(A14&gt;='01_Run_Config'!$B$32,OR(AL14="",AL14&lt;=49)),2,0),0)</x:f>
        <x:v>0</x:v>
      </x:c>
      <x:c r="BA14" t="n">
        <x:f>IF(AND('01_Run_Config'!$B$52="AN Bud Ignitor &gt; Big Bud &gt; Overdrive",ISNUMBER(AL14),AL14&gt;=1,AL14&lt;=14),2,0)</x:f>
        <x:v>0</x:v>
      </x:c>
      <x:c r="BB14" t="n">
        <x:f>IF(AND('01_Run_Config'!$B$52="AN Bud Ignitor &gt; Big Bud &gt; Overdrive",ISNUMBER(AL14),AL14&gt;=8,AL14&lt;=35),2,0)</x:f>
        <x:v>0</x:v>
      </x:c>
      <x:c r="BC14" t="n">
        <x:f>IF(AND('01_Run_Config'!$B$52="AN Bud Ignitor &gt; Big Bud &gt; Overdrive",ISNUMBER(AL14),AL14&gt;=36,AL14&lt;=49),2,0)</x:f>
        <x:v>0</x:v>
      </x:c>
      <x:c r="BD14" t="n">
        <x:f>IF('01_Run_Config'!$B$53="ON / EXPERIMENTAL",IF(OR(AND(A14&gt;='01_Run_Config'!$B$32,A14&lt;'01_Run_Config'!$B$33),AND(ISNUMBER(AL14),AL14&gt;=15,AL14&lt;=49)),2,0),0)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keine AN-Dosis heute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Sensizym",0,IF(AND(A15&gt;='01_Run_Config'!$B$32,OR(AL15="",AL15&lt;=49)),2,0))</x:f>
        <x:v>2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Overdrive",0,IF(AND(ISNUMBER(AL15),AL15&gt;=29,AL15&lt;=42),0.25+((AL15-29)/13)*0.25,0))</x:f>
        <x:v>0</x:v>
      </x:c>
      <x:c r="AC15" s="63" t="n">
        <x:f>IF('01_Run_Config'!$B$46="OFF",0,IF(OR(A15='01_Run_Config'!$B$32,A15='01_Run_Config'!$B$32+7,A15='01_Run_Config'!$B$33+1,A15='01_Run_Config'!$B$33+8),2,0))</x:f>
        <x:v>0</x:v>
      </x:c>
      <x:c r="AD15" s="63" t="str">
        <x:f>IF(BG15="BLOCK","HYBRID BLOCKED - Konfiguration prüfen",IF(SUM(AC15,AT15:BF15)&gt;0,"AN aktiv: "&amp;BH15,"AN: keine Dosis heute / Module aus"))</x:f>
        <x:v>AN: keine Dosis heute / Module aus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0</x:v>
      </x:c>
      <x:c r="AV15" t="n">
        <x:f>IF('01_Run_Config'!$B$47&lt;&gt;"ON / A-B",0,IF(OR(AND(A15&gt;='01_Run_Config'!$B$32,A15&lt;'01_Run_Config'!$B$33),AND(ISNUMBER(AL15),AL15&gt;=15,AL15&lt;=49)),2,0))</x:f>
        <x:v>0</x:v>
      </x:c>
      <x:c r="AW15" t="n">
        <x:f>IF('01_Run_Config'!$B$48="AN Bud Candy (replaces HESI Boost)",IF(AND(A15&gt;='01_Run_Config'!$B$32,OR(AL15="",AL15&lt;=49)),2,0),0)</x:f>
        <x:v>0</x:v>
      </x:c>
      <x:c r="AX15" t="n">
        <x:f>IF('01_Run_Config'!$B$49&lt;&gt;"ON / EXPERIMENTAL",0,IF(OR(AND(A15&gt;='01_Run_Config'!$B$32+7,A15&lt;'01_Run_Config'!$B$33),AND(ISNUMBER(AL15),AL15&gt;=1,AL15&lt;=49)),2,0))</x:f>
        <x:v>0</x:v>
      </x:c>
      <x:c r="AY15" t="n">
        <x:f>IF('01_Run_Config'!$B$50="AN Sensizym",IF(AND(A15&gt;='01_Run_Config'!$B$32,OR(AL15="",AL15&lt;=49)),2,0),0)</x:f>
        <x:v>0</x:v>
      </x:c>
      <x:c r="AZ15" t="n">
        <x:f>IF('01_Run_Config'!$B$51="AN Rhino Skin",IF(AND(A15&gt;='01_Run_Config'!$B$32,OR(AL15="",AL15&lt;=49)),2,0),0)</x:f>
        <x:v>0</x:v>
      </x:c>
      <x:c r="BA15" t="n">
        <x:f>IF(AND('01_Run_Config'!$B$52="AN Bud Ignitor &gt; Big Bud &gt; Overdrive",ISNUMBER(AL15),AL15&gt;=1,AL15&lt;=14),2,0)</x:f>
        <x:v>0</x:v>
      </x:c>
      <x:c r="BB15" t="n">
        <x:f>IF(AND('01_Run_Config'!$B$52="AN Bud Ignitor &gt; Big Bud &gt; Overdrive",ISNUMBER(AL15),AL15&gt;=8,AL15&lt;=35),2,0)</x:f>
        <x:v>0</x:v>
      </x:c>
      <x:c r="BC15" t="n">
        <x:f>IF(AND('01_Run_Config'!$B$52="AN Bud Ignitor &gt; Big Bud &gt; Overdrive",ISNUMBER(AL15),AL15&gt;=36,AL15&lt;=49),2,0)</x:f>
        <x:v>0</x:v>
      </x:c>
      <x:c r="BD15" t="n">
        <x:f>IF('01_Run_Config'!$B$53="ON / EXPERIMENTAL",IF(OR(AND(A15&gt;='01_Run_Config'!$B$32,A15&lt;'01_Run_Config'!$B$33),AND(ISNUMBER(AL15),AL15&gt;=15,AL15&lt;=49)),2,0),0)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keine AN-Dosis heute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Sensizym",0,IF(AND(A16&gt;='01_Run_Config'!$B$32,OR(AL16="",AL16&lt;=49)),2,0))</x:f>
        <x:v>2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Overdrive",0,IF(AND(ISNUMBER(AL16),AL16&gt;=29,AL16&lt;=42),0.25+((AL16-29)/13)*0.25,0))</x:f>
        <x:v>0</x:v>
      </x:c>
      <x:c r="AC16" s="63" t="n">
        <x:f>IF('01_Run_Config'!$B$46="OFF",0,IF(OR(A16='01_Run_Config'!$B$32,A16='01_Run_Config'!$B$32+7,A16='01_Run_Config'!$B$33+1,A16='01_Run_Config'!$B$33+8),2,0))</x:f>
        <x:v>0</x:v>
      </x:c>
      <x:c r="AD16" s="63" t="str">
        <x:f>IF(BG16="BLOCK","HYBRID BLOCKED - Konfiguration prüfen",IF(SUM(AC16,AT16:BF16)&gt;0,"AN aktiv: "&amp;BH16,"AN: keine Dosis heute / Module aus"))</x:f>
        <x:v>AN: keine Dosis heute / Module aus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0</x:v>
      </x:c>
      <x:c r="AV16" t="n">
        <x:f>IF('01_Run_Config'!$B$47&lt;&gt;"ON / A-B",0,IF(OR(AND(A16&gt;='01_Run_Config'!$B$32,A16&lt;'01_Run_Config'!$B$33),AND(ISNUMBER(AL16),AL16&gt;=15,AL16&lt;=49)),2,0))</x:f>
        <x:v>0</x:v>
      </x:c>
      <x:c r="AW16" t="n">
        <x:f>IF('01_Run_Config'!$B$48="AN Bud Candy (replaces HESI Boost)",IF(AND(A16&gt;='01_Run_Config'!$B$32,OR(AL16="",AL16&lt;=49)),2,0),0)</x:f>
        <x:v>0</x:v>
      </x:c>
      <x:c r="AX16" t="n">
        <x:f>IF('01_Run_Config'!$B$49&lt;&gt;"ON / EXPERIMENTAL",0,IF(OR(AND(A16&gt;='01_Run_Config'!$B$32+7,A16&lt;'01_Run_Config'!$B$33),AND(ISNUMBER(AL16),AL16&gt;=1,AL16&lt;=49)),2,0))</x:f>
        <x:v>0</x:v>
      </x:c>
      <x:c r="AY16" t="n">
        <x:f>IF('01_Run_Config'!$B$50="AN Sensizym",IF(AND(A16&gt;='01_Run_Config'!$B$32,OR(AL16="",AL16&lt;=49)),2,0),0)</x:f>
        <x:v>0</x:v>
      </x:c>
      <x:c r="AZ16" t="n">
        <x:f>IF('01_Run_Config'!$B$51="AN Rhino Skin",IF(AND(A16&gt;='01_Run_Config'!$B$32,OR(AL16="",AL16&lt;=49)),2,0),0)</x:f>
        <x:v>0</x:v>
      </x:c>
      <x:c r="BA16" t="n">
        <x:f>IF(AND('01_Run_Config'!$B$52="AN Bud Ignitor &gt; Big Bud &gt; Overdrive",ISNUMBER(AL16),AL16&gt;=1,AL16&lt;=14),2,0)</x:f>
        <x:v>0</x:v>
      </x:c>
      <x:c r="BB16" t="n">
        <x:f>IF(AND('01_Run_Config'!$B$52="AN Bud Ignitor &gt; Big Bud &gt; Overdrive",ISNUMBER(AL16),AL16&gt;=8,AL16&lt;=35),2,0)</x:f>
        <x:v>0</x:v>
      </x:c>
      <x:c r="BC16" t="n">
        <x:f>IF(AND('01_Run_Config'!$B$52="AN Bud Ignitor &gt; Big Bud &gt; Overdrive",ISNUMBER(AL16),AL16&gt;=36,AL16&lt;=49),2,0)</x:f>
        <x:v>0</x:v>
      </x:c>
      <x:c r="BD16" t="n">
        <x:f>IF('01_Run_Config'!$B$53="ON / EXPERIMENTAL",IF(OR(AND(A16&gt;='01_Run_Config'!$B$32,A16&lt;'01_Run_Config'!$B$33),AND(ISNUMBER(AL16),AL16&gt;=15,AL16&lt;=49)),2,0),0)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keine AN-Dosis heute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Sensizym",0,IF(AND(A17&gt;='01_Run_Config'!$B$32,OR(AL17="",AL17&lt;=49)),2,0))</x:f>
        <x:v>2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Overdrive",0,IF(AND(ISNUMBER(AL17),AL17&gt;=29,AL17&lt;=42),0.25+((AL17-29)/13)*0.25,0))</x:f>
        <x:v>0</x:v>
      </x:c>
      <x:c r="AC17" s="63" t="n">
        <x:f>IF('01_Run_Config'!$B$46="OFF",0,IF(OR(A17='01_Run_Config'!$B$32,A17='01_Run_Config'!$B$32+7,A17='01_Run_Config'!$B$33+1,A17='01_Run_Config'!$B$33+8),2,0))</x:f>
        <x:v>0</x:v>
      </x:c>
      <x:c r="AD17" s="63" t="str">
        <x:f>IF(BG17="BLOCK","HYBRID BLOCKED - Konfiguration prüfen",IF(SUM(AC17,AT17:BF17)&gt;0,"AN aktiv: "&amp;BH17,"AN: keine Dosis heute / Module aus"))</x:f>
        <x:v>AN: keine Dosis heute / Module aus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0</x:v>
      </x:c>
      <x:c r="AV17" t="n">
        <x:f>IF('01_Run_Config'!$B$47&lt;&gt;"ON / A-B",0,IF(OR(AND(A17&gt;='01_Run_Config'!$B$32,A17&lt;'01_Run_Config'!$B$33),AND(ISNUMBER(AL17),AL17&gt;=15,AL17&lt;=49)),2,0))</x:f>
        <x:v>0</x:v>
      </x:c>
      <x:c r="AW17" t="n">
        <x:f>IF('01_Run_Config'!$B$48="AN Bud Candy (replaces HESI Boost)",IF(AND(A17&gt;='01_Run_Config'!$B$32,OR(AL17="",AL17&lt;=49)),2,0),0)</x:f>
        <x:v>0</x:v>
      </x:c>
      <x:c r="AX17" t="n">
        <x:f>IF('01_Run_Config'!$B$49&lt;&gt;"ON / EXPERIMENTAL",0,IF(OR(AND(A17&gt;='01_Run_Config'!$B$32+7,A17&lt;'01_Run_Config'!$B$33),AND(ISNUMBER(AL17),AL17&gt;=1,AL17&lt;=49)),2,0))</x:f>
        <x:v>0</x:v>
      </x:c>
      <x:c r="AY17" t="n">
        <x:f>IF('01_Run_Config'!$B$50="AN Sensizym",IF(AND(A17&gt;='01_Run_Config'!$B$32,OR(AL17="",AL17&lt;=49)),2,0),0)</x:f>
        <x:v>0</x:v>
      </x:c>
      <x:c r="AZ17" t="n">
        <x:f>IF('01_Run_Config'!$B$51="AN Rhino Skin",IF(AND(A17&gt;='01_Run_Config'!$B$32,OR(AL17="",AL17&lt;=49)),2,0),0)</x:f>
        <x:v>0</x:v>
      </x:c>
      <x:c r="BA17" t="n">
        <x:f>IF(AND('01_Run_Config'!$B$52="AN Bud Ignitor &gt; Big Bud &gt; Overdrive",ISNUMBER(AL17),AL17&gt;=1,AL17&lt;=14),2,0)</x:f>
        <x:v>0</x:v>
      </x:c>
      <x:c r="BB17" t="n">
        <x:f>IF(AND('01_Run_Config'!$B$52="AN Bud Ignitor &gt; Big Bud &gt; Overdrive",ISNUMBER(AL17),AL17&gt;=8,AL17&lt;=35),2,0)</x:f>
        <x:v>0</x:v>
      </x:c>
      <x:c r="BC17" t="n">
        <x:f>IF(AND('01_Run_Config'!$B$52="AN Bud Ignitor &gt; Big Bud &gt; Overdrive",ISNUMBER(AL17),AL17&gt;=36,AL17&lt;=49),2,0)</x:f>
        <x:v>0</x:v>
      </x:c>
      <x:c r="BD17" t="n">
        <x:f>IF('01_Run_Config'!$B$53="ON / EXPERIMENTAL",IF(OR(AND(A17&gt;='01_Run_Config'!$B$32,A17&lt;'01_Run_Config'!$B$33),AND(ISNUMBER(AL17),AL17&gt;=15,AL17&lt;=49)),2,0),0)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keine AN-Dosis heute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Sensizym",0,IF(AND(A18&gt;='01_Run_Config'!$B$32,OR(AL18="",AL18&lt;=49)),2,0))</x:f>
        <x:v>2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Overdrive",0,IF(AND(ISNUMBER(AL18),AL18&gt;=29,AL18&lt;=42),0.25+((AL18-29)/13)*0.25,0))</x:f>
        <x:v>0</x:v>
      </x:c>
      <x:c r="AC18" s="63" t="n">
        <x:f>IF('01_Run_Config'!$B$46="OFF",0,IF(OR(A18='01_Run_Config'!$B$32,A18='01_Run_Config'!$B$32+7,A18='01_Run_Config'!$B$33+1,A18='01_Run_Config'!$B$33+8),2,0))</x:f>
        <x:v>0</x:v>
      </x:c>
      <x:c r="AD18" s="63" t="str">
        <x:f>IF(BG18="BLOCK","HYBRID BLOCKED - Konfiguration prüfen",IF(SUM(AC18,AT18:BF18)&gt;0,"AN aktiv: "&amp;BH18,"AN: keine Dosis heute / Module aus"))</x:f>
        <x:v>AN: keine Dosis heute / Module aus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0</x:v>
      </x:c>
      <x:c r="AV18" t="n">
        <x:f>IF('01_Run_Config'!$B$47&lt;&gt;"ON / A-B",0,IF(OR(AND(A18&gt;='01_Run_Config'!$B$32,A18&lt;'01_Run_Config'!$B$33),AND(ISNUMBER(AL18),AL18&gt;=15,AL18&lt;=49)),2,0))</x:f>
        <x:v>0</x:v>
      </x:c>
      <x:c r="AW18" t="n">
        <x:f>IF('01_Run_Config'!$B$48="AN Bud Candy (replaces HESI Boost)",IF(AND(A18&gt;='01_Run_Config'!$B$32,OR(AL18="",AL18&lt;=49)),2,0),0)</x:f>
        <x:v>0</x:v>
      </x:c>
      <x:c r="AX18" t="n">
        <x:f>IF('01_Run_Config'!$B$49&lt;&gt;"ON / EXPERIMENTAL",0,IF(OR(AND(A18&gt;='01_Run_Config'!$B$32+7,A18&lt;'01_Run_Config'!$B$33),AND(ISNUMBER(AL18),AL18&gt;=1,AL18&lt;=49)),2,0))</x:f>
        <x:v>0</x:v>
      </x:c>
      <x:c r="AY18" t="n">
        <x:f>IF('01_Run_Config'!$B$50="AN Sensizym",IF(AND(A18&gt;='01_Run_Config'!$B$32,OR(AL18="",AL18&lt;=49)),2,0),0)</x:f>
        <x:v>0</x:v>
      </x:c>
      <x:c r="AZ18" t="n">
        <x:f>IF('01_Run_Config'!$B$51="AN Rhino Skin",IF(AND(A18&gt;='01_Run_Config'!$B$32,OR(AL18="",AL18&lt;=49)),2,0),0)</x:f>
        <x:v>0</x:v>
      </x:c>
      <x:c r="BA18" t="n">
        <x:f>IF(AND('01_Run_Config'!$B$52="AN Bud Ignitor &gt; Big Bud &gt; Overdrive",ISNUMBER(AL18),AL18&gt;=1,AL18&lt;=14),2,0)</x:f>
        <x:v>0</x:v>
      </x:c>
      <x:c r="BB18" t="n">
        <x:f>IF(AND('01_Run_Config'!$B$52="AN Bud Ignitor &gt; Big Bud &gt; Overdrive",ISNUMBER(AL18),AL18&gt;=8,AL18&lt;=35),2,0)</x:f>
        <x:v>0</x:v>
      </x:c>
      <x:c r="BC18" t="n">
        <x:f>IF(AND('01_Run_Config'!$B$52="AN Bud Ignitor &gt; Big Bud &gt; Overdrive",ISNUMBER(AL18),AL18&gt;=36,AL18&lt;=49),2,0)</x:f>
        <x:v>0</x:v>
      </x:c>
      <x:c r="BD18" t="n">
        <x:f>IF('01_Run_Config'!$B$53="ON / EXPERIMENTAL",IF(OR(AND(A18&gt;='01_Run_Config'!$B$32,A18&lt;'01_Run_Config'!$B$33),AND(ISNUMBER(AL18),AL18&gt;=15,AL18&lt;=49)),2,0),0)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keine AN-Dosis heute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Sensizym",0,IF(AND(A19&gt;='01_Run_Config'!$B$32,OR(AL19="",AL19&lt;=49)),2,0))</x:f>
        <x:v>2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Overdrive",0,IF(AND(ISNUMBER(AL19),AL19&gt;=29,AL19&lt;=42),0.25+((AL19-29)/13)*0.25,0))</x:f>
        <x:v>0</x:v>
      </x:c>
      <x:c r="AC19" s="63" t="n">
        <x:f>IF('01_Run_Config'!$B$46="OFF",0,IF(OR(A19='01_Run_Config'!$B$32,A19='01_Run_Config'!$B$32+7,A19='01_Run_Config'!$B$33+1,A19='01_Run_Config'!$B$33+8),2,0))</x:f>
        <x:v>0</x:v>
      </x:c>
      <x:c r="AD19" s="63" t="str">
        <x:f>IF(BG19="BLOCK","HYBRID BLOCKED - Konfiguration prüfen",IF(SUM(AC19,AT19:BF19)&gt;0,"AN aktiv: "&amp;BH19,"AN: keine Dosis heute / Module aus"))</x:f>
        <x:v>AN: keine Dosis heute / Module aus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0</x:v>
      </x:c>
      <x:c r="AV19" t="n">
        <x:f>IF('01_Run_Config'!$B$47&lt;&gt;"ON / A-B",0,IF(OR(AND(A19&gt;='01_Run_Config'!$B$32,A19&lt;'01_Run_Config'!$B$33),AND(ISNUMBER(AL19),AL19&gt;=15,AL19&lt;=49)),2,0))</x:f>
        <x:v>0</x:v>
      </x:c>
      <x:c r="AW19" t="n">
        <x:f>IF('01_Run_Config'!$B$48="AN Bud Candy (replaces HESI Boost)",IF(AND(A19&gt;='01_Run_Config'!$B$32,OR(AL19="",AL19&lt;=49)),2,0),0)</x:f>
        <x:v>0</x:v>
      </x:c>
      <x:c r="AX19" t="n">
        <x:f>IF('01_Run_Config'!$B$49&lt;&gt;"ON / EXPERIMENTAL",0,IF(OR(AND(A19&gt;='01_Run_Config'!$B$32+7,A19&lt;'01_Run_Config'!$B$33),AND(ISNUMBER(AL19),AL19&gt;=1,AL19&lt;=49)),2,0))</x:f>
        <x:v>0</x:v>
      </x:c>
      <x:c r="AY19" t="n">
        <x:f>IF('01_Run_Config'!$B$50="AN Sensizym",IF(AND(A19&gt;='01_Run_Config'!$B$32,OR(AL19="",AL19&lt;=49)),2,0),0)</x:f>
        <x:v>0</x:v>
      </x:c>
      <x:c r="AZ19" t="n">
        <x:f>IF('01_Run_Config'!$B$51="AN Rhino Skin",IF(AND(A19&gt;='01_Run_Config'!$B$32,OR(AL19="",AL19&lt;=49)),2,0),0)</x:f>
        <x:v>0</x:v>
      </x:c>
      <x:c r="BA19" t="n">
        <x:f>IF(AND('01_Run_Config'!$B$52="AN Bud Ignitor &gt; Big Bud &gt; Overdrive",ISNUMBER(AL19),AL19&gt;=1,AL19&lt;=14),2,0)</x:f>
        <x:v>0</x:v>
      </x:c>
      <x:c r="BB19" t="n">
        <x:f>IF(AND('01_Run_Config'!$B$52="AN Bud Ignitor &gt; Big Bud &gt; Overdrive",ISNUMBER(AL19),AL19&gt;=8,AL19&lt;=35),2,0)</x:f>
        <x:v>0</x:v>
      </x:c>
      <x:c r="BC19" t="n">
        <x:f>IF(AND('01_Run_Config'!$B$52="AN Bud Ignitor &gt; Big Bud &gt; Overdrive",ISNUMBER(AL19),AL19&gt;=36,AL19&lt;=49),2,0)</x:f>
        <x:v>0</x:v>
      </x:c>
      <x:c r="BD19" t="n">
        <x:f>IF('01_Run_Config'!$B$53="ON / EXPERIMENTAL",IF(OR(AND(A19&gt;='01_Run_Config'!$B$32,A19&lt;'01_Run_Config'!$B$33),AND(ISNUMBER(AL19),AL19&gt;=15,AL19&lt;=49)),2,0),0)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keine AN-Dosis heute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Sensizym",0,IF(AND(A20&gt;='01_Run_Config'!$B$32,OR(AL20="",AL20&lt;=49)),2,0))</x:f>
        <x:v>2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Overdrive",0,IF(AND(ISNUMBER(AL20),AL20&gt;=29,AL20&lt;=42),0.25+((AL20-29)/13)*0.25,0))</x:f>
        <x:v>0</x:v>
      </x:c>
      <x:c r="AC20" s="63" t="n">
        <x:f>IF('01_Run_Config'!$B$46="OFF",0,IF(OR(A20='01_Run_Config'!$B$32,A20='01_Run_Config'!$B$32+7,A20='01_Run_Config'!$B$33+1,A20='01_Run_Config'!$B$33+8),2,0))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A-B",0,IF(OR(AND(A20&gt;='01_Run_Config'!$B$32,A20&lt;'01_Run_Config'!$B$33),AND(ISNUMBER(AL20),AL20&gt;=15,AL20&lt;=49)),2,0))</x:f>
        <x:v>0</x:v>
      </x:c>
      <x:c r="AW20" t="n">
        <x:f>IF('01_Run_Config'!$B$48="AN Bud Candy (replaces HESI Boost)",IF(AND(A20&gt;='01_Run_Config'!$B$32,OR(AL20="",AL20&lt;=49)),2,0),0)</x:f>
        <x:v>0</x:v>
      </x:c>
      <x:c r="AX20" t="n">
        <x:f>IF('01_Run_Config'!$B$49&lt;&gt;"ON / EXPERIMENTAL",0,IF(OR(AND(A20&gt;='01_Run_Config'!$B$32+7,A20&lt;'01_Run_Config'!$B$33),AND(ISNUMBER(AL20),AL20&gt;=1,AL20&lt;=49)),2,0))</x:f>
        <x:v>0</x:v>
      </x:c>
      <x:c r="AY20" t="n">
        <x:f>IF('01_Run_Config'!$B$50="AN Sensizym",IF(AND(A20&gt;='01_Run_Config'!$B$32,OR(AL20="",AL20&lt;=49)),2,0),0)</x:f>
        <x:v>0</x:v>
      </x:c>
      <x:c r="AZ20" t="n">
        <x:f>IF('01_Run_Config'!$B$51="AN Rhino Skin",IF(AND(A20&gt;='01_Run_Config'!$B$32,OR(AL20="",AL20&lt;=49)),2,0),0)</x:f>
        <x:v>0</x:v>
      </x:c>
      <x:c r="BA20" t="n">
        <x:f>IF(AND('01_Run_Config'!$B$52="AN Bud Ignitor &gt; Big Bud &gt; Overdrive",ISNUMBER(AL20),AL20&gt;=1,AL20&lt;=14),2,0)</x:f>
        <x:v>0</x:v>
      </x:c>
      <x:c r="BB20" t="n">
        <x:f>IF(AND('01_Run_Config'!$B$52="AN Bud Ignitor &gt; Big Bud &gt; Overdrive",ISNUMBER(AL20),AL20&gt;=8,AL20&lt;=35),2,0)</x:f>
        <x:v>0</x:v>
      </x:c>
      <x:c r="BC20" t="n">
        <x:f>IF(AND('01_Run_Config'!$B$52="AN Bud Ignitor &gt; Big Bud &gt; Overdrive",ISNUMBER(AL20),AL20&gt;=36,AL20&lt;=49),2,0)</x:f>
        <x:v>0</x:v>
      </x:c>
      <x:c r="BD20" t="n">
        <x:f>IF('01_Run_Config'!$B$53="ON / EXPERIMENTAL",IF(OR(AND(A20&gt;='01_Run_Config'!$B$32,A20&lt;'01_Run_Config'!$B$33),AND(ISNUMBER(AL20),AL20&gt;=15,AL20&lt;=49)),2,0),0)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Sensizym",0,IF(AND(A21&gt;='01_Run_Config'!$B$32,OR(AL21="",AL21&lt;=49)),2,0))</x:f>
        <x:v>2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Overdrive",0,IF(AND(ISNUMBER(AL21),AL21&gt;=29,AL21&lt;=42),0.25+((AL21-29)/13)*0.25,0))</x:f>
        <x:v>0</x:v>
      </x:c>
      <x:c r="AC21" s="63" t="n">
        <x:f>IF('01_Run_Config'!$B$46="OFF",0,IF(OR(A21='01_Run_Config'!$B$32,A21='01_Run_Config'!$B$32+7,A21='01_Run_Config'!$B$33+1,A21='01_Run_Config'!$B$33+8),2,0))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A-B",0,IF(OR(AND(A21&gt;='01_Run_Config'!$B$32,A21&lt;'01_Run_Config'!$B$33),AND(ISNUMBER(AL21),AL21&gt;=15,AL21&lt;=49)),2,0))</x:f>
        <x:v>0</x:v>
      </x:c>
      <x:c r="AW21" t="n">
        <x:f>IF('01_Run_Config'!$B$48="AN Bud Candy (replaces HESI Boost)",IF(AND(A21&gt;='01_Run_Config'!$B$32,OR(AL21="",AL21&lt;=49)),2,0),0)</x:f>
        <x:v>0</x:v>
      </x:c>
      <x:c r="AX21" t="n">
        <x:f>IF('01_Run_Config'!$B$49&lt;&gt;"ON / EXPERIMENTAL",0,IF(OR(AND(A21&gt;='01_Run_Config'!$B$32+7,A21&lt;'01_Run_Config'!$B$33),AND(ISNUMBER(AL21),AL21&gt;=1,AL21&lt;=49)),2,0))</x:f>
        <x:v>0</x:v>
      </x:c>
      <x:c r="AY21" t="n">
        <x:f>IF('01_Run_Config'!$B$50="AN Sensizym",IF(AND(A21&gt;='01_Run_Config'!$B$32,OR(AL21="",AL21&lt;=49)),2,0),0)</x:f>
        <x:v>0</x:v>
      </x:c>
      <x:c r="AZ21" t="n">
        <x:f>IF('01_Run_Config'!$B$51="AN Rhino Skin",IF(AND(A21&gt;='01_Run_Config'!$B$32,OR(AL21="",AL21&lt;=49)),2,0),0)</x:f>
        <x:v>0</x:v>
      </x:c>
      <x:c r="BA21" t="n">
        <x:f>IF(AND('01_Run_Config'!$B$52="AN Bud Ignitor &gt; Big Bud &gt; Overdrive",ISNUMBER(AL21),AL21&gt;=1,AL21&lt;=14),2,0)</x:f>
        <x:v>0</x:v>
      </x:c>
      <x:c r="BB21" t="n">
        <x:f>IF(AND('01_Run_Config'!$B$52="AN Bud Ignitor &gt; Big Bud &gt; Overdrive",ISNUMBER(AL21),AL21&gt;=8,AL21&lt;=35),2,0)</x:f>
        <x:v>0</x:v>
      </x:c>
      <x:c r="BC21" t="n">
        <x:f>IF(AND('01_Run_Config'!$B$52="AN Bud Ignitor &gt; Big Bud &gt; Overdrive",ISNUMBER(AL21),AL21&gt;=36,AL21&lt;=49),2,0)</x:f>
        <x:v>0</x:v>
      </x:c>
      <x:c r="BD21" t="n">
        <x:f>IF('01_Run_Config'!$B$53="ON / EXPERIMENTAL",IF(OR(AND(A21&gt;='01_Run_Config'!$B$32,A21&lt;'01_Run_Config'!$B$33),AND(ISNUMBER(AL21),AL21&gt;=15,AL21&lt;=49)),2,0),0)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Sensizym",0,IF(AND(A22&gt;='01_Run_Config'!$B$32,OR(AL22="",AL22&lt;=49)),2,0))</x:f>
        <x:v>2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Overdrive",0,IF(AND(ISNUMBER(AL22),AL22&gt;=29,AL22&lt;=42),0.25+((AL22-29)/13)*0.25,0))</x:f>
        <x:v>0</x:v>
      </x:c>
      <x:c r="AC22" s="63" t="n">
        <x:f>IF('01_Run_Config'!$B$46="OFF",0,IF(OR(A22='01_Run_Config'!$B$32,A22='01_Run_Config'!$B$32+7,A22='01_Run_Config'!$B$33+1,A22='01_Run_Config'!$B$33+8),2,0))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A-B",0,IF(OR(AND(A22&gt;='01_Run_Config'!$B$32,A22&lt;'01_Run_Config'!$B$33),AND(ISNUMBER(AL22),AL22&gt;=15,AL22&lt;=49)),2,0))</x:f>
        <x:v>0</x:v>
      </x:c>
      <x:c r="AW22" t="n">
        <x:f>IF('01_Run_Config'!$B$48="AN Bud Candy (replaces HESI Boost)",IF(AND(A22&gt;='01_Run_Config'!$B$32,OR(AL22="",AL22&lt;=49)),2,0),0)</x:f>
        <x:v>0</x:v>
      </x:c>
      <x:c r="AX22" t="n">
        <x:f>IF('01_Run_Config'!$B$49&lt;&gt;"ON / EXPERIMENTAL",0,IF(OR(AND(A22&gt;='01_Run_Config'!$B$32+7,A22&lt;'01_Run_Config'!$B$33),AND(ISNUMBER(AL22),AL22&gt;=1,AL22&lt;=49)),2,0))</x:f>
        <x:v>0</x:v>
      </x:c>
      <x:c r="AY22" t="n">
        <x:f>IF('01_Run_Config'!$B$50="AN Sensizym",IF(AND(A22&gt;='01_Run_Config'!$B$32,OR(AL22="",AL22&lt;=49)),2,0),0)</x:f>
        <x:v>0</x:v>
      </x:c>
      <x:c r="AZ22" t="n">
        <x:f>IF('01_Run_Config'!$B$51="AN Rhino Skin",IF(AND(A22&gt;='01_Run_Config'!$B$32,OR(AL22="",AL22&lt;=49)),2,0),0)</x:f>
        <x:v>0</x:v>
      </x:c>
      <x:c r="BA22" t="n">
        <x:f>IF(AND('01_Run_Config'!$B$52="AN Bud Ignitor &gt; Big Bud &gt; Overdrive",ISNUMBER(AL22),AL22&gt;=1,AL22&lt;=14),2,0)</x:f>
        <x:v>0</x:v>
      </x:c>
      <x:c r="BB22" t="n">
        <x:f>IF(AND('01_Run_Config'!$B$52="AN Bud Ignitor &gt; Big Bud &gt; Overdrive",ISNUMBER(AL22),AL22&gt;=8,AL22&lt;=35),2,0)</x:f>
        <x:v>0</x:v>
      </x:c>
      <x:c r="BC22" t="n">
        <x:f>IF(AND('01_Run_Config'!$B$52="AN Bud Ignitor &gt; Big Bud &gt; Overdrive",ISNUMBER(AL22),AL22&gt;=36,AL22&lt;=49),2,0)</x:f>
        <x:v>0</x:v>
      </x:c>
      <x:c r="BD22" t="n">
        <x:f>IF('01_Run_Config'!$B$53="ON / EXPERIMENTAL",IF(OR(AND(A22&gt;='01_Run_Config'!$B$32,A22&lt;'01_Run_Config'!$B$33),AND(ISNUMBER(AL22),AL22&gt;=15,AL22&lt;=49)),2,0),0)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Sensizym",0,IF(AND(A23&gt;='01_Run_Config'!$B$32,OR(AL23="",AL23&lt;=49)),2,0))</x:f>
        <x:v>2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Overdrive",0,IF(AND(ISNUMBER(AL23),AL23&gt;=29,AL23&lt;=42),0.25+((AL23-29)/13)*0.25,0))</x:f>
        <x:v>0</x:v>
      </x:c>
      <x:c r="AC23" s="63" t="n">
        <x:f>IF('01_Run_Config'!$B$46="OFF",0,IF(OR(A23='01_Run_Config'!$B$32,A23='01_Run_Config'!$B$32+7,A23='01_Run_Config'!$B$33+1,A23='01_Run_Config'!$B$33+8),2,0))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A-B",0,IF(OR(AND(A23&gt;='01_Run_Config'!$B$32,A23&lt;'01_Run_Config'!$B$33),AND(ISNUMBER(AL23),AL23&gt;=15,AL23&lt;=49)),2,0))</x:f>
        <x:v>0</x:v>
      </x:c>
      <x:c r="AW23" t="n">
        <x:f>IF('01_Run_Config'!$B$48="AN Bud Candy (replaces HESI Boost)",IF(AND(A23&gt;='01_Run_Config'!$B$32,OR(AL23="",AL23&lt;=49)),2,0),0)</x:f>
        <x:v>0</x:v>
      </x:c>
      <x:c r="AX23" t="n">
        <x:f>IF('01_Run_Config'!$B$49&lt;&gt;"ON / EXPERIMENTAL",0,IF(OR(AND(A23&gt;='01_Run_Config'!$B$32+7,A23&lt;'01_Run_Config'!$B$33),AND(ISNUMBER(AL23),AL23&gt;=1,AL23&lt;=49)),2,0))</x:f>
        <x:v>0</x:v>
      </x:c>
      <x:c r="AY23" t="n">
        <x:f>IF('01_Run_Config'!$B$50="AN Sensizym",IF(AND(A23&gt;='01_Run_Config'!$B$32,OR(AL23="",AL23&lt;=49)),2,0),0)</x:f>
        <x:v>0</x:v>
      </x:c>
      <x:c r="AZ23" t="n">
        <x:f>IF('01_Run_Config'!$B$51="AN Rhino Skin",IF(AND(A23&gt;='01_Run_Config'!$B$32,OR(AL23="",AL23&lt;=49)),2,0),0)</x:f>
        <x:v>0</x:v>
      </x:c>
      <x:c r="BA23" t="n">
        <x:f>IF(AND('01_Run_Config'!$B$52="AN Bud Ignitor &gt; Big Bud &gt; Overdrive",ISNUMBER(AL23),AL23&gt;=1,AL23&lt;=14),2,0)</x:f>
        <x:v>0</x:v>
      </x:c>
      <x:c r="BB23" t="n">
        <x:f>IF(AND('01_Run_Config'!$B$52="AN Bud Ignitor &gt; Big Bud &gt; Overdrive",ISNUMBER(AL23),AL23&gt;=8,AL23&lt;=35),2,0)</x:f>
        <x:v>0</x:v>
      </x:c>
      <x:c r="BC23" t="n">
        <x:f>IF(AND('01_Run_Config'!$B$52="AN Bud Ignitor &gt; Big Bud &gt; Overdrive",ISNUMBER(AL23),AL23&gt;=36,AL23&lt;=49),2,0)</x:f>
        <x:v>0</x:v>
      </x:c>
      <x:c r="BD23" t="n">
        <x:f>IF('01_Run_Config'!$B$53="ON / EXPERIMENTAL",IF(OR(AND(A23&gt;='01_Run_Config'!$B$32,A23&lt;'01_Run_Config'!$B$33),AND(ISNUMBER(AL23),AL23&gt;=15,AL23&lt;=49)),2,0),0)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Sensizym",0,IF(AND(A24&gt;='01_Run_Config'!$B$32,OR(AL24="",AL24&lt;=49)),2,0))</x:f>
        <x:v>2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Overdrive",0,IF(AND(ISNUMBER(AL24),AL24&gt;=29,AL24&lt;=42),0.25+((AL24-29)/13)*0.25,0))</x:f>
        <x:v>0</x:v>
      </x:c>
      <x:c r="AC24" s="63" t="n">
        <x:f>IF('01_Run_Config'!$B$46="OFF",0,IF(OR(A24='01_Run_Config'!$B$32,A24='01_Run_Config'!$B$32+7,A24='01_Run_Config'!$B$33+1,A24='01_Run_Config'!$B$33+8),2,0))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A-B",0,IF(OR(AND(A24&gt;='01_Run_Config'!$B$32,A24&lt;'01_Run_Config'!$B$33),AND(ISNUMBER(AL24),AL24&gt;=15,AL24&lt;=49)),2,0))</x:f>
        <x:v>0</x:v>
      </x:c>
      <x:c r="AW24" t="n">
        <x:f>IF('01_Run_Config'!$B$48="AN Bud Candy (replaces HESI Boost)",IF(AND(A24&gt;='01_Run_Config'!$B$32,OR(AL24="",AL24&lt;=49)),2,0),0)</x:f>
        <x:v>0</x:v>
      </x:c>
      <x:c r="AX24" t="n">
        <x:f>IF('01_Run_Config'!$B$49&lt;&gt;"ON / EXPERIMENTAL",0,IF(OR(AND(A24&gt;='01_Run_Config'!$B$32+7,A24&lt;'01_Run_Config'!$B$33),AND(ISNUMBER(AL24),AL24&gt;=1,AL24&lt;=49)),2,0))</x:f>
        <x:v>0</x:v>
      </x:c>
      <x:c r="AY24" t="n">
        <x:f>IF('01_Run_Config'!$B$50="AN Sensizym",IF(AND(A24&gt;='01_Run_Config'!$B$32,OR(AL24="",AL24&lt;=49)),2,0),0)</x:f>
        <x:v>0</x:v>
      </x:c>
      <x:c r="AZ24" t="n">
        <x:f>IF('01_Run_Config'!$B$51="AN Rhino Skin",IF(AND(A24&gt;='01_Run_Config'!$B$32,OR(AL24="",AL24&lt;=49)),2,0),0)</x:f>
        <x:v>0</x:v>
      </x:c>
      <x:c r="BA24" t="n">
        <x:f>IF(AND('01_Run_Config'!$B$52="AN Bud Ignitor &gt; Big Bud &gt; Overdrive",ISNUMBER(AL24),AL24&gt;=1,AL24&lt;=14),2,0)</x:f>
        <x:v>0</x:v>
      </x:c>
      <x:c r="BB24" t="n">
        <x:f>IF(AND('01_Run_Config'!$B$52="AN Bud Ignitor &gt; Big Bud &gt; Overdrive",ISNUMBER(AL24),AL24&gt;=8,AL24&lt;=35),2,0)</x:f>
        <x:v>0</x:v>
      </x:c>
      <x:c r="BC24" t="n">
        <x:f>IF(AND('01_Run_Config'!$B$52="AN Bud Ignitor &gt; Big Bud &gt; Overdrive",ISNUMBER(AL24),AL24&gt;=36,AL24&lt;=49),2,0)</x:f>
        <x:v>0</x:v>
      </x:c>
      <x:c r="BD24" t="n">
        <x:f>IF('01_Run_Config'!$B$53="ON / EXPERIMENTAL",IF(OR(AND(A24&gt;='01_Run_Config'!$B$32,A24&lt;'01_Run_Config'!$B$33),AND(ISNUMBER(AL24),AL24&gt;=15,AL24&lt;=49)),2,0),0)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Sensizym",0,IF(AND(A25&gt;='01_Run_Config'!$B$32,OR(AL25="",AL25&lt;=49)),2,0))</x:f>
        <x:v>2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Overdrive",0,IF(AND(ISNUMBER(AL25),AL25&gt;=29,AL25&lt;=42),0.25+((AL25-29)/13)*0.25,0))</x:f>
        <x:v>0</x:v>
      </x:c>
      <x:c r="AC25" s="63" t="n">
        <x:f>IF('01_Run_Config'!$B$46="OFF",0,IF(OR(A25='01_Run_Config'!$B$32,A25='01_Run_Config'!$B$32+7,A25='01_Run_Config'!$B$33+1,A25='01_Run_Config'!$B$33+8),2,0))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A-B",0,IF(OR(AND(A25&gt;='01_Run_Config'!$B$32,A25&lt;'01_Run_Config'!$B$33),AND(ISNUMBER(AL25),AL25&gt;=15,AL25&lt;=49)),2,0))</x:f>
        <x:v>0</x:v>
      </x:c>
      <x:c r="AW25" t="n">
        <x:f>IF('01_Run_Config'!$B$48="AN Bud Candy (replaces HESI Boost)",IF(AND(A25&gt;='01_Run_Config'!$B$32,OR(AL25="",AL25&lt;=49)),2,0),0)</x:f>
        <x:v>0</x:v>
      </x:c>
      <x:c r="AX25" t="n">
        <x:f>IF('01_Run_Config'!$B$49&lt;&gt;"ON / EXPERIMENTAL",0,IF(OR(AND(A25&gt;='01_Run_Config'!$B$32+7,A25&lt;'01_Run_Config'!$B$33),AND(ISNUMBER(AL25),AL25&gt;=1,AL25&lt;=49)),2,0))</x:f>
        <x:v>0</x:v>
      </x:c>
      <x:c r="AY25" t="n">
        <x:f>IF('01_Run_Config'!$B$50="AN Sensizym",IF(AND(A25&gt;='01_Run_Config'!$B$32,OR(AL25="",AL25&lt;=49)),2,0),0)</x:f>
        <x:v>0</x:v>
      </x:c>
      <x:c r="AZ25" t="n">
        <x:f>IF('01_Run_Config'!$B$51="AN Rhino Skin",IF(AND(A25&gt;='01_Run_Config'!$B$32,OR(AL25="",AL25&lt;=49)),2,0),0)</x:f>
        <x:v>0</x:v>
      </x:c>
      <x:c r="BA25" t="n">
        <x:f>IF(AND('01_Run_Config'!$B$52="AN Bud Ignitor &gt; Big Bud &gt; Overdrive",ISNUMBER(AL25),AL25&gt;=1,AL25&lt;=14),2,0)</x:f>
        <x:v>0</x:v>
      </x:c>
      <x:c r="BB25" t="n">
        <x:f>IF(AND('01_Run_Config'!$B$52="AN Bud Ignitor &gt; Big Bud &gt; Overdrive",ISNUMBER(AL25),AL25&gt;=8,AL25&lt;=35),2,0)</x:f>
        <x:v>0</x:v>
      </x:c>
      <x:c r="BC25" t="n">
        <x:f>IF(AND('01_Run_Config'!$B$52="AN Bud Ignitor &gt; Big Bud &gt; Overdrive",ISNUMBER(AL25),AL25&gt;=36,AL25&lt;=49),2,0)</x:f>
        <x:v>0</x:v>
      </x:c>
      <x:c r="BD25" t="n">
        <x:f>IF('01_Run_Config'!$B$53="ON / EXPERIMENTAL",IF(OR(AND(A25&gt;='01_Run_Config'!$B$32,A25&lt;'01_Run_Config'!$B$33),AND(ISNUMBER(AL25),AL25&gt;=15,AL25&lt;=49)),2,0),0)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Sensizym",0,IF(AND(A26&gt;='01_Run_Config'!$B$32,OR(AL26="",AL26&lt;=49)),2,0))</x:f>
        <x:v>2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Overdrive",0,IF(AND(ISNUMBER(AL26),AL26&gt;=29,AL26&lt;=42),0.25+((AL26-29)/13)*0.25,0))</x:f>
        <x:v>0</x:v>
      </x:c>
      <x:c r="AC26" s="63" t="n">
        <x:f>IF('01_Run_Config'!$B$46="OFF",0,IF(OR(A26='01_Run_Config'!$B$32,A26='01_Run_Config'!$B$32+7,A26='01_Run_Config'!$B$33+1,A26='01_Run_Config'!$B$33+8),2,0))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A-B",0,IF(OR(AND(A26&gt;='01_Run_Config'!$B$32,A26&lt;'01_Run_Config'!$B$33),AND(ISNUMBER(AL26),AL26&gt;=15,AL26&lt;=49)),2,0))</x:f>
        <x:v>0</x:v>
      </x:c>
      <x:c r="AW26" t="n">
        <x:f>IF('01_Run_Config'!$B$48="AN Bud Candy (replaces HESI Boost)",IF(AND(A26&gt;='01_Run_Config'!$B$32,OR(AL26="",AL26&lt;=49)),2,0),0)</x:f>
        <x:v>0</x:v>
      </x:c>
      <x:c r="AX26" t="n">
        <x:f>IF('01_Run_Config'!$B$49&lt;&gt;"ON / EXPERIMENTAL",0,IF(OR(AND(A26&gt;='01_Run_Config'!$B$32+7,A26&lt;'01_Run_Config'!$B$33),AND(ISNUMBER(AL26),AL26&gt;=1,AL26&lt;=49)),2,0))</x:f>
        <x:v>0</x:v>
      </x:c>
      <x:c r="AY26" t="n">
        <x:f>IF('01_Run_Config'!$B$50="AN Sensizym",IF(AND(A26&gt;='01_Run_Config'!$B$32,OR(AL26="",AL26&lt;=49)),2,0),0)</x:f>
        <x:v>0</x:v>
      </x:c>
      <x:c r="AZ26" t="n">
        <x:f>IF('01_Run_Config'!$B$51="AN Rhino Skin",IF(AND(A26&gt;='01_Run_Config'!$B$32,OR(AL26="",AL26&lt;=49)),2,0),0)</x:f>
        <x:v>0</x:v>
      </x:c>
      <x:c r="BA26" t="n">
        <x:f>IF(AND('01_Run_Config'!$B$52="AN Bud Ignitor &gt; Big Bud &gt; Overdrive",ISNUMBER(AL26),AL26&gt;=1,AL26&lt;=14),2,0)</x:f>
        <x:v>0</x:v>
      </x:c>
      <x:c r="BB26" t="n">
        <x:f>IF(AND('01_Run_Config'!$B$52="AN Bud Ignitor &gt; Big Bud &gt; Overdrive",ISNUMBER(AL26),AL26&gt;=8,AL26&lt;=35),2,0)</x:f>
        <x:v>0</x:v>
      </x:c>
      <x:c r="BC26" t="n">
        <x:f>IF(AND('01_Run_Config'!$B$52="AN Bud Ignitor &gt; Big Bud &gt; Overdrive",ISNUMBER(AL26),AL26&gt;=36,AL26&lt;=49),2,0)</x:f>
        <x:v>0</x:v>
      </x:c>
      <x:c r="BD26" t="n">
        <x:f>IF('01_Run_Config'!$B$53="ON / EXPERIMENTAL",IF(OR(AND(A26&gt;='01_Run_Config'!$B$32,A26&lt;'01_Run_Config'!$B$33),AND(ISNUMBER(AL26),AL26&gt;=15,AL26&lt;=49)),2,0),0)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Sensizym",0,IF(AND(A27&gt;='01_Run_Config'!$B$32,OR(AL27="",AL27&lt;=49)),2,0))</x:f>
        <x:v>2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Overdrive",0,IF(AND(ISNUMBER(AL27),AL27&gt;=29,AL27&lt;=42),0.25+((AL27-29)/13)*0.25,0))</x:f>
        <x:v>0</x:v>
      </x:c>
      <x:c r="AC27" s="63" t="n">
        <x:f>IF('01_Run_Config'!$B$46="OFF",0,IF(OR(A27='01_Run_Config'!$B$32,A27='01_Run_Config'!$B$32+7,A27='01_Run_Config'!$B$33+1,A27='01_Run_Config'!$B$33+8),2,0))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A-B",0,IF(OR(AND(A27&gt;='01_Run_Config'!$B$32,A27&lt;'01_Run_Config'!$B$33),AND(ISNUMBER(AL27),AL27&gt;=15,AL27&lt;=49)),2,0))</x:f>
        <x:v>0</x:v>
      </x:c>
      <x:c r="AW27" t="n">
        <x:f>IF('01_Run_Config'!$B$48="AN Bud Candy (replaces HESI Boost)",IF(AND(A27&gt;='01_Run_Config'!$B$32,OR(AL27="",AL27&lt;=49)),2,0),0)</x:f>
        <x:v>0</x:v>
      </x:c>
      <x:c r="AX27" t="n">
        <x:f>IF('01_Run_Config'!$B$49&lt;&gt;"ON / EXPERIMENTAL",0,IF(OR(AND(A27&gt;='01_Run_Config'!$B$32+7,A27&lt;'01_Run_Config'!$B$33),AND(ISNUMBER(AL27),AL27&gt;=1,AL27&lt;=49)),2,0))</x:f>
        <x:v>0</x:v>
      </x:c>
      <x:c r="AY27" t="n">
        <x:f>IF('01_Run_Config'!$B$50="AN Sensizym",IF(AND(A27&gt;='01_Run_Config'!$B$32,OR(AL27="",AL27&lt;=49)),2,0),0)</x:f>
        <x:v>0</x:v>
      </x:c>
      <x:c r="AZ27" t="n">
        <x:f>IF('01_Run_Config'!$B$51="AN Rhino Skin",IF(AND(A27&gt;='01_Run_Config'!$B$32,OR(AL27="",AL27&lt;=49)),2,0),0)</x:f>
        <x:v>0</x:v>
      </x:c>
      <x:c r="BA27" t="n">
        <x:f>IF(AND('01_Run_Config'!$B$52="AN Bud Ignitor &gt; Big Bud &gt; Overdrive",ISNUMBER(AL27),AL27&gt;=1,AL27&lt;=14),2,0)</x:f>
        <x:v>0</x:v>
      </x:c>
      <x:c r="BB27" t="n">
        <x:f>IF(AND('01_Run_Config'!$B$52="AN Bud Ignitor &gt; Big Bud &gt; Overdrive",ISNUMBER(AL27),AL27&gt;=8,AL27&lt;=35),2,0)</x:f>
        <x:v>0</x:v>
      </x:c>
      <x:c r="BC27" t="n">
        <x:f>IF(AND('01_Run_Config'!$B$52="AN Bud Ignitor &gt; Big Bud &gt; Overdrive",ISNUMBER(AL27),AL27&gt;=36,AL27&lt;=49),2,0)</x:f>
        <x:v>0</x:v>
      </x:c>
      <x:c r="BD27" t="n">
        <x:f>IF('01_Run_Config'!$B$53="ON / EXPERIMENTAL",IF(OR(AND(A27&gt;='01_Run_Config'!$B$32,A27&lt;'01_Run_Config'!$B$33),AND(ISNUMBER(AL27),AL27&gt;=15,AL27&lt;=49)),2,0),0)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Sensizym",0,IF(AND(A28&gt;='01_Run_Config'!$B$32,OR(AL28="",AL28&lt;=49)),2,0))</x:f>
        <x:v>2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Overdrive",0,IF(AND(ISNUMBER(AL28),AL28&gt;=29,AL28&lt;=42),0.25+((AL28-29)/13)*0.25,0))</x:f>
        <x:v>0</x:v>
      </x:c>
      <x:c r="AC28" s="63" t="n">
        <x:f>IF('01_Run_Config'!$B$46="OFF",0,IF(OR(A28='01_Run_Config'!$B$32,A28='01_Run_Config'!$B$32+7,A28='01_Run_Config'!$B$33+1,A28='01_Run_Config'!$B$33+8),2,0))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A-B",0,IF(OR(AND(A28&gt;='01_Run_Config'!$B$32,A28&lt;'01_Run_Config'!$B$33),AND(ISNUMBER(AL28),AL28&gt;=15,AL28&lt;=49)),2,0))</x:f>
        <x:v>0</x:v>
      </x:c>
      <x:c r="AW28" t="n">
        <x:f>IF('01_Run_Config'!$B$48="AN Bud Candy (replaces HESI Boost)",IF(AND(A28&gt;='01_Run_Config'!$B$32,OR(AL28="",AL28&lt;=49)),2,0),0)</x:f>
        <x:v>0</x:v>
      </x:c>
      <x:c r="AX28" t="n">
        <x:f>IF('01_Run_Config'!$B$49&lt;&gt;"ON / EXPERIMENTAL",0,IF(OR(AND(A28&gt;='01_Run_Config'!$B$32+7,A28&lt;'01_Run_Config'!$B$33),AND(ISNUMBER(AL28),AL28&gt;=1,AL28&lt;=49)),2,0))</x:f>
        <x:v>0</x:v>
      </x:c>
      <x:c r="AY28" t="n">
        <x:f>IF('01_Run_Config'!$B$50="AN Sensizym",IF(AND(A28&gt;='01_Run_Config'!$B$32,OR(AL28="",AL28&lt;=49)),2,0),0)</x:f>
        <x:v>0</x:v>
      </x:c>
      <x:c r="AZ28" t="n">
        <x:f>IF('01_Run_Config'!$B$51="AN Rhino Skin",IF(AND(A28&gt;='01_Run_Config'!$B$32,OR(AL28="",AL28&lt;=49)),2,0),0)</x:f>
        <x:v>0</x:v>
      </x:c>
      <x:c r="BA28" t="n">
        <x:f>IF(AND('01_Run_Config'!$B$52="AN Bud Ignitor &gt; Big Bud &gt; Overdrive",ISNUMBER(AL28),AL28&gt;=1,AL28&lt;=14),2,0)</x:f>
        <x:v>0</x:v>
      </x:c>
      <x:c r="BB28" t="n">
        <x:f>IF(AND('01_Run_Config'!$B$52="AN Bud Ignitor &gt; Big Bud &gt; Overdrive",ISNUMBER(AL28),AL28&gt;=8,AL28&lt;=35),2,0)</x:f>
        <x:v>0</x:v>
      </x:c>
      <x:c r="BC28" t="n">
        <x:f>IF(AND('01_Run_Config'!$B$52="AN Bud Ignitor &gt; Big Bud &gt; Overdrive",ISNUMBER(AL28),AL28&gt;=36,AL28&lt;=49),2,0)</x:f>
        <x:v>0</x:v>
      </x:c>
      <x:c r="BD28" t="n">
        <x:f>IF('01_Run_Config'!$B$53="ON / EXPERIMENTAL",IF(OR(AND(A28&gt;='01_Run_Config'!$B$32,A28&lt;'01_Run_Config'!$B$33),AND(ISNUMBER(AL28),AL28&gt;=15,AL28&lt;=49)),2,0),0)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Sensizym",0,IF(AND(A29&gt;='01_Run_Config'!$B$32,OR(AL29="",AL29&lt;=49)),2,0))</x:f>
        <x:v>2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Overdrive",0,IF(AND(ISNUMBER(AL29),AL29&gt;=29,AL29&lt;=42),0.25+((AL29-29)/13)*0.25,0))</x:f>
        <x:v>0</x:v>
      </x:c>
      <x:c r="AC29" s="63" t="n">
        <x:f>IF('01_Run_Config'!$B$46="OFF",0,IF(OR(A29='01_Run_Config'!$B$32,A29='01_Run_Config'!$B$32+7,A29='01_Run_Config'!$B$33+1,A29='01_Run_Config'!$B$33+8),2,0))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A-B",0,IF(OR(AND(A29&gt;='01_Run_Config'!$B$32,A29&lt;'01_Run_Config'!$B$33),AND(ISNUMBER(AL29),AL29&gt;=15,AL29&lt;=49)),2,0))</x:f>
        <x:v>0</x:v>
      </x:c>
      <x:c r="AW29" t="n">
        <x:f>IF('01_Run_Config'!$B$48="AN Bud Candy (replaces HESI Boost)",IF(AND(A29&gt;='01_Run_Config'!$B$32,OR(AL29="",AL29&lt;=49)),2,0),0)</x:f>
        <x:v>0</x:v>
      </x:c>
      <x:c r="AX29" t="n">
        <x:f>IF('01_Run_Config'!$B$49&lt;&gt;"ON / EXPERIMENTAL",0,IF(OR(AND(A29&gt;='01_Run_Config'!$B$32+7,A29&lt;'01_Run_Config'!$B$33),AND(ISNUMBER(AL29),AL29&gt;=1,AL29&lt;=49)),2,0))</x:f>
        <x:v>0</x:v>
      </x:c>
      <x:c r="AY29" t="n">
        <x:f>IF('01_Run_Config'!$B$50="AN Sensizym",IF(AND(A29&gt;='01_Run_Config'!$B$32,OR(AL29="",AL29&lt;=49)),2,0),0)</x:f>
        <x:v>0</x:v>
      </x:c>
      <x:c r="AZ29" t="n">
        <x:f>IF('01_Run_Config'!$B$51="AN Rhino Skin",IF(AND(A29&gt;='01_Run_Config'!$B$32,OR(AL29="",AL29&lt;=49)),2,0),0)</x:f>
        <x:v>0</x:v>
      </x:c>
      <x:c r="BA29" t="n">
        <x:f>IF(AND('01_Run_Config'!$B$52="AN Bud Ignitor &gt; Big Bud &gt; Overdrive",ISNUMBER(AL29),AL29&gt;=1,AL29&lt;=14),2,0)</x:f>
        <x:v>0</x:v>
      </x:c>
      <x:c r="BB29" t="n">
        <x:f>IF(AND('01_Run_Config'!$B$52="AN Bud Ignitor &gt; Big Bud &gt; Overdrive",ISNUMBER(AL29),AL29&gt;=8,AL29&lt;=35),2,0)</x:f>
        <x:v>0</x:v>
      </x:c>
      <x:c r="BC29" t="n">
        <x:f>IF(AND('01_Run_Config'!$B$52="AN Bud Ignitor &gt; Big Bud &gt; Overdrive",ISNUMBER(AL29),AL29&gt;=36,AL29&lt;=49),2,0)</x:f>
        <x:v>0</x:v>
      </x:c>
      <x:c r="BD29" t="n">
        <x:f>IF('01_Run_Config'!$B$53="ON / EXPERIMENTAL",IF(OR(AND(A29&gt;='01_Run_Config'!$B$32,A29&lt;'01_Run_Config'!$B$33),AND(ISNUMBER(AL29),AL29&gt;=15,AL29&lt;=49)),2,0),0)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Sensizym",0,IF(AND(A30&gt;='01_Run_Config'!$B$32,OR(AL30="",AL30&lt;=49)),2,0))</x:f>
        <x:v>2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Overdrive",0,IF(AND(ISNUMBER(AL30),AL30&gt;=29,AL30&lt;=42),0.25+((AL30-29)/13)*0.25,0))</x:f>
        <x:v>0</x:v>
      </x:c>
      <x:c r="AC30" s="63" t="n">
        <x:f>IF('01_Run_Config'!$B$46="OFF",0,IF(OR(A30='01_Run_Config'!$B$32,A30='01_Run_Config'!$B$32+7,A30='01_Run_Config'!$B$33+1,A30='01_Run_Config'!$B$33+8),2,0))</x:f>
        <x:v>0</x:v>
      </x:c>
      <x:c r="AD30" s="63" t="str">
        <x:f>IF(BG30="BLOCK","HYBRID BLOCKED - Konfiguration prüfen",IF(SUM(AC30,AT30:BF30)&gt;0,"AN aktiv: "&amp;BH30,"AN: keine Dosis heute / Module aus"))</x:f>
        <x:v>AN: keine Dosis heute / Module aus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0</x:v>
      </x:c>
      <x:c r="AV30" t="n">
        <x:f>IF('01_Run_Config'!$B$47&lt;&gt;"ON / A-B",0,IF(OR(AND(A30&gt;='01_Run_Config'!$B$32,A30&lt;'01_Run_Config'!$B$33),AND(ISNUMBER(AL30),AL30&gt;=15,AL30&lt;=49)),2,0))</x:f>
        <x:v>0</x:v>
      </x:c>
      <x:c r="AW30" t="n">
        <x:f>IF('01_Run_Config'!$B$48="AN Bud Candy (replaces HESI Boost)",IF(AND(A30&gt;='01_Run_Config'!$B$32,OR(AL30="",AL30&lt;=49)),2,0),0)</x:f>
        <x:v>0</x:v>
      </x:c>
      <x:c r="AX30" t="n">
        <x:f>IF('01_Run_Config'!$B$49&lt;&gt;"ON / EXPERIMENTAL",0,IF(OR(AND(A30&gt;='01_Run_Config'!$B$32+7,A30&lt;'01_Run_Config'!$B$33),AND(ISNUMBER(AL30),AL30&gt;=1,AL30&lt;=49)),2,0))</x:f>
        <x:v>0</x:v>
      </x:c>
      <x:c r="AY30" t="n">
        <x:f>IF('01_Run_Config'!$B$50="AN Sensizym",IF(AND(A30&gt;='01_Run_Config'!$B$32,OR(AL30="",AL30&lt;=49)),2,0),0)</x:f>
        <x:v>0</x:v>
      </x:c>
      <x:c r="AZ30" t="n">
        <x:f>IF('01_Run_Config'!$B$51="AN Rhino Skin",IF(AND(A30&gt;='01_Run_Config'!$B$32,OR(AL30="",AL30&lt;=49)),2,0),0)</x:f>
        <x:v>0</x:v>
      </x:c>
      <x:c r="BA30" t="n">
        <x:f>IF(AND('01_Run_Config'!$B$52="AN Bud Ignitor &gt; Big Bud &gt; Overdrive",ISNUMBER(AL30),AL30&gt;=1,AL30&lt;=14),2,0)</x:f>
        <x:v>0</x:v>
      </x:c>
      <x:c r="BB30" t="n">
        <x:f>IF(AND('01_Run_Config'!$B$52="AN Bud Ignitor &gt; Big Bud &gt; Overdrive",ISNUMBER(AL30),AL30&gt;=8,AL30&lt;=35),2,0)</x:f>
        <x:v>0</x:v>
      </x:c>
      <x:c r="BC30" t="n">
        <x:f>IF(AND('01_Run_Config'!$B$52="AN Bud Ignitor &gt; Big Bud &gt; Overdrive",ISNUMBER(AL30),AL30&gt;=36,AL30&lt;=49),2,0)</x:f>
        <x:v>0</x:v>
      </x:c>
      <x:c r="BD30" t="n">
        <x:f>IF('01_Run_Config'!$B$53="ON / EXPERIMENTAL",IF(OR(AND(A30&gt;='01_Run_Config'!$B$32,A30&lt;'01_Run_Config'!$B$33),AND(ISNUMBER(AL30),AL30&gt;=15,AL30&lt;=49)),2,0),0)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keine AN-Dosis heute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Sensizym",0,IF(AND(A31&gt;='01_Run_Config'!$B$32,OR(AL31="",AL31&lt;=49)),2,0))</x:f>
        <x:v>2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Overdrive",0,IF(AND(ISNUMBER(AL31),AL31&gt;=29,AL31&lt;=42),0.25+((AL31-29)/13)*0.25,0))</x:f>
        <x:v>0</x:v>
      </x:c>
      <x:c r="AC31" s="63" t="n">
        <x:f>IF('01_Run_Config'!$B$46="OFF",0,IF(OR(A31='01_Run_Config'!$B$32,A31='01_Run_Config'!$B$32+7,A31='01_Run_Config'!$B$33+1,A31='01_Run_Config'!$B$33+8),2,0))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A-B",0,IF(OR(AND(A31&gt;='01_Run_Config'!$B$32,A31&lt;'01_Run_Config'!$B$33),AND(ISNUMBER(AL31),AL31&gt;=15,AL31&lt;=49)),2,0))</x:f>
        <x:v>0</x:v>
      </x:c>
      <x:c r="AW31" t="n">
        <x:f>IF('01_Run_Config'!$B$48="AN Bud Candy (replaces HESI Boost)",IF(AND(A31&gt;='01_Run_Config'!$B$32,OR(AL31="",AL31&lt;=49)),2,0),0)</x:f>
        <x:v>0</x:v>
      </x:c>
      <x:c r="AX31" t="n">
        <x:f>IF('01_Run_Config'!$B$49&lt;&gt;"ON / EXPERIMENTAL",0,IF(OR(AND(A31&gt;='01_Run_Config'!$B$32+7,A31&lt;'01_Run_Config'!$B$33),AND(ISNUMBER(AL31),AL31&gt;=1,AL31&lt;=49)),2,0))</x:f>
        <x:v>0</x:v>
      </x:c>
      <x:c r="AY31" t="n">
        <x:f>IF('01_Run_Config'!$B$50="AN Sensizym",IF(AND(A31&gt;='01_Run_Config'!$B$32,OR(AL31="",AL31&lt;=49)),2,0),0)</x:f>
        <x:v>0</x:v>
      </x:c>
      <x:c r="AZ31" t="n">
        <x:f>IF('01_Run_Config'!$B$51="AN Rhino Skin",IF(AND(A31&gt;='01_Run_Config'!$B$32,OR(AL31="",AL31&lt;=49)),2,0),0)</x:f>
        <x:v>0</x:v>
      </x:c>
      <x:c r="BA31" t="n">
        <x:f>IF(AND('01_Run_Config'!$B$52="AN Bud Ignitor &gt; Big Bud &gt; Overdrive",ISNUMBER(AL31),AL31&gt;=1,AL31&lt;=14),2,0)</x:f>
        <x:v>0</x:v>
      </x:c>
      <x:c r="BB31" t="n">
        <x:f>IF(AND('01_Run_Config'!$B$52="AN Bud Ignitor &gt; Big Bud &gt; Overdrive",ISNUMBER(AL31),AL31&gt;=8,AL31&lt;=35),2,0)</x:f>
        <x:v>0</x:v>
      </x:c>
      <x:c r="BC31" t="n">
        <x:f>IF(AND('01_Run_Config'!$B$52="AN Bud Ignitor &gt; Big Bud &gt; Overdrive",ISNUMBER(AL31),AL31&gt;=36,AL31&lt;=49),2,0)</x:f>
        <x:v>0</x:v>
      </x:c>
      <x:c r="BD31" t="n">
        <x:f>IF('01_Run_Config'!$B$53="ON / EXPERIMENTAL",IF(OR(AND(A31&gt;='01_Run_Config'!$B$32,A31&lt;'01_Run_Config'!$B$33),AND(ISNUMBER(AL31),AL31&gt;=15,AL31&lt;=49)),2,0),0)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Sensizym",0,IF(AND(A32&gt;='01_Run_Config'!$B$32,OR(AL32="",AL32&lt;=49)),2,0))</x:f>
        <x:v>2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Overdrive",0,IF(AND(ISNUMBER(AL32),AL32&gt;=29,AL32&lt;=42),0.25+((AL32-29)/13)*0.25,0))</x:f>
        <x:v>0</x:v>
      </x:c>
      <x:c r="AC32" s="63" t="n">
        <x:f>IF('01_Run_Config'!$B$46="OFF",0,IF(OR(A32='01_Run_Config'!$B$32,A32='01_Run_Config'!$B$32+7,A32='01_Run_Config'!$B$33+1,A32='01_Run_Config'!$B$33+8),2,0))</x:f>
        <x:v>0</x:v>
      </x:c>
      <x:c r="AD32" s="63" t="str">
        <x:f>IF(BG32="BLOCK","HYBRID BLOCKED - Konfiguration prüfen",IF(SUM(AC32,AT32:BF32)&gt;0,"AN aktiv: "&amp;BH32,"AN: keine Dosis heute / Module aus"))</x:f>
        <x:v>AN: keine Dosis heute / Module aus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0</x:v>
      </x:c>
      <x:c r="AV32" t="n">
        <x:f>IF('01_Run_Config'!$B$47&lt;&gt;"ON / A-B",0,IF(OR(AND(A32&gt;='01_Run_Config'!$B$32,A32&lt;'01_Run_Config'!$B$33),AND(ISNUMBER(AL32),AL32&gt;=15,AL32&lt;=49)),2,0))</x:f>
        <x:v>0</x:v>
      </x:c>
      <x:c r="AW32" t="n">
        <x:f>IF('01_Run_Config'!$B$48="AN Bud Candy (replaces HESI Boost)",IF(AND(A32&gt;='01_Run_Config'!$B$32,OR(AL32="",AL32&lt;=49)),2,0),0)</x:f>
        <x:v>0</x:v>
      </x:c>
      <x:c r="AX32" t="n">
        <x:f>IF('01_Run_Config'!$B$49&lt;&gt;"ON / EXPERIMENTAL",0,IF(OR(AND(A32&gt;='01_Run_Config'!$B$32+7,A32&lt;'01_Run_Config'!$B$33),AND(ISNUMBER(AL32),AL32&gt;=1,AL32&lt;=49)),2,0))</x:f>
        <x:v>0</x:v>
      </x:c>
      <x:c r="AY32" t="n">
        <x:f>IF('01_Run_Config'!$B$50="AN Sensizym",IF(AND(A32&gt;='01_Run_Config'!$B$32,OR(AL32="",AL32&lt;=49)),2,0),0)</x:f>
        <x:v>0</x:v>
      </x:c>
      <x:c r="AZ32" t="n">
        <x:f>IF('01_Run_Config'!$B$51="AN Rhino Skin",IF(AND(A32&gt;='01_Run_Config'!$B$32,OR(AL32="",AL32&lt;=49)),2,0),0)</x:f>
        <x:v>0</x:v>
      </x:c>
      <x:c r="BA32" t="n">
        <x:f>IF(AND('01_Run_Config'!$B$52="AN Bud Ignitor &gt; Big Bud &gt; Overdrive",ISNUMBER(AL32),AL32&gt;=1,AL32&lt;=14),2,0)</x:f>
        <x:v>0</x:v>
      </x:c>
      <x:c r="BB32" t="n">
        <x:f>IF(AND('01_Run_Config'!$B$52="AN Bud Ignitor &gt; Big Bud &gt; Overdrive",ISNUMBER(AL32),AL32&gt;=8,AL32&lt;=35),2,0)</x:f>
        <x:v>0</x:v>
      </x:c>
      <x:c r="BC32" t="n">
        <x:f>IF(AND('01_Run_Config'!$B$52="AN Bud Ignitor &gt; Big Bud &gt; Overdrive",ISNUMBER(AL32),AL32&gt;=36,AL32&lt;=49),2,0)</x:f>
        <x:v>0</x:v>
      </x:c>
      <x:c r="BD32" t="n">
        <x:f>IF('01_Run_Config'!$B$53="ON / EXPERIMENTAL",IF(OR(AND(A32&gt;='01_Run_Config'!$B$32,A32&lt;'01_Run_Config'!$B$33),AND(ISNUMBER(AL32),AL32&gt;=15,AL32&lt;=49)),2,0),0)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keine AN-Dosis heute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Sensizym",0,IF(AND(A33&gt;='01_Run_Config'!$B$32,OR(AL33="",AL33&lt;=49)),2,0))</x:f>
        <x:v>2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Overdrive",0,IF(AND(ISNUMBER(AL33),AL33&gt;=29,AL33&lt;=42),0.25+((AL33-29)/13)*0.25,0))</x:f>
        <x:v>0</x:v>
      </x:c>
      <x:c r="AC33" s="63" t="n">
        <x:f>IF('01_Run_Config'!$B$46="OFF",0,IF(OR(A33='01_Run_Config'!$B$32,A33='01_Run_Config'!$B$32+7,A33='01_Run_Config'!$B$33+1,A33='01_Run_Config'!$B$33+8),2,0))</x:f>
        <x:v>0</x:v>
      </x:c>
      <x:c r="AD33" s="63" t="str">
        <x:f>IF(BG33="BLOCK","HYBRID BLOCKED - Konfiguration prüfen",IF(SUM(AC33,AT33:BF33)&gt;0,"AN aktiv: "&amp;BH33,"AN: keine Dosis heute / Module aus"))</x:f>
        <x:v>AN: keine Dosis heute / Module aus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0</x:v>
      </x:c>
      <x:c r="AV33" t="n">
        <x:f>IF('01_Run_Config'!$B$47&lt;&gt;"ON / A-B",0,IF(OR(AND(A33&gt;='01_Run_Config'!$B$32,A33&lt;'01_Run_Config'!$B$33),AND(ISNUMBER(AL33),AL33&gt;=15,AL33&lt;=49)),2,0))</x:f>
        <x:v>0</x:v>
      </x:c>
      <x:c r="AW33" t="n">
        <x:f>IF('01_Run_Config'!$B$48="AN Bud Candy (replaces HESI Boost)",IF(AND(A33&gt;='01_Run_Config'!$B$32,OR(AL33="",AL33&lt;=49)),2,0),0)</x:f>
        <x:v>0</x:v>
      </x:c>
      <x:c r="AX33" t="n">
        <x:f>IF('01_Run_Config'!$B$49&lt;&gt;"ON / EXPERIMENTAL",0,IF(OR(AND(A33&gt;='01_Run_Config'!$B$32+7,A33&lt;'01_Run_Config'!$B$33),AND(ISNUMBER(AL33),AL33&gt;=1,AL33&lt;=49)),2,0))</x:f>
        <x:v>0</x:v>
      </x:c>
      <x:c r="AY33" t="n">
        <x:f>IF('01_Run_Config'!$B$50="AN Sensizym",IF(AND(A33&gt;='01_Run_Config'!$B$32,OR(AL33="",AL33&lt;=49)),2,0),0)</x:f>
        <x:v>0</x:v>
      </x:c>
      <x:c r="AZ33" t="n">
        <x:f>IF('01_Run_Config'!$B$51="AN Rhino Skin",IF(AND(A33&gt;='01_Run_Config'!$B$32,OR(AL33="",AL33&lt;=49)),2,0),0)</x:f>
        <x:v>0</x:v>
      </x:c>
      <x:c r="BA33" t="n">
        <x:f>IF(AND('01_Run_Config'!$B$52="AN Bud Ignitor &gt; Big Bud &gt; Overdrive",ISNUMBER(AL33),AL33&gt;=1,AL33&lt;=14),2,0)</x:f>
        <x:v>0</x:v>
      </x:c>
      <x:c r="BB33" t="n">
        <x:f>IF(AND('01_Run_Config'!$B$52="AN Bud Ignitor &gt; Big Bud &gt; Overdrive",ISNUMBER(AL33),AL33&gt;=8,AL33&lt;=35),2,0)</x:f>
        <x:v>0</x:v>
      </x:c>
      <x:c r="BC33" t="n">
        <x:f>IF(AND('01_Run_Config'!$B$52="AN Bud Ignitor &gt; Big Bud &gt; Overdrive",ISNUMBER(AL33),AL33&gt;=36,AL33&lt;=49),2,0)</x:f>
        <x:v>0</x:v>
      </x:c>
      <x:c r="BD33" t="n">
        <x:f>IF('01_Run_Config'!$B$53="ON / EXPERIMENTAL",IF(OR(AND(A33&gt;='01_Run_Config'!$B$32,A33&lt;'01_Run_Config'!$B$33),AND(ISNUMBER(AL33),AL33&gt;=15,AL33&lt;=49)),2,0),0)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keine AN-Dosis heute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Sensizym",0,IF(AND(A34&gt;='01_Run_Config'!$B$32,OR(AL34="",AL34&lt;=49)),2,0))</x:f>
        <x:v>2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Overdrive",0,IF(AND(ISNUMBER(AL34),AL34&gt;=29,AL34&lt;=42),0.25+((AL34-29)/13)*0.25,0))</x:f>
        <x:v>0</x:v>
      </x:c>
      <x:c r="AC34" s="63" t="n">
        <x:f>IF('01_Run_Config'!$B$46="OFF",0,IF(OR(A34='01_Run_Config'!$B$32,A34='01_Run_Config'!$B$32+7,A34='01_Run_Config'!$B$33+1,A34='01_Run_Config'!$B$33+8),2,0))</x:f>
        <x:v>0</x:v>
      </x:c>
      <x:c r="AD34" s="63" t="str">
        <x:f>IF(BG34="BLOCK","HYBRID BLOCKED - Konfiguration prüfen",IF(SUM(AC34,AT34:BF34)&gt;0,"AN aktiv: "&amp;BH34,"AN: keine Dosis heute / Module aus"))</x:f>
        <x:v>AN: keine Dosis heute / Module aus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0</x:v>
      </x:c>
      <x:c r="AV34" t="n">
        <x:f>IF('01_Run_Config'!$B$47&lt;&gt;"ON / A-B",0,IF(OR(AND(A34&gt;='01_Run_Config'!$B$32,A34&lt;'01_Run_Config'!$B$33),AND(ISNUMBER(AL34),AL34&gt;=15,AL34&lt;=49)),2,0))</x:f>
        <x:v>0</x:v>
      </x:c>
      <x:c r="AW34" t="n">
        <x:f>IF('01_Run_Config'!$B$48="AN Bud Candy (replaces HESI Boost)",IF(AND(A34&gt;='01_Run_Config'!$B$32,OR(AL34="",AL34&lt;=49)),2,0),0)</x:f>
        <x:v>0</x:v>
      </x:c>
      <x:c r="AX34" t="n">
        <x:f>IF('01_Run_Config'!$B$49&lt;&gt;"ON / EXPERIMENTAL",0,IF(OR(AND(A34&gt;='01_Run_Config'!$B$32+7,A34&lt;'01_Run_Config'!$B$33),AND(ISNUMBER(AL34),AL34&gt;=1,AL34&lt;=49)),2,0))</x:f>
        <x:v>0</x:v>
      </x:c>
      <x:c r="AY34" t="n">
        <x:f>IF('01_Run_Config'!$B$50="AN Sensizym",IF(AND(A34&gt;='01_Run_Config'!$B$32,OR(AL34="",AL34&lt;=49)),2,0),0)</x:f>
        <x:v>0</x:v>
      </x:c>
      <x:c r="AZ34" t="n">
        <x:f>IF('01_Run_Config'!$B$51="AN Rhino Skin",IF(AND(A34&gt;='01_Run_Config'!$B$32,OR(AL34="",AL34&lt;=49)),2,0),0)</x:f>
        <x:v>0</x:v>
      </x:c>
      <x:c r="BA34" t="n">
        <x:f>IF(AND('01_Run_Config'!$B$52="AN Bud Ignitor &gt; Big Bud &gt; Overdrive",ISNUMBER(AL34),AL34&gt;=1,AL34&lt;=14),2,0)</x:f>
        <x:v>0</x:v>
      </x:c>
      <x:c r="BB34" t="n">
        <x:f>IF(AND('01_Run_Config'!$B$52="AN Bud Ignitor &gt; Big Bud &gt; Overdrive",ISNUMBER(AL34),AL34&gt;=8,AL34&lt;=35),2,0)</x:f>
        <x:v>0</x:v>
      </x:c>
      <x:c r="BC34" t="n">
        <x:f>IF(AND('01_Run_Config'!$B$52="AN Bud Ignitor &gt; Big Bud &gt; Overdrive",ISNUMBER(AL34),AL34&gt;=36,AL34&lt;=49),2,0)</x:f>
        <x:v>0</x:v>
      </x:c>
      <x:c r="BD34" t="n">
        <x:f>IF('01_Run_Config'!$B$53="ON / EXPERIMENTAL",IF(OR(AND(A34&gt;='01_Run_Config'!$B$32,A34&lt;'01_Run_Config'!$B$33),AND(ISNUMBER(AL34),AL34&gt;=15,AL34&lt;=49)),2,0),0)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keine AN-Dosis heute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Sensizym",0,IF(AND(A35&gt;='01_Run_Config'!$B$32,OR(AL35="",AL35&lt;=49)),2,0))</x:f>
        <x:v>2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Overdrive",0,IF(AND(ISNUMBER(AL35),AL35&gt;=29,AL35&lt;=42),0.25+((AL35-29)/13)*0.25,0))</x:f>
        <x:v>0</x:v>
      </x:c>
      <x:c r="AC35" s="63" t="n">
        <x:f>IF('01_Run_Config'!$B$46="OFF",0,IF(OR(A35='01_Run_Config'!$B$32,A35='01_Run_Config'!$B$32+7,A35='01_Run_Config'!$B$33+1,A35='01_Run_Config'!$B$33+8),2,0))</x:f>
        <x:v>0</x:v>
      </x:c>
      <x:c r="AD35" s="63" t="str">
        <x:f>IF(BG35="BLOCK","HYBRID BLOCKED - Konfiguration prüfen",IF(SUM(AC35,AT35:BF35)&gt;0,"AN aktiv: "&amp;BH35,"AN: keine Dosis heute / Module aus"))</x:f>
        <x:v>AN: keine Dosis heute / Module aus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0</x:v>
      </x:c>
      <x:c r="AV35" t="n">
        <x:f>IF('01_Run_Config'!$B$47&lt;&gt;"ON / A-B",0,IF(OR(AND(A35&gt;='01_Run_Config'!$B$32,A35&lt;'01_Run_Config'!$B$33),AND(ISNUMBER(AL35),AL35&gt;=15,AL35&lt;=49)),2,0))</x:f>
        <x:v>0</x:v>
      </x:c>
      <x:c r="AW35" t="n">
        <x:f>IF('01_Run_Config'!$B$48="AN Bud Candy (replaces HESI Boost)",IF(AND(A35&gt;='01_Run_Config'!$B$32,OR(AL35="",AL35&lt;=49)),2,0),0)</x:f>
        <x:v>0</x:v>
      </x:c>
      <x:c r="AX35" t="n">
        <x:f>IF('01_Run_Config'!$B$49&lt;&gt;"ON / EXPERIMENTAL",0,IF(OR(AND(A35&gt;='01_Run_Config'!$B$32+7,A35&lt;'01_Run_Config'!$B$33),AND(ISNUMBER(AL35),AL35&gt;=1,AL35&lt;=49)),2,0))</x:f>
        <x:v>0</x:v>
      </x:c>
      <x:c r="AY35" t="n">
        <x:f>IF('01_Run_Config'!$B$50="AN Sensizym",IF(AND(A35&gt;='01_Run_Config'!$B$32,OR(AL35="",AL35&lt;=49)),2,0),0)</x:f>
        <x:v>0</x:v>
      </x:c>
      <x:c r="AZ35" t="n">
        <x:f>IF('01_Run_Config'!$B$51="AN Rhino Skin",IF(AND(A35&gt;='01_Run_Config'!$B$32,OR(AL35="",AL35&lt;=49)),2,0),0)</x:f>
        <x:v>0</x:v>
      </x:c>
      <x:c r="BA35" t="n">
        <x:f>IF(AND('01_Run_Config'!$B$52="AN Bud Ignitor &gt; Big Bud &gt; Overdrive",ISNUMBER(AL35),AL35&gt;=1,AL35&lt;=14),2,0)</x:f>
        <x:v>0</x:v>
      </x:c>
      <x:c r="BB35" t="n">
        <x:f>IF(AND('01_Run_Config'!$B$52="AN Bud Ignitor &gt; Big Bud &gt; Overdrive",ISNUMBER(AL35),AL35&gt;=8,AL35&lt;=35),2,0)</x:f>
        <x:v>0</x:v>
      </x:c>
      <x:c r="BC35" t="n">
        <x:f>IF(AND('01_Run_Config'!$B$52="AN Bud Ignitor &gt; Big Bud &gt; Overdrive",ISNUMBER(AL35),AL35&gt;=36,AL35&lt;=49),2,0)</x:f>
        <x:v>0</x:v>
      </x:c>
      <x:c r="BD35" t="n">
        <x:f>IF('01_Run_Config'!$B$53="ON / EXPERIMENTAL",IF(OR(AND(A35&gt;='01_Run_Config'!$B$32,A35&lt;'01_Run_Config'!$B$33),AND(ISNUMBER(AL35),AL35&gt;=15,AL35&lt;=49)),2,0),0)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keine AN-Dosis heute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Sensizym",0,IF(AND(A36&gt;='01_Run_Config'!$B$32,OR(AL36="",AL36&lt;=49)),2,0))</x:f>
        <x:v>2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Overdrive",0,IF(AND(ISNUMBER(AL36),AL36&gt;=29,AL36&lt;=42),0.25+((AL36-29)/13)*0.25,0))</x:f>
        <x:v>0</x:v>
      </x:c>
      <x:c r="AC36" s="63" t="n">
        <x:f>IF('01_Run_Config'!$B$46="OFF",0,IF(OR(A36='01_Run_Config'!$B$32,A36='01_Run_Config'!$B$32+7,A36='01_Run_Config'!$B$33+1,A36='01_Run_Config'!$B$33+8),2,0))</x:f>
        <x:v>0</x:v>
      </x:c>
      <x:c r="AD36" s="63" t="str">
        <x:f>IF(BG36="BLOCK","HYBRID BLOCKED - Konfiguration prüfen",IF(SUM(AC36,AT36:BF36)&gt;0,"AN aktiv: "&amp;BH36,"AN: keine Dosis heute / Module aus"))</x:f>
        <x:v>AN: keine Dosis heute / Module aus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0</x:v>
      </x:c>
      <x:c r="AV36" t="n">
        <x:f>IF('01_Run_Config'!$B$47&lt;&gt;"ON / A-B",0,IF(OR(AND(A36&gt;='01_Run_Config'!$B$32,A36&lt;'01_Run_Config'!$B$33),AND(ISNUMBER(AL36),AL36&gt;=15,AL36&lt;=49)),2,0))</x:f>
        <x:v>0</x:v>
      </x:c>
      <x:c r="AW36" t="n">
        <x:f>IF('01_Run_Config'!$B$48="AN Bud Candy (replaces HESI Boost)",IF(AND(A36&gt;='01_Run_Config'!$B$32,OR(AL36="",AL36&lt;=49)),2,0),0)</x:f>
        <x:v>0</x:v>
      </x:c>
      <x:c r="AX36" t="n">
        <x:f>IF('01_Run_Config'!$B$49&lt;&gt;"ON / EXPERIMENTAL",0,IF(OR(AND(A36&gt;='01_Run_Config'!$B$32+7,A36&lt;'01_Run_Config'!$B$33),AND(ISNUMBER(AL36),AL36&gt;=1,AL36&lt;=49)),2,0))</x:f>
        <x:v>0</x:v>
      </x:c>
      <x:c r="AY36" t="n">
        <x:f>IF('01_Run_Config'!$B$50="AN Sensizym",IF(AND(A36&gt;='01_Run_Config'!$B$32,OR(AL36="",AL36&lt;=49)),2,0),0)</x:f>
        <x:v>0</x:v>
      </x:c>
      <x:c r="AZ36" t="n">
        <x:f>IF('01_Run_Config'!$B$51="AN Rhino Skin",IF(AND(A36&gt;='01_Run_Config'!$B$32,OR(AL36="",AL36&lt;=49)),2,0),0)</x:f>
        <x:v>0</x:v>
      </x:c>
      <x:c r="BA36" t="n">
        <x:f>IF(AND('01_Run_Config'!$B$52="AN Bud Ignitor &gt; Big Bud &gt; Overdrive",ISNUMBER(AL36),AL36&gt;=1,AL36&lt;=14),2,0)</x:f>
        <x:v>0</x:v>
      </x:c>
      <x:c r="BB36" t="n">
        <x:f>IF(AND('01_Run_Config'!$B$52="AN Bud Ignitor &gt; Big Bud &gt; Overdrive",ISNUMBER(AL36),AL36&gt;=8,AL36&lt;=35),2,0)</x:f>
        <x:v>0</x:v>
      </x:c>
      <x:c r="BC36" t="n">
        <x:f>IF(AND('01_Run_Config'!$B$52="AN Bud Ignitor &gt; Big Bud &gt; Overdrive",ISNUMBER(AL36),AL36&gt;=36,AL36&lt;=49),2,0)</x:f>
        <x:v>0</x:v>
      </x:c>
      <x:c r="BD36" t="n">
        <x:f>IF('01_Run_Config'!$B$53="ON / EXPERIMENTAL",IF(OR(AND(A36&gt;='01_Run_Config'!$B$32,A36&lt;'01_Run_Config'!$B$33),AND(ISNUMBER(AL36),AL36&gt;=15,AL36&lt;=49)),2,0),0)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keine AN-Dosis heute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Sensizym",0,IF(AND(A37&gt;='01_Run_Config'!$B$32,OR(AL37="",AL37&lt;=49)),2,0))</x:f>
        <x:v>2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Overdrive",0,IF(AND(ISNUMBER(AL37),AL37&gt;=29,AL37&lt;=42),0.25+((AL37-29)/13)*0.25,0))</x:f>
        <x:v>0</x:v>
      </x:c>
      <x:c r="AC37" s="63" t="n">
        <x:f>IF('01_Run_Config'!$B$46="OFF",0,IF(OR(A37='01_Run_Config'!$B$32,A37='01_Run_Config'!$B$32+7,A37='01_Run_Config'!$B$33+1,A37='01_Run_Config'!$B$33+8),2,0))</x:f>
        <x:v>0</x:v>
      </x:c>
      <x:c r="AD37" s="63" t="str">
        <x:f>IF(BG37="BLOCK","HYBRID BLOCKED - Konfiguration prüfen",IF(SUM(AC37,AT37:BF37)&gt;0,"AN aktiv: "&amp;BH37,"AN: keine Dosis heute / Module aus"))</x:f>
        <x:v>AN: keine Dosis heute / Module aus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0</x:v>
      </x:c>
      <x:c r="AV37" t="n">
        <x:f>IF('01_Run_Config'!$B$47&lt;&gt;"ON / A-B",0,IF(OR(AND(A37&gt;='01_Run_Config'!$B$32,A37&lt;'01_Run_Config'!$B$33),AND(ISNUMBER(AL37),AL37&gt;=15,AL37&lt;=49)),2,0))</x:f>
        <x:v>0</x:v>
      </x:c>
      <x:c r="AW37" t="n">
        <x:f>IF('01_Run_Config'!$B$48="AN Bud Candy (replaces HESI Boost)",IF(AND(A37&gt;='01_Run_Config'!$B$32,OR(AL37="",AL37&lt;=49)),2,0),0)</x:f>
        <x:v>0</x:v>
      </x:c>
      <x:c r="AX37" t="n">
        <x:f>IF('01_Run_Config'!$B$49&lt;&gt;"ON / EXPERIMENTAL",0,IF(OR(AND(A37&gt;='01_Run_Config'!$B$32+7,A37&lt;'01_Run_Config'!$B$33),AND(ISNUMBER(AL37),AL37&gt;=1,AL37&lt;=49)),2,0))</x:f>
        <x:v>0</x:v>
      </x:c>
      <x:c r="AY37" t="n">
        <x:f>IF('01_Run_Config'!$B$50="AN Sensizym",IF(AND(A37&gt;='01_Run_Config'!$B$32,OR(AL37="",AL37&lt;=49)),2,0),0)</x:f>
        <x:v>0</x:v>
      </x:c>
      <x:c r="AZ37" t="n">
        <x:f>IF('01_Run_Config'!$B$51="AN Rhino Skin",IF(AND(A37&gt;='01_Run_Config'!$B$32,OR(AL37="",AL37&lt;=49)),2,0),0)</x:f>
        <x:v>0</x:v>
      </x:c>
      <x:c r="BA37" t="n">
        <x:f>IF(AND('01_Run_Config'!$B$52="AN Bud Ignitor &gt; Big Bud &gt; Overdrive",ISNUMBER(AL37),AL37&gt;=1,AL37&lt;=14),2,0)</x:f>
        <x:v>0</x:v>
      </x:c>
      <x:c r="BB37" t="n">
        <x:f>IF(AND('01_Run_Config'!$B$52="AN Bud Ignitor &gt; Big Bud &gt; Overdrive",ISNUMBER(AL37),AL37&gt;=8,AL37&lt;=35),2,0)</x:f>
        <x:v>0</x:v>
      </x:c>
      <x:c r="BC37" t="n">
        <x:f>IF(AND('01_Run_Config'!$B$52="AN Bud Ignitor &gt; Big Bud &gt; Overdrive",ISNUMBER(AL37),AL37&gt;=36,AL37&lt;=49),2,0)</x:f>
        <x:v>0</x:v>
      </x:c>
      <x:c r="BD37" t="n">
        <x:f>IF('01_Run_Config'!$B$53="ON / EXPERIMENTAL",IF(OR(AND(A37&gt;='01_Run_Config'!$B$32,A37&lt;'01_Run_Config'!$B$33),AND(ISNUMBER(AL37),AL37&gt;=15,AL37&lt;=49)),2,0),0)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keine AN-Dosis heute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Sensizym",0,IF(AND(A38&gt;='01_Run_Config'!$B$32,OR(AL38="",AL38&lt;=49)),2,0))</x:f>
        <x:v>2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Overdrive",0,IF(AND(ISNUMBER(AL38),AL38&gt;=29,AL38&lt;=42),0.25+((AL38-29)/13)*0.25,0))</x:f>
        <x:v>0</x:v>
      </x:c>
      <x:c r="AC38" s="63" t="n">
        <x:f>IF('01_Run_Config'!$B$46="OFF",0,IF(OR(A38='01_Run_Config'!$B$32,A38='01_Run_Config'!$B$32+7,A38='01_Run_Config'!$B$33+1,A38='01_Run_Config'!$B$33+8),2,0))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A-B",0,IF(OR(AND(A38&gt;='01_Run_Config'!$B$32,A38&lt;'01_Run_Config'!$B$33),AND(ISNUMBER(AL38),AL38&gt;=15,AL38&lt;=49)),2,0))</x:f>
        <x:v>0</x:v>
      </x:c>
      <x:c r="AW38" t="n">
        <x:f>IF('01_Run_Config'!$B$48="AN Bud Candy (replaces HESI Boost)",IF(AND(A38&gt;='01_Run_Config'!$B$32,OR(AL38="",AL38&lt;=49)),2,0),0)</x:f>
        <x:v>0</x:v>
      </x:c>
      <x:c r="AX38" t="n">
        <x:f>IF('01_Run_Config'!$B$49&lt;&gt;"ON / EXPERIMENTAL",0,IF(OR(AND(A38&gt;='01_Run_Config'!$B$32+7,A38&lt;'01_Run_Config'!$B$33),AND(ISNUMBER(AL38),AL38&gt;=1,AL38&lt;=49)),2,0))</x:f>
        <x:v>0</x:v>
      </x:c>
      <x:c r="AY38" t="n">
        <x:f>IF('01_Run_Config'!$B$50="AN Sensizym",IF(AND(A38&gt;='01_Run_Config'!$B$32,OR(AL38="",AL38&lt;=49)),2,0),0)</x:f>
        <x:v>0</x:v>
      </x:c>
      <x:c r="AZ38" t="n">
        <x:f>IF('01_Run_Config'!$B$51="AN Rhino Skin",IF(AND(A38&gt;='01_Run_Config'!$B$32,OR(AL38="",AL38&lt;=49)),2,0),0)</x:f>
        <x:v>0</x:v>
      </x:c>
      <x:c r="BA38" t="n">
        <x:f>IF(AND('01_Run_Config'!$B$52="AN Bud Ignitor &gt; Big Bud &gt; Overdrive",ISNUMBER(AL38),AL38&gt;=1,AL38&lt;=14),2,0)</x:f>
        <x:v>0</x:v>
      </x:c>
      <x:c r="BB38" t="n">
        <x:f>IF(AND('01_Run_Config'!$B$52="AN Bud Ignitor &gt; Big Bud &gt; Overdrive",ISNUMBER(AL38),AL38&gt;=8,AL38&lt;=35),2,0)</x:f>
        <x:v>0</x:v>
      </x:c>
      <x:c r="BC38" t="n">
        <x:f>IF(AND('01_Run_Config'!$B$52="AN Bud Ignitor &gt; Big Bud &gt; Overdrive",ISNUMBER(AL38),AL38&gt;=36,AL38&lt;=49),2,0)</x:f>
        <x:v>0</x:v>
      </x:c>
      <x:c r="BD38" t="n">
        <x:f>IF('01_Run_Config'!$B$53="ON / EXPERIMENTAL",IF(OR(AND(A38&gt;='01_Run_Config'!$B$32,A38&lt;'01_Run_Config'!$B$33),AND(ISNUMBER(AL38),AL38&gt;=15,AL38&lt;=49)),2,0),0)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Sensizym",0,IF(AND(A39&gt;='01_Run_Config'!$B$32,OR(AL39="",AL39&lt;=49)),2,0))</x:f>
        <x:v>2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Overdrive",0,IF(AND(ISNUMBER(AL39),AL39&gt;=29,AL39&lt;=42),0.25+((AL39-29)/13)*0.25,0))</x:f>
        <x:v>0</x:v>
      </x:c>
      <x:c r="AC39" s="63" t="n">
        <x:f>IF('01_Run_Config'!$B$46="OFF",0,IF(OR(A39='01_Run_Config'!$B$32,A39='01_Run_Config'!$B$32+7,A39='01_Run_Config'!$B$33+1,A39='01_Run_Config'!$B$33+8),2,0))</x:f>
        <x:v>0</x:v>
      </x:c>
      <x:c r="AD39" s="63" t="str">
        <x:f>IF(BG39="BLOCK","HYBRID BLOCKED - Konfiguration prüfen",IF(SUM(AC39,AT39:BF39)&gt;0,"AN aktiv: "&amp;BH39,"AN: keine Dosis heute / Module aus"))</x:f>
        <x:v>AN: keine Dosis heute / Module aus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0</x:v>
      </x:c>
      <x:c r="AV39" t="n">
        <x:f>IF('01_Run_Config'!$B$47&lt;&gt;"ON / A-B",0,IF(OR(AND(A39&gt;='01_Run_Config'!$B$32,A39&lt;'01_Run_Config'!$B$33),AND(ISNUMBER(AL39),AL39&gt;=15,AL39&lt;=49)),2,0))</x:f>
        <x:v>0</x:v>
      </x:c>
      <x:c r="AW39" t="n">
        <x:f>IF('01_Run_Config'!$B$48="AN Bud Candy (replaces HESI Boost)",IF(AND(A39&gt;='01_Run_Config'!$B$32,OR(AL39="",AL39&lt;=49)),2,0),0)</x:f>
        <x:v>0</x:v>
      </x:c>
      <x:c r="AX39" t="n">
        <x:f>IF('01_Run_Config'!$B$49&lt;&gt;"ON / EXPERIMENTAL",0,IF(OR(AND(A39&gt;='01_Run_Config'!$B$32+7,A39&lt;'01_Run_Config'!$B$33),AND(ISNUMBER(AL39),AL39&gt;=1,AL39&lt;=49)),2,0))</x:f>
        <x:v>0</x:v>
      </x:c>
      <x:c r="AY39" t="n">
        <x:f>IF('01_Run_Config'!$B$50="AN Sensizym",IF(AND(A39&gt;='01_Run_Config'!$B$32,OR(AL39="",AL39&lt;=49)),2,0),0)</x:f>
        <x:v>0</x:v>
      </x:c>
      <x:c r="AZ39" t="n">
        <x:f>IF('01_Run_Config'!$B$51="AN Rhino Skin",IF(AND(A39&gt;='01_Run_Config'!$B$32,OR(AL39="",AL39&lt;=49)),2,0),0)</x:f>
        <x:v>0</x:v>
      </x:c>
      <x:c r="BA39" t="n">
        <x:f>IF(AND('01_Run_Config'!$B$52="AN Bud Ignitor &gt; Big Bud &gt; Overdrive",ISNUMBER(AL39),AL39&gt;=1,AL39&lt;=14),2,0)</x:f>
        <x:v>0</x:v>
      </x:c>
      <x:c r="BB39" t="n">
        <x:f>IF(AND('01_Run_Config'!$B$52="AN Bud Ignitor &gt; Big Bud &gt; Overdrive",ISNUMBER(AL39),AL39&gt;=8,AL39&lt;=35),2,0)</x:f>
        <x:v>0</x:v>
      </x:c>
      <x:c r="BC39" t="n">
        <x:f>IF(AND('01_Run_Config'!$B$52="AN Bud Ignitor &gt; Big Bud &gt; Overdrive",ISNUMBER(AL39),AL39&gt;=36,AL39&lt;=49),2,0)</x:f>
        <x:v>0</x:v>
      </x:c>
      <x:c r="BD39" t="n">
        <x:f>IF('01_Run_Config'!$B$53="ON / EXPERIMENTAL",IF(OR(AND(A39&gt;='01_Run_Config'!$B$32,A39&lt;'01_Run_Config'!$B$33),AND(ISNUMBER(AL39),AL39&gt;=15,AL39&lt;=49)),2,0),0)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keine AN-Dosis heute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Sensizym",0,IF(AND(A40&gt;='01_Run_Config'!$B$32,OR(AL40="",AL40&lt;=49)),2,0))</x:f>
        <x:v>2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Overdrive",0,IF(AND(ISNUMBER(AL40),AL40&gt;=29,AL40&lt;=42),0.25+((AL40-29)/13)*0.25,0))</x:f>
        <x:v>0</x:v>
      </x:c>
      <x:c r="AC40" s="63" t="n">
        <x:f>IF('01_Run_Config'!$B$46="OFF",0,IF(OR(A40='01_Run_Config'!$B$32,A40='01_Run_Config'!$B$32+7,A40='01_Run_Config'!$B$33+1,A40='01_Run_Config'!$B$33+8),2,0))</x:f>
        <x:v>0</x:v>
      </x:c>
      <x:c r="AD40" s="63" t="str">
        <x:f>IF(BG40="BLOCK","HYBRID BLOCKED - Konfiguration prüfen",IF(SUM(AC40,AT40:BF40)&gt;0,"AN aktiv: "&amp;BH40,"AN: keine Dosis heute / Module aus"))</x:f>
        <x:v>AN: keine Dosis heute / Module aus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0</x:v>
      </x:c>
      <x:c r="AV40" t="n">
        <x:f>IF('01_Run_Config'!$B$47&lt;&gt;"ON / A-B",0,IF(OR(AND(A40&gt;='01_Run_Config'!$B$32,A40&lt;'01_Run_Config'!$B$33),AND(ISNUMBER(AL40),AL40&gt;=15,AL40&lt;=49)),2,0))</x:f>
        <x:v>0</x:v>
      </x:c>
      <x:c r="AW40" t="n">
        <x:f>IF('01_Run_Config'!$B$48="AN Bud Candy (replaces HESI Boost)",IF(AND(A40&gt;='01_Run_Config'!$B$32,OR(AL40="",AL40&lt;=49)),2,0),0)</x:f>
        <x:v>0</x:v>
      </x:c>
      <x:c r="AX40" t="n">
        <x:f>IF('01_Run_Config'!$B$49&lt;&gt;"ON / EXPERIMENTAL",0,IF(OR(AND(A40&gt;='01_Run_Config'!$B$32+7,A40&lt;'01_Run_Config'!$B$33),AND(ISNUMBER(AL40),AL40&gt;=1,AL40&lt;=49)),2,0))</x:f>
        <x:v>0</x:v>
      </x:c>
      <x:c r="AY40" t="n">
        <x:f>IF('01_Run_Config'!$B$50="AN Sensizym",IF(AND(A40&gt;='01_Run_Config'!$B$32,OR(AL40="",AL40&lt;=49)),2,0),0)</x:f>
        <x:v>0</x:v>
      </x:c>
      <x:c r="AZ40" t="n">
        <x:f>IF('01_Run_Config'!$B$51="AN Rhino Skin",IF(AND(A40&gt;='01_Run_Config'!$B$32,OR(AL40="",AL40&lt;=49)),2,0),0)</x:f>
        <x:v>0</x:v>
      </x:c>
      <x:c r="BA40" t="n">
        <x:f>IF(AND('01_Run_Config'!$B$52="AN Bud Ignitor &gt; Big Bud &gt; Overdrive",ISNUMBER(AL40),AL40&gt;=1,AL40&lt;=14),2,0)</x:f>
        <x:v>0</x:v>
      </x:c>
      <x:c r="BB40" t="n">
        <x:f>IF(AND('01_Run_Config'!$B$52="AN Bud Ignitor &gt; Big Bud &gt; Overdrive",ISNUMBER(AL40),AL40&gt;=8,AL40&lt;=35),2,0)</x:f>
        <x:v>0</x:v>
      </x:c>
      <x:c r="BC40" t="n">
        <x:f>IF(AND('01_Run_Config'!$B$52="AN Bud Ignitor &gt; Big Bud &gt; Overdrive",ISNUMBER(AL40),AL40&gt;=36,AL40&lt;=49),2,0)</x:f>
        <x:v>0</x:v>
      </x:c>
      <x:c r="BD40" t="n">
        <x:f>IF('01_Run_Config'!$B$53="ON / EXPERIMENTAL",IF(OR(AND(A40&gt;='01_Run_Config'!$B$32,A40&lt;'01_Run_Config'!$B$33),AND(ISNUMBER(AL40),AL40&gt;=15,AL40&lt;=49)),2,0),0)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keine AN-Dosis heute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Sensizym",0,IF(AND(A41&gt;='01_Run_Config'!$B$32,OR(AL41="",AL41&lt;=49)),2,0))</x:f>
        <x:v>2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Overdrive",0,IF(AND(ISNUMBER(AL41),AL41&gt;=29,AL41&lt;=42),0.25+((AL41-29)/13)*0.25,0))</x:f>
        <x:v>0</x:v>
      </x:c>
      <x:c r="AC41" s="63" t="n">
        <x:f>IF('01_Run_Config'!$B$46="OFF",0,IF(OR(A41='01_Run_Config'!$B$32,A41='01_Run_Config'!$B$32+7,A41='01_Run_Config'!$B$33+1,A41='01_Run_Config'!$B$33+8),2,0))</x:f>
        <x:v>0</x:v>
      </x:c>
      <x:c r="AD41" s="63" t="str">
        <x:f>IF(BG41="BLOCK","HYBRID BLOCKED - Konfiguration prüfen",IF(SUM(AC41,AT41:BF41)&gt;0,"AN aktiv: "&amp;BH41,"AN: keine Dosis heute / Module aus"))</x:f>
        <x:v>AN: keine Dosis heute / Module aus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0</x:v>
      </x:c>
      <x:c r="AV41" t="n">
        <x:f>IF('01_Run_Config'!$B$47&lt;&gt;"ON / A-B",0,IF(OR(AND(A41&gt;='01_Run_Config'!$B$32,A41&lt;'01_Run_Config'!$B$33),AND(ISNUMBER(AL41),AL41&gt;=15,AL41&lt;=49)),2,0))</x:f>
        <x:v>0</x:v>
      </x:c>
      <x:c r="AW41" t="n">
        <x:f>IF('01_Run_Config'!$B$48="AN Bud Candy (replaces HESI Boost)",IF(AND(A41&gt;='01_Run_Config'!$B$32,OR(AL41="",AL41&lt;=49)),2,0),0)</x:f>
        <x:v>0</x:v>
      </x:c>
      <x:c r="AX41" t="n">
        <x:f>IF('01_Run_Config'!$B$49&lt;&gt;"ON / EXPERIMENTAL",0,IF(OR(AND(A41&gt;='01_Run_Config'!$B$32+7,A41&lt;'01_Run_Config'!$B$33),AND(ISNUMBER(AL41),AL41&gt;=1,AL41&lt;=49)),2,0))</x:f>
        <x:v>0</x:v>
      </x:c>
      <x:c r="AY41" t="n">
        <x:f>IF('01_Run_Config'!$B$50="AN Sensizym",IF(AND(A41&gt;='01_Run_Config'!$B$32,OR(AL41="",AL41&lt;=49)),2,0),0)</x:f>
        <x:v>0</x:v>
      </x:c>
      <x:c r="AZ41" t="n">
        <x:f>IF('01_Run_Config'!$B$51="AN Rhino Skin",IF(AND(A41&gt;='01_Run_Config'!$B$32,OR(AL41="",AL41&lt;=49)),2,0),0)</x:f>
        <x:v>0</x:v>
      </x:c>
      <x:c r="BA41" t="n">
        <x:f>IF(AND('01_Run_Config'!$B$52="AN Bud Ignitor &gt; Big Bud &gt; Overdrive",ISNUMBER(AL41),AL41&gt;=1,AL41&lt;=14),2,0)</x:f>
        <x:v>0</x:v>
      </x:c>
      <x:c r="BB41" t="n">
        <x:f>IF(AND('01_Run_Config'!$B$52="AN Bud Ignitor &gt; Big Bud &gt; Overdrive",ISNUMBER(AL41),AL41&gt;=8,AL41&lt;=35),2,0)</x:f>
        <x:v>0</x:v>
      </x:c>
      <x:c r="BC41" t="n">
        <x:f>IF(AND('01_Run_Config'!$B$52="AN Bud Ignitor &gt; Big Bud &gt; Overdrive",ISNUMBER(AL41),AL41&gt;=36,AL41&lt;=49),2,0)</x:f>
        <x:v>0</x:v>
      </x:c>
      <x:c r="BD41" t="n">
        <x:f>IF('01_Run_Config'!$B$53="ON / EXPERIMENTAL",IF(OR(AND(A41&gt;='01_Run_Config'!$B$32,A41&lt;'01_Run_Config'!$B$33),AND(ISNUMBER(AL41),AL41&gt;=15,AL41&lt;=49)),2,0),0)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keine AN-Dosis heute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Sensizym",0,IF(AND(A42&gt;='01_Run_Config'!$B$32,OR(AL42="",AL42&lt;=49)),2,0))</x:f>
        <x:v>2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Overdrive",0,IF(AND(ISNUMBER(AL42),AL42&gt;=29,AL42&lt;=42),0.25+((AL42-29)/13)*0.25,0))</x:f>
        <x:v>0</x:v>
      </x:c>
      <x:c r="AC42" s="63" t="n">
        <x:f>IF('01_Run_Config'!$B$46="OFF",0,IF(OR(A42='01_Run_Config'!$B$32,A42='01_Run_Config'!$B$32+7,A42='01_Run_Config'!$B$33+1,A42='01_Run_Config'!$B$33+8),2,0))</x:f>
        <x:v>0</x:v>
      </x:c>
      <x:c r="AD42" s="63" t="str">
        <x:f>IF(BG42="BLOCK","HYBRID BLOCKED - Konfiguration prüfen",IF(SUM(AC42,AT42:BF42)&gt;0,"AN aktiv: "&amp;BH42,"AN: keine Dosis heute / Module aus"))</x:f>
        <x:v>AN: keine Dosis heute / Module aus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0</x:v>
      </x:c>
      <x:c r="AV42" t="n">
        <x:f>IF('01_Run_Config'!$B$47&lt;&gt;"ON / A-B",0,IF(OR(AND(A42&gt;='01_Run_Config'!$B$32,A42&lt;'01_Run_Config'!$B$33),AND(ISNUMBER(AL42),AL42&gt;=15,AL42&lt;=49)),2,0))</x:f>
        <x:v>0</x:v>
      </x:c>
      <x:c r="AW42" t="n">
        <x:f>IF('01_Run_Config'!$B$48="AN Bud Candy (replaces HESI Boost)",IF(AND(A42&gt;='01_Run_Config'!$B$32,OR(AL42="",AL42&lt;=49)),2,0),0)</x:f>
        <x:v>0</x:v>
      </x:c>
      <x:c r="AX42" t="n">
        <x:f>IF('01_Run_Config'!$B$49&lt;&gt;"ON / EXPERIMENTAL",0,IF(OR(AND(A42&gt;='01_Run_Config'!$B$32+7,A42&lt;'01_Run_Config'!$B$33),AND(ISNUMBER(AL42),AL42&gt;=1,AL42&lt;=49)),2,0))</x:f>
        <x:v>0</x:v>
      </x:c>
      <x:c r="AY42" t="n">
        <x:f>IF('01_Run_Config'!$B$50="AN Sensizym",IF(AND(A42&gt;='01_Run_Config'!$B$32,OR(AL42="",AL42&lt;=49)),2,0),0)</x:f>
        <x:v>0</x:v>
      </x:c>
      <x:c r="AZ42" t="n">
        <x:f>IF('01_Run_Config'!$B$51="AN Rhino Skin",IF(AND(A42&gt;='01_Run_Config'!$B$32,OR(AL42="",AL42&lt;=49)),2,0),0)</x:f>
        <x:v>0</x:v>
      </x:c>
      <x:c r="BA42" t="n">
        <x:f>IF(AND('01_Run_Config'!$B$52="AN Bud Ignitor &gt; Big Bud &gt; Overdrive",ISNUMBER(AL42),AL42&gt;=1,AL42&lt;=14),2,0)</x:f>
        <x:v>0</x:v>
      </x:c>
      <x:c r="BB42" t="n">
        <x:f>IF(AND('01_Run_Config'!$B$52="AN Bud Ignitor &gt; Big Bud &gt; Overdrive",ISNUMBER(AL42),AL42&gt;=8,AL42&lt;=35),2,0)</x:f>
        <x:v>0</x:v>
      </x:c>
      <x:c r="BC42" t="n">
        <x:f>IF(AND('01_Run_Config'!$B$52="AN Bud Ignitor &gt; Big Bud &gt; Overdrive",ISNUMBER(AL42),AL42&gt;=36,AL42&lt;=49),2,0)</x:f>
        <x:v>0</x:v>
      </x:c>
      <x:c r="BD42" t="n">
        <x:f>IF('01_Run_Config'!$B$53="ON / EXPERIMENTAL",IF(OR(AND(A42&gt;='01_Run_Config'!$B$32,A42&lt;'01_Run_Config'!$B$33),AND(ISNUMBER(AL42),AL42&gt;=15,AL42&lt;=49)),2,0),0)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keine AN-Dosis heute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Sensizym",0,IF(AND(A43&gt;='01_Run_Config'!$B$32,OR(AL43="",AL43&lt;=49)),2,0))</x:f>
        <x:v>2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Overdrive",0,IF(AND(ISNUMBER(AL43),AL43&gt;=29,AL43&lt;=42),0.25+((AL43-29)/13)*0.25,0))</x:f>
        <x:v>0</x:v>
      </x:c>
      <x:c r="AC43" s="63" t="n">
        <x:f>IF('01_Run_Config'!$B$46="OFF",0,IF(OR(A43='01_Run_Config'!$B$32,A43='01_Run_Config'!$B$32+7,A43='01_Run_Config'!$B$33+1,A43='01_Run_Config'!$B$33+8),2,0))</x:f>
        <x:v>0</x:v>
      </x:c>
      <x:c r="AD43" s="63" t="str">
        <x:f>IF(BG43="BLOCK","HYBRID BLOCKED - Konfiguration prüfen",IF(SUM(AC43,AT43:BF43)&gt;0,"AN aktiv: "&amp;BH43,"AN: keine Dosis heute / Module aus"))</x:f>
        <x:v>AN: keine Dosis heute / Module aus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0</x:v>
      </x:c>
      <x:c r="AV43" t="n">
        <x:f>IF('01_Run_Config'!$B$47&lt;&gt;"ON / A-B",0,IF(OR(AND(A43&gt;='01_Run_Config'!$B$32,A43&lt;'01_Run_Config'!$B$33),AND(ISNUMBER(AL43),AL43&gt;=15,AL43&lt;=49)),2,0))</x:f>
        <x:v>0</x:v>
      </x:c>
      <x:c r="AW43" t="n">
        <x:f>IF('01_Run_Config'!$B$48="AN Bud Candy (replaces HESI Boost)",IF(AND(A43&gt;='01_Run_Config'!$B$32,OR(AL43="",AL43&lt;=49)),2,0),0)</x:f>
        <x:v>0</x:v>
      </x:c>
      <x:c r="AX43" t="n">
        <x:f>IF('01_Run_Config'!$B$49&lt;&gt;"ON / EXPERIMENTAL",0,IF(OR(AND(A43&gt;='01_Run_Config'!$B$32+7,A43&lt;'01_Run_Config'!$B$33),AND(ISNUMBER(AL43),AL43&gt;=1,AL43&lt;=49)),2,0))</x:f>
        <x:v>0</x:v>
      </x:c>
      <x:c r="AY43" t="n">
        <x:f>IF('01_Run_Config'!$B$50="AN Sensizym",IF(AND(A43&gt;='01_Run_Config'!$B$32,OR(AL43="",AL43&lt;=49)),2,0),0)</x:f>
        <x:v>0</x:v>
      </x:c>
      <x:c r="AZ43" t="n">
        <x:f>IF('01_Run_Config'!$B$51="AN Rhino Skin",IF(AND(A43&gt;='01_Run_Config'!$B$32,OR(AL43="",AL43&lt;=49)),2,0),0)</x:f>
        <x:v>0</x:v>
      </x:c>
      <x:c r="BA43" t="n">
        <x:f>IF(AND('01_Run_Config'!$B$52="AN Bud Ignitor &gt; Big Bud &gt; Overdrive",ISNUMBER(AL43),AL43&gt;=1,AL43&lt;=14),2,0)</x:f>
        <x:v>0</x:v>
      </x:c>
      <x:c r="BB43" t="n">
        <x:f>IF(AND('01_Run_Config'!$B$52="AN Bud Ignitor &gt; Big Bud &gt; Overdrive",ISNUMBER(AL43),AL43&gt;=8,AL43&lt;=35),2,0)</x:f>
        <x:v>0</x:v>
      </x:c>
      <x:c r="BC43" t="n">
        <x:f>IF(AND('01_Run_Config'!$B$52="AN Bud Ignitor &gt; Big Bud &gt; Overdrive",ISNUMBER(AL43),AL43&gt;=36,AL43&lt;=49),2,0)</x:f>
        <x:v>0</x:v>
      </x:c>
      <x:c r="BD43" t="n">
        <x:f>IF('01_Run_Config'!$B$53="ON / EXPERIMENTAL",IF(OR(AND(A43&gt;='01_Run_Config'!$B$32,A43&lt;'01_Run_Config'!$B$33),AND(ISNUMBER(AL43),AL43&gt;=15,AL43&lt;=49)),2,0),0)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keine AN-Dosis heute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Sensizym",0,IF(AND(A44&gt;='01_Run_Config'!$B$32,OR(AL44="",AL44&lt;=49)),2,0))</x:f>
        <x:v>2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Overdrive",0,IF(AND(ISNUMBER(AL44),AL44&gt;=29,AL44&lt;=42),0.25+((AL44-29)/13)*0.25,0))</x:f>
        <x:v>0</x:v>
      </x:c>
      <x:c r="AC44" s="63" t="n">
        <x:f>IF('01_Run_Config'!$B$46="OFF",0,IF(OR(A44='01_Run_Config'!$B$32,A44='01_Run_Config'!$B$32+7,A44='01_Run_Config'!$B$33+1,A44='01_Run_Config'!$B$33+8),2,0))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A-B",0,IF(OR(AND(A44&gt;='01_Run_Config'!$B$32,A44&lt;'01_Run_Config'!$B$33),AND(ISNUMBER(AL44),AL44&gt;=15,AL44&lt;=49)),2,0))</x:f>
        <x:v>0</x:v>
      </x:c>
      <x:c r="AW44" t="n">
        <x:f>IF('01_Run_Config'!$B$48="AN Bud Candy (replaces HESI Boost)",IF(AND(A44&gt;='01_Run_Config'!$B$32,OR(AL44="",AL44&lt;=49)),2,0),0)</x:f>
        <x:v>0</x:v>
      </x:c>
      <x:c r="AX44" t="n">
        <x:f>IF('01_Run_Config'!$B$49&lt;&gt;"ON / EXPERIMENTAL",0,IF(OR(AND(A44&gt;='01_Run_Config'!$B$32+7,A44&lt;'01_Run_Config'!$B$33),AND(ISNUMBER(AL44),AL44&gt;=1,AL44&lt;=49)),2,0))</x:f>
        <x:v>0</x:v>
      </x:c>
      <x:c r="AY44" t="n">
        <x:f>IF('01_Run_Config'!$B$50="AN Sensizym",IF(AND(A44&gt;='01_Run_Config'!$B$32,OR(AL44="",AL44&lt;=49)),2,0),0)</x:f>
        <x:v>0</x:v>
      </x:c>
      <x:c r="AZ44" t="n">
        <x:f>IF('01_Run_Config'!$B$51="AN Rhino Skin",IF(AND(A44&gt;='01_Run_Config'!$B$32,OR(AL44="",AL44&lt;=49)),2,0),0)</x:f>
        <x:v>0</x:v>
      </x:c>
      <x:c r="BA44" t="n">
        <x:f>IF(AND('01_Run_Config'!$B$52="AN Bud Ignitor &gt; Big Bud &gt; Overdrive",ISNUMBER(AL44),AL44&gt;=1,AL44&lt;=14),2,0)</x:f>
        <x:v>0</x:v>
      </x:c>
      <x:c r="BB44" t="n">
        <x:f>IF(AND('01_Run_Config'!$B$52="AN Bud Ignitor &gt; Big Bud &gt; Overdrive",ISNUMBER(AL44),AL44&gt;=8,AL44&lt;=35),2,0)</x:f>
        <x:v>0</x:v>
      </x:c>
      <x:c r="BC44" t="n">
        <x:f>IF(AND('01_Run_Config'!$B$52="AN Bud Ignitor &gt; Big Bud &gt; Overdrive",ISNUMBER(AL44),AL44&gt;=36,AL44&lt;=49),2,0)</x:f>
        <x:v>0</x:v>
      </x:c>
      <x:c r="BD44" t="n">
        <x:f>IF('01_Run_Config'!$B$53="ON / EXPERIMENTAL",IF(OR(AND(A44&gt;='01_Run_Config'!$B$32,A44&lt;'01_Run_Config'!$B$33),AND(ISNUMBER(AL44),AL44&gt;=15,AL44&lt;=49)),2,0),0)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Sensizym",0,IF(AND(A45&gt;='01_Run_Config'!$B$32,OR(AL45="",AL45&lt;=49)),2,0))</x:f>
        <x:v>2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Overdrive",0,IF(AND(ISNUMBER(AL45),AL45&gt;=29,AL45&lt;=42),0.25+((AL45-29)/13)*0.25,0))</x:f>
        <x:v>0</x:v>
      </x:c>
      <x:c r="AC45" s="63" t="n">
        <x:f>IF('01_Run_Config'!$B$46="OFF",0,IF(OR(A45='01_Run_Config'!$B$32,A45='01_Run_Config'!$B$32+7,A45='01_Run_Config'!$B$33+1,A45='01_Run_Config'!$B$33+8),2,0))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A-B",0,IF(OR(AND(A45&gt;='01_Run_Config'!$B$32,A45&lt;'01_Run_Config'!$B$33),AND(ISNUMBER(AL45),AL45&gt;=15,AL45&lt;=49)),2,0))</x:f>
        <x:v>0</x:v>
      </x:c>
      <x:c r="AW45" t="n">
        <x:f>IF('01_Run_Config'!$B$48="AN Bud Candy (replaces HESI Boost)",IF(AND(A45&gt;='01_Run_Config'!$B$32,OR(AL45="",AL45&lt;=49)),2,0),0)</x:f>
        <x:v>0</x:v>
      </x:c>
      <x:c r="AX45" t="n">
        <x:f>IF('01_Run_Config'!$B$49&lt;&gt;"ON / EXPERIMENTAL",0,IF(OR(AND(A45&gt;='01_Run_Config'!$B$32+7,A45&lt;'01_Run_Config'!$B$33),AND(ISNUMBER(AL45),AL45&gt;=1,AL45&lt;=49)),2,0))</x:f>
        <x:v>0</x:v>
      </x:c>
      <x:c r="AY45" t="n">
        <x:f>IF('01_Run_Config'!$B$50="AN Sensizym",IF(AND(A45&gt;='01_Run_Config'!$B$32,OR(AL45="",AL45&lt;=49)),2,0),0)</x:f>
        <x:v>0</x:v>
      </x:c>
      <x:c r="AZ45" t="n">
        <x:f>IF('01_Run_Config'!$B$51="AN Rhino Skin",IF(AND(A45&gt;='01_Run_Config'!$B$32,OR(AL45="",AL45&lt;=49)),2,0),0)</x:f>
        <x:v>0</x:v>
      </x:c>
      <x:c r="BA45" t="n">
        <x:f>IF(AND('01_Run_Config'!$B$52="AN Bud Ignitor &gt; Big Bud &gt; Overdrive",ISNUMBER(AL45),AL45&gt;=1,AL45&lt;=14),2,0)</x:f>
        <x:v>0</x:v>
      </x:c>
      <x:c r="BB45" t="n">
        <x:f>IF(AND('01_Run_Config'!$B$52="AN Bud Ignitor &gt; Big Bud &gt; Overdrive",ISNUMBER(AL45),AL45&gt;=8,AL45&lt;=35),2,0)</x:f>
        <x:v>0</x:v>
      </x:c>
      <x:c r="BC45" t="n">
        <x:f>IF(AND('01_Run_Config'!$B$52="AN Bud Ignitor &gt; Big Bud &gt; Overdrive",ISNUMBER(AL45),AL45&gt;=36,AL45&lt;=49),2,0)</x:f>
        <x:v>0</x:v>
      </x:c>
      <x:c r="BD45" t="n">
        <x:f>IF('01_Run_Config'!$B$53="ON / EXPERIMENTAL",IF(OR(AND(A45&gt;='01_Run_Config'!$B$32,A45&lt;'01_Run_Config'!$B$33),AND(ISNUMBER(AL45),AL45&gt;=15,AL45&lt;=49)),2,0),0)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Sensizym",0,IF(AND(A46&gt;='01_Run_Config'!$B$32,OR(AL46="",AL46&lt;=49)),2,0))</x:f>
        <x:v>2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Overdrive",0,IF(AND(ISNUMBER(AL46),AL46&gt;=29,AL46&lt;=42),0.25+((AL46-29)/13)*0.25,0))</x:f>
        <x:v>0</x:v>
      </x:c>
      <x:c r="AC46" s="63" t="n">
        <x:f>IF('01_Run_Config'!$B$46="OFF",0,IF(OR(A46='01_Run_Config'!$B$32,A46='01_Run_Config'!$B$32+7,A46='01_Run_Config'!$B$33+1,A46='01_Run_Config'!$B$33+8),2,0))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A-B",0,IF(OR(AND(A46&gt;='01_Run_Config'!$B$32,A46&lt;'01_Run_Config'!$B$33),AND(ISNUMBER(AL46),AL46&gt;=15,AL46&lt;=49)),2,0))</x:f>
        <x:v>0</x:v>
      </x:c>
      <x:c r="AW46" t="n">
        <x:f>IF('01_Run_Config'!$B$48="AN Bud Candy (replaces HESI Boost)",IF(AND(A46&gt;='01_Run_Config'!$B$32,OR(AL46="",AL46&lt;=49)),2,0),0)</x:f>
        <x:v>0</x:v>
      </x:c>
      <x:c r="AX46" t="n">
        <x:f>IF('01_Run_Config'!$B$49&lt;&gt;"ON / EXPERIMENTAL",0,IF(OR(AND(A46&gt;='01_Run_Config'!$B$32+7,A46&lt;'01_Run_Config'!$B$33),AND(ISNUMBER(AL46),AL46&gt;=1,AL46&lt;=49)),2,0))</x:f>
        <x:v>0</x:v>
      </x:c>
      <x:c r="AY46" t="n">
        <x:f>IF('01_Run_Config'!$B$50="AN Sensizym",IF(AND(A46&gt;='01_Run_Config'!$B$32,OR(AL46="",AL46&lt;=49)),2,0),0)</x:f>
        <x:v>0</x:v>
      </x:c>
      <x:c r="AZ46" t="n">
        <x:f>IF('01_Run_Config'!$B$51="AN Rhino Skin",IF(AND(A46&gt;='01_Run_Config'!$B$32,OR(AL46="",AL46&lt;=49)),2,0),0)</x:f>
        <x:v>0</x:v>
      </x:c>
      <x:c r="BA46" t="n">
        <x:f>IF(AND('01_Run_Config'!$B$52="AN Bud Ignitor &gt; Big Bud &gt; Overdrive",ISNUMBER(AL46),AL46&gt;=1,AL46&lt;=14),2,0)</x:f>
        <x:v>0</x:v>
      </x:c>
      <x:c r="BB46" t="n">
        <x:f>IF(AND('01_Run_Config'!$B$52="AN Bud Ignitor &gt; Big Bud &gt; Overdrive",ISNUMBER(AL46),AL46&gt;=8,AL46&lt;=35),2,0)</x:f>
        <x:v>0</x:v>
      </x:c>
      <x:c r="BC46" t="n">
        <x:f>IF(AND('01_Run_Config'!$B$52="AN Bud Ignitor &gt; Big Bud &gt; Overdrive",ISNUMBER(AL46),AL46&gt;=36,AL46&lt;=49),2,0)</x:f>
        <x:v>0</x:v>
      </x:c>
      <x:c r="BD46" t="n">
        <x:f>IF('01_Run_Config'!$B$53="ON / EXPERIMENTAL",IF(OR(AND(A46&gt;='01_Run_Config'!$B$32,A46&lt;'01_Run_Config'!$B$33),AND(ISNUMBER(AL46),AL46&gt;=15,AL46&lt;=49)),2,0),0)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Sensizym",0,IF(AND(A47&gt;='01_Run_Config'!$B$32,OR(AL47="",AL47&lt;=49)),2,0))</x:f>
        <x:v>2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Overdrive",0,IF(AND(ISNUMBER(AL47),AL47&gt;=29,AL47&lt;=42),0.25+((AL47-29)/13)*0.25,0))</x:f>
        <x:v>0</x:v>
      </x:c>
      <x:c r="AC47" s="63" t="n">
        <x:f>IF('01_Run_Config'!$B$46="OFF",0,IF(OR(A47='01_Run_Config'!$B$32,A47='01_Run_Config'!$B$32+7,A47='01_Run_Config'!$B$33+1,A47='01_Run_Config'!$B$33+8),2,0))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A-B",0,IF(OR(AND(A47&gt;='01_Run_Config'!$B$32,A47&lt;'01_Run_Config'!$B$33),AND(ISNUMBER(AL47),AL47&gt;=15,AL47&lt;=49)),2,0))</x:f>
        <x:v>0</x:v>
      </x:c>
      <x:c r="AW47" t="n">
        <x:f>IF('01_Run_Config'!$B$48="AN Bud Candy (replaces HESI Boost)",IF(AND(A47&gt;='01_Run_Config'!$B$32,OR(AL47="",AL47&lt;=49)),2,0),0)</x:f>
        <x:v>0</x:v>
      </x:c>
      <x:c r="AX47" t="n">
        <x:f>IF('01_Run_Config'!$B$49&lt;&gt;"ON / EXPERIMENTAL",0,IF(OR(AND(A47&gt;='01_Run_Config'!$B$32+7,A47&lt;'01_Run_Config'!$B$33),AND(ISNUMBER(AL47),AL47&gt;=1,AL47&lt;=49)),2,0))</x:f>
        <x:v>0</x:v>
      </x:c>
      <x:c r="AY47" t="n">
        <x:f>IF('01_Run_Config'!$B$50="AN Sensizym",IF(AND(A47&gt;='01_Run_Config'!$B$32,OR(AL47="",AL47&lt;=49)),2,0),0)</x:f>
        <x:v>0</x:v>
      </x:c>
      <x:c r="AZ47" t="n">
        <x:f>IF('01_Run_Config'!$B$51="AN Rhino Skin",IF(AND(A47&gt;='01_Run_Config'!$B$32,OR(AL47="",AL47&lt;=49)),2,0),0)</x:f>
        <x:v>0</x:v>
      </x:c>
      <x:c r="BA47" t="n">
        <x:f>IF(AND('01_Run_Config'!$B$52="AN Bud Ignitor &gt; Big Bud &gt; Overdrive",ISNUMBER(AL47),AL47&gt;=1,AL47&lt;=14),2,0)</x:f>
        <x:v>0</x:v>
      </x:c>
      <x:c r="BB47" t="n">
        <x:f>IF(AND('01_Run_Config'!$B$52="AN Bud Ignitor &gt; Big Bud &gt; Overdrive",ISNUMBER(AL47),AL47&gt;=8,AL47&lt;=35),2,0)</x:f>
        <x:v>0</x:v>
      </x:c>
      <x:c r="BC47" t="n">
        <x:f>IF(AND('01_Run_Config'!$B$52="AN Bud Ignitor &gt; Big Bud &gt; Overdrive",ISNUMBER(AL47),AL47&gt;=36,AL47&lt;=49),2,0)</x:f>
        <x:v>0</x:v>
      </x:c>
      <x:c r="BD47" t="n">
        <x:f>IF('01_Run_Config'!$B$53="ON / EXPERIMENTAL",IF(OR(AND(A47&gt;='01_Run_Config'!$B$32,A47&lt;'01_Run_Config'!$B$33),AND(ISNUMBER(AL47),AL47&gt;=15,AL47&lt;=49)),2,0),0)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Sensizym",0,IF(AND(A48&gt;='01_Run_Config'!$B$32,OR(AL48="",AL48&lt;=49)),2,0))</x:f>
        <x:v>2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Overdrive",0,IF(AND(ISNUMBER(AL48),AL48&gt;=29,AL48&lt;=42),0.25+((AL48-29)/13)*0.25,0))</x:f>
        <x:v>0</x:v>
      </x:c>
      <x:c r="AC48" s="63" t="n">
        <x:f>IF('01_Run_Config'!$B$46="OFF",0,IF(OR(A48='01_Run_Config'!$B$32,A48='01_Run_Config'!$B$32+7,A48='01_Run_Config'!$B$33+1,A48='01_Run_Config'!$B$33+8),2,0))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A-B",0,IF(OR(AND(A48&gt;='01_Run_Config'!$B$32,A48&lt;'01_Run_Config'!$B$33),AND(ISNUMBER(AL48),AL48&gt;=15,AL48&lt;=49)),2,0))</x:f>
        <x:v>0</x:v>
      </x:c>
      <x:c r="AW48" t="n">
        <x:f>IF('01_Run_Config'!$B$48="AN Bud Candy (replaces HESI Boost)",IF(AND(A48&gt;='01_Run_Config'!$B$32,OR(AL48="",AL48&lt;=49)),2,0),0)</x:f>
        <x:v>0</x:v>
      </x:c>
      <x:c r="AX48" t="n">
        <x:f>IF('01_Run_Config'!$B$49&lt;&gt;"ON / EXPERIMENTAL",0,IF(OR(AND(A48&gt;='01_Run_Config'!$B$32+7,A48&lt;'01_Run_Config'!$B$33),AND(ISNUMBER(AL48),AL48&gt;=1,AL48&lt;=49)),2,0))</x:f>
        <x:v>0</x:v>
      </x:c>
      <x:c r="AY48" t="n">
        <x:f>IF('01_Run_Config'!$B$50="AN Sensizym",IF(AND(A48&gt;='01_Run_Config'!$B$32,OR(AL48="",AL48&lt;=49)),2,0),0)</x:f>
        <x:v>0</x:v>
      </x:c>
      <x:c r="AZ48" t="n">
        <x:f>IF('01_Run_Config'!$B$51="AN Rhino Skin",IF(AND(A48&gt;='01_Run_Config'!$B$32,OR(AL48="",AL48&lt;=49)),2,0),0)</x:f>
        <x:v>0</x:v>
      </x:c>
      <x:c r="BA48" t="n">
        <x:f>IF(AND('01_Run_Config'!$B$52="AN Bud Ignitor &gt; Big Bud &gt; Overdrive",ISNUMBER(AL48),AL48&gt;=1,AL48&lt;=14),2,0)</x:f>
        <x:v>0</x:v>
      </x:c>
      <x:c r="BB48" t="n">
        <x:f>IF(AND('01_Run_Config'!$B$52="AN Bud Ignitor &gt; Big Bud &gt; Overdrive",ISNUMBER(AL48),AL48&gt;=8,AL48&lt;=35),2,0)</x:f>
        <x:v>0</x:v>
      </x:c>
      <x:c r="BC48" t="n">
        <x:f>IF(AND('01_Run_Config'!$B$52="AN Bud Ignitor &gt; Big Bud &gt; Overdrive",ISNUMBER(AL48),AL48&gt;=36,AL48&lt;=49),2,0)</x:f>
        <x:v>0</x:v>
      </x:c>
      <x:c r="BD48" t="n">
        <x:f>IF('01_Run_Config'!$B$53="ON / EXPERIMENTAL",IF(OR(AND(A48&gt;='01_Run_Config'!$B$32,A48&lt;'01_Run_Config'!$B$33),AND(ISNUMBER(AL48),AL48&gt;=15,AL48&lt;=49)),2,0),0)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Sensizym",0,IF(AND(A49&gt;='01_Run_Config'!$B$32,OR(AL49="",AL49&lt;=49)),2,0))</x:f>
        <x:v>2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Overdrive",0,IF(AND(ISNUMBER(AL49),AL49&gt;=29,AL49&lt;=42),0.25+((AL49-29)/13)*0.25,0))</x:f>
        <x:v>0</x:v>
      </x:c>
      <x:c r="AC49" s="63" t="n">
        <x:f>IF('01_Run_Config'!$B$46="OFF",0,IF(OR(A49='01_Run_Config'!$B$32,A49='01_Run_Config'!$B$32+7,A49='01_Run_Config'!$B$33+1,A49='01_Run_Config'!$B$33+8),2,0))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A-B",0,IF(OR(AND(A49&gt;='01_Run_Config'!$B$32,A49&lt;'01_Run_Config'!$B$33),AND(ISNUMBER(AL49),AL49&gt;=15,AL49&lt;=49)),2,0))</x:f>
        <x:v>0</x:v>
      </x:c>
      <x:c r="AW49" t="n">
        <x:f>IF('01_Run_Config'!$B$48="AN Bud Candy (replaces HESI Boost)",IF(AND(A49&gt;='01_Run_Config'!$B$32,OR(AL49="",AL49&lt;=49)),2,0),0)</x:f>
        <x:v>0</x:v>
      </x:c>
      <x:c r="AX49" t="n">
        <x:f>IF('01_Run_Config'!$B$49&lt;&gt;"ON / EXPERIMENTAL",0,IF(OR(AND(A49&gt;='01_Run_Config'!$B$32+7,A49&lt;'01_Run_Config'!$B$33),AND(ISNUMBER(AL49),AL49&gt;=1,AL49&lt;=49)),2,0))</x:f>
        <x:v>0</x:v>
      </x:c>
      <x:c r="AY49" t="n">
        <x:f>IF('01_Run_Config'!$B$50="AN Sensizym",IF(AND(A49&gt;='01_Run_Config'!$B$32,OR(AL49="",AL49&lt;=49)),2,0),0)</x:f>
        <x:v>0</x:v>
      </x:c>
      <x:c r="AZ49" t="n">
        <x:f>IF('01_Run_Config'!$B$51="AN Rhino Skin",IF(AND(A49&gt;='01_Run_Config'!$B$32,OR(AL49="",AL49&lt;=49)),2,0),0)</x:f>
        <x:v>0</x:v>
      </x:c>
      <x:c r="BA49" t="n">
        <x:f>IF(AND('01_Run_Config'!$B$52="AN Bud Ignitor &gt; Big Bud &gt; Overdrive",ISNUMBER(AL49),AL49&gt;=1,AL49&lt;=14),2,0)</x:f>
        <x:v>0</x:v>
      </x:c>
      <x:c r="BB49" t="n">
        <x:f>IF(AND('01_Run_Config'!$B$52="AN Bud Ignitor &gt; Big Bud &gt; Overdrive",ISNUMBER(AL49),AL49&gt;=8,AL49&lt;=35),2,0)</x:f>
        <x:v>0</x:v>
      </x:c>
      <x:c r="BC49" t="n">
        <x:f>IF(AND('01_Run_Config'!$B$52="AN Bud Ignitor &gt; Big Bud &gt; Overdrive",ISNUMBER(AL49),AL49&gt;=36,AL49&lt;=49),2,0)</x:f>
        <x:v>0</x:v>
      </x:c>
      <x:c r="BD49" t="n">
        <x:f>IF('01_Run_Config'!$B$53="ON / EXPERIMENTAL",IF(OR(AND(A49&gt;='01_Run_Config'!$B$32,A49&lt;'01_Run_Config'!$B$33),AND(ISNUMBER(AL49),AL49&gt;=15,AL49&lt;=49)),2,0),0)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Sensizym",0,IF(AND(A50&gt;='01_Run_Config'!$B$32,OR(AL50="",AL50&lt;=49)),2,0))</x:f>
        <x:v>2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Overdrive",0,IF(AND(ISNUMBER(AL50),AL50&gt;=29,AL50&lt;=42),0.25+((AL50-29)/13)*0.25,0))</x:f>
        <x:v>0</x:v>
      </x:c>
      <x:c r="AC50" s="63" t="n">
        <x:f>IF('01_Run_Config'!$B$46="OFF",0,IF(OR(A50='01_Run_Config'!$B$32,A50='01_Run_Config'!$B$32+7,A50='01_Run_Config'!$B$33+1,A50='01_Run_Config'!$B$33+8),2,0))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A-B",0,IF(OR(AND(A50&gt;='01_Run_Config'!$B$32,A50&lt;'01_Run_Config'!$B$33),AND(ISNUMBER(AL50),AL50&gt;=15,AL50&lt;=49)),2,0))</x:f>
        <x:v>0</x:v>
      </x:c>
      <x:c r="AW50" t="n">
        <x:f>IF('01_Run_Config'!$B$48="AN Bud Candy (replaces HESI Boost)",IF(AND(A50&gt;='01_Run_Config'!$B$32,OR(AL50="",AL50&lt;=49)),2,0),0)</x:f>
        <x:v>0</x:v>
      </x:c>
      <x:c r="AX50" t="n">
        <x:f>IF('01_Run_Config'!$B$49&lt;&gt;"ON / EXPERIMENTAL",0,IF(OR(AND(A50&gt;='01_Run_Config'!$B$32+7,A50&lt;'01_Run_Config'!$B$33),AND(ISNUMBER(AL50),AL50&gt;=1,AL50&lt;=49)),2,0))</x:f>
        <x:v>0</x:v>
      </x:c>
      <x:c r="AY50" t="n">
        <x:f>IF('01_Run_Config'!$B$50="AN Sensizym",IF(AND(A50&gt;='01_Run_Config'!$B$32,OR(AL50="",AL50&lt;=49)),2,0),0)</x:f>
        <x:v>0</x:v>
      </x:c>
      <x:c r="AZ50" t="n">
        <x:f>IF('01_Run_Config'!$B$51="AN Rhino Skin",IF(AND(A50&gt;='01_Run_Config'!$B$32,OR(AL50="",AL50&lt;=49)),2,0),0)</x:f>
        <x:v>0</x:v>
      </x:c>
      <x:c r="BA50" t="n">
        <x:f>IF(AND('01_Run_Config'!$B$52="AN Bud Ignitor &gt; Big Bud &gt; Overdrive",ISNUMBER(AL50),AL50&gt;=1,AL50&lt;=14),2,0)</x:f>
        <x:v>0</x:v>
      </x:c>
      <x:c r="BB50" t="n">
        <x:f>IF(AND('01_Run_Config'!$B$52="AN Bud Ignitor &gt; Big Bud &gt; Overdrive",ISNUMBER(AL50),AL50&gt;=8,AL50&lt;=35),2,0)</x:f>
        <x:v>0</x:v>
      </x:c>
      <x:c r="BC50" t="n">
        <x:f>IF(AND('01_Run_Config'!$B$52="AN Bud Ignitor &gt; Big Bud &gt; Overdrive",ISNUMBER(AL50),AL50&gt;=36,AL50&lt;=49),2,0)</x:f>
        <x:v>0</x:v>
      </x:c>
      <x:c r="BD50" t="n">
        <x:f>IF('01_Run_Config'!$B$53="ON / EXPERIMENTAL",IF(OR(AND(A50&gt;='01_Run_Config'!$B$32,A50&lt;'01_Run_Config'!$B$33),AND(ISNUMBER(AL50),AL50&gt;=15,AL50&lt;=49)),2,0),0)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Sensizym",0,IF(AND(A51&gt;='01_Run_Config'!$B$32,OR(AL51="",AL51&lt;=49)),2,0))</x:f>
        <x:v>2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Overdrive",0,IF(AND(ISNUMBER(AL51),AL51&gt;=29,AL51&lt;=42),0.25+((AL51-29)/13)*0.25,0))</x:f>
        <x:v>0</x:v>
      </x:c>
      <x:c r="AC51" s="63" t="n">
        <x:f>IF('01_Run_Config'!$B$46="OFF",0,IF(OR(A51='01_Run_Config'!$B$32,A51='01_Run_Config'!$B$32+7,A51='01_Run_Config'!$B$33+1,A51='01_Run_Config'!$B$33+8),2,0))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A-B",0,IF(OR(AND(A51&gt;='01_Run_Config'!$B$32,A51&lt;'01_Run_Config'!$B$33),AND(ISNUMBER(AL51),AL51&gt;=15,AL51&lt;=49)),2,0))</x:f>
        <x:v>0</x:v>
      </x:c>
      <x:c r="AW51" t="n">
        <x:f>IF('01_Run_Config'!$B$48="AN Bud Candy (replaces HESI Boost)",IF(AND(A51&gt;='01_Run_Config'!$B$32,OR(AL51="",AL51&lt;=49)),2,0),0)</x:f>
        <x:v>0</x:v>
      </x:c>
      <x:c r="AX51" t="n">
        <x:f>IF('01_Run_Config'!$B$49&lt;&gt;"ON / EXPERIMENTAL",0,IF(OR(AND(A51&gt;='01_Run_Config'!$B$32+7,A51&lt;'01_Run_Config'!$B$33),AND(ISNUMBER(AL51),AL51&gt;=1,AL51&lt;=49)),2,0))</x:f>
        <x:v>0</x:v>
      </x:c>
      <x:c r="AY51" t="n">
        <x:f>IF('01_Run_Config'!$B$50="AN Sensizym",IF(AND(A51&gt;='01_Run_Config'!$B$32,OR(AL51="",AL51&lt;=49)),2,0),0)</x:f>
        <x:v>0</x:v>
      </x:c>
      <x:c r="AZ51" t="n">
        <x:f>IF('01_Run_Config'!$B$51="AN Rhino Skin",IF(AND(A51&gt;='01_Run_Config'!$B$32,OR(AL51="",AL51&lt;=49)),2,0),0)</x:f>
        <x:v>0</x:v>
      </x:c>
      <x:c r="BA51" t="n">
        <x:f>IF(AND('01_Run_Config'!$B$52="AN Bud Ignitor &gt; Big Bud &gt; Overdrive",ISNUMBER(AL51),AL51&gt;=1,AL51&lt;=14),2,0)</x:f>
        <x:v>0</x:v>
      </x:c>
      <x:c r="BB51" t="n">
        <x:f>IF(AND('01_Run_Config'!$B$52="AN Bud Ignitor &gt; Big Bud &gt; Overdrive",ISNUMBER(AL51),AL51&gt;=8,AL51&lt;=35),2,0)</x:f>
        <x:v>0</x:v>
      </x:c>
      <x:c r="BC51" t="n">
        <x:f>IF(AND('01_Run_Config'!$B$52="AN Bud Ignitor &gt; Big Bud &gt; Overdrive",ISNUMBER(AL51),AL51&gt;=36,AL51&lt;=49),2,0)</x:f>
        <x:v>0</x:v>
      </x:c>
      <x:c r="BD51" t="n">
        <x:f>IF('01_Run_Config'!$B$53="ON / EXPERIMENTAL",IF(OR(AND(A51&gt;='01_Run_Config'!$B$32,A51&lt;'01_Run_Config'!$B$33),AND(ISNUMBER(AL51),AL51&gt;=15,AL51&lt;=49)),2,0),0)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Sensizym",0,IF(AND(A52&gt;='01_Run_Config'!$B$32,OR(AL52="",AL52&lt;=49)),2,0))</x:f>
        <x:v>2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Overdrive",0,IF(AND(ISNUMBER(AL52),AL52&gt;=29,AL52&lt;=42),0.25+((AL52-29)/13)*0.25,0))</x:f>
        <x:v>0</x:v>
      </x:c>
      <x:c r="AC52" s="63" t="n">
        <x:f>IF('01_Run_Config'!$B$46="OFF",0,IF(OR(A52='01_Run_Config'!$B$32,A52='01_Run_Config'!$B$32+7,A52='01_Run_Config'!$B$33+1,A52='01_Run_Config'!$B$33+8),2,0))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A-B",0,IF(OR(AND(A52&gt;='01_Run_Config'!$B$32,A52&lt;'01_Run_Config'!$B$33),AND(ISNUMBER(AL52),AL52&gt;=15,AL52&lt;=49)),2,0))</x:f>
        <x:v>0</x:v>
      </x:c>
      <x:c r="AW52" t="n">
        <x:f>IF('01_Run_Config'!$B$48="AN Bud Candy (replaces HESI Boost)",IF(AND(A52&gt;='01_Run_Config'!$B$32,OR(AL52="",AL52&lt;=49)),2,0),0)</x:f>
        <x:v>0</x:v>
      </x:c>
      <x:c r="AX52" t="n">
        <x:f>IF('01_Run_Config'!$B$49&lt;&gt;"ON / EXPERIMENTAL",0,IF(OR(AND(A52&gt;='01_Run_Config'!$B$32+7,A52&lt;'01_Run_Config'!$B$33),AND(ISNUMBER(AL52),AL52&gt;=1,AL52&lt;=49)),2,0))</x:f>
        <x:v>0</x:v>
      </x:c>
      <x:c r="AY52" t="n">
        <x:f>IF('01_Run_Config'!$B$50="AN Sensizym",IF(AND(A52&gt;='01_Run_Config'!$B$32,OR(AL52="",AL52&lt;=49)),2,0),0)</x:f>
        <x:v>0</x:v>
      </x:c>
      <x:c r="AZ52" t="n">
        <x:f>IF('01_Run_Config'!$B$51="AN Rhino Skin",IF(AND(A52&gt;='01_Run_Config'!$B$32,OR(AL52="",AL52&lt;=49)),2,0),0)</x:f>
        <x:v>0</x:v>
      </x:c>
      <x:c r="BA52" t="n">
        <x:f>IF(AND('01_Run_Config'!$B$52="AN Bud Ignitor &gt; Big Bud &gt; Overdrive",ISNUMBER(AL52),AL52&gt;=1,AL52&lt;=14),2,0)</x:f>
        <x:v>0</x:v>
      </x:c>
      <x:c r="BB52" t="n">
        <x:f>IF(AND('01_Run_Config'!$B$52="AN Bud Ignitor &gt; Big Bud &gt; Overdrive",ISNUMBER(AL52),AL52&gt;=8,AL52&lt;=35),2,0)</x:f>
        <x:v>0</x:v>
      </x:c>
      <x:c r="BC52" t="n">
        <x:f>IF(AND('01_Run_Config'!$B$52="AN Bud Ignitor &gt; Big Bud &gt; Overdrive",ISNUMBER(AL52),AL52&gt;=36,AL52&lt;=49),2,0)</x:f>
        <x:v>0</x:v>
      </x:c>
      <x:c r="BD52" t="n">
        <x:f>IF('01_Run_Config'!$B$53="ON / EXPERIMENTAL",IF(OR(AND(A52&gt;='01_Run_Config'!$B$32,A52&lt;'01_Run_Config'!$B$33),AND(ISNUMBER(AL52),AL52&gt;=15,AL52&lt;=49)),2,0),0)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Sensizym",0,IF(AND(A53&gt;='01_Run_Config'!$B$32,OR(AL53="",AL53&lt;=49)),2,0))</x:f>
        <x:v>2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Overdrive",0,IF(AND(ISNUMBER(AL53),AL53&gt;=29,AL53&lt;=42),0.25+((AL53-29)/13)*0.25,0))</x:f>
        <x:v>0</x:v>
      </x:c>
      <x:c r="AC53" s="63" t="n">
        <x:f>IF('01_Run_Config'!$B$46="OFF",0,IF(OR(A53='01_Run_Config'!$B$32,A53='01_Run_Config'!$B$32+7,A53='01_Run_Config'!$B$33+1,A53='01_Run_Config'!$B$33+8),2,0))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A-B",0,IF(OR(AND(A53&gt;='01_Run_Config'!$B$32,A53&lt;'01_Run_Config'!$B$33),AND(ISNUMBER(AL53),AL53&gt;=15,AL53&lt;=49)),2,0))</x:f>
        <x:v>0</x:v>
      </x:c>
      <x:c r="AW53" t="n">
        <x:f>IF('01_Run_Config'!$B$48="AN Bud Candy (replaces HESI Boost)",IF(AND(A53&gt;='01_Run_Config'!$B$32,OR(AL53="",AL53&lt;=49)),2,0),0)</x:f>
        <x:v>0</x:v>
      </x:c>
      <x:c r="AX53" t="n">
        <x:f>IF('01_Run_Config'!$B$49&lt;&gt;"ON / EXPERIMENTAL",0,IF(OR(AND(A53&gt;='01_Run_Config'!$B$32+7,A53&lt;'01_Run_Config'!$B$33),AND(ISNUMBER(AL53),AL53&gt;=1,AL53&lt;=49)),2,0))</x:f>
        <x:v>0</x:v>
      </x:c>
      <x:c r="AY53" t="n">
        <x:f>IF('01_Run_Config'!$B$50="AN Sensizym",IF(AND(A53&gt;='01_Run_Config'!$B$32,OR(AL53="",AL53&lt;=49)),2,0),0)</x:f>
        <x:v>0</x:v>
      </x:c>
      <x:c r="AZ53" t="n">
        <x:f>IF('01_Run_Config'!$B$51="AN Rhino Skin",IF(AND(A53&gt;='01_Run_Config'!$B$32,OR(AL53="",AL53&lt;=49)),2,0),0)</x:f>
        <x:v>0</x:v>
      </x:c>
      <x:c r="BA53" t="n">
        <x:f>IF(AND('01_Run_Config'!$B$52="AN Bud Ignitor &gt; Big Bud &gt; Overdrive",ISNUMBER(AL53),AL53&gt;=1,AL53&lt;=14),2,0)</x:f>
        <x:v>0</x:v>
      </x:c>
      <x:c r="BB53" t="n">
        <x:f>IF(AND('01_Run_Config'!$B$52="AN Bud Ignitor &gt; Big Bud &gt; Overdrive",ISNUMBER(AL53),AL53&gt;=8,AL53&lt;=35),2,0)</x:f>
        <x:v>0</x:v>
      </x:c>
      <x:c r="BC53" t="n">
        <x:f>IF(AND('01_Run_Config'!$B$52="AN Bud Ignitor &gt; Big Bud &gt; Overdrive",ISNUMBER(AL53),AL53&gt;=36,AL53&lt;=49),2,0)</x:f>
        <x:v>0</x:v>
      </x:c>
      <x:c r="BD53" t="n">
        <x:f>IF('01_Run_Config'!$B$53="ON / EXPERIMENTAL",IF(OR(AND(A53&gt;='01_Run_Config'!$B$32,A53&lt;'01_Run_Config'!$B$33),AND(ISNUMBER(AL53),AL53&gt;=15,AL53&lt;=49)),2,0),0)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Sensizym",0,IF(AND(A54&gt;='01_Run_Config'!$B$32,OR(AL54="",AL54&lt;=49)),2,0))</x:f>
        <x:v>2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Overdrive",0,IF(AND(ISNUMBER(AL54),AL54&gt;=29,AL54&lt;=42),0.25+((AL54-29)/13)*0.25,0))</x:f>
        <x:v>0</x:v>
      </x:c>
      <x:c r="AC54" s="63" t="n">
        <x:f>IF('01_Run_Config'!$B$46="OFF",0,IF(OR(A54='01_Run_Config'!$B$32,A54='01_Run_Config'!$B$32+7,A54='01_Run_Config'!$B$33+1,A54='01_Run_Config'!$B$33+8),2,0))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A-B",0,IF(OR(AND(A54&gt;='01_Run_Config'!$B$32,A54&lt;'01_Run_Config'!$B$33),AND(ISNUMBER(AL54),AL54&gt;=15,AL54&lt;=49)),2,0))</x:f>
        <x:v>0</x:v>
      </x:c>
      <x:c r="AW54" t="n">
        <x:f>IF('01_Run_Config'!$B$48="AN Bud Candy (replaces HESI Boost)",IF(AND(A54&gt;='01_Run_Config'!$B$32,OR(AL54="",AL54&lt;=49)),2,0),0)</x:f>
        <x:v>0</x:v>
      </x:c>
      <x:c r="AX54" t="n">
        <x:f>IF('01_Run_Config'!$B$49&lt;&gt;"ON / EXPERIMENTAL",0,IF(OR(AND(A54&gt;='01_Run_Config'!$B$32+7,A54&lt;'01_Run_Config'!$B$33),AND(ISNUMBER(AL54),AL54&gt;=1,AL54&lt;=49)),2,0))</x:f>
        <x:v>0</x:v>
      </x:c>
      <x:c r="AY54" t="n">
        <x:f>IF('01_Run_Config'!$B$50="AN Sensizym",IF(AND(A54&gt;='01_Run_Config'!$B$32,OR(AL54="",AL54&lt;=49)),2,0),0)</x:f>
        <x:v>0</x:v>
      </x:c>
      <x:c r="AZ54" t="n">
        <x:f>IF('01_Run_Config'!$B$51="AN Rhino Skin",IF(AND(A54&gt;='01_Run_Config'!$B$32,OR(AL54="",AL54&lt;=49)),2,0),0)</x:f>
        <x:v>0</x:v>
      </x:c>
      <x:c r="BA54" t="n">
        <x:f>IF(AND('01_Run_Config'!$B$52="AN Bud Ignitor &gt; Big Bud &gt; Overdrive",ISNUMBER(AL54),AL54&gt;=1,AL54&lt;=14),2,0)</x:f>
        <x:v>0</x:v>
      </x:c>
      <x:c r="BB54" t="n">
        <x:f>IF(AND('01_Run_Config'!$B$52="AN Bud Ignitor &gt; Big Bud &gt; Overdrive",ISNUMBER(AL54),AL54&gt;=8,AL54&lt;=35),2,0)</x:f>
        <x:v>0</x:v>
      </x:c>
      <x:c r="BC54" t="n">
        <x:f>IF(AND('01_Run_Config'!$B$52="AN Bud Ignitor &gt; Big Bud &gt; Overdrive",ISNUMBER(AL54),AL54&gt;=36,AL54&lt;=49),2,0)</x:f>
        <x:v>0</x:v>
      </x:c>
      <x:c r="BD54" t="n">
        <x:f>IF('01_Run_Config'!$B$53="ON / EXPERIMENTAL",IF(OR(AND(A54&gt;='01_Run_Config'!$B$32,A54&lt;'01_Run_Config'!$B$33),AND(ISNUMBER(AL54),AL54&gt;=15,AL54&lt;=49)),2,0),0)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Sensizym",0,IF(AND(A55&gt;='01_Run_Config'!$B$32,OR(AL55="",AL55&lt;=49)),2,0))</x:f>
        <x:v>2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Overdrive",0,IF(AND(ISNUMBER(AL55),AL55&gt;=29,AL55&lt;=42),0.25+((AL55-29)/13)*0.25,0))</x:f>
        <x:v>0</x:v>
      </x:c>
      <x:c r="AC55" s="63" t="n">
        <x:f>IF('01_Run_Config'!$B$46="OFF",0,IF(OR(A55='01_Run_Config'!$B$32,A55='01_Run_Config'!$B$32+7,A55='01_Run_Config'!$B$33+1,A55='01_Run_Config'!$B$33+8),2,0))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A-B",0,IF(OR(AND(A55&gt;='01_Run_Config'!$B$32,A55&lt;'01_Run_Config'!$B$33),AND(ISNUMBER(AL55),AL55&gt;=15,AL55&lt;=49)),2,0))</x:f>
        <x:v>0</x:v>
      </x:c>
      <x:c r="AW55" t="n">
        <x:f>IF('01_Run_Config'!$B$48="AN Bud Candy (replaces HESI Boost)",IF(AND(A55&gt;='01_Run_Config'!$B$32,OR(AL55="",AL55&lt;=49)),2,0),0)</x:f>
        <x:v>0</x:v>
      </x:c>
      <x:c r="AX55" t="n">
        <x:f>IF('01_Run_Config'!$B$49&lt;&gt;"ON / EXPERIMENTAL",0,IF(OR(AND(A55&gt;='01_Run_Config'!$B$32+7,A55&lt;'01_Run_Config'!$B$33),AND(ISNUMBER(AL55),AL55&gt;=1,AL55&lt;=49)),2,0))</x:f>
        <x:v>0</x:v>
      </x:c>
      <x:c r="AY55" t="n">
        <x:f>IF('01_Run_Config'!$B$50="AN Sensizym",IF(AND(A55&gt;='01_Run_Config'!$B$32,OR(AL55="",AL55&lt;=49)),2,0),0)</x:f>
        <x:v>0</x:v>
      </x:c>
      <x:c r="AZ55" t="n">
        <x:f>IF('01_Run_Config'!$B$51="AN Rhino Skin",IF(AND(A55&gt;='01_Run_Config'!$B$32,OR(AL55="",AL55&lt;=49)),2,0),0)</x:f>
        <x:v>0</x:v>
      </x:c>
      <x:c r="BA55" t="n">
        <x:f>IF(AND('01_Run_Config'!$B$52="AN Bud Ignitor &gt; Big Bud &gt; Overdrive",ISNUMBER(AL55),AL55&gt;=1,AL55&lt;=14),2,0)</x:f>
        <x:v>0</x:v>
      </x:c>
      <x:c r="BB55" t="n">
        <x:f>IF(AND('01_Run_Config'!$B$52="AN Bud Ignitor &gt; Big Bud &gt; Overdrive",ISNUMBER(AL55),AL55&gt;=8,AL55&lt;=35),2,0)</x:f>
        <x:v>0</x:v>
      </x:c>
      <x:c r="BC55" t="n">
        <x:f>IF(AND('01_Run_Config'!$B$52="AN Bud Ignitor &gt; Big Bud &gt; Overdrive",ISNUMBER(AL55),AL55&gt;=36,AL55&lt;=49),2,0)</x:f>
        <x:v>0</x:v>
      </x:c>
      <x:c r="BD55" t="n">
        <x:f>IF('01_Run_Config'!$B$53="ON / EXPERIMENTAL",IF(OR(AND(A55&gt;='01_Run_Config'!$B$32,A55&lt;'01_Run_Config'!$B$33),AND(ISNUMBER(AL55),AL55&gt;=15,AL55&lt;=49)),2,0),0)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Sensizym",0,IF(AND(A56&gt;='01_Run_Config'!$B$32,OR(AL56="",AL56&lt;=49)),2,0))</x:f>
        <x:v>2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Overdrive",0,IF(AND(ISNUMBER(AL56),AL56&gt;=29,AL56&lt;=42),0.25+((AL56-29)/13)*0.25,0))</x:f>
        <x:v>0</x:v>
      </x:c>
      <x:c r="AC56" s="63" t="n">
        <x:f>IF('01_Run_Config'!$B$46="OFF",0,IF(OR(A56='01_Run_Config'!$B$32,A56='01_Run_Config'!$B$32+7,A56='01_Run_Config'!$B$33+1,A56='01_Run_Config'!$B$33+8),2,0))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A-B",0,IF(OR(AND(A56&gt;='01_Run_Config'!$B$32,A56&lt;'01_Run_Config'!$B$33),AND(ISNUMBER(AL56),AL56&gt;=15,AL56&lt;=49)),2,0))</x:f>
        <x:v>0</x:v>
      </x:c>
      <x:c r="AW56" t="n">
        <x:f>IF('01_Run_Config'!$B$48="AN Bud Candy (replaces HESI Boost)",IF(AND(A56&gt;='01_Run_Config'!$B$32,OR(AL56="",AL56&lt;=49)),2,0),0)</x:f>
        <x:v>0</x:v>
      </x:c>
      <x:c r="AX56" t="n">
        <x:f>IF('01_Run_Config'!$B$49&lt;&gt;"ON / EXPERIMENTAL",0,IF(OR(AND(A56&gt;='01_Run_Config'!$B$32+7,A56&lt;'01_Run_Config'!$B$33),AND(ISNUMBER(AL56),AL56&gt;=1,AL56&lt;=49)),2,0))</x:f>
        <x:v>0</x:v>
      </x:c>
      <x:c r="AY56" t="n">
        <x:f>IF('01_Run_Config'!$B$50="AN Sensizym",IF(AND(A56&gt;='01_Run_Config'!$B$32,OR(AL56="",AL56&lt;=49)),2,0),0)</x:f>
        <x:v>0</x:v>
      </x:c>
      <x:c r="AZ56" t="n">
        <x:f>IF('01_Run_Config'!$B$51="AN Rhino Skin",IF(AND(A56&gt;='01_Run_Config'!$B$32,OR(AL56="",AL56&lt;=49)),2,0),0)</x:f>
        <x:v>0</x:v>
      </x:c>
      <x:c r="BA56" t="n">
        <x:f>IF(AND('01_Run_Config'!$B$52="AN Bud Ignitor &gt; Big Bud &gt; Overdrive",ISNUMBER(AL56),AL56&gt;=1,AL56&lt;=14),2,0)</x:f>
        <x:v>0</x:v>
      </x:c>
      <x:c r="BB56" t="n">
        <x:f>IF(AND('01_Run_Config'!$B$52="AN Bud Ignitor &gt; Big Bud &gt; Overdrive",ISNUMBER(AL56),AL56&gt;=8,AL56&lt;=35),2,0)</x:f>
        <x:v>0</x:v>
      </x:c>
      <x:c r="BC56" t="n">
        <x:f>IF(AND('01_Run_Config'!$B$52="AN Bud Ignitor &gt; Big Bud &gt; Overdrive",ISNUMBER(AL56),AL56&gt;=36,AL56&lt;=49),2,0)</x:f>
        <x:v>0</x:v>
      </x:c>
      <x:c r="BD56" t="n">
        <x:f>IF('01_Run_Config'!$B$53="ON / EXPERIMENTAL",IF(OR(AND(A56&gt;='01_Run_Config'!$B$32,A56&lt;'01_Run_Config'!$B$33),AND(ISNUMBER(AL56),AL56&gt;=15,AL56&lt;=49)),2,0),0)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Sensizym",0,IF(AND(A57&gt;='01_Run_Config'!$B$32,OR(AL57="",AL57&lt;=49)),2,0))</x:f>
        <x:v>2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Overdrive",0,IF(AND(ISNUMBER(AL57),AL57&gt;=29,AL57&lt;=42),0.25+((AL57-29)/13)*0.25,0))</x:f>
        <x:v>0</x:v>
      </x:c>
      <x:c r="AC57" s="63" t="n">
        <x:f>IF('01_Run_Config'!$B$46="OFF",0,IF(OR(A57='01_Run_Config'!$B$32,A57='01_Run_Config'!$B$32+7,A57='01_Run_Config'!$B$33+1,A57='01_Run_Config'!$B$33+8),2,0))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A-B",0,IF(OR(AND(A57&gt;='01_Run_Config'!$B$32,A57&lt;'01_Run_Config'!$B$33),AND(ISNUMBER(AL57),AL57&gt;=15,AL57&lt;=49)),2,0))</x:f>
        <x:v>0</x:v>
      </x:c>
      <x:c r="AW57" t="n">
        <x:f>IF('01_Run_Config'!$B$48="AN Bud Candy (replaces HESI Boost)",IF(AND(A57&gt;='01_Run_Config'!$B$32,OR(AL57="",AL57&lt;=49)),2,0),0)</x:f>
        <x:v>0</x:v>
      </x:c>
      <x:c r="AX57" t="n">
        <x:f>IF('01_Run_Config'!$B$49&lt;&gt;"ON / EXPERIMENTAL",0,IF(OR(AND(A57&gt;='01_Run_Config'!$B$32+7,A57&lt;'01_Run_Config'!$B$33),AND(ISNUMBER(AL57),AL57&gt;=1,AL57&lt;=49)),2,0))</x:f>
        <x:v>0</x:v>
      </x:c>
      <x:c r="AY57" t="n">
        <x:f>IF('01_Run_Config'!$B$50="AN Sensizym",IF(AND(A57&gt;='01_Run_Config'!$B$32,OR(AL57="",AL57&lt;=49)),2,0),0)</x:f>
        <x:v>0</x:v>
      </x:c>
      <x:c r="AZ57" t="n">
        <x:f>IF('01_Run_Config'!$B$51="AN Rhino Skin",IF(AND(A57&gt;='01_Run_Config'!$B$32,OR(AL57="",AL57&lt;=49)),2,0),0)</x:f>
        <x:v>0</x:v>
      </x:c>
      <x:c r="BA57" t="n">
        <x:f>IF(AND('01_Run_Config'!$B$52="AN Bud Ignitor &gt; Big Bud &gt; Overdrive",ISNUMBER(AL57),AL57&gt;=1,AL57&lt;=14),2,0)</x:f>
        <x:v>0</x:v>
      </x:c>
      <x:c r="BB57" t="n">
        <x:f>IF(AND('01_Run_Config'!$B$52="AN Bud Ignitor &gt; Big Bud &gt; Overdrive",ISNUMBER(AL57),AL57&gt;=8,AL57&lt;=35),2,0)</x:f>
        <x:v>0</x:v>
      </x:c>
      <x:c r="BC57" t="n">
        <x:f>IF(AND('01_Run_Config'!$B$52="AN Bud Ignitor &gt; Big Bud &gt; Overdrive",ISNUMBER(AL57),AL57&gt;=36,AL57&lt;=49),2,0)</x:f>
        <x:v>0</x:v>
      </x:c>
      <x:c r="BD57" t="n">
        <x:f>IF('01_Run_Config'!$B$53="ON / EXPERIMENTAL",IF(OR(AND(A57&gt;='01_Run_Config'!$B$32,A57&lt;'01_Run_Config'!$B$33),AND(ISNUMBER(AL57),AL57&gt;=15,AL57&lt;=49)),2,0),0)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Sensizym",0,IF(AND(A58&gt;='01_Run_Config'!$B$32,OR(AL58="",AL58&lt;=49)),2,0))</x:f>
        <x:v>2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Overdrive",0,IF(AND(ISNUMBER(AL58),AL58&gt;=29,AL58&lt;=42),0.25+((AL58-29)/13)*0.25,0))</x:f>
        <x:v>0.25</x:v>
      </x:c>
      <x:c r="AC58" s="63" t="n">
        <x:f>IF('01_Run_Config'!$B$46="OFF",0,IF(OR(A58='01_Run_Config'!$B$32,A58='01_Run_Config'!$B$32+7,A58='01_Run_Config'!$B$33+1,A58='01_Run_Config'!$B$33+8),2,0))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A-B",0,IF(OR(AND(A58&gt;='01_Run_Config'!$B$32,A58&lt;'01_Run_Config'!$B$33),AND(ISNUMBER(AL58),AL58&gt;=15,AL58&lt;=49)),2,0))</x:f>
        <x:v>0</x:v>
      </x:c>
      <x:c r="AW58" t="n">
        <x:f>IF('01_Run_Config'!$B$48="AN Bud Candy (replaces HESI Boost)",IF(AND(A58&gt;='01_Run_Config'!$B$32,OR(AL58="",AL58&lt;=49)),2,0),0)</x:f>
        <x:v>0</x:v>
      </x:c>
      <x:c r="AX58" t="n">
        <x:f>IF('01_Run_Config'!$B$49&lt;&gt;"ON / EXPERIMENTAL",0,IF(OR(AND(A58&gt;='01_Run_Config'!$B$32+7,A58&lt;'01_Run_Config'!$B$33),AND(ISNUMBER(AL58),AL58&gt;=1,AL58&lt;=49)),2,0))</x:f>
        <x:v>0</x:v>
      </x:c>
      <x:c r="AY58" t="n">
        <x:f>IF('01_Run_Config'!$B$50="AN Sensizym",IF(AND(A58&gt;='01_Run_Config'!$B$32,OR(AL58="",AL58&lt;=49)),2,0),0)</x:f>
        <x:v>0</x:v>
      </x:c>
      <x:c r="AZ58" t="n">
        <x:f>IF('01_Run_Config'!$B$51="AN Rhino Skin",IF(AND(A58&gt;='01_Run_Config'!$B$32,OR(AL58="",AL58&lt;=49)),2,0),0)</x:f>
        <x:v>0</x:v>
      </x:c>
      <x:c r="BA58" t="n">
        <x:f>IF(AND('01_Run_Config'!$B$52="AN Bud Ignitor &gt; Big Bud &gt; Overdrive",ISNUMBER(AL58),AL58&gt;=1,AL58&lt;=14),2,0)</x:f>
        <x:v>0</x:v>
      </x:c>
      <x:c r="BB58" t="n">
        <x:f>IF(AND('01_Run_Config'!$B$52="AN Bud Ignitor &gt; Big Bud &gt; Overdrive",ISNUMBER(AL58),AL58&gt;=8,AL58&lt;=35),2,0)</x:f>
        <x:v>0</x:v>
      </x:c>
      <x:c r="BC58" t="n">
        <x:f>IF(AND('01_Run_Config'!$B$52="AN Bud Ignitor &gt; Big Bud &gt; Overdrive",ISNUMBER(AL58),AL58&gt;=36,AL58&lt;=49),2,0)</x:f>
        <x:v>0</x:v>
      </x:c>
      <x:c r="BD58" t="n">
        <x:f>IF('01_Run_Config'!$B$53="ON / EXPERIMENTAL",IF(OR(AND(A58&gt;='01_Run_Config'!$B$32,A58&lt;'01_Run_Config'!$B$33),AND(ISNUMBER(AL58),AL58&gt;=15,AL58&lt;=49)),2,0),0)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Sensizym",0,IF(AND(A59&gt;='01_Run_Config'!$B$32,OR(AL59="",AL59&lt;=49)),2,0))</x:f>
        <x:v>2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Overdrive",0,IF(AND(ISNUMBER(AL59),AL59&gt;=29,AL59&lt;=42),0.25+((AL59-29)/13)*0.25,0))</x:f>
        <x:v>0.2692307692307692</x:v>
      </x:c>
      <x:c r="AC59" s="63" t="n">
        <x:f>IF('01_Run_Config'!$B$46="OFF",0,IF(OR(A59='01_Run_Config'!$B$32,A59='01_Run_Config'!$B$32+7,A59='01_Run_Config'!$B$33+1,A59='01_Run_Config'!$B$33+8),2,0))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A-B",0,IF(OR(AND(A59&gt;='01_Run_Config'!$B$32,A59&lt;'01_Run_Config'!$B$33),AND(ISNUMBER(AL59),AL59&gt;=15,AL59&lt;=49)),2,0))</x:f>
        <x:v>0</x:v>
      </x:c>
      <x:c r="AW59" t="n">
        <x:f>IF('01_Run_Config'!$B$48="AN Bud Candy (replaces HESI Boost)",IF(AND(A59&gt;='01_Run_Config'!$B$32,OR(AL59="",AL59&lt;=49)),2,0),0)</x:f>
        <x:v>0</x:v>
      </x:c>
      <x:c r="AX59" t="n">
        <x:f>IF('01_Run_Config'!$B$49&lt;&gt;"ON / EXPERIMENTAL",0,IF(OR(AND(A59&gt;='01_Run_Config'!$B$32+7,A59&lt;'01_Run_Config'!$B$33),AND(ISNUMBER(AL59),AL59&gt;=1,AL59&lt;=49)),2,0))</x:f>
        <x:v>0</x:v>
      </x:c>
      <x:c r="AY59" t="n">
        <x:f>IF('01_Run_Config'!$B$50="AN Sensizym",IF(AND(A59&gt;='01_Run_Config'!$B$32,OR(AL59="",AL59&lt;=49)),2,0),0)</x:f>
        <x:v>0</x:v>
      </x:c>
      <x:c r="AZ59" t="n">
        <x:f>IF('01_Run_Config'!$B$51="AN Rhino Skin",IF(AND(A59&gt;='01_Run_Config'!$B$32,OR(AL59="",AL59&lt;=49)),2,0),0)</x:f>
        <x:v>0</x:v>
      </x:c>
      <x:c r="BA59" t="n">
        <x:f>IF(AND('01_Run_Config'!$B$52="AN Bud Ignitor &gt; Big Bud &gt; Overdrive",ISNUMBER(AL59),AL59&gt;=1,AL59&lt;=14),2,0)</x:f>
        <x:v>0</x:v>
      </x:c>
      <x:c r="BB59" t="n">
        <x:f>IF(AND('01_Run_Config'!$B$52="AN Bud Ignitor &gt; Big Bud &gt; Overdrive",ISNUMBER(AL59),AL59&gt;=8,AL59&lt;=35),2,0)</x:f>
        <x:v>0</x:v>
      </x:c>
      <x:c r="BC59" t="n">
        <x:f>IF(AND('01_Run_Config'!$B$52="AN Bud Ignitor &gt; Big Bud &gt; Overdrive",ISNUMBER(AL59),AL59&gt;=36,AL59&lt;=49),2,0)</x:f>
        <x:v>0</x:v>
      </x:c>
      <x:c r="BD59" t="n">
        <x:f>IF('01_Run_Config'!$B$53="ON / EXPERIMENTAL",IF(OR(AND(A59&gt;='01_Run_Config'!$B$32,A59&lt;'01_Run_Config'!$B$33),AND(ISNUMBER(AL59),AL59&gt;=15,AL59&lt;=49)),2,0),0)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Sensizym",0,IF(AND(A60&gt;='01_Run_Config'!$B$32,OR(AL60="",AL60&lt;=49)),2,0))</x:f>
        <x:v>2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Overdrive",0,IF(AND(ISNUMBER(AL60),AL60&gt;=29,AL60&lt;=42),0.25+((AL60-29)/13)*0.25,0))</x:f>
        <x:v>0.28846153846153844</x:v>
      </x:c>
      <x:c r="AC60" s="63" t="n">
        <x:f>IF('01_Run_Config'!$B$46="OFF",0,IF(OR(A60='01_Run_Config'!$B$32,A60='01_Run_Config'!$B$32+7,A60='01_Run_Config'!$B$33+1,A60='01_Run_Config'!$B$33+8),2,0))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A-B",0,IF(OR(AND(A60&gt;='01_Run_Config'!$B$32,A60&lt;'01_Run_Config'!$B$33),AND(ISNUMBER(AL60),AL60&gt;=15,AL60&lt;=49)),2,0))</x:f>
        <x:v>0</x:v>
      </x:c>
      <x:c r="AW60" t="n">
        <x:f>IF('01_Run_Config'!$B$48="AN Bud Candy (replaces HESI Boost)",IF(AND(A60&gt;='01_Run_Config'!$B$32,OR(AL60="",AL60&lt;=49)),2,0),0)</x:f>
        <x:v>0</x:v>
      </x:c>
      <x:c r="AX60" t="n">
        <x:f>IF('01_Run_Config'!$B$49&lt;&gt;"ON / EXPERIMENTAL",0,IF(OR(AND(A60&gt;='01_Run_Config'!$B$32+7,A60&lt;'01_Run_Config'!$B$33),AND(ISNUMBER(AL60),AL60&gt;=1,AL60&lt;=49)),2,0))</x:f>
        <x:v>0</x:v>
      </x:c>
      <x:c r="AY60" t="n">
        <x:f>IF('01_Run_Config'!$B$50="AN Sensizym",IF(AND(A60&gt;='01_Run_Config'!$B$32,OR(AL60="",AL60&lt;=49)),2,0),0)</x:f>
        <x:v>0</x:v>
      </x:c>
      <x:c r="AZ60" t="n">
        <x:f>IF('01_Run_Config'!$B$51="AN Rhino Skin",IF(AND(A60&gt;='01_Run_Config'!$B$32,OR(AL60="",AL60&lt;=49)),2,0),0)</x:f>
        <x:v>0</x:v>
      </x:c>
      <x:c r="BA60" t="n">
        <x:f>IF(AND('01_Run_Config'!$B$52="AN Bud Ignitor &gt; Big Bud &gt; Overdrive",ISNUMBER(AL60),AL60&gt;=1,AL60&lt;=14),2,0)</x:f>
        <x:v>0</x:v>
      </x:c>
      <x:c r="BB60" t="n">
        <x:f>IF(AND('01_Run_Config'!$B$52="AN Bud Ignitor &gt; Big Bud &gt; Overdrive",ISNUMBER(AL60),AL60&gt;=8,AL60&lt;=35),2,0)</x:f>
        <x:v>0</x:v>
      </x:c>
      <x:c r="BC60" t="n">
        <x:f>IF(AND('01_Run_Config'!$B$52="AN Bud Ignitor &gt; Big Bud &gt; Overdrive",ISNUMBER(AL60),AL60&gt;=36,AL60&lt;=49),2,0)</x:f>
        <x:v>0</x:v>
      </x:c>
      <x:c r="BD60" t="n">
        <x:f>IF('01_Run_Config'!$B$53="ON / EXPERIMENTAL",IF(OR(AND(A60&gt;='01_Run_Config'!$B$32,A60&lt;'01_Run_Config'!$B$33),AND(ISNUMBER(AL60),AL60&gt;=15,AL60&lt;=49)),2,0),0)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Sensizym",0,IF(AND(A61&gt;='01_Run_Config'!$B$32,OR(AL61="",AL61&lt;=49)),2,0))</x:f>
        <x:v>2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Overdrive",0,IF(AND(ISNUMBER(AL61),AL61&gt;=29,AL61&lt;=42),0.25+((AL61-29)/13)*0.25,0))</x:f>
        <x:v>0.3076923076923077</x:v>
      </x:c>
      <x:c r="AC61" s="63" t="n">
        <x:f>IF('01_Run_Config'!$B$46="OFF",0,IF(OR(A61='01_Run_Config'!$B$32,A61='01_Run_Config'!$B$32+7,A61='01_Run_Config'!$B$33+1,A61='01_Run_Config'!$B$33+8),2,0))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A-B",0,IF(OR(AND(A61&gt;='01_Run_Config'!$B$32,A61&lt;'01_Run_Config'!$B$33),AND(ISNUMBER(AL61),AL61&gt;=15,AL61&lt;=49)),2,0))</x:f>
        <x:v>0</x:v>
      </x:c>
      <x:c r="AW61" t="n">
        <x:f>IF('01_Run_Config'!$B$48="AN Bud Candy (replaces HESI Boost)",IF(AND(A61&gt;='01_Run_Config'!$B$32,OR(AL61="",AL61&lt;=49)),2,0),0)</x:f>
        <x:v>0</x:v>
      </x:c>
      <x:c r="AX61" t="n">
        <x:f>IF('01_Run_Config'!$B$49&lt;&gt;"ON / EXPERIMENTAL",0,IF(OR(AND(A61&gt;='01_Run_Config'!$B$32+7,A61&lt;'01_Run_Config'!$B$33),AND(ISNUMBER(AL61),AL61&gt;=1,AL61&lt;=49)),2,0))</x:f>
        <x:v>0</x:v>
      </x:c>
      <x:c r="AY61" t="n">
        <x:f>IF('01_Run_Config'!$B$50="AN Sensizym",IF(AND(A61&gt;='01_Run_Config'!$B$32,OR(AL61="",AL61&lt;=49)),2,0),0)</x:f>
        <x:v>0</x:v>
      </x:c>
      <x:c r="AZ61" t="n">
        <x:f>IF('01_Run_Config'!$B$51="AN Rhino Skin",IF(AND(A61&gt;='01_Run_Config'!$B$32,OR(AL61="",AL61&lt;=49)),2,0),0)</x:f>
        <x:v>0</x:v>
      </x:c>
      <x:c r="BA61" t="n">
        <x:f>IF(AND('01_Run_Config'!$B$52="AN Bud Ignitor &gt; Big Bud &gt; Overdrive",ISNUMBER(AL61),AL61&gt;=1,AL61&lt;=14),2,0)</x:f>
        <x:v>0</x:v>
      </x:c>
      <x:c r="BB61" t="n">
        <x:f>IF(AND('01_Run_Config'!$B$52="AN Bud Ignitor &gt; Big Bud &gt; Overdrive",ISNUMBER(AL61),AL61&gt;=8,AL61&lt;=35),2,0)</x:f>
        <x:v>0</x:v>
      </x:c>
      <x:c r="BC61" t="n">
        <x:f>IF(AND('01_Run_Config'!$B$52="AN Bud Ignitor &gt; Big Bud &gt; Overdrive",ISNUMBER(AL61),AL61&gt;=36,AL61&lt;=49),2,0)</x:f>
        <x:v>0</x:v>
      </x:c>
      <x:c r="BD61" t="n">
        <x:f>IF('01_Run_Config'!$B$53="ON / EXPERIMENTAL",IF(OR(AND(A61&gt;='01_Run_Config'!$B$32,A61&lt;'01_Run_Config'!$B$33),AND(ISNUMBER(AL61),AL61&gt;=15,AL61&lt;=49)),2,0),0)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Sensizym",0,IF(AND(A62&gt;='01_Run_Config'!$B$32,OR(AL62="",AL62&lt;=49)),2,0))</x:f>
        <x:v>2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Overdrive",0,IF(AND(ISNUMBER(AL62),AL62&gt;=29,AL62&lt;=42),0.25+((AL62-29)/13)*0.25,0))</x:f>
        <x:v>0.3269230769230769</x:v>
      </x:c>
      <x:c r="AC62" s="63" t="n">
        <x:f>IF('01_Run_Config'!$B$46="OFF",0,IF(OR(A62='01_Run_Config'!$B$32,A62='01_Run_Config'!$B$32+7,A62='01_Run_Config'!$B$33+1,A62='01_Run_Config'!$B$33+8),2,0))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A-B",0,IF(OR(AND(A62&gt;='01_Run_Config'!$B$32,A62&lt;'01_Run_Config'!$B$33),AND(ISNUMBER(AL62),AL62&gt;=15,AL62&lt;=49)),2,0))</x:f>
        <x:v>0</x:v>
      </x:c>
      <x:c r="AW62" t="n">
        <x:f>IF('01_Run_Config'!$B$48="AN Bud Candy (replaces HESI Boost)",IF(AND(A62&gt;='01_Run_Config'!$B$32,OR(AL62="",AL62&lt;=49)),2,0),0)</x:f>
        <x:v>0</x:v>
      </x:c>
      <x:c r="AX62" t="n">
        <x:f>IF('01_Run_Config'!$B$49&lt;&gt;"ON / EXPERIMENTAL",0,IF(OR(AND(A62&gt;='01_Run_Config'!$B$32+7,A62&lt;'01_Run_Config'!$B$33),AND(ISNUMBER(AL62),AL62&gt;=1,AL62&lt;=49)),2,0))</x:f>
        <x:v>0</x:v>
      </x:c>
      <x:c r="AY62" t="n">
        <x:f>IF('01_Run_Config'!$B$50="AN Sensizym",IF(AND(A62&gt;='01_Run_Config'!$B$32,OR(AL62="",AL62&lt;=49)),2,0),0)</x:f>
        <x:v>0</x:v>
      </x:c>
      <x:c r="AZ62" t="n">
        <x:f>IF('01_Run_Config'!$B$51="AN Rhino Skin",IF(AND(A62&gt;='01_Run_Config'!$B$32,OR(AL62="",AL62&lt;=49)),2,0),0)</x:f>
        <x:v>0</x:v>
      </x:c>
      <x:c r="BA62" t="n">
        <x:f>IF(AND('01_Run_Config'!$B$52="AN Bud Ignitor &gt; Big Bud &gt; Overdrive",ISNUMBER(AL62),AL62&gt;=1,AL62&lt;=14),2,0)</x:f>
        <x:v>0</x:v>
      </x:c>
      <x:c r="BB62" t="n">
        <x:f>IF(AND('01_Run_Config'!$B$52="AN Bud Ignitor &gt; Big Bud &gt; Overdrive",ISNUMBER(AL62),AL62&gt;=8,AL62&lt;=35),2,0)</x:f>
        <x:v>0</x:v>
      </x:c>
      <x:c r="BC62" t="n">
        <x:f>IF(AND('01_Run_Config'!$B$52="AN Bud Ignitor &gt; Big Bud &gt; Overdrive",ISNUMBER(AL62),AL62&gt;=36,AL62&lt;=49),2,0)</x:f>
        <x:v>0</x:v>
      </x:c>
      <x:c r="BD62" t="n">
        <x:f>IF('01_Run_Config'!$B$53="ON / EXPERIMENTAL",IF(OR(AND(A62&gt;='01_Run_Config'!$B$32,A62&lt;'01_Run_Config'!$B$33),AND(ISNUMBER(AL62),AL62&gt;=15,AL62&lt;=49)),2,0),0)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Sensizym",0,IF(AND(A63&gt;='01_Run_Config'!$B$32,OR(AL63="",AL63&lt;=49)),2,0))</x:f>
        <x:v>2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Overdrive",0,IF(AND(ISNUMBER(AL63),AL63&gt;=29,AL63&lt;=42),0.25+((AL63-29)/13)*0.25,0))</x:f>
        <x:v>0.34615384615384615</x:v>
      </x:c>
      <x:c r="AC63" s="63" t="n">
        <x:f>IF('01_Run_Config'!$B$46="OFF",0,IF(OR(A63='01_Run_Config'!$B$32,A63='01_Run_Config'!$B$32+7,A63='01_Run_Config'!$B$33+1,A63='01_Run_Config'!$B$33+8),2,0))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A-B",0,IF(OR(AND(A63&gt;='01_Run_Config'!$B$32,A63&lt;'01_Run_Config'!$B$33),AND(ISNUMBER(AL63),AL63&gt;=15,AL63&lt;=49)),2,0))</x:f>
        <x:v>0</x:v>
      </x:c>
      <x:c r="AW63" t="n">
        <x:f>IF('01_Run_Config'!$B$48="AN Bud Candy (replaces HESI Boost)",IF(AND(A63&gt;='01_Run_Config'!$B$32,OR(AL63="",AL63&lt;=49)),2,0),0)</x:f>
        <x:v>0</x:v>
      </x:c>
      <x:c r="AX63" t="n">
        <x:f>IF('01_Run_Config'!$B$49&lt;&gt;"ON / EXPERIMENTAL",0,IF(OR(AND(A63&gt;='01_Run_Config'!$B$32+7,A63&lt;'01_Run_Config'!$B$33),AND(ISNUMBER(AL63),AL63&gt;=1,AL63&lt;=49)),2,0))</x:f>
        <x:v>0</x:v>
      </x:c>
      <x:c r="AY63" t="n">
        <x:f>IF('01_Run_Config'!$B$50="AN Sensizym",IF(AND(A63&gt;='01_Run_Config'!$B$32,OR(AL63="",AL63&lt;=49)),2,0),0)</x:f>
        <x:v>0</x:v>
      </x:c>
      <x:c r="AZ63" t="n">
        <x:f>IF('01_Run_Config'!$B$51="AN Rhino Skin",IF(AND(A63&gt;='01_Run_Config'!$B$32,OR(AL63="",AL63&lt;=49)),2,0),0)</x:f>
        <x:v>0</x:v>
      </x:c>
      <x:c r="BA63" t="n">
        <x:f>IF(AND('01_Run_Config'!$B$52="AN Bud Ignitor &gt; Big Bud &gt; Overdrive",ISNUMBER(AL63),AL63&gt;=1,AL63&lt;=14),2,0)</x:f>
        <x:v>0</x:v>
      </x:c>
      <x:c r="BB63" t="n">
        <x:f>IF(AND('01_Run_Config'!$B$52="AN Bud Ignitor &gt; Big Bud &gt; Overdrive",ISNUMBER(AL63),AL63&gt;=8,AL63&lt;=35),2,0)</x:f>
        <x:v>0</x:v>
      </x:c>
      <x:c r="BC63" t="n">
        <x:f>IF(AND('01_Run_Config'!$B$52="AN Bud Ignitor &gt; Big Bud &gt; Overdrive",ISNUMBER(AL63),AL63&gt;=36,AL63&lt;=49),2,0)</x:f>
        <x:v>0</x:v>
      </x:c>
      <x:c r="BD63" t="n">
        <x:f>IF('01_Run_Config'!$B$53="ON / EXPERIMENTAL",IF(OR(AND(A63&gt;='01_Run_Config'!$B$32,A63&lt;'01_Run_Config'!$B$33),AND(ISNUMBER(AL63),AL63&gt;=15,AL63&lt;=49)),2,0),0)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Sensizym",0,IF(AND(A64&gt;='01_Run_Config'!$B$32,OR(AL64="",AL64&lt;=49)),2,0))</x:f>
        <x:v>2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Overdrive",0,IF(AND(ISNUMBER(AL64),AL64&gt;=29,AL64&lt;=42),0.25+((AL64-29)/13)*0.25,0))</x:f>
        <x:v>0.3653846153846154</x:v>
      </x:c>
      <x:c r="AC64" s="63" t="n">
        <x:f>IF('01_Run_Config'!$B$46="OFF",0,IF(OR(A64='01_Run_Config'!$B$32,A64='01_Run_Config'!$B$32+7,A64='01_Run_Config'!$B$33+1,A64='01_Run_Config'!$B$33+8),2,0))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A-B",0,IF(OR(AND(A64&gt;='01_Run_Config'!$B$32,A64&lt;'01_Run_Config'!$B$33),AND(ISNUMBER(AL64),AL64&gt;=15,AL64&lt;=49)),2,0))</x:f>
        <x:v>0</x:v>
      </x:c>
      <x:c r="AW64" t="n">
        <x:f>IF('01_Run_Config'!$B$48="AN Bud Candy (replaces HESI Boost)",IF(AND(A64&gt;='01_Run_Config'!$B$32,OR(AL64="",AL64&lt;=49)),2,0),0)</x:f>
        <x:v>0</x:v>
      </x:c>
      <x:c r="AX64" t="n">
        <x:f>IF('01_Run_Config'!$B$49&lt;&gt;"ON / EXPERIMENTAL",0,IF(OR(AND(A64&gt;='01_Run_Config'!$B$32+7,A64&lt;'01_Run_Config'!$B$33),AND(ISNUMBER(AL64),AL64&gt;=1,AL64&lt;=49)),2,0))</x:f>
        <x:v>0</x:v>
      </x:c>
      <x:c r="AY64" t="n">
        <x:f>IF('01_Run_Config'!$B$50="AN Sensizym",IF(AND(A64&gt;='01_Run_Config'!$B$32,OR(AL64="",AL64&lt;=49)),2,0),0)</x:f>
        <x:v>0</x:v>
      </x:c>
      <x:c r="AZ64" t="n">
        <x:f>IF('01_Run_Config'!$B$51="AN Rhino Skin",IF(AND(A64&gt;='01_Run_Config'!$B$32,OR(AL64="",AL64&lt;=49)),2,0),0)</x:f>
        <x:v>0</x:v>
      </x:c>
      <x:c r="BA64" t="n">
        <x:f>IF(AND('01_Run_Config'!$B$52="AN Bud Ignitor &gt; Big Bud &gt; Overdrive",ISNUMBER(AL64),AL64&gt;=1,AL64&lt;=14),2,0)</x:f>
        <x:v>0</x:v>
      </x:c>
      <x:c r="BB64" t="n">
        <x:f>IF(AND('01_Run_Config'!$B$52="AN Bud Ignitor &gt; Big Bud &gt; Overdrive",ISNUMBER(AL64),AL64&gt;=8,AL64&lt;=35),2,0)</x:f>
        <x:v>0</x:v>
      </x:c>
      <x:c r="BC64" t="n">
        <x:f>IF(AND('01_Run_Config'!$B$52="AN Bud Ignitor &gt; Big Bud &gt; Overdrive",ISNUMBER(AL64),AL64&gt;=36,AL64&lt;=49),2,0)</x:f>
        <x:v>0</x:v>
      </x:c>
      <x:c r="BD64" t="n">
        <x:f>IF('01_Run_Config'!$B$53="ON / EXPERIMENTAL",IF(OR(AND(A64&gt;='01_Run_Config'!$B$32,A64&lt;'01_Run_Config'!$B$33),AND(ISNUMBER(AL64),AL64&gt;=15,AL64&lt;=49)),2,0),0)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Sensizym",0,IF(AND(A65&gt;='01_Run_Config'!$B$32,OR(AL65="",AL65&lt;=49)),2,0))</x:f>
        <x:v>2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Overdrive",0,IF(AND(ISNUMBER(AL65),AL65&gt;=29,AL65&lt;=42),0.25+((AL65-29)/13)*0.25,0))</x:f>
        <x:v>0.3846153846153846</x:v>
      </x:c>
      <x:c r="AC65" s="63" t="n">
        <x:f>IF('01_Run_Config'!$B$46="OFF",0,IF(OR(A65='01_Run_Config'!$B$32,A65='01_Run_Config'!$B$32+7,A65='01_Run_Config'!$B$33+1,A65='01_Run_Config'!$B$33+8),2,0))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A-B",0,IF(OR(AND(A65&gt;='01_Run_Config'!$B$32,A65&lt;'01_Run_Config'!$B$33),AND(ISNUMBER(AL65),AL65&gt;=15,AL65&lt;=49)),2,0))</x:f>
        <x:v>0</x:v>
      </x:c>
      <x:c r="AW65" t="n">
        <x:f>IF('01_Run_Config'!$B$48="AN Bud Candy (replaces HESI Boost)",IF(AND(A65&gt;='01_Run_Config'!$B$32,OR(AL65="",AL65&lt;=49)),2,0),0)</x:f>
        <x:v>0</x:v>
      </x:c>
      <x:c r="AX65" t="n">
        <x:f>IF('01_Run_Config'!$B$49&lt;&gt;"ON / EXPERIMENTAL",0,IF(OR(AND(A65&gt;='01_Run_Config'!$B$32+7,A65&lt;'01_Run_Config'!$B$33),AND(ISNUMBER(AL65),AL65&gt;=1,AL65&lt;=49)),2,0))</x:f>
        <x:v>0</x:v>
      </x:c>
      <x:c r="AY65" t="n">
        <x:f>IF('01_Run_Config'!$B$50="AN Sensizym",IF(AND(A65&gt;='01_Run_Config'!$B$32,OR(AL65="",AL65&lt;=49)),2,0),0)</x:f>
        <x:v>0</x:v>
      </x:c>
      <x:c r="AZ65" t="n">
        <x:f>IF('01_Run_Config'!$B$51="AN Rhino Skin",IF(AND(A65&gt;='01_Run_Config'!$B$32,OR(AL65="",AL65&lt;=49)),2,0),0)</x:f>
        <x:v>0</x:v>
      </x:c>
      <x:c r="BA65" t="n">
        <x:f>IF(AND('01_Run_Config'!$B$52="AN Bud Ignitor &gt; Big Bud &gt; Overdrive",ISNUMBER(AL65),AL65&gt;=1,AL65&lt;=14),2,0)</x:f>
        <x:v>0</x:v>
      </x:c>
      <x:c r="BB65" t="n">
        <x:f>IF(AND('01_Run_Config'!$B$52="AN Bud Ignitor &gt; Big Bud &gt; Overdrive",ISNUMBER(AL65),AL65&gt;=8,AL65&lt;=35),2,0)</x:f>
        <x:v>0</x:v>
      </x:c>
      <x:c r="BC65" t="n">
        <x:f>IF(AND('01_Run_Config'!$B$52="AN Bud Ignitor &gt; Big Bud &gt; Overdrive",ISNUMBER(AL65),AL65&gt;=36,AL65&lt;=49),2,0)</x:f>
        <x:v>0</x:v>
      </x:c>
      <x:c r="BD65" t="n">
        <x:f>IF('01_Run_Config'!$B$53="ON / EXPERIMENTAL",IF(OR(AND(A65&gt;='01_Run_Config'!$B$32,A65&lt;'01_Run_Config'!$B$33),AND(ISNUMBER(AL65),AL65&gt;=15,AL65&lt;=49)),2,0),0)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Sensizym",0,IF(AND(A66&gt;='01_Run_Config'!$B$32,OR(AL66="",AL66&lt;=49)),2,0))</x:f>
        <x:v>2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Overdrive",0,IF(AND(ISNUMBER(AL66),AL66&gt;=29,AL66&lt;=42),0.25+((AL66-29)/13)*0.25,0))</x:f>
        <x:v>0.40384615384615385</x:v>
      </x:c>
      <x:c r="AC66" s="63" t="n">
        <x:f>IF('01_Run_Config'!$B$46="OFF",0,IF(OR(A66='01_Run_Config'!$B$32,A66='01_Run_Config'!$B$32+7,A66='01_Run_Config'!$B$33+1,A66='01_Run_Config'!$B$33+8),2,0))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A-B",0,IF(OR(AND(A66&gt;='01_Run_Config'!$B$32,A66&lt;'01_Run_Config'!$B$33),AND(ISNUMBER(AL66),AL66&gt;=15,AL66&lt;=49)),2,0))</x:f>
        <x:v>0</x:v>
      </x:c>
      <x:c r="AW66" t="n">
        <x:f>IF('01_Run_Config'!$B$48="AN Bud Candy (replaces HESI Boost)",IF(AND(A66&gt;='01_Run_Config'!$B$32,OR(AL66="",AL66&lt;=49)),2,0),0)</x:f>
        <x:v>0</x:v>
      </x:c>
      <x:c r="AX66" t="n">
        <x:f>IF('01_Run_Config'!$B$49&lt;&gt;"ON / EXPERIMENTAL",0,IF(OR(AND(A66&gt;='01_Run_Config'!$B$32+7,A66&lt;'01_Run_Config'!$B$33),AND(ISNUMBER(AL66),AL66&gt;=1,AL66&lt;=49)),2,0))</x:f>
        <x:v>0</x:v>
      </x:c>
      <x:c r="AY66" t="n">
        <x:f>IF('01_Run_Config'!$B$50="AN Sensizym",IF(AND(A66&gt;='01_Run_Config'!$B$32,OR(AL66="",AL66&lt;=49)),2,0),0)</x:f>
        <x:v>0</x:v>
      </x:c>
      <x:c r="AZ66" t="n">
        <x:f>IF('01_Run_Config'!$B$51="AN Rhino Skin",IF(AND(A66&gt;='01_Run_Config'!$B$32,OR(AL66="",AL66&lt;=49)),2,0),0)</x:f>
        <x:v>0</x:v>
      </x:c>
      <x:c r="BA66" t="n">
        <x:f>IF(AND('01_Run_Config'!$B$52="AN Bud Ignitor &gt; Big Bud &gt; Overdrive",ISNUMBER(AL66),AL66&gt;=1,AL66&lt;=14),2,0)</x:f>
        <x:v>0</x:v>
      </x:c>
      <x:c r="BB66" t="n">
        <x:f>IF(AND('01_Run_Config'!$B$52="AN Bud Ignitor &gt; Big Bud &gt; Overdrive",ISNUMBER(AL66),AL66&gt;=8,AL66&lt;=35),2,0)</x:f>
        <x:v>0</x:v>
      </x:c>
      <x:c r="BC66" t="n">
        <x:f>IF(AND('01_Run_Config'!$B$52="AN Bud Ignitor &gt; Big Bud &gt; Overdrive",ISNUMBER(AL66),AL66&gt;=36,AL66&lt;=49),2,0)</x:f>
        <x:v>0</x:v>
      </x:c>
      <x:c r="BD66" t="n">
        <x:f>IF('01_Run_Config'!$B$53="ON / EXPERIMENTAL",IF(OR(AND(A66&gt;='01_Run_Config'!$B$32,A66&lt;'01_Run_Config'!$B$33),AND(ISNUMBER(AL66),AL66&gt;=15,AL66&lt;=49)),2,0),0)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Sensizym",0,IF(AND(A67&gt;='01_Run_Config'!$B$32,OR(AL67="",AL67&lt;=49)),2,0))</x:f>
        <x:v>2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Overdrive",0,IF(AND(ISNUMBER(AL67),AL67&gt;=29,AL67&lt;=42),0.25+((AL67-29)/13)*0.25,0))</x:f>
        <x:v>0.4230769230769231</x:v>
      </x:c>
      <x:c r="AC67" s="63" t="n">
        <x:f>IF('01_Run_Config'!$B$46="OFF",0,IF(OR(A67='01_Run_Config'!$B$32,A67='01_Run_Config'!$B$32+7,A67='01_Run_Config'!$B$33+1,A67='01_Run_Config'!$B$33+8),2,0))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A-B",0,IF(OR(AND(A67&gt;='01_Run_Config'!$B$32,A67&lt;'01_Run_Config'!$B$33),AND(ISNUMBER(AL67),AL67&gt;=15,AL67&lt;=49)),2,0))</x:f>
        <x:v>0</x:v>
      </x:c>
      <x:c r="AW67" t="n">
        <x:f>IF('01_Run_Config'!$B$48="AN Bud Candy (replaces HESI Boost)",IF(AND(A67&gt;='01_Run_Config'!$B$32,OR(AL67="",AL67&lt;=49)),2,0),0)</x:f>
        <x:v>0</x:v>
      </x:c>
      <x:c r="AX67" t="n">
        <x:f>IF('01_Run_Config'!$B$49&lt;&gt;"ON / EXPERIMENTAL",0,IF(OR(AND(A67&gt;='01_Run_Config'!$B$32+7,A67&lt;'01_Run_Config'!$B$33),AND(ISNUMBER(AL67),AL67&gt;=1,AL67&lt;=49)),2,0))</x:f>
        <x:v>0</x:v>
      </x:c>
      <x:c r="AY67" t="n">
        <x:f>IF('01_Run_Config'!$B$50="AN Sensizym",IF(AND(A67&gt;='01_Run_Config'!$B$32,OR(AL67="",AL67&lt;=49)),2,0),0)</x:f>
        <x:v>0</x:v>
      </x:c>
      <x:c r="AZ67" t="n">
        <x:f>IF('01_Run_Config'!$B$51="AN Rhino Skin",IF(AND(A67&gt;='01_Run_Config'!$B$32,OR(AL67="",AL67&lt;=49)),2,0),0)</x:f>
        <x:v>0</x:v>
      </x:c>
      <x:c r="BA67" t="n">
        <x:f>IF(AND('01_Run_Config'!$B$52="AN Bud Ignitor &gt; Big Bud &gt; Overdrive",ISNUMBER(AL67),AL67&gt;=1,AL67&lt;=14),2,0)</x:f>
        <x:v>0</x:v>
      </x:c>
      <x:c r="BB67" t="n">
        <x:f>IF(AND('01_Run_Config'!$B$52="AN Bud Ignitor &gt; Big Bud &gt; Overdrive",ISNUMBER(AL67),AL67&gt;=8,AL67&lt;=35),2,0)</x:f>
        <x:v>0</x:v>
      </x:c>
      <x:c r="BC67" t="n">
        <x:f>IF(AND('01_Run_Config'!$B$52="AN Bud Ignitor &gt; Big Bud &gt; Overdrive",ISNUMBER(AL67),AL67&gt;=36,AL67&lt;=49),2,0)</x:f>
        <x:v>0</x:v>
      </x:c>
      <x:c r="BD67" t="n">
        <x:f>IF('01_Run_Config'!$B$53="ON / EXPERIMENTAL",IF(OR(AND(A67&gt;='01_Run_Config'!$B$32,A67&lt;'01_Run_Config'!$B$33),AND(ISNUMBER(AL67),AL67&gt;=15,AL67&lt;=49)),2,0),0)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Sensizym",0,IF(AND(A68&gt;='01_Run_Config'!$B$32,OR(AL68="",AL68&lt;=49)),2,0))</x:f>
        <x:v>2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Overdrive",0,IF(AND(ISNUMBER(AL68),AL68&gt;=29,AL68&lt;=42),0.25+((AL68-29)/13)*0.25,0))</x:f>
        <x:v>0.4423076923076923</x:v>
      </x:c>
      <x:c r="AC68" s="63" t="n">
        <x:f>IF('01_Run_Config'!$B$46="OFF",0,IF(OR(A68='01_Run_Config'!$B$32,A68='01_Run_Config'!$B$32+7,A68='01_Run_Config'!$B$33+1,A68='01_Run_Config'!$B$33+8),2,0))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A-B",0,IF(OR(AND(A68&gt;='01_Run_Config'!$B$32,A68&lt;'01_Run_Config'!$B$33),AND(ISNUMBER(AL68),AL68&gt;=15,AL68&lt;=49)),2,0))</x:f>
        <x:v>0</x:v>
      </x:c>
      <x:c r="AW68" t="n">
        <x:f>IF('01_Run_Config'!$B$48="AN Bud Candy (replaces HESI Boost)",IF(AND(A68&gt;='01_Run_Config'!$B$32,OR(AL68="",AL68&lt;=49)),2,0),0)</x:f>
        <x:v>0</x:v>
      </x:c>
      <x:c r="AX68" t="n">
        <x:f>IF('01_Run_Config'!$B$49&lt;&gt;"ON / EXPERIMENTAL",0,IF(OR(AND(A68&gt;='01_Run_Config'!$B$32+7,A68&lt;'01_Run_Config'!$B$33),AND(ISNUMBER(AL68),AL68&gt;=1,AL68&lt;=49)),2,0))</x:f>
        <x:v>0</x:v>
      </x:c>
      <x:c r="AY68" t="n">
        <x:f>IF('01_Run_Config'!$B$50="AN Sensizym",IF(AND(A68&gt;='01_Run_Config'!$B$32,OR(AL68="",AL68&lt;=49)),2,0),0)</x:f>
        <x:v>0</x:v>
      </x:c>
      <x:c r="AZ68" t="n">
        <x:f>IF('01_Run_Config'!$B$51="AN Rhino Skin",IF(AND(A68&gt;='01_Run_Config'!$B$32,OR(AL68="",AL68&lt;=49)),2,0),0)</x:f>
        <x:v>0</x:v>
      </x:c>
      <x:c r="BA68" t="n">
        <x:f>IF(AND('01_Run_Config'!$B$52="AN Bud Ignitor &gt; Big Bud &gt; Overdrive",ISNUMBER(AL68),AL68&gt;=1,AL68&lt;=14),2,0)</x:f>
        <x:v>0</x:v>
      </x:c>
      <x:c r="BB68" t="n">
        <x:f>IF(AND('01_Run_Config'!$B$52="AN Bud Ignitor &gt; Big Bud &gt; Overdrive",ISNUMBER(AL68),AL68&gt;=8,AL68&lt;=35),2,0)</x:f>
        <x:v>0</x:v>
      </x:c>
      <x:c r="BC68" t="n">
        <x:f>IF(AND('01_Run_Config'!$B$52="AN Bud Ignitor &gt; Big Bud &gt; Overdrive",ISNUMBER(AL68),AL68&gt;=36,AL68&lt;=49),2,0)</x:f>
        <x:v>0</x:v>
      </x:c>
      <x:c r="BD68" t="n">
        <x:f>IF('01_Run_Config'!$B$53="ON / EXPERIMENTAL",IF(OR(AND(A68&gt;='01_Run_Config'!$B$32,A68&lt;'01_Run_Config'!$B$33),AND(ISNUMBER(AL68),AL68&gt;=15,AL68&lt;=49)),2,0),0)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Sensizym",0,IF(AND(A69&gt;='01_Run_Config'!$B$32,OR(AL69="",AL69&lt;=49)),2,0))</x:f>
        <x:v>2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Overdrive",0,IF(AND(ISNUMBER(AL69),AL69&gt;=29,AL69&lt;=42),0.25+((AL69-29)/13)*0.25,0))</x:f>
        <x:v>0.46153846153846156</x:v>
      </x:c>
      <x:c r="AC69" s="63" t="n">
        <x:f>IF('01_Run_Config'!$B$46="OFF",0,IF(OR(A69='01_Run_Config'!$B$32,A69='01_Run_Config'!$B$32+7,A69='01_Run_Config'!$B$33+1,A69='01_Run_Config'!$B$33+8),2,0))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A-B",0,IF(OR(AND(A69&gt;='01_Run_Config'!$B$32,A69&lt;'01_Run_Config'!$B$33),AND(ISNUMBER(AL69),AL69&gt;=15,AL69&lt;=49)),2,0))</x:f>
        <x:v>0</x:v>
      </x:c>
      <x:c r="AW69" t="n">
        <x:f>IF('01_Run_Config'!$B$48="AN Bud Candy (replaces HESI Boost)",IF(AND(A69&gt;='01_Run_Config'!$B$32,OR(AL69="",AL69&lt;=49)),2,0),0)</x:f>
        <x:v>0</x:v>
      </x:c>
      <x:c r="AX69" t="n">
        <x:f>IF('01_Run_Config'!$B$49&lt;&gt;"ON / EXPERIMENTAL",0,IF(OR(AND(A69&gt;='01_Run_Config'!$B$32+7,A69&lt;'01_Run_Config'!$B$33),AND(ISNUMBER(AL69),AL69&gt;=1,AL69&lt;=49)),2,0))</x:f>
        <x:v>0</x:v>
      </x:c>
      <x:c r="AY69" t="n">
        <x:f>IF('01_Run_Config'!$B$50="AN Sensizym",IF(AND(A69&gt;='01_Run_Config'!$B$32,OR(AL69="",AL69&lt;=49)),2,0),0)</x:f>
        <x:v>0</x:v>
      </x:c>
      <x:c r="AZ69" t="n">
        <x:f>IF('01_Run_Config'!$B$51="AN Rhino Skin",IF(AND(A69&gt;='01_Run_Config'!$B$32,OR(AL69="",AL69&lt;=49)),2,0),0)</x:f>
        <x:v>0</x:v>
      </x:c>
      <x:c r="BA69" t="n">
        <x:f>IF(AND('01_Run_Config'!$B$52="AN Bud Ignitor &gt; Big Bud &gt; Overdrive",ISNUMBER(AL69),AL69&gt;=1,AL69&lt;=14),2,0)</x:f>
        <x:v>0</x:v>
      </x:c>
      <x:c r="BB69" t="n">
        <x:f>IF(AND('01_Run_Config'!$B$52="AN Bud Ignitor &gt; Big Bud &gt; Overdrive",ISNUMBER(AL69),AL69&gt;=8,AL69&lt;=35),2,0)</x:f>
        <x:v>0</x:v>
      </x:c>
      <x:c r="BC69" t="n">
        <x:f>IF(AND('01_Run_Config'!$B$52="AN Bud Ignitor &gt; Big Bud &gt; Overdrive",ISNUMBER(AL69),AL69&gt;=36,AL69&lt;=49),2,0)</x:f>
        <x:v>0</x:v>
      </x:c>
      <x:c r="BD69" t="n">
        <x:f>IF('01_Run_Config'!$B$53="ON / EXPERIMENTAL",IF(OR(AND(A69&gt;='01_Run_Config'!$B$32,A69&lt;'01_Run_Config'!$B$33),AND(ISNUMBER(AL69),AL69&gt;=15,AL69&lt;=49)),2,0),0)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Sensizym",0,IF(AND(A70&gt;='01_Run_Config'!$B$32,OR(AL70="",AL70&lt;=49)),2,0))</x:f>
        <x:v>2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Overdrive",0,IF(AND(ISNUMBER(AL70),AL70&gt;=29,AL70&lt;=42),0.25+((AL70-29)/13)*0.25,0))</x:f>
        <x:v>0.4807692307692308</x:v>
      </x:c>
      <x:c r="AC70" s="63" t="n">
        <x:f>IF('01_Run_Config'!$B$46="OFF",0,IF(OR(A70='01_Run_Config'!$B$32,A70='01_Run_Config'!$B$32+7,A70='01_Run_Config'!$B$33+1,A70='01_Run_Config'!$B$33+8),2,0))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A-B",0,IF(OR(AND(A70&gt;='01_Run_Config'!$B$32,A70&lt;'01_Run_Config'!$B$33),AND(ISNUMBER(AL70),AL70&gt;=15,AL70&lt;=49)),2,0))</x:f>
        <x:v>0</x:v>
      </x:c>
      <x:c r="AW70" t="n">
        <x:f>IF('01_Run_Config'!$B$48="AN Bud Candy (replaces HESI Boost)",IF(AND(A70&gt;='01_Run_Config'!$B$32,OR(AL70="",AL70&lt;=49)),2,0),0)</x:f>
        <x:v>0</x:v>
      </x:c>
      <x:c r="AX70" t="n">
        <x:f>IF('01_Run_Config'!$B$49&lt;&gt;"ON / EXPERIMENTAL",0,IF(OR(AND(A70&gt;='01_Run_Config'!$B$32+7,A70&lt;'01_Run_Config'!$B$33),AND(ISNUMBER(AL70),AL70&gt;=1,AL70&lt;=49)),2,0))</x:f>
        <x:v>0</x:v>
      </x:c>
      <x:c r="AY70" t="n">
        <x:f>IF('01_Run_Config'!$B$50="AN Sensizym",IF(AND(A70&gt;='01_Run_Config'!$B$32,OR(AL70="",AL70&lt;=49)),2,0),0)</x:f>
        <x:v>0</x:v>
      </x:c>
      <x:c r="AZ70" t="n">
        <x:f>IF('01_Run_Config'!$B$51="AN Rhino Skin",IF(AND(A70&gt;='01_Run_Config'!$B$32,OR(AL70="",AL70&lt;=49)),2,0),0)</x:f>
        <x:v>0</x:v>
      </x:c>
      <x:c r="BA70" t="n">
        <x:f>IF(AND('01_Run_Config'!$B$52="AN Bud Ignitor &gt; Big Bud &gt; Overdrive",ISNUMBER(AL70),AL70&gt;=1,AL70&lt;=14),2,0)</x:f>
        <x:v>0</x:v>
      </x:c>
      <x:c r="BB70" t="n">
        <x:f>IF(AND('01_Run_Config'!$B$52="AN Bud Ignitor &gt; Big Bud &gt; Overdrive",ISNUMBER(AL70),AL70&gt;=8,AL70&lt;=35),2,0)</x:f>
        <x:v>0</x:v>
      </x:c>
      <x:c r="BC70" t="n">
        <x:f>IF(AND('01_Run_Config'!$B$52="AN Bud Ignitor &gt; Big Bud &gt; Overdrive",ISNUMBER(AL70),AL70&gt;=36,AL70&lt;=49),2,0)</x:f>
        <x:v>0</x:v>
      </x:c>
      <x:c r="BD70" t="n">
        <x:f>IF('01_Run_Config'!$B$53="ON / EXPERIMENTAL",IF(OR(AND(A70&gt;='01_Run_Config'!$B$32,A70&lt;'01_Run_Config'!$B$33),AND(ISNUMBER(AL70),AL70&gt;=15,AL70&lt;=49)),2,0),0)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Sensizym",0,IF(AND(A71&gt;='01_Run_Config'!$B$32,OR(AL71="",AL71&lt;=49)),2,0))</x:f>
        <x:v>2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Overdrive",0,IF(AND(ISNUMBER(AL71),AL71&gt;=29,AL71&lt;=42),0.25+((AL71-29)/13)*0.25,0))</x:f>
        <x:v>0.5</x:v>
      </x:c>
      <x:c r="AC71" s="63" t="n">
        <x:f>IF('01_Run_Config'!$B$46="OFF",0,IF(OR(A71='01_Run_Config'!$B$32,A71='01_Run_Config'!$B$32+7,A71='01_Run_Config'!$B$33+1,A71='01_Run_Config'!$B$33+8),2,0))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A-B",0,IF(OR(AND(A71&gt;='01_Run_Config'!$B$32,A71&lt;'01_Run_Config'!$B$33),AND(ISNUMBER(AL71),AL71&gt;=15,AL71&lt;=49)),2,0))</x:f>
        <x:v>0</x:v>
      </x:c>
      <x:c r="AW71" t="n">
        <x:f>IF('01_Run_Config'!$B$48="AN Bud Candy (replaces HESI Boost)",IF(AND(A71&gt;='01_Run_Config'!$B$32,OR(AL71="",AL71&lt;=49)),2,0),0)</x:f>
        <x:v>0</x:v>
      </x:c>
      <x:c r="AX71" t="n">
        <x:f>IF('01_Run_Config'!$B$49&lt;&gt;"ON / EXPERIMENTAL",0,IF(OR(AND(A71&gt;='01_Run_Config'!$B$32+7,A71&lt;'01_Run_Config'!$B$33),AND(ISNUMBER(AL71),AL71&gt;=1,AL71&lt;=49)),2,0))</x:f>
        <x:v>0</x:v>
      </x:c>
      <x:c r="AY71" t="n">
        <x:f>IF('01_Run_Config'!$B$50="AN Sensizym",IF(AND(A71&gt;='01_Run_Config'!$B$32,OR(AL71="",AL71&lt;=49)),2,0),0)</x:f>
        <x:v>0</x:v>
      </x:c>
      <x:c r="AZ71" t="n">
        <x:f>IF('01_Run_Config'!$B$51="AN Rhino Skin",IF(AND(A71&gt;='01_Run_Config'!$B$32,OR(AL71="",AL71&lt;=49)),2,0),0)</x:f>
        <x:v>0</x:v>
      </x:c>
      <x:c r="BA71" t="n">
        <x:f>IF(AND('01_Run_Config'!$B$52="AN Bud Ignitor &gt; Big Bud &gt; Overdrive",ISNUMBER(AL71),AL71&gt;=1,AL71&lt;=14),2,0)</x:f>
        <x:v>0</x:v>
      </x:c>
      <x:c r="BB71" t="n">
        <x:f>IF(AND('01_Run_Config'!$B$52="AN Bud Ignitor &gt; Big Bud &gt; Overdrive",ISNUMBER(AL71),AL71&gt;=8,AL71&lt;=35),2,0)</x:f>
        <x:v>0</x:v>
      </x:c>
      <x:c r="BC71" t="n">
        <x:f>IF(AND('01_Run_Config'!$B$52="AN Bud Ignitor &gt; Big Bud &gt; Overdrive",ISNUMBER(AL71),AL71&gt;=36,AL71&lt;=49),2,0)</x:f>
        <x:v>0</x:v>
      </x:c>
      <x:c r="BD71" t="n">
        <x:f>IF('01_Run_Config'!$B$53="ON / EXPERIMENTAL",IF(OR(AND(A71&gt;='01_Run_Config'!$B$32,A71&lt;'01_Run_Config'!$B$33),AND(ISNUMBER(AL71),AL71&gt;=15,AL71&lt;=49)),2,0),0)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Sensizym",0,IF(AND(A72&gt;='01_Run_Config'!$B$32,OR(AL72="",AL72&lt;=49)),2,0))</x:f>
        <x:v>2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Overdrive",0,IF(AND(ISNUMBER(AL72),AL72&gt;=29,AL72&lt;=42),0.25+((AL72-29)/13)*0.25,0))</x:f>
        <x:v>0</x:v>
      </x:c>
      <x:c r="AC72" s="63" t="n">
        <x:f>IF('01_Run_Config'!$B$46="OFF",0,IF(OR(A72='01_Run_Config'!$B$32,A72='01_Run_Config'!$B$32+7,A72='01_Run_Config'!$B$33+1,A72='01_Run_Config'!$B$33+8),2,0))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A-B",0,IF(OR(AND(A72&gt;='01_Run_Config'!$B$32,A72&lt;'01_Run_Config'!$B$33),AND(ISNUMBER(AL72),AL72&gt;=15,AL72&lt;=49)),2,0))</x:f>
        <x:v>0</x:v>
      </x:c>
      <x:c r="AW72" t="n">
        <x:f>IF('01_Run_Config'!$B$48="AN Bud Candy (replaces HESI Boost)",IF(AND(A72&gt;='01_Run_Config'!$B$32,OR(AL72="",AL72&lt;=49)),2,0),0)</x:f>
        <x:v>0</x:v>
      </x:c>
      <x:c r="AX72" t="n">
        <x:f>IF('01_Run_Config'!$B$49&lt;&gt;"ON / EXPERIMENTAL",0,IF(OR(AND(A72&gt;='01_Run_Config'!$B$32+7,A72&lt;'01_Run_Config'!$B$33),AND(ISNUMBER(AL72),AL72&gt;=1,AL72&lt;=49)),2,0))</x:f>
        <x:v>0</x:v>
      </x:c>
      <x:c r="AY72" t="n">
        <x:f>IF('01_Run_Config'!$B$50="AN Sensizym",IF(AND(A72&gt;='01_Run_Config'!$B$32,OR(AL72="",AL72&lt;=49)),2,0),0)</x:f>
        <x:v>0</x:v>
      </x:c>
      <x:c r="AZ72" t="n">
        <x:f>IF('01_Run_Config'!$B$51="AN Rhino Skin",IF(AND(A72&gt;='01_Run_Config'!$B$32,OR(AL72="",AL72&lt;=49)),2,0),0)</x:f>
        <x:v>0</x:v>
      </x:c>
      <x:c r="BA72" t="n">
        <x:f>IF(AND('01_Run_Config'!$B$52="AN Bud Ignitor &gt; Big Bud &gt; Overdrive",ISNUMBER(AL72),AL72&gt;=1,AL72&lt;=14),2,0)</x:f>
        <x:v>0</x:v>
      </x:c>
      <x:c r="BB72" t="n">
        <x:f>IF(AND('01_Run_Config'!$B$52="AN Bud Ignitor &gt; Big Bud &gt; Overdrive",ISNUMBER(AL72),AL72&gt;=8,AL72&lt;=35),2,0)</x:f>
        <x:v>0</x:v>
      </x:c>
      <x:c r="BC72" t="n">
        <x:f>IF(AND('01_Run_Config'!$B$52="AN Bud Ignitor &gt; Big Bud &gt; Overdrive",ISNUMBER(AL72),AL72&gt;=36,AL72&lt;=49),2,0)</x:f>
        <x:v>0</x:v>
      </x:c>
      <x:c r="BD72" t="n">
        <x:f>IF('01_Run_Config'!$B$53="ON / EXPERIMENTAL",IF(OR(AND(A72&gt;='01_Run_Config'!$B$32,A72&lt;'01_Run_Config'!$B$33),AND(ISNUMBER(AL72),AL72&gt;=15,AL72&lt;=49)),2,0),0)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Sensizym",0,IF(AND(A73&gt;='01_Run_Config'!$B$32,OR(AL73="",AL73&lt;=49)),2,0))</x:f>
        <x:v>2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Overdrive",0,IF(AND(ISNUMBER(AL73),AL73&gt;=29,AL73&lt;=42),0.25+((AL73-29)/13)*0.25,0))</x:f>
        <x:v>0</x:v>
      </x:c>
      <x:c r="AC73" s="63" t="n">
        <x:f>IF('01_Run_Config'!$B$46="OFF",0,IF(OR(A73='01_Run_Config'!$B$32,A73='01_Run_Config'!$B$32+7,A73='01_Run_Config'!$B$33+1,A73='01_Run_Config'!$B$33+8),2,0))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A-B",0,IF(OR(AND(A73&gt;='01_Run_Config'!$B$32,A73&lt;'01_Run_Config'!$B$33),AND(ISNUMBER(AL73),AL73&gt;=15,AL73&lt;=49)),2,0))</x:f>
        <x:v>0</x:v>
      </x:c>
      <x:c r="AW73" t="n">
        <x:f>IF('01_Run_Config'!$B$48="AN Bud Candy (replaces HESI Boost)",IF(AND(A73&gt;='01_Run_Config'!$B$32,OR(AL73="",AL73&lt;=49)),2,0),0)</x:f>
        <x:v>0</x:v>
      </x:c>
      <x:c r="AX73" t="n">
        <x:f>IF('01_Run_Config'!$B$49&lt;&gt;"ON / EXPERIMENTAL",0,IF(OR(AND(A73&gt;='01_Run_Config'!$B$32+7,A73&lt;'01_Run_Config'!$B$33),AND(ISNUMBER(AL73),AL73&gt;=1,AL73&lt;=49)),2,0))</x:f>
        <x:v>0</x:v>
      </x:c>
      <x:c r="AY73" t="n">
        <x:f>IF('01_Run_Config'!$B$50="AN Sensizym",IF(AND(A73&gt;='01_Run_Config'!$B$32,OR(AL73="",AL73&lt;=49)),2,0),0)</x:f>
        <x:v>0</x:v>
      </x:c>
      <x:c r="AZ73" t="n">
        <x:f>IF('01_Run_Config'!$B$51="AN Rhino Skin",IF(AND(A73&gt;='01_Run_Config'!$B$32,OR(AL73="",AL73&lt;=49)),2,0),0)</x:f>
        <x:v>0</x:v>
      </x:c>
      <x:c r="BA73" t="n">
        <x:f>IF(AND('01_Run_Config'!$B$52="AN Bud Ignitor &gt; Big Bud &gt; Overdrive",ISNUMBER(AL73),AL73&gt;=1,AL73&lt;=14),2,0)</x:f>
        <x:v>0</x:v>
      </x:c>
      <x:c r="BB73" t="n">
        <x:f>IF(AND('01_Run_Config'!$B$52="AN Bud Ignitor &gt; Big Bud &gt; Overdrive",ISNUMBER(AL73),AL73&gt;=8,AL73&lt;=35),2,0)</x:f>
        <x:v>0</x:v>
      </x:c>
      <x:c r="BC73" t="n">
        <x:f>IF(AND('01_Run_Config'!$B$52="AN Bud Ignitor &gt; Big Bud &gt; Overdrive",ISNUMBER(AL73),AL73&gt;=36,AL73&lt;=49),2,0)</x:f>
        <x:v>0</x:v>
      </x:c>
      <x:c r="BD73" t="n">
        <x:f>IF('01_Run_Config'!$B$53="ON / EXPERIMENTAL",IF(OR(AND(A73&gt;='01_Run_Config'!$B$32,A73&lt;'01_Run_Config'!$B$33),AND(ISNUMBER(AL73),AL73&gt;=15,AL73&lt;=49)),2,0),0)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Sensizym",0,IF(AND(A74&gt;='01_Run_Config'!$B$32,OR(AL74="",AL74&lt;=49)),2,0))</x:f>
        <x:v>2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Overdrive",0,IF(AND(ISNUMBER(AL74),AL74&gt;=29,AL74&lt;=42),0.25+((AL74-29)/13)*0.25,0))</x:f>
        <x:v>0</x:v>
      </x:c>
      <x:c r="AC74" s="63" t="n">
        <x:f>IF('01_Run_Config'!$B$46="OFF",0,IF(OR(A74='01_Run_Config'!$B$32,A74='01_Run_Config'!$B$32+7,A74='01_Run_Config'!$B$33+1,A74='01_Run_Config'!$B$33+8),2,0))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A-B",0,IF(OR(AND(A74&gt;='01_Run_Config'!$B$32,A74&lt;'01_Run_Config'!$B$33),AND(ISNUMBER(AL74),AL74&gt;=15,AL74&lt;=49)),2,0))</x:f>
        <x:v>0</x:v>
      </x:c>
      <x:c r="AW74" t="n">
        <x:f>IF('01_Run_Config'!$B$48="AN Bud Candy (replaces HESI Boost)",IF(AND(A74&gt;='01_Run_Config'!$B$32,OR(AL74="",AL74&lt;=49)),2,0),0)</x:f>
        <x:v>0</x:v>
      </x:c>
      <x:c r="AX74" t="n">
        <x:f>IF('01_Run_Config'!$B$49&lt;&gt;"ON / EXPERIMENTAL",0,IF(OR(AND(A74&gt;='01_Run_Config'!$B$32+7,A74&lt;'01_Run_Config'!$B$33),AND(ISNUMBER(AL74),AL74&gt;=1,AL74&lt;=49)),2,0))</x:f>
        <x:v>0</x:v>
      </x:c>
      <x:c r="AY74" t="n">
        <x:f>IF('01_Run_Config'!$B$50="AN Sensizym",IF(AND(A74&gt;='01_Run_Config'!$B$32,OR(AL74="",AL74&lt;=49)),2,0),0)</x:f>
        <x:v>0</x:v>
      </x:c>
      <x:c r="AZ74" t="n">
        <x:f>IF('01_Run_Config'!$B$51="AN Rhino Skin",IF(AND(A74&gt;='01_Run_Config'!$B$32,OR(AL74="",AL74&lt;=49)),2,0),0)</x:f>
        <x:v>0</x:v>
      </x:c>
      <x:c r="BA74" t="n">
        <x:f>IF(AND('01_Run_Config'!$B$52="AN Bud Ignitor &gt; Big Bud &gt; Overdrive",ISNUMBER(AL74),AL74&gt;=1,AL74&lt;=14),2,0)</x:f>
        <x:v>0</x:v>
      </x:c>
      <x:c r="BB74" t="n">
        <x:f>IF(AND('01_Run_Config'!$B$52="AN Bud Ignitor &gt; Big Bud &gt; Overdrive",ISNUMBER(AL74),AL74&gt;=8,AL74&lt;=35),2,0)</x:f>
        <x:v>0</x:v>
      </x:c>
      <x:c r="BC74" t="n">
        <x:f>IF(AND('01_Run_Config'!$B$52="AN Bud Ignitor &gt; Big Bud &gt; Overdrive",ISNUMBER(AL74),AL74&gt;=36,AL74&lt;=49),2,0)</x:f>
        <x:v>0</x:v>
      </x:c>
      <x:c r="BD74" t="n">
        <x:f>IF('01_Run_Config'!$B$53="ON / EXPERIMENTAL",IF(OR(AND(A74&gt;='01_Run_Config'!$B$32,A74&lt;'01_Run_Config'!$B$33),AND(ISNUMBER(AL74),AL74&gt;=15,AL74&lt;=49)),2,0),0)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Sensizym",0,IF(AND(A75&gt;='01_Run_Config'!$B$32,OR(AL75="",AL75&lt;=49)),2,0))</x:f>
        <x:v>2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Overdrive",0,IF(AND(ISNUMBER(AL75),AL75&gt;=29,AL75&lt;=42),0.25+((AL75-29)/13)*0.25,0))</x:f>
        <x:v>0</x:v>
      </x:c>
      <x:c r="AC75" s="63" t="n">
        <x:f>IF('01_Run_Config'!$B$46="OFF",0,IF(OR(A75='01_Run_Config'!$B$32,A75='01_Run_Config'!$B$32+7,A75='01_Run_Config'!$B$33+1,A75='01_Run_Config'!$B$33+8),2,0))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A-B",0,IF(OR(AND(A75&gt;='01_Run_Config'!$B$32,A75&lt;'01_Run_Config'!$B$33),AND(ISNUMBER(AL75),AL75&gt;=15,AL75&lt;=49)),2,0))</x:f>
        <x:v>0</x:v>
      </x:c>
      <x:c r="AW75" t="n">
        <x:f>IF('01_Run_Config'!$B$48="AN Bud Candy (replaces HESI Boost)",IF(AND(A75&gt;='01_Run_Config'!$B$32,OR(AL75="",AL75&lt;=49)),2,0),0)</x:f>
        <x:v>0</x:v>
      </x:c>
      <x:c r="AX75" t="n">
        <x:f>IF('01_Run_Config'!$B$49&lt;&gt;"ON / EXPERIMENTAL",0,IF(OR(AND(A75&gt;='01_Run_Config'!$B$32+7,A75&lt;'01_Run_Config'!$B$33),AND(ISNUMBER(AL75),AL75&gt;=1,AL75&lt;=49)),2,0))</x:f>
        <x:v>0</x:v>
      </x:c>
      <x:c r="AY75" t="n">
        <x:f>IF('01_Run_Config'!$B$50="AN Sensizym",IF(AND(A75&gt;='01_Run_Config'!$B$32,OR(AL75="",AL75&lt;=49)),2,0),0)</x:f>
        <x:v>0</x:v>
      </x:c>
      <x:c r="AZ75" t="n">
        <x:f>IF('01_Run_Config'!$B$51="AN Rhino Skin",IF(AND(A75&gt;='01_Run_Config'!$B$32,OR(AL75="",AL75&lt;=49)),2,0),0)</x:f>
        <x:v>0</x:v>
      </x:c>
      <x:c r="BA75" t="n">
        <x:f>IF(AND('01_Run_Config'!$B$52="AN Bud Ignitor &gt; Big Bud &gt; Overdrive",ISNUMBER(AL75),AL75&gt;=1,AL75&lt;=14),2,0)</x:f>
        <x:v>0</x:v>
      </x:c>
      <x:c r="BB75" t="n">
        <x:f>IF(AND('01_Run_Config'!$B$52="AN Bud Ignitor &gt; Big Bud &gt; Overdrive",ISNUMBER(AL75),AL75&gt;=8,AL75&lt;=35),2,0)</x:f>
        <x:v>0</x:v>
      </x:c>
      <x:c r="BC75" t="n">
        <x:f>IF(AND('01_Run_Config'!$B$52="AN Bud Ignitor &gt; Big Bud &gt; Overdrive",ISNUMBER(AL75),AL75&gt;=36,AL75&lt;=49),2,0)</x:f>
        <x:v>0</x:v>
      </x:c>
      <x:c r="BD75" t="n">
        <x:f>IF('01_Run_Config'!$B$53="ON / EXPERIMENTAL",IF(OR(AND(A75&gt;='01_Run_Config'!$B$32,A75&lt;'01_Run_Config'!$B$33),AND(ISNUMBER(AL75),AL75&gt;=15,AL75&lt;=49)),2,0),0)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Sensizym",0,IF(AND(A76&gt;='01_Run_Config'!$B$32,OR(AL76="",AL76&lt;=49)),2,0))</x:f>
        <x:v>2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Overdrive",0,IF(AND(ISNUMBER(AL76),AL76&gt;=29,AL76&lt;=42),0.25+((AL76-29)/13)*0.25,0))</x:f>
        <x:v>0</x:v>
      </x:c>
      <x:c r="AC76" s="63" t="n">
        <x:f>IF('01_Run_Config'!$B$46="OFF",0,IF(OR(A76='01_Run_Config'!$B$32,A76='01_Run_Config'!$B$32+7,A76='01_Run_Config'!$B$33+1,A76='01_Run_Config'!$B$33+8),2,0))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A-B",0,IF(OR(AND(A76&gt;='01_Run_Config'!$B$32,A76&lt;'01_Run_Config'!$B$33),AND(ISNUMBER(AL76),AL76&gt;=15,AL76&lt;=49)),2,0))</x:f>
        <x:v>0</x:v>
      </x:c>
      <x:c r="AW76" t="n">
        <x:f>IF('01_Run_Config'!$B$48="AN Bud Candy (replaces HESI Boost)",IF(AND(A76&gt;='01_Run_Config'!$B$32,OR(AL76="",AL76&lt;=49)),2,0),0)</x:f>
        <x:v>0</x:v>
      </x:c>
      <x:c r="AX76" t="n">
        <x:f>IF('01_Run_Config'!$B$49&lt;&gt;"ON / EXPERIMENTAL",0,IF(OR(AND(A76&gt;='01_Run_Config'!$B$32+7,A76&lt;'01_Run_Config'!$B$33),AND(ISNUMBER(AL76),AL76&gt;=1,AL76&lt;=49)),2,0))</x:f>
        <x:v>0</x:v>
      </x:c>
      <x:c r="AY76" t="n">
        <x:f>IF('01_Run_Config'!$B$50="AN Sensizym",IF(AND(A76&gt;='01_Run_Config'!$B$32,OR(AL76="",AL76&lt;=49)),2,0),0)</x:f>
        <x:v>0</x:v>
      </x:c>
      <x:c r="AZ76" t="n">
        <x:f>IF('01_Run_Config'!$B$51="AN Rhino Skin",IF(AND(A76&gt;='01_Run_Config'!$B$32,OR(AL76="",AL76&lt;=49)),2,0),0)</x:f>
        <x:v>0</x:v>
      </x:c>
      <x:c r="BA76" t="n">
        <x:f>IF(AND('01_Run_Config'!$B$52="AN Bud Ignitor &gt; Big Bud &gt; Overdrive",ISNUMBER(AL76),AL76&gt;=1,AL76&lt;=14),2,0)</x:f>
        <x:v>0</x:v>
      </x:c>
      <x:c r="BB76" t="n">
        <x:f>IF(AND('01_Run_Config'!$B$52="AN Bud Ignitor &gt; Big Bud &gt; Overdrive",ISNUMBER(AL76),AL76&gt;=8,AL76&lt;=35),2,0)</x:f>
        <x:v>0</x:v>
      </x:c>
      <x:c r="BC76" t="n">
        <x:f>IF(AND('01_Run_Config'!$B$52="AN Bud Ignitor &gt; Big Bud &gt; Overdrive",ISNUMBER(AL76),AL76&gt;=36,AL76&lt;=49),2,0)</x:f>
        <x:v>0</x:v>
      </x:c>
      <x:c r="BD76" t="n">
        <x:f>IF('01_Run_Config'!$B$53="ON / EXPERIMENTAL",IF(OR(AND(A76&gt;='01_Run_Config'!$B$32,A76&lt;'01_Run_Config'!$B$33),AND(ISNUMBER(AL76),AL76&gt;=15,AL76&lt;=49)),2,0),0)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Sensizym",0,IF(AND(A77&gt;='01_Run_Config'!$B$32,OR(AL77="",AL77&lt;=49)),2,0))</x:f>
        <x:v>2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Overdrive",0,IF(AND(ISNUMBER(AL77),AL77&gt;=29,AL77&lt;=42),0.25+((AL77-29)/13)*0.25,0))</x:f>
        <x:v>0</x:v>
      </x:c>
      <x:c r="AC77" s="63" t="n">
        <x:f>IF('01_Run_Config'!$B$46="OFF",0,IF(OR(A77='01_Run_Config'!$B$32,A77='01_Run_Config'!$B$32+7,A77='01_Run_Config'!$B$33+1,A77='01_Run_Config'!$B$33+8),2,0))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A-B",0,IF(OR(AND(A77&gt;='01_Run_Config'!$B$32,A77&lt;'01_Run_Config'!$B$33),AND(ISNUMBER(AL77),AL77&gt;=15,AL77&lt;=49)),2,0))</x:f>
        <x:v>0</x:v>
      </x:c>
      <x:c r="AW77" t="n">
        <x:f>IF('01_Run_Config'!$B$48="AN Bud Candy (replaces HESI Boost)",IF(AND(A77&gt;='01_Run_Config'!$B$32,OR(AL77="",AL77&lt;=49)),2,0),0)</x:f>
        <x:v>0</x:v>
      </x:c>
      <x:c r="AX77" t="n">
        <x:f>IF('01_Run_Config'!$B$49&lt;&gt;"ON / EXPERIMENTAL",0,IF(OR(AND(A77&gt;='01_Run_Config'!$B$32+7,A77&lt;'01_Run_Config'!$B$33),AND(ISNUMBER(AL77),AL77&gt;=1,AL77&lt;=49)),2,0))</x:f>
        <x:v>0</x:v>
      </x:c>
      <x:c r="AY77" t="n">
        <x:f>IF('01_Run_Config'!$B$50="AN Sensizym",IF(AND(A77&gt;='01_Run_Config'!$B$32,OR(AL77="",AL77&lt;=49)),2,0),0)</x:f>
        <x:v>0</x:v>
      </x:c>
      <x:c r="AZ77" t="n">
        <x:f>IF('01_Run_Config'!$B$51="AN Rhino Skin",IF(AND(A77&gt;='01_Run_Config'!$B$32,OR(AL77="",AL77&lt;=49)),2,0),0)</x:f>
        <x:v>0</x:v>
      </x:c>
      <x:c r="BA77" t="n">
        <x:f>IF(AND('01_Run_Config'!$B$52="AN Bud Ignitor &gt; Big Bud &gt; Overdrive",ISNUMBER(AL77),AL77&gt;=1,AL77&lt;=14),2,0)</x:f>
        <x:v>0</x:v>
      </x:c>
      <x:c r="BB77" t="n">
        <x:f>IF(AND('01_Run_Config'!$B$52="AN Bud Ignitor &gt; Big Bud &gt; Overdrive",ISNUMBER(AL77),AL77&gt;=8,AL77&lt;=35),2,0)</x:f>
        <x:v>0</x:v>
      </x:c>
      <x:c r="BC77" t="n">
        <x:f>IF(AND('01_Run_Config'!$B$52="AN Bud Ignitor &gt; Big Bud &gt; Overdrive",ISNUMBER(AL77),AL77&gt;=36,AL77&lt;=49),2,0)</x:f>
        <x:v>0</x:v>
      </x:c>
      <x:c r="BD77" t="n">
        <x:f>IF('01_Run_Config'!$B$53="ON / EXPERIMENTAL",IF(OR(AND(A77&gt;='01_Run_Config'!$B$32,A77&lt;'01_Run_Config'!$B$33),AND(ISNUMBER(AL77),AL77&gt;=15,AL77&lt;=49)),2,0),0)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Sensizym",0,IF(AND(A78&gt;='01_Run_Config'!$B$32,OR(AL78="",AL78&lt;=49)),2,0))</x:f>
        <x:v>2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Overdrive",0,IF(AND(ISNUMBER(AL78),AL78&gt;=29,AL78&lt;=42),0.25+((AL78-29)/13)*0.25,0))</x:f>
        <x:v>0</x:v>
      </x:c>
      <x:c r="AC78" s="63" t="n">
        <x:f>IF('01_Run_Config'!$B$46="OFF",0,IF(OR(A78='01_Run_Config'!$B$32,A78='01_Run_Config'!$B$32+7,A78='01_Run_Config'!$B$33+1,A78='01_Run_Config'!$B$33+8),2,0))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A-B",0,IF(OR(AND(A78&gt;='01_Run_Config'!$B$32,A78&lt;'01_Run_Config'!$B$33),AND(ISNUMBER(AL78),AL78&gt;=15,AL78&lt;=49)),2,0))</x:f>
        <x:v>0</x:v>
      </x:c>
      <x:c r="AW78" t="n">
        <x:f>IF('01_Run_Config'!$B$48="AN Bud Candy (replaces HESI Boost)",IF(AND(A78&gt;='01_Run_Config'!$B$32,OR(AL78="",AL78&lt;=49)),2,0),0)</x:f>
        <x:v>0</x:v>
      </x:c>
      <x:c r="AX78" t="n">
        <x:f>IF('01_Run_Config'!$B$49&lt;&gt;"ON / EXPERIMENTAL",0,IF(OR(AND(A78&gt;='01_Run_Config'!$B$32+7,A78&lt;'01_Run_Config'!$B$33),AND(ISNUMBER(AL78),AL78&gt;=1,AL78&lt;=49)),2,0))</x:f>
        <x:v>0</x:v>
      </x:c>
      <x:c r="AY78" t="n">
        <x:f>IF('01_Run_Config'!$B$50="AN Sensizym",IF(AND(A78&gt;='01_Run_Config'!$B$32,OR(AL78="",AL78&lt;=49)),2,0),0)</x:f>
        <x:v>0</x:v>
      </x:c>
      <x:c r="AZ78" t="n">
        <x:f>IF('01_Run_Config'!$B$51="AN Rhino Skin",IF(AND(A78&gt;='01_Run_Config'!$B$32,OR(AL78="",AL78&lt;=49)),2,0),0)</x:f>
        <x:v>0</x:v>
      </x:c>
      <x:c r="BA78" t="n">
        <x:f>IF(AND('01_Run_Config'!$B$52="AN Bud Ignitor &gt; Big Bud &gt; Overdrive",ISNUMBER(AL78),AL78&gt;=1,AL78&lt;=14),2,0)</x:f>
        <x:v>0</x:v>
      </x:c>
      <x:c r="BB78" t="n">
        <x:f>IF(AND('01_Run_Config'!$B$52="AN Bud Ignitor &gt; Big Bud &gt; Overdrive",ISNUMBER(AL78),AL78&gt;=8,AL78&lt;=35),2,0)</x:f>
        <x:v>0</x:v>
      </x:c>
      <x:c r="BC78" t="n">
        <x:f>IF(AND('01_Run_Config'!$B$52="AN Bud Ignitor &gt; Big Bud &gt; Overdrive",ISNUMBER(AL78),AL78&gt;=36,AL78&lt;=49),2,0)</x:f>
        <x:v>0</x:v>
      </x:c>
      <x:c r="BD78" t="n">
        <x:f>IF('01_Run_Config'!$B$53="ON / EXPERIMENTAL",IF(OR(AND(A78&gt;='01_Run_Config'!$B$32,A78&lt;'01_Run_Config'!$B$33),AND(ISNUMBER(AL78),AL78&gt;=15,AL78&lt;=49)),2,0),0)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Sensizym",0,IF(AND(A79&gt;='01_Run_Config'!$B$32,OR(AL79="",AL79&lt;=49)),2,0))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Overdrive",0,IF(AND(ISNUMBER(AL79),AL79&gt;=29,AL79&lt;=42),0.25+((AL79-29)/13)*0.25,0))</x:f>
        <x:v>0</x:v>
      </x:c>
      <x:c r="AC79" s="63" t="n">
        <x:f>IF('01_Run_Config'!$B$46="OFF",0,IF(OR(A79='01_Run_Config'!$B$32,A79='01_Run_Config'!$B$32+7,A79='01_Run_Config'!$B$33+1,A79='01_Run_Config'!$B$33+8),2,0))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A-B",0,IF(OR(AND(A79&gt;='01_Run_Config'!$B$32,A79&lt;'01_Run_Config'!$B$33),AND(ISNUMBER(AL79),AL79&gt;=15,AL79&lt;=49)),2,0))</x:f>
        <x:v>0</x:v>
      </x:c>
      <x:c r="AW79" t="n">
        <x:f>IF('01_Run_Config'!$B$48="AN Bud Candy (replaces HESI Boost)",IF(AND(A79&gt;='01_Run_Config'!$B$32,OR(AL79="",AL79&lt;=49)),2,0),0)</x:f>
        <x:v>0</x:v>
      </x:c>
      <x:c r="AX79" t="n">
        <x:f>IF('01_Run_Config'!$B$49&lt;&gt;"ON / EXPERIMENTAL",0,IF(OR(AND(A79&gt;='01_Run_Config'!$B$32+7,A79&lt;'01_Run_Config'!$B$33),AND(ISNUMBER(AL79),AL79&gt;=1,AL79&lt;=49)),2,0))</x:f>
        <x:v>0</x:v>
      </x:c>
      <x:c r="AY79" t="n">
        <x:f>IF('01_Run_Config'!$B$50="AN Sensizym",IF(AND(A79&gt;='01_Run_Config'!$B$32,OR(AL79="",AL79&lt;=49)),2,0),0)</x:f>
        <x:v>0</x:v>
      </x:c>
      <x:c r="AZ79" t="n">
        <x:f>IF('01_Run_Config'!$B$51="AN Rhino Skin",IF(AND(A79&gt;='01_Run_Config'!$B$32,OR(AL79="",AL79&lt;=49)),2,0),0)</x:f>
        <x:v>0</x:v>
      </x:c>
      <x:c r="BA79" t="n">
        <x:f>IF(AND('01_Run_Config'!$B$52="AN Bud Ignitor &gt; Big Bud &gt; Overdrive",ISNUMBER(AL79),AL79&gt;=1,AL79&lt;=14),2,0)</x:f>
        <x:v>0</x:v>
      </x:c>
      <x:c r="BB79" t="n">
        <x:f>IF(AND('01_Run_Config'!$B$52="AN Bud Ignitor &gt; Big Bud &gt; Overdrive",ISNUMBER(AL79),AL79&gt;=8,AL79&lt;=35),2,0)</x:f>
        <x:v>0</x:v>
      </x:c>
      <x:c r="BC79" t="n">
        <x:f>IF(AND('01_Run_Config'!$B$52="AN Bud Ignitor &gt; Big Bud &gt; Overdrive",ISNUMBER(AL79),AL79&gt;=36,AL79&lt;=49),2,0)</x:f>
        <x:v>0</x:v>
      </x:c>
      <x:c r="BD79" t="n">
        <x:f>IF('01_Run_Config'!$B$53="ON / EXPERIMENTAL",IF(OR(AND(A79&gt;='01_Run_Config'!$B$32,A79&lt;'01_Run_Config'!$B$33),AND(ISNUMBER(AL79),AL79&gt;=15,AL79&lt;=49)),2,0),0)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Sensizym",0,IF(AND(A80&gt;='01_Run_Config'!$B$32,OR(AL80="",AL80&lt;=49)),2,0))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Overdrive",0,IF(AND(ISNUMBER(AL80),AL80&gt;=29,AL80&lt;=42),0.25+((AL80-29)/13)*0.25,0))</x:f>
        <x:v>0</x:v>
      </x:c>
      <x:c r="AC80" s="63" t="n">
        <x:f>IF('01_Run_Config'!$B$46="OFF",0,IF(OR(A80='01_Run_Config'!$B$32,A80='01_Run_Config'!$B$32+7,A80='01_Run_Config'!$B$33+1,A80='01_Run_Config'!$B$33+8),2,0))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A-B",0,IF(OR(AND(A80&gt;='01_Run_Config'!$B$32,A80&lt;'01_Run_Config'!$B$33),AND(ISNUMBER(AL80),AL80&gt;=15,AL80&lt;=49)),2,0))</x:f>
        <x:v>0</x:v>
      </x:c>
      <x:c r="AW80" t="n">
        <x:f>IF('01_Run_Config'!$B$48="AN Bud Candy (replaces HESI Boost)",IF(AND(A80&gt;='01_Run_Config'!$B$32,OR(AL80="",AL80&lt;=49)),2,0),0)</x:f>
        <x:v>0</x:v>
      </x:c>
      <x:c r="AX80" t="n">
        <x:f>IF('01_Run_Config'!$B$49&lt;&gt;"ON / EXPERIMENTAL",0,IF(OR(AND(A80&gt;='01_Run_Config'!$B$32+7,A80&lt;'01_Run_Config'!$B$33),AND(ISNUMBER(AL80),AL80&gt;=1,AL80&lt;=49)),2,0))</x:f>
        <x:v>0</x:v>
      </x:c>
      <x:c r="AY80" t="n">
        <x:f>IF('01_Run_Config'!$B$50="AN Sensizym",IF(AND(A80&gt;='01_Run_Config'!$B$32,OR(AL80="",AL80&lt;=49)),2,0),0)</x:f>
        <x:v>0</x:v>
      </x:c>
      <x:c r="AZ80" t="n">
        <x:f>IF('01_Run_Config'!$B$51="AN Rhino Skin",IF(AND(A80&gt;='01_Run_Config'!$B$32,OR(AL80="",AL80&lt;=49)),2,0),0)</x:f>
        <x:v>0</x:v>
      </x:c>
      <x:c r="BA80" t="n">
        <x:f>IF(AND('01_Run_Config'!$B$52="AN Bud Ignitor &gt; Big Bud &gt; Overdrive",ISNUMBER(AL80),AL80&gt;=1,AL80&lt;=14),2,0)</x:f>
        <x:v>0</x:v>
      </x:c>
      <x:c r="BB80" t="n">
        <x:f>IF(AND('01_Run_Config'!$B$52="AN Bud Ignitor &gt; Big Bud &gt; Overdrive",ISNUMBER(AL80),AL80&gt;=8,AL80&lt;=35),2,0)</x:f>
        <x:v>0</x:v>
      </x:c>
      <x:c r="BC80" t="n">
        <x:f>IF(AND('01_Run_Config'!$B$52="AN Bud Ignitor &gt; Big Bud &gt; Overdrive",ISNUMBER(AL80),AL80&gt;=36,AL80&lt;=49),2,0)</x:f>
        <x:v>0</x:v>
      </x:c>
      <x:c r="BD80" t="n">
        <x:f>IF('01_Run_Config'!$B$53="ON / EXPERIMENTAL",IF(OR(AND(A80&gt;='01_Run_Config'!$B$32,A80&lt;'01_Run_Config'!$B$33),AND(ISNUMBER(AL80),AL80&gt;=15,AL80&lt;=49)),2,0),0)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Sensizym",0,IF(AND(A81&gt;='01_Run_Config'!$B$32,OR(AL81="",AL81&lt;=49)),2,0))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Overdrive",0,IF(AND(ISNUMBER(AL81),AL81&gt;=29,AL81&lt;=42),0.25+((AL81-29)/13)*0.25,0))</x:f>
        <x:v>0</x:v>
      </x:c>
      <x:c r="AC81" s="63" t="n">
        <x:f>IF('01_Run_Config'!$B$46="OFF",0,IF(OR(A81='01_Run_Config'!$B$32,A81='01_Run_Config'!$B$32+7,A81='01_Run_Config'!$B$33+1,A81='01_Run_Config'!$B$33+8),2,0))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A-B",0,IF(OR(AND(A81&gt;='01_Run_Config'!$B$32,A81&lt;'01_Run_Config'!$B$33),AND(ISNUMBER(AL81),AL81&gt;=15,AL81&lt;=49)),2,0))</x:f>
        <x:v>0</x:v>
      </x:c>
      <x:c r="AW81" t="n">
        <x:f>IF('01_Run_Config'!$B$48="AN Bud Candy (replaces HESI Boost)",IF(AND(A81&gt;='01_Run_Config'!$B$32,OR(AL81="",AL81&lt;=49)),2,0),0)</x:f>
        <x:v>0</x:v>
      </x:c>
      <x:c r="AX81" t="n">
        <x:f>IF('01_Run_Config'!$B$49&lt;&gt;"ON / EXPERIMENTAL",0,IF(OR(AND(A81&gt;='01_Run_Config'!$B$32+7,A81&lt;'01_Run_Config'!$B$33),AND(ISNUMBER(AL81),AL81&gt;=1,AL81&lt;=49)),2,0))</x:f>
        <x:v>0</x:v>
      </x:c>
      <x:c r="AY81" t="n">
        <x:f>IF('01_Run_Config'!$B$50="AN Sensizym",IF(AND(A81&gt;='01_Run_Config'!$B$32,OR(AL81="",AL81&lt;=49)),2,0),0)</x:f>
        <x:v>0</x:v>
      </x:c>
      <x:c r="AZ81" t="n">
        <x:f>IF('01_Run_Config'!$B$51="AN Rhino Skin",IF(AND(A81&gt;='01_Run_Config'!$B$32,OR(AL81="",AL81&lt;=49)),2,0),0)</x:f>
        <x:v>0</x:v>
      </x:c>
      <x:c r="BA81" t="n">
        <x:f>IF(AND('01_Run_Config'!$B$52="AN Bud Ignitor &gt; Big Bud &gt; Overdrive",ISNUMBER(AL81),AL81&gt;=1,AL81&lt;=14),2,0)</x:f>
        <x:v>0</x:v>
      </x:c>
      <x:c r="BB81" t="n">
        <x:f>IF(AND('01_Run_Config'!$B$52="AN Bud Ignitor &gt; Big Bud &gt; Overdrive",ISNUMBER(AL81),AL81&gt;=8,AL81&lt;=35),2,0)</x:f>
        <x:v>0</x:v>
      </x:c>
      <x:c r="BC81" t="n">
        <x:f>IF(AND('01_Run_Config'!$B$52="AN Bud Ignitor &gt; Big Bud &gt; Overdrive",ISNUMBER(AL81),AL81&gt;=36,AL81&lt;=49),2,0)</x:f>
        <x:v>0</x:v>
      </x:c>
      <x:c r="BD81" t="n">
        <x:f>IF('01_Run_Config'!$B$53="ON / EXPERIMENTAL",IF(OR(AND(A81&gt;='01_Run_Config'!$B$32,A81&lt;'01_Run_Config'!$B$33),AND(ISNUMBER(AL81),AL81&gt;=15,AL81&lt;=49)),2,0),0)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Sensizym",0,IF(AND(A82&gt;='01_Run_Config'!$B$32,OR(AL82="",AL82&lt;=49)),2,0))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Overdrive",0,IF(AND(ISNUMBER(AL82),AL82&gt;=29,AL82&lt;=42),0.25+((AL82-29)/13)*0.25,0))</x:f>
        <x:v>0</x:v>
      </x:c>
      <x:c r="AC82" s="64" t="n">
        <x:f>IF('01_Run_Config'!$B$46="OFF",0,IF(OR(A82='01_Run_Config'!$B$32,A82='01_Run_Config'!$B$32+7,A82='01_Run_Config'!$B$33+1,A82='01_Run_Config'!$B$33+8),2,0))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A-B",0,IF(OR(AND(A82&gt;='01_Run_Config'!$B$32,A82&lt;'01_Run_Config'!$B$33),AND(ISNUMBER(AL82),AL82&gt;=15,AL82&lt;=49)),2,0))</x:f>
        <x:v>0</x:v>
      </x:c>
      <x:c r="AW82" t="n">
        <x:f>IF('01_Run_Config'!$B$48="AN Bud Candy (replaces HESI Boost)",IF(AND(A82&gt;='01_Run_Config'!$B$32,OR(AL82="",AL82&lt;=49)),2,0),0)</x:f>
        <x:v>0</x:v>
      </x:c>
      <x:c r="AX82" t="n">
        <x:f>IF('01_Run_Config'!$B$49&lt;&gt;"ON / EXPERIMENTAL",0,IF(OR(AND(A82&gt;='01_Run_Config'!$B$32+7,A82&lt;'01_Run_Config'!$B$33),AND(ISNUMBER(AL82),AL82&gt;=1,AL82&lt;=49)),2,0))</x:f>
        <x:v>0</x:v>
      </x:c>
      <x:c r="AY82" t="n">
        <x:f>IF('01_Run_Config'!$B$50="AN Sensizym",IF(AND(A82&gt;='01_Run_Config'!$B$32,OR(AL82="",AL82&lt;=49)),2,0),0)</x:f>
        <x:v>0</x:v>
      </x:c>
      <x:c r="AZ82" t="n">
        <x:f>IF('01_Run_Config'!$B$51="AN Rhino Skin",IF(AND(A82&gt;='01_Run_Config'!$B$32,OR(AL82="",AL82&lt;=49)),2,0),0)</x:f>
        <x:v>0</x:v>
      </x:c>
      <x:c r="BA82" t="n">
        <x:f>IF(AND('01_Run_Config'!$B$52="AN Bud Ignitor &gt; Big Bud &gt; Overdrive",ISNUMBER(AL82),AL82&gt;=1,AL82&lt;=14),2,0)</x:f>
        <x:v>0</x:v>
      </x:c>
      <x:c r="BB82" t="n">
        <x:f>IF(AND('01_Run_Config'!$B$52="AN Bud Ignitor &gt; Big Bud &gt; Overdrive",ISNUMBER(AL82),AL82&gt;=8,AL82&lt;=35),2,0)</x:f>
        <x:v>0</x:v>
      </x:c>
      <x:c r="BC82" t="n">
        <x:f>IF(AND('01_Run_Config'!$B$52="AN Bud Ignitor &gt; Big Bud &gt; Overdrive",ISNUMBER(AL82),AL82&gt;=36,AL82&lt;=49),2,0)</x:f>
        <x:v>0</x:v>
      </x:c>
      <x:c r="BD82" t="n">
        <x:f>IF('01_Run_Config'!$B$53="ON / EXPERIMENTAL",IF(OR(AND(A82&gt;='01_Run_Config'!$B$32,A82&lt;'01_Run_Config'!$B$33),AND(ISNUMBER(AL82),AL82&gt;=15,AL82&lt;=49)),2,0),0)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a0a61fee3546a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AUDIT-HINWEIS: Wochenwerte sind verdichtete Richtwerte. 02_Daily_Master ist für den einzelnen Tag maßgeblich; Fütterungs-/AN-Fenster folgen dem Blüte-Trigger in 01_Run_Config.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1fb3349c7a6641db"/>
  <x:tableParts count="1">
    <x:tablePart xmlns:r="http://schemas.openxmlformats.org/officeDocument/2006/relationships" r:id="R5d981a0b380d47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2364" t="str">
        <x:v>MIX CALCULATOR v9 — resolved owned-stock HESI + Voodoo/Tarantula · propagation &amp; chemistry gates</x:v>
      </x:c>
      <x:c r="B1" s="2364"/>
      <x:c r="C1" s="2364"/>
      <x:c r="D1" s="2364"/>
      <x:c r="E1" s="2364"/>
      <x:c r="F1" s="2364"/>
      <x:c r="G1" s="2364"/>
      <x:c r="H1" s="2364"/>
    </x:row>
    <x:row r="2">
      <x:c r="J2" s="1789" t="str">
        <x:v>AN HYBRID MODULES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D17" s="2064" t="str">
        <x:v>Propagation gate</x:v>
      </x:c>
      <x:c r="E17" s="2064"/>
      <x:c r="F17" s="2064"/>
      <x:c r="G17" s="2064"/>
      <x:c r="H17" s="2064" t="str">
        <x:v>Day-based plan is not authorization while Eazy Plug/Block propagation gate is unresolved.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edba48ed624a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614be4fd7c54a8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Fenster, kein Trigger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05f220fa76410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  <x:row r="68">
      <x:c r="A68" s="2348" t="str">
        <x:v>v9 GOAL / PROBLEM / UX TRANSFORMATION · 2026-08-11</x:v>
      </x:c>
      <x:c r="B68" s="2348"/>
      <x:c r="C68" s="2348"/>
      <x:c r="D68" s="2348"/>
      <x:c r="E68" s="2348"/>
      <x:c r="F68" s="2348"/>
    </x:row>
    <x:row r="69">
      <x:c r="A69" s="60" t="str">
        <x:v>North Star</x:v>
      </x:c>
      <x:c r="B69" s="60" t="str">
        <x:v>In &lt;30 s: current state, missing measurement, allowed action, blocker, reason and logging step must be obvious.</x:v>
      </x:c>
      <x:c r="C69" s="60"/>
      <x:c r="D69" s="60"/>
      <x:c r="E69" s="60"/>
      <x:c r="F69" s="60"/>
    </x:row>
    <x:row r="70">
      <x:c r="A70" s="60" t="str">
        <x:v>Start Here</x:v>
      </x:c>
      <x:c r="B70" s="60" t="str">
        <x:v>00_Dashboard is now the operator entry point with Goal, Problem, 3-step flow, Today/Now, setup readiness and evidence legend.</x:v>
      </x:c>
      <x:c r="C70" s="60"/>
      <x:c r="D70" s="60"/>
      <x:c r="E70" s="60"/>
      <x:c r="F70" s="60"/>
    </x:row>
    <x:row r="71">
      <x:c r="A71" s="60" t="str">
        <x:v>Formula correction</x:v>
      </x:c>
      <x:c r="B71" s="60" t="str">
        <x:v>Daily formulas added in v7/v8 referenced AJ (GM Phase text) instead of AL (numeric Bloom-Tag). v9 corrects PowerZyme, HESI PK and all AN alternative-window formulas.</x:v>
      </x:c>
      <x:c r="C71" s="60"/>
      <x:c r="D71" s="60"/>
      <x:c r="E71" s="60"/>
      <x:c r="F71" s="60"/>
    </x:row>
    <x:row r="72">
      <x:c r="A72" s="60" t="str">
        <x:v>Propagation</x:v>
      </x:c>
      <x:c r="B72" s="60" t="str">
        <x:v>Eazy Plug Mini -&gt; Eazy Block Standard -&gt; UGro Rhiza Coco is now a first-class setup path. Day 4 is only the earliest feed reference, never a standalone authorization.</x:v>
      </x:c>
      <x:c r="C72" s="60"/>
      <x:c r="D72" s="60"/>
      <x:c r="E72" s="60"/>
      <x:c r="F72" s="60"/>
    </x:row>
    <x:row r="73">
      <x:c r="A73" s="60" t="str">
        <x:v>Eazy Plug</x:v>
      </x:c>
      <x:c r="B73" s="60" t="str">
        <x:v>Manufacturer reference: predetermined/buffered pH/EC; technical spec lists pH 5.9 and EC 1.0 mS/cm (1:1.5). No pre-correction of plug/block is required.</x:v>
      </x:c>
      <x:c r="C73" s="60"/>
      <x:c r="D73" s="60"/>
      <x:c r="E73" s="60"/>
      <x:c r="F73" s="60"/>
    </x:row>
    <x:row r="74">
      <x:c r="A74" s="60" t="str">
        <x:v>UGro Rhiza</x:v>
      </x:c>
      <x:c r="B74" s="60" t="str">
        <x:v>Product reference: true-buffered coco with Rhiza/endomycorrrhizae; pH/EC values are substrate specs, not irrigation targets.</x:v>
      </x:c>
      <x:c r="C74" s="60"/>
      <x:c r="D74" s="60"/>
      <x:c r="E74" s="60"/>
      <x:c r="F74" s="60"/>
    </x:row>
    <x:row r="75">
      <x:c r="A75" s="60" t="str">
        <x:v>App source correction</x:v>
      </x:c>
      <x:c r="B75" s="60" t="str">
        <x:v>Current archived App.tsx contains 12 routes, not 21. Setup and Log are not current routes and must be implemented before becoming Guided core navigation.</x:v>
      </x:c>
      <x:c r="C75" s="60"/>
      <x:c r="D75" s="60"/>
      <x:c r="E75" s="60"/>
      <x:c r="F75" s="60"/>
    </x:row>
    <x:row r="76">
      <x:c r="A76" s="60" t="str">
        <x:v>Version skew</x:v>
      </x:c>
      <x:c r="B76" s="60" t="str">
        <x:v>Current app package/runtime remains v6 while XLSX/PDF are newer. v9 marks a single release manifest + parity CI as P0.</x:v>
      </x:c>
      <x:c r="C76" s="60"/>
      <x:c r="D76" s="60"/>
      <x:c r="E76" s="60"/>
      <x:c r="F76" s="60"/>
    </x:row>
    <x:row r="77">
      <x:c r="A77" s="60" t="str">
        <x:v>Guided 2.0</x:v>
      </x:c>
      <x:c r="B77" s="60" t="str">
        <x:v>Target: 6 core routes, one prioritized action, inline definitions, persistent blockers; calculations and recommendations stay identical across lenses.</x:v>
      </x:c>
      <x:c r="C77" s="60"/>
      <x:c r="D77" s="60"/>
      <x:c r="E77" s="60"/>
      <x:c r="F77" s="60"/>
    </x:row>
    <x:row r="78">
      <x:c r="A78" s="60" t="str">
        <x:v>New sheets</x:v>
      </x:c>
      <x:c r="B78" s="60" t="str">
        <x:v>29_GOAL_PROBLEM, 30_APP_UX_PLAN, 31_FEED_SCHEMA, 32_GLOSSARY_STATES, 33_RELEASE_GATES.</x:v>
      </x:c>
      <x:c r="C78" s="60"/>
      <x:c r="D78" s="60"/>
      <x:c r="E78" s="60"/>
      <x:c r="F78" s="60"/>
    </x:row>
    <x:row r="79">
      <x:c r="A79" s="60" t="str">
        <x:v>Feed chart</x:v>
      </x:c>
      <x:c r="B79" s="60" t="str">
        <x:v>31_FEED_SCHEMA is derived from Daily Master after formula correction. 'Nd' means positive plan days, not forced irrigations.</x:v>
      </x:c>
      <x:c r="C79" s="60"/>
      <x:c r="D79" s="60"/>
      <x:c r="E79" s="60"/>
      <x:c r="F79" s="60"/>
    </x:row>
    <x:row r="80">
      <x:c r="A80" s="60" t="str">
        <x:v>Visual inspiration</x:v>
      </x:c>
      <x:c r="B80" s="60" t="str">
        <x:v>User-provided Advanced-Nutrients-style feed-chart examples are used only as layout inspiration; numeric content comes from UKD sources.</x:v>
      </x:c>
      <x:c r="C80" s="60"/>
      <x:c r="D80" s="60"/>
      <x:c r="E80" s="60"/>
      <x:c r="F80" s="60"/>
    </x:row>
    <x:row r="81">
      <x:c r="A81" s="60" t="str">
        <x:v>Release rule</x:v>
      </x:c>
      <x:c r="B81" s="60" t="str">
        <x:v>If Dashboard/Daily/Mix/PDF/App disagree, release is blocked. Fix the canonical source and regenerate; never reconcile manually.</x:v>
      </x:c>
      <x:c r="C81" s="60"/>
      <x:c r="D81" s="60"/>
      <x:c r="E81" s="60"/>
      <x:c r="F81" s="60"/>
    </x:row>
    <x:row r="82">
      <x:c r="A82" s="60" t="str">
        <x:v>App handoff</x:v>
      </x:c>
      <x:c r="B82" s="60" t="str">
        <x:v>Future app importer should consume v9 manifest + Run Config + Daily + Hybrid + Inventory + UX/state definitions, not legacy v6 snapshot.</x:v>
      </x:c>
      <x:c r="C82" s="60"/>
      <x:c r="D82" s="60"/>
      <x:c r="E82" s="60"/>
      <x:c r="F82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v9 · FORENSISCHER CONTENT-/WORKBOOK-/UX-AUDIT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  <x:row r="71">
      <x:c r="A71" s="60" t="str">
        <x:v>A71</x:v>
      </x:c>
      <x:c r="B71" s="60" t="str">
        <x:v>CRITICAL</x:v>
      </x:c>
      <x:c r="C71" s="60" t="str">
        <x:v>Bloom-Tag formula-column bug</x:v>
      </x:c>
      <x:c r="D71" s="60" t="str">
        <x:v>11 Daily formula families used AJ (GM Phase text) as if it were numeric Bloom-Tag; PowerZyme/PK and optional AN windows could resolve to 0 incorrectly.</x:v>
      </x:c>
      <x:c r="E71" s="60" t="str">
        <x:v>FIXED v9</x:v>
      </x:c>
      <x:c r="F71" s="60" t="str">
        <x:v>All affected formulas now use AL numeric Bloom-Tag; no remaining AJ references in Daily formulas.</x:v>
      </x:c>
      <x:c r="G71" s="60" t="str">
        <x:v>Workbook formula audit</x:v>
      </x:c>
      <x:c r="H71" s="60" t="str">
        <x:v>Add golden parity tests in app/CI.</x:v>
      </x:c>
    </x:row>
    <x:row r="72">
      <x:c r="A72" s="60" t="str">
        <x:v>A72</x:v>
      </x:c>
      <x:c r="B72" s="60" t="str">
        <x:v>HIGH</x:v>
      </x:c>
      <x:c r="C72" s="60" t="str">
        <x:v>App/content version skew</x:v>
      </x:c>
      <x:c r="D72" s="60" t="str">
        <x:v>Archived app is package 6.0.0 and architecture snapshot points to workbook-v6 while operational artifacts reached v8.</x:v>
      </x:c>
      <x:c r="E72" s="60" t="str">
        <x:v>OPEN APP P0</x:v>
      </x:c>
      <x:c r="F72" s="60" t="str">
        <x:v>Introduce release manifest and migrate app data snapshot to current schema.</x:v>
      </x:c>
      <x:c r="G72" s="60" t="str">
        <x:v>package.json + ARCHITECTURE.md</x:v>
      </x:c>
      <x:c r="H72" s="60" t="str">
        <x:v>Do not claim v9 app until code/import/tests updated.</x:v>
      </x:c>
    </x:row>
    <x:row r="73">
      <x:c r="A73" s="60" t="str">
        <x:v>A73</x:v>
      </x:c>
      <x:c r="B73" s="60" t="str">
        <x:v>HIGH</x:v>
      </x:c>
      <x:c r="C73" s="60" t="str">
        <x:v>Incorrect nav-count assumption</x:v>
      </x:c>
      <x:c r="D73" s="60" t="str">
        <x:v>Proposed redesign states 21 navigation entries; current App.tsx NAV has 12.</x:v>
      </x:c>
      <x:c r="E73" s="60" t="str">
        <x:v>CORRECTED PLAN</x:v>
      </x:c>
      <x:c r="F73" s="60" t="str">
        <x:v>UX plan uses actual 12 current routes; target 14 after real Setup + Log implementation.</x:v>
      </x:c>
      <x:c r="G73" s="60" t="str">
        <x:v>src/App.tsx</x:v>
      </x:c>
      <x:c r="H73" s="60" t="str">
        <x:v>Avoid designing around mock/invented routes.</x:v>
      </x:c>
    </x:row>
    <x:row r="74">
      <x:c r="A74" s="60" t="str">
        <x:v>A74</x:v>
      </x:c>
      <x:c r="B74" s="60" t="str">
        <x:v>HIGH</x:v>
      </x:c>
      <x:c r="C74" s="60" t="str">
        <x:v>Missing Setup/Log routes</x:v>
      </x:c>
      <x:c r="D74" s="60" t="str">
        <x:v>Guided target assumes Setup and Log, but current app has neither as route/persistent workflow.</x:v>
      </x:c>
      <x:c r="E74" s="60" t="str">
        <x:v>OPEN APP P1</x:v>
      </x:c>
      <x:c r="F74" s="60" t="str">
        <x:v>Add Setup wizard + Journal/Event Log backed by versioned repository.</x:v>
      </x:c>
      <x:c r="G74" s="60" t="str">
        <x:v>src/App.tsx + MIGRATION.md</x:v>
      </x:c>
      <x:c r="H74" s="60" t="str">
        <x:v>Workbook/PDF can define contract now; app implementation separate.</x:v>
      </x:c>
    </x:row>
    <x:row r="75">
      <x:c r="A75" s="60" t="str">
        <x:v>A75</x:v>
      </x:c>
      <x:c r="B75" s="60" t="str">
        <x:v>HIGH</x:v>
      </x:c>
      <x:c r="C75" s="60" t="str">
        <x:v>Propagation path absent</x:v>
      </x:c>
      <x:c r="D75" s="60" t="str">
        <x:v>Eazy Plug/Block and final UGro Rhiza medium were not separate setup states.</x:v>
      </x:c>
      <x:c r="E75" s="60" t="str">
        <x:v>FIXED PLAN v9</x:v>
      </x:c>
      <x:c r="F75" s="60" t="str">
        <x:v>Added propagation/medium path, substrate references, feed gate and transplant trigger.</x:v>
      </x:c>
      <x:c r="G75" s="60" t="str">
        <x:v>Eazy Plug + UGro + HESI</x:v>
      </x:c>
      <x:c r="H75" s="60" t="str">
        <x:v>Exact product sizes still user-confirmed input.</x:v>
      </x:c>
    </x:row>
    <x:row r="76">
      <x:c r="A76" s="60" t="str">
        <x:v>A76</x:v>
      </x:c>
      <x:c r="B76" s="60" t="str">
        <x:v>HIGH</x:v>
      </x:c>
      <x:c r="C76" s="60" t="str">
        <x:v>Day-based early feed mental model</x:v>
      </x:c>
      <x:c r="D76" s="60" t="str">
        <x:v>Nutrient start day could be interpreted as automatic authorization despite seed reserves and pre-fertilised propagation media.</x:v>
      </x:c>
      <x:c r="E76" s="60" t="str">
        <x:v>MITIGATED v9</x:v>
      </x:c>
      <x:c r="F76" s="60" t="str">
        <x:v>Renamed to earliest reference day and added plant/medium gate.</x:v>
      </x:c>
      <x:c r="G76" s="60" t="str">
        <x:v>HESI TNT + Eazy Plug</x:v>
      </x:c>
      <x:c r="H76" s="60" t="str">
        <x:v>Daily formula still carries a reference schedule; UI must surface gate.</x:v>
      </x:c>
    </x:row>
    <x:row r="77">
      <x:c r="A77" s="60" t="str">
        <x:v>A77</x:v>
      </x:c>
      <x:c r="B77" s="60" t="str">
        <x:v>MEDIUM</x:v>
      </x:c>
      <x:c r="C77" s="60" t="str">
        <x:v>PDF operator orientation</x:v>
      </x:c>
      <x:c r="D77" s="60" t="str">
        <x:v>v8 full PDF was 231 pages with thin front matter and weak task orientation.</x:v>
      </x:c>
      <x:c r="E77" s="60" t="str">
        <x:v>FIXED PDF v9</x:v>
      </x:c>
      <x:c r="F77" s="60" t="str">
        <x:v>New operator front matter, visual flow, feed map, state legend and app transformation plan; detailed pages retained as appendix.</x:v>
      </x:c>
      <x:c r="G77" s="60" t="str">
        <x:v>PDF review</x:v>
      </x:c>
      <x:c r="H77" s="60" t="str">
        <x:v>Keep appendix searchable/bookmarked.</x:v>
      </x:c>
    </x:row>
    <x:row r="78">
      <x:c r="A78" s="60" t="str">
        <x:v>A78</x:v>
      </x:c>
      <x:c r="B78" s="60" t="str">
        <x:v>MEDIUM</x:v>
      </x:c>
      <x:c r="C78" s="60" t="str">
        <x:v>Workbook start-point ambiguity</x:v>
      </x:c>
      <x:c r="D78" s="60" t="str">
        <x:v>Dashboard was dense and assumed knowledge of tab structure.</x:v>
      </x:c>
      <x:c r="E78" s="60" t="str">
        <x:v>FIXED XLSX v9</x:v>
      </x:c>
      <x:c r="F78" s="60" t="str">
        <x:v>00_Dashboard transformed into Start Here with 3-step journey, current setup and legend.</x:v>
      </x:c>
      <x:c r="G78" s="60" t="str">
        <x:v>Workbook review</x:v>
      </x:c>
      <x:c r="H78" s="60" t="str">
        <x:v>Future app mirrors same journey.</x:v>
      </x:c>
    </x:row>
    <x:row r="79">
      <x:c r="A79" s="60" t="str">
        <x:v>A79</x:v>
      </x:c>
      <x:c r="B79" s="60" t="str">
        <x:v>MEDIUM</x:v>
      </x:c>
      <x:c r="C79" s="60" t="str">
        <x:v>Glossary/context gap</x:v>
      </x:c>
      <x:c r="D79" s="60" t="str">
        <x:v>Technical concepts were not normalized as structured reusable definitions.</x:v>
      </x:c>
      <x:c r="E79" s="60" t="str">
        <x:v>FIXED PLAN v9</x:v>
      </x:c>
      <x:c r="F79" s="60" t="str">
        <x:v>Added 32_GLOSSARY_STATES; app target is context wiki with tap/focus/hover preview.</x:v>
      </x:c>
      <x:c r="G79" s="60" t="str">
        <x:v>UX plan</x:v>
      </x:c>
      <x:c r="H79" s="60" t="str">
        <x:v>Critical meaning remains inline in Guided.</x:v>
      </x:c>
    </x:row>
    <x:row r="80">
      <x:c r="A80" s="60" t="str">
        <x:v>A80</x:v>
      </x:c>
      <x:c r="B80" s="60" t="str">
        <x:v>MEDIUM</x:v>
      </x:c>
      <x:c r="C80" s="60" t="str">
        <x:v>Release acceptance scattered</x:v>
      </x:c>
      <x:c r="D80" s="60" t="str">
        <x:v>Safety/UX/accessibility/data gates existed across docs but not as a single release matrix.</x:v>
      </x:c>
      <x:c r="E80" s="60" t="str">
        <x:v>FIXED PLAN v9</x:v>
      </x:c>
      <x:c r="F80" s="60" t="str">
        <x:v>Added 33_RELEASE_GATES with P0-P4 acceptance criteria.</x:v>
      </x:c>
      <x:c r="G80" s="60" t="str">
        <x:v>Docs + gap analysis</x:v>
      </x:c>
      <x:c r="H80" s="60" t="str">
        <x:v>CI implementation still pending for app.</x:v>
      </x:c>
    </x:row>
    <x:row r="81">
      <x:c r="A81" s="60" t="str">
        <x:v>A81</x:v>
      </x:c>
      <x:c r="B81" s="60" t="str">
        <x:v>LOW</x:v>
      </x:c>
      <x:c r="C81" s="60" t="str">
        <x:v>Inventory lifecycle metadata</x:v>
      </x:c>
      <x:c r="D81" s="60" t="str">
        <x:v>Inventory tracks presence/state but not quantity, lot, opened or expiry.</x:v>
      </x:c>
      <x:c r="E81" s="60" t="str">
        <x:v>MITIGATED v9</x:v>
      </x:c>
      <x:c r="F81" s="60" t="str">
        <x:v>Added lifecycle columns as UNKNOWN placeholders.</x:v>
      </x:c>
      <x:c r="G81" s="60" t="str">
        <x:v>28_Current_Inventory</x:v>
      </x:c>
      <x:c r="H81" s="60" t="str">
        <x:v>User can populate later; unknown is not fabricated.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early grow/bloom</x:v>
      </x:c>
      <x:c r="F8" s="60" t="str">
        <x:v>microbiome redundancy</x:v>
      </x:c>
      <x:c r="G8" s="60" t="str">
        <x:v>COMPLEMENT</x:v>
      </x:c>
      <x:c r="H8" s="60" t="str">
        <x:v>ON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G1-G2/B1-B2</x:v>
      </x:c>
      <x:c r="F10" s="60" t="str">
        <x:v>Voodoo/microbiome redundancy</x:v>
      </x:c>
      <x:c r="G10" s="60" t="str">
        <x:v>COMPLEMENT</x:v>
      </x:c>
      <x:c r="H10" s="60" t="str">
        <x:v>ON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  <x:c r="M1" s="2348" t="str">
        <x:v>Quantity remaining</x:v>
      </x:c>
      <x:c r="N1" s="2348" t="str">
        <x:v>Lot / batch</x:v>
      </x:c>
      <x:c r="O1" s="2348" t="str">
        <x:v>Opened date</x:v>
      </x:c>
      <x:c r="P1" s="2348" t="str">
        <x:v>Expiry / best-before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  <x:c r="M2" s="2338" t="str">
        <x:v>UNKNOWN</x:v>
      </x:c>
      <x:c r="N2" s="2338" t="str">
        <x:v>UNKNOWN</x:v>
      </x:c>
      <x:c r="O2" s="2338" t="str">
        <x:v>UNKNOWN</x:v>
      </x:c>
      <x:c r="P2" s="2338" t="str">
        <x:v>UNKNOWN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  <x:c r="M3" s="2338" t="str">
        <x:v>UNKNOWN</x:v>
      </x:c>
      <x:c r="N3" s="2338" t="str">
        <x:v>UNKNOWN</x:v>
      </x:c>
      <x:c r="O3" s="2338" t="str">
        <x:v>UNKNOWN</x:v>
      </x:c>
      <x:c r="P3" s="2338" t="str">
        <x:v>UNKNOWN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  <x:c r="M4" s="2338" t="str">
        <x:v>UNKNOWN</x:v>
      </x:c>
      <x:c r="N4" s="2338" t="str">
        <x:v>UNKNOWN</x:v>
      </x:c>
      <x:c r="O4" s="2338" t="str">
        <x:v>UNKNOWN</x:v>
      </x:c>
      <x:c r="P4" s="2338" t="str">
        <x:v>UNKNOWN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  <x:c r="M5" s="2338" t="str">
        <x:v>UNKNOWN</x:v>
      </x:c>
      <x:c r="N5" s="2338" t="str">
        <x:v>UNKNOWN</x:v>
      </x:c>
      <x:c r="O5" s="2338" t="str">
        <x:v>UNKNOWN</x:v>
      </x:c>
      <x:c r="P5" s="2338" t="str">
        <x:v>UNKNOWN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  <x:c r="M6" s="2338" t="str">
        <x:v>UNKNOWN</x:v>
      </x:c>
      <x:c r="N6" s="2338" t="str">
        <x:v>UNKNOWN</x:v>
      </x:c>
      <x:c r="O6" s="2338" t="str">
        <x:v>UNKNOWN</x:v>
      </x:c>
      <x:c r="P6" s="2338" t="str">
        <x:v>UNKNOWN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  <x:c r="M7" s="2338" t="str">
        <x:v>UNKNOWN</x:v>
      </x:c>
      <x:c r="N7" s="2338" t="str">
        <x:v>UNKNOWN</x:v>
      </x:c>
      <x:c r="O7" s="2338" t="str">
        <x:v>UNKNOWN</x:v>
      </x:c>
      <x:c r="P7" s="2338" t="str">
        <x:v>UNKNOWN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  <x:c r="M8" s="2338" t="str">
        <x:v>UNKNOWN</x:v>
      </x:c>
      <x:c r="N8" s="2338" t="str">
        <x:v>UNKNOWN</x:v>
      </x:c>
      <x:c r="O8" s="2338" t="str">
        <x:v>UNKNOWN</x:v>
      </x:c>
      <x:c r="P8" s="2338" t="str">
        <x:v>UNKNOWN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  <x:c r="M9" s="2338" t="str">
        <x:v>UNKNOWN</x:v>
      </x:c>
      <x:c r="N9" s="2338" t="str">
        <x:v>UNKNOWN</x:v>
      </x:c>
      <x:c r="O9" s="2338" t="str">
        <x:v>UNKNOWN</x:v>
      </x:c>
      <x:c r="P9" s="2338" t="str">
        <x:v>UNKNOWN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  <x:c r="M10" s="2338" t="str">
        <x:v>UNKNOWN</x:v>
      </x:c>
      <x:c r="N10" s="2338" t="str">
        <x:v>UNKNOWN</x:v>
      </x:c>
      <x:c r="O10" s="2338" t="str">
        <x:v>UNKNOWN</x:v>
      </x:c>
      <x:c r="P10" s="2338" t="str">
        <x:v>UNKNOWN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  <x:c r="M11" s="2338" t="str">
        <x:v>UNKNOWN</x:v>
      </x:c>
      <x:c r="N11" s="2338" t="str">
        <x:v>UNKNOWN</x:v>
      </x:c>
      <x:c r="O11" s="2338" t="str">
        <x:v>UNKNOWN</x:v>
      </x:c>
      <x:c r="P11" s="2338" t="str">
        <x:v>UNKNOWN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  <x:c r="M12" s="2338" t="str">
        <x:v>UNKNOWN</x:v>
      </x:c>
      <x:c r="N12" s="2338" t="str">
        <x:v>UNKNOWN</x:v>
      </x:c>
      <x:c r="O12" s="2338" t="str">
        <x:v>UNKNOWN</x:v>
      </x:c>
      <x:c r="P12" s="2338" t="str">
        <x:v>UNKNOWN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  <x:c r="M13" s="2338" t="str">
        <x:v>UNKNOWN</x:v>
      </x:c>
      <x:c r="N13" s="2338" t="str">
        <x:v>UNKNOWN</x:v>
      </x:c>
      <x:c r="O13" s="2338" t="str">
        <x:v>UNKNOWN</x:v>
      </x:c>
      <x:c r="P13" s="2338" t="str">
        <x:v>UNKNOWN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  <x:c r="M14" s="2338" t="str">
        <x:v>UNKNOWN</x:v>
      </x:c>
      <x:c r="N14" s="2338" t="str">
        <x:v>UNKNOWN</x:v>
      </x:c>
      <x:c r="O14" s="2338" t="str">
        <x:v>UNKNOWN</x:v>
      </x:c>
      <x:c r="P14" s="2338" t="str">
        <x:v>UNKNOWN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20" hidden="0" customWidth="1"/>
  </x:cols>
  <x:sheetData>
    <x:row r="1">
      <x:c r="A1" s="2348" t="str">
        <x:v>Priority</x:v>
      </x:c>
      <x:c r="B1" s="2348" t="str">
        <x:v>Layer</x:v>
      </x:c>
      <x:c r="C1" s="2348" t="str">
        <x:v>/GOAL</x:v>
      </x:c>
      <x:c r="D1" s="2348" t="str">
        <x:v>/PROBLEM</x:v>
      </x:c>
      <x:c r="E1" s="2348" t="str">
        <x:v>Transformation</x:v>
      </x:c>
      <x:c r="F1" s="2348" t="str">
        <x:v>Acceptance criterion</x:v>
      </x:c>
      <x:c r="G1" s="2348" t="str">
        <x:v>Source truth / evidence</x:v>
      </x:c>
      <x:c r="H1" s="2348" t="str">
        <x:v>v9 status</x:v>
      </x:c>
    </x:row>
    <x:row r="2" ht="54" customHeight="1">
      <x:c r="A2" s="1962" t="str">
        <x:v>P0</x:v>
      </x:c>
      <x:c r="B2" s="60" t="str">
        <x:v>Release truth</x:v>
      </x:c>
      <x:c r="C2" s="1880" t="str">
        <x:v>App, XLSX and PDF show the same release/version/data snapshot.</x:v>
      </x:c>
      <x:c r="D2" s="1962" t="str">
        <x:v>Current app source is version 6.0.0 and loads evidence-guarded-workbook-v6.json while the operational workbook/PDF had already moved to v8.</x:v>
      </x:c>
      <x:c r="E2" s="60" t="str">
        <x:v>Introduce one release manifest with version, schema, workbook hash, source review date, sheet/claim counts; app consumes it instead of hard-coded labels.</x:v>
      </x:c>
      <x:c r="F2" s="60" t="str">
        <x:v>No artifact may declare a different canonical content version; CI fails on mismatch.</x:v>
      </x:c>
      <x:c r="G2" s="60" t="str">
        <x:v>package.json; docs/ARCHITECTURE.md; src/App.tsx; current XLSX/PDF</x:v>
      </x:c>
      <x:c r="H2" s="60" t="str">
        <x:v>APP P0</x:v>
      </x:c>
    </x:row>
    <x:row r="3" ht="54" customHeight="1">
      <x:c r="A3" s="1962" t="str">
        <x:v>P0</x:v>
      </x:c>
      <x:c r="B3" s="60" t="str">
        <x:v>Formula correctness</x:v>
      </x:c>
      <x:c r="C3" s="1880" t="str">
        <x:v>Every dose window is derived from the intended biological/trigger variable.</x:v>
      </x:c>
      <x:c r="D3" s="1962" t="str">
        <x:v>v7/v8 formulas used AJ (GM Phase text) where AL (numeric Bloom-Tag) was intended, silently zeroing PowerZyme/PK and alternative AN windows.</x:v>
      </x:c>
      <x:c r="E3" s="60" t="str">
        <x:v>Correct all 11 affected Daily Master formula families; add parity/golden tests.</x:v>
      </x:c>
      <x:c r="F3" s="60" t="str">
        <x:v>0 formula errors; expected nonzero values appear in approved windows; regression fixture covers columns X, AB, AV:BD.</x:v>
      </x:c>
      <x:c r="G3" s="60" t="str">
        <x:v>02_Daily_Master formula audit</x:v>
      </x:c>
      <x:c r="H3" s="60" t="str">
        <x:v>FIXED XLSX v9 / APP TEST REQUIRED</x:v>
      </x:c>
    </x:row>
    <x:row r="4" ht="54" customHeight="1">
      <x:c r="A4" s="1962" t="str">
        <x:v>P0</x:v>
      </x:c>
      <x:c r="B4" s="60" t="str">
        <x:v>Propagation safety</x:v>
      </x:c>
      <x:c r="C4" s="1880" t="str">
        <x:v>Propagation medium is a first-class setup fact and blocks blind calendar feeding.</x:v>
      </x:c>
      <x:c r="D4" s="1962" t="str">
        <x:v>The plan treated UGro Rhiza as the only medium and a day-based nutrient start as if propagation media had no own pH/EC/nutrient state.</x:v>
      </x:c>
      <x:c r="E4" s="60" t="str">
        <x:v>Model Eazy Plug Mini -&gt; Eazy Block Standard -&gt; UGro Rhiza Coco; mark day 4 as earliest reference only; add plant/medium gate.</x:v>
      </x:c>
      <x:c r="F4" s="60" t="str">
        <x:v>Setup shows propagation stage, exact product/size, transplant event, and feed eligibility separately from day number.</x:v>
      </x:c>
      <x:c r="G4" s="60" t="str">
        <x:v>Eazy Plug manufacturer; HESI TNT; UGro COCO</x:v>
      </x:c>
      <x:c r="H4" s="60" t="str">
        <x:v>FIXED PLAN v9 / APP P1</x:v>
      </x:c>
    </x:row>
    <x:row r="5" ht="54" customHeight="1">
      <x:c r="A5" s="1962" t="str">
        <x:v>P0</x:v>
      </x:c>
      <x:c r="B5" s="60" t="str">
        <x:v>Evidence boundary</x:v>
      </x:c>
      <x:c r="C5" s="1880" t="str">
        <x:v>A user can always tell target vs measured vs user input vs manufacturer vs UKD inference.</x:v>
      </x:c>
      <x:c r="D5" s="1962" t="str">
        <x:v>The workbook contains these concepts, but they are not consistently visible at the point of action.</x:v>
      </x:c>
      <x:c r="E5" s="60" t="str">
        <x:v>Make status/provenance a mandatory field on cards, tasks, measurements, product states and overrides.</x:v>
      </x:c>
      <x:c r="F5" s="60" t="str">
        <x:v>Critical action cards visibly carry state + reason + evidence source; no silent fallback.</x:v>
      </x:c>
      <x:c r="G5" s="60" t="str">
        <x:v>docs/RULES_OF_EVIDENCE.md; docs/PRODUCT_SPEC.md</x:v>
      </x:c>
      <x:c r="H5" s="60" t="str">
        <x:v>APP P0/P1</x:v>
      </x:c>
    </x:row>
    <x:row r="6" ht="54" customHeight="1">
      <x:c r="A6" s="1962" t="str">
        <x:v>P0</x:v>
      </x:c>
      <x:c r="B6" s="60" t="str">
        <x:v>Product stack truth</x:v>
      </x:c>
      <x:c r="C6" s="1880" t="str">
        <x:v>One resolved stack drives Today, Mix, Dashboard, export and app.</x:v>
      </x:c>
      <x:c r="D6" s="1962" t="str">
        <x:v>Product state is still partly duplicated manually across Daily, Weekly, Mix, hybrid reference and app snapshot.</x:v>
      </x:c>
      <x:c r="E6" s="60" t="str">
        <x:v>Create a stack compiler: preset + run snapshot + phase + measurements + evidence rules -&gt; ResolvedDailyMixPlan.</x:v>
      </x:c>
      <x:c r="F6" s="60" t="str">
        <x:v>100% selected products resolve to ACTIVE/ZERO_BY_STAGE/CONDITIONAL/BLOCKED/REPLACED/EXPERIMENTAL and appear identically everywhere.</x:v>
      </x:c>
      <x:c r="G6" s="60" t="str">
        <x:v>27_HESI_AN_Hybrid; 28_Current_Inventory; prior audit</x:v>
      </x:c>
      <x:c r="H6" s="60" t="str">
        <x:v>APP P0</x:v>
      </x:c>
    </x:row>
    <x:row r="7" ht="54" customHeight="1">
      <x:c r="A7" s="1962" t="str">
        <x:v>P0</x:v>
      </x:c>
      <x:c r="B7" s="60" t="str">
        <x:v>Fail-closed chemistry</x:v>
      </x:c>
      <x:c r="C7" s="1880" t="str">
        <x:v>Unknown chemistry never creates a positive Athena/CalMag dose.</x:v>
      </x:c>
      <x:c r="D7" s="1962" t="str">
        <x:v>Water pH/EC alone do not resolve Ca/Mg/alkalinity; owned stock can create psychological pressure to dose.</x:v>
      </x:c>
      <x:c r="E7" s="60" t="str">
        <x:v>Readiness gate + explicit CalMag Plan + Athena titration workflow; inventory never overrides need.</x:v>
      </x:c>
      <x:c r="F7" s="60" t="str">
        <x:v>Dose stays 0 until required inputs/decision exist.</x:v>
      </x:c>
      <x:c r="G7" s="60" t="str">
        <x:v>01_Run_Config; 28_Current_Inventory</x:v>
      </x:c>
      <x:c r="H7" s="60" t="str">
        <x:v>FIXED XLSX/PDF v8-v9</x:v>
      </x:c>
    </x:row>
    <x:row r="8" ht="54" customHeight="1">
      <x:c r="A8" s="2064" t="str">
        <x:v>P1</x:v>
      </x:c>
      <x:c r="B8" s="60" t="str">
        <x:v>Orientation</x:v>
      </x:c>
      <x:c r="C8" s="1880" t="str">
        <x:v>A first-time user knows where to start and what the system is for.</x:v>
      </x:c>
      <x:c r="D8" s="1962" t="str">
        <x:v>Workbook/PDF are comprehensive but not self-explanatory; app has no first-run onboarding.</x:v>
      </x:c>
      <x:c r="E8" s="60" t="str">
        <x:v>Start Here / North Star, 3-step operator path, first-run welcome, setup readiness.</x:v>
      </x:c>
      <x:c r="F8" s="60" t="str">
        <x:v>New user can identify next action and blocker without opening raw tables.</x:v>
      </x:c>
      <x:c r="G8" s="60" t="str">
        <x:v>Current Dashboard/PDF; src/App.tsx</x:v>
      </x:c>
      <x:c r="H8" s="60" t="str">
        <x:v>FIXED XLSX/PDF v9 / APP P1</x:v>
      </x:c>
    </x:row>
    <x:row r="9" ht="54" customHeight="1">
      <x:c r="A9" s="2064" t="str">
        <x:v>P1</x:v>
      </x:c>
      <x:c r="B9" s="60" t="str">
        <x:v>Information architecture</x:v>
      </x:c>
      <x:c r="C9" s="1880" t="str">
        <x:v>Guided navigation exposes only core work; deep areas remain available.</x:v>
      </x:c>
      <x:c r="D9" s="1962" t="str">
        <x:v>User proposal assumed 21 nav entries, but current source has 12. Guided currently keeps the same sidebar and mainly adds a banner.</x:v>
      </x:c>
      <x:c r="E9" s="60" t="str">
        <x:v>Use 6 Guided core routes; collapsible groups in Advanced/Expert; 'All areas' for the rest.</x:v>
      </x:c>
      <x:c r="F9" s="60" t="str">
        <x:v>Guided default shows Cockpit, Heute, Setup, Mix, Log, Zeitachse; no critical route hidden behind hover.</x:v>
      </x:c>
      <x:c r="G9" s="60" t="str">
        <x:v>src/App.tsx NAV = 12 current routes</x:v>
      </x:c>
      <x:c r="H9" s="60" t="str">
        <x:v>APP P1</x:v>
      </x:c>
    </x:row>
    <x:row r="10" ht="54" customHeight="1">
      <x:c r="A10" s="2064" t="str">
        <x:v>P1</x:v>
      </x:c>
      <x:c r="B10" s="60" t="str">
        <x:v>Missing routes</x:v>
      </x:c>
      <x:c r="C10" s="1880" t="str">
        <x:v>Setup and Log are real workflows, not labels pointing to non-routes.</x:v>
      </x:c>
      <x:c r="D10" s="1962" t="str">
        <x:v>Current app has no Setup or Log route, although workbook has Run Config and Daily Log and the proposed Guided set assumes both.</x:v>
      </x:c>
      <x:c r="E10" s="60" t="str">
        <x:v>Add Setup wizard and Log/Journal routes backed by domain entities and repository.</x:v>
      </x:c>
      <x:c r="F10" s="60" t="str">
        <x:v>Route is keyboard/mobile accessible and persists run data; no fake navigation item.</x:v>
      </x:c>
      <x:c r="G10" s="60" t="str">
        <x:v>src/App.tsx; docs/MIGRATION.md</x:v>
      </x:c>
      <x:c r="H10" s="60" t="str">
        <x:v>APP P1</x:v>
      </x:c>
    </x:row>
    <x:row r="11" ht="54" customHeight="1">
      <x:c r="A11" s="2064" t="str">
        <x:v>P1</x:v>
      </x:c>
      <x:c r="B11" s="60" t="str">
        <x:v>Today/Now</x:v>
      </x:c>
      <x:c r="C11" s="1880" t="str">
        <x:v>The main screen answers 'what now?' before it shows analytics.</x:v>
      </x:c>
      <x:c r="D11" s="1962" t="str">
        <x:v>Current Cockpit is metric-heavy and exposes trajectory/charts before it has a single prioritized action model.</x:v>
      </x:c>
      <x:c r="E11" s="60" t="str">
        <x:v>Top section: 1 attention item, up to 3 required tasks, missing measurements, blocker, next trigger; metrics move below.</x:v>
      </x:c>
      <x:c r="F11" s="60" t="str">
        <x:v>Guided user sees no more than 3 required tasks at once and a persistent blocker if present.</x:v>
      </x:c>
      <x:c r="G11" s="60" t="str">
        <x:v>Current qa-desktop/mobile screenshots</x:v>
      </x:c>
      <x:c r="H11" s="60" t="str">
        <x:v>APP P1</x:v>
      </x:c>
    </x:row>
    <x:row r="12" ht="54" customHeight="1">
      <x:c r="A12" s="2064" t="str">
        <x:v>P1</x:v>
      </x:c>
      <x:c r="B12" s="60" t="str">
        <x:v>Typography/accessibility</x:v>
      </x:c>
      <x:c r="C12" s="1880" t="str">
        <x:v>All text and controls are comfortably readable on phone and desktop.</x:v>
      </x:c>
      <x:c r="D12" s="1962" t="str">
        <x:v>Current CSS contains many 7-9px labels despite the product's WCAG 2.2 AA goal.</x:v>
      </x:c>
      <x:c r="E12" s="60" t="str">
        <x:v>Visible text &gt;=11px, body 13-16px, touch targets &gt;=44px, zoom/reflow checks, real screen-reader review.</x:v>
      </x:c>
      <x:c r="F12" s="60" t="str">
        <x:v>No visible 7-9px text in production UI; manual 200% zoom and keyboard pass.</x:v>
      </x:c>
      <x:c r="G12" s="60" t="str">
        <x:v>src/styles.css; docs/ACCESSIBILITY_AND_TESTING.md</x:v>
      </x:c>
      <x:c r="H12" s="60" t="str">
        <x:v>APP P1</x:v>
      </x:c>
    </x:row>
    <x:row r="13" ht="54" customHeight="1">
      <x:c r="A13" s="2064" t="str">
        <x:v>P1</x:v>
      </x:c>
      <x:c r="B13" s="60" t="str">
        <x:v>Context help</x:v>
      </x:c>
      <x:c r="C13" s="1880" t="str">
        <x:v>Every technical term is understandable where it appears.</x:v>
      </x:c>
      <x:c r="D13" s="1962" t="str">
        <x:v>HELP exists per route, but definitions such as VPD/DLI/Drain-EC are not consistently inline and hover-only patterns would be unsafe.</x:v>
      </x:c>
      <x:c r="E13" s="60" t="str">
        <x:v>Context wiki entries with one-line, beginner, operational, technical, formula, mistakes, evidence; tap/focus/hover preview.</x:v>
      </x:c>
      <x:c r="F13" s="60" t="str">
        <x:v>Critical meaning remains inline in Guided; Expert can collapse but never deletes scope/provenance.</x:v>
      </x:c>
      <x:c r="G13" s="60" t="str">
        <x:v>HELP object; prior UX research</x:v>
      </x:c>
      <x:c r="H13" s="60" t="str">
        <x:v>XLSX GLOSSARY v9 / APP P1</x:v>
      </x:c>
    </x:row>
    <x:row r="14" ht="54" customHeight="1">
      <x:c r="A14" s="2064" t="str">
        <x:v>P1</x:v>
      </x:c>
      <x:c r="B14" s="60" t="str">
        <x:v>Actual vs plan</x:v>
      </x:c>
      <x:c r="C14" s="1880" t="str">
        <x:v>The system records what actually happened separately from what was planned.</x:v>
      </x:c>
      <x:c r="D14" s="1962" t="str">
        <x:v>Daily Master is strong on targets; app has no persistent run log and workbook logging is not a canonical event stream.</x:v>
      </x:c>
      <x:c r="E14" s="60" t="str">
        <x:v>Event log with Measurement, Watering, FeedBatch, Observation, Photo, Task, Override; corrections supersede rather than overwrite.</x:v>
      </x:c>
      <x:c r="F14" s="60" t="str">
        <x:v>Every action can be traced from plan -&gt; actual event -&gt; observation -&gt; retrospective.</x:v>
      </x:c>
      <x:c r="G14" s="60" t="str">
        <x:v>docs/MIGRATION.md; workbook Daily Log</x:v>
      </x:c>
      <x:c r="H14" s="60" t="str">
        <x:v>APP P1</x:v>
      </x:c>
    </x:row>
    <x:row r="15" ht="54" customHeight="1">
      <x:c r="A15" s="2064" t="str">
        <x:v>P1</x:v>
      </x:c>
      <x:c r="B15" s="60" t="str">
        <x:v>Setup readiness</x:v>
      </x:c>
      <x:c r="C15" s="1880" t="str">
        <x:v>Unknowns are explicit, allowed and actionable.</x:v>
      </x:c>
      <x:c r="D15" s="1962" t="str">
        <x:v>Setup facts are scattered across Run Config, inventory and notes; missing values are easy to miss.</x:v>
      </x:c>
      <x:c r="E15" s="60" t="str">
        <x:v>Pre-Setup wizard with Complete / Unknown / Warning / Blocker; immutable RunConfigurationSnapshot at activation.</x:v>
      </x:c>
      <x:c r="F15" s="60" t="str">
        <x:v>Run cannot activate with hard blocker; noncritical unknown remains visible.</x:v>
      </x:c>
      <x:c r="G15" s="60" t="str">
        <x:v>01_Run_Config; planned domain model</x:v>
      </x:c>
      <x:c r="H15" s="60" t="str">
        <x:v>APP P1</x:v>
      </x:c>
    </x:row>
    <x:row r="16" ht="54" customHeight="1">
      <x:c r="A16" s="2064" t="str">
        <x:v>P1</x:v>
      </x:c>
      <x:c r="B16" s="60" t="str">
        <x:v>PDF usability</x:v>
      </x:c>
      <x:c r="C16" s="1880" t="str">
        <x:v>PDF works as an operator guide, not only a printed database.</x:v>
      </x:c>
      <x:c r="D16" s="1962" t="str">
        <x:v>231-page v8 PDF front matter is thin; detailed daily pages start immediately and context is easily lost.</x:v>
      </x:c>
      <x:c r="E16" s="60" t="str">
        <x:v>Add operator front matter, visual flow, feed map, state legend, app/UX plan and a corrected TOC; detailed v8 pages become appendix.</x:v>
      </x:c>
      <x:c r="F16" s="60" t="str">
        <x:v>First 10 pages answer setup, today, mix, feed, evidence and navigation.</x:v>
      </x:c>
      <x:c r="G16" s="60" t="str">
        <x:v>v8 PDF review</x:v>
      </x:c>
      <x:c r="H16" s="60" t="str">
        <x:v>FIXED PDF v9</x:v>
      </x:c>
    </x:row>
    <x:row r="17" ht="54" customHeight="1">
      <x:c r="A17" s="2064" t="str">
        <x:v>P1</x:v>
      </x:c>
      <x:c r="B17" s="60" t="str">
        <x:v>Workbook usability</x:v>
      </x:c>
      <x:c r="C17" s="1880" t="str">
        <x:v>Workbook has one obvious starting surface.</x:v>
      </x:c>
      <x:c r="D17" s="1962" t="str">
        <x:v>Tab names alone require prior knowledge; README is deep in the workbook.</x:v>
      </x:c>
      <x:c r="E17" s="60" t="str">
        <x:v>Transform 00_Dashboard into Start Here, add GOAL/PROBLEM, App UX Plan, Feed Schema, Glossary and Release Gates sheets.</x:v>
      </x:c>
      <x:c r="F17" s="60" t="str">
        <x:v>User can operate from Dashboard -&gt; Setup -&gt; Daily -&gt; Mix -&gt; Log without reading every sheet.</x:v>
      </x:c>
      <x:c r="G17" s="60" t="str">
        <x:v>v8 workbook review</x:v>
      </x:c>
      <x:c r="H17" s="60" t="str">
        <x:v>FIXED XLSX v9</x:v>
      </x:c>
    </x:row>
    <x:row r="18" ht="54" customHeight="1">
      <x:c r="A18" s="2338" t="str">
        <x:v>P2</x:v>
      </x:c>
      <x:c r="B18" s="60" t="str">
        <x:v>Data lineage</x:v>
      </x:c>
      <x:c r="C18" s="1880" t="str">
        <x:v>Every measurement carries origin and transformation history.</x:v>
      </x:c>
      <x:c r="D18" s="1962" t="str">
        <x:v>Current product spec distinguishes data states but not full metrology lineage.</x:v>
      </x:c>
      <x:c r="E18" s="60" t="str">
        <x:v>Add source, method, timestamp, unit, precision, device, calibration, transform/formula version, supersession.</x:v>
      </x:c>
      <x:c r="F18" s="60" t="str">
        <x:v>Derived values are reproducible from stored inputs/version.</x:v>
      </x:c>
      <x:c r="G18" s="60" t="str">
        <x:v>system gap analysis</x:v>
      </x:c>
      <x:c r="H18" s="60" t="str">
        <x:v>APP P2</x:v>
      </x:c>
    </x:row>
    <x:row r="19" ht="54" customHeight="1">
      <x:c r="A19" s="2338" t="str">
        <x:v>P2</x:v>
      </x:c>
      <x:c r="B19" s="60" t="str">
        <x:v>Failure UX</x:v>
      </x:c>
      <x:c r="C19" s="1880" t="str">
        <x:v>The system explains why it cannot decide.</x:v>
      </x:c>
      <x:c r="D19" s="1962" t="str">
        <x:v>A blocked/unknown state can look like a missing feature rather than an intentional safety result.</x:v>
      </x:c>
      <x:c r="E19" s="60" t="str">
        <x:v>Dedicated failure states: what is missing, why it matters, how to resolve, safe fallback, retry.</x:v>
      </x:c>
      <x:c r="F19" s="60" t="str">
        <x:v>No empty state without reason/action.</x:v>
      </x:c>
      <x:c r="G19" s="60" t="str">
        <x:v>safety engineering backlog</x:v>
      </x:c>
      <x:c r="H19" s="60" t="str">
        <x:v>APP P2</x:v>
      </x:c>
    </x:row>
    <x:row r="20" ht="54" customHeight="1">
      <x:c r="A20" s="2338" t="str">
        <x:v>P2</x:v>
      </x:c>
      <x:c r="B20" s="60" t="str">
        <x:v>Persistence/recovery</x:v>
      </x:c>
      <x:c r="C20" s="1880" t="str">
        <x:v>Run history survives browser/device failure and schema upgrades.</x:v>
      </x:c>
      <x:c r="D20" s="1962" t="str">
        <x:v>Current app only persists lens/day/theme in localStorage; no run repository, backup or migrations.</x:v>
      </x:c>
      <x:c r="E20" s="60" t="str">
        <x:v>Versioned local repository, migrations, export/import archive, restore test, later optional encrypted sync.</x:v>
      </x:c>
      <x:c r="F20" s="60" t="str">
        <x:v>Recovery drill restores a run and event history on a clean profile.</x:v>
      </x:c>
      <x:c r="G20" s="60" t="str">
        <x:v>docs/ARCHITECTURE.md; docs/SECURITY.md</x:v>
      </x:c>
      <x:c r="H20" s="60" t="str">
        <x:v>APP P2</x:v>
      </x:c>
    </x:row>
    <x:row r="21" ht="54" customHeight="1">
      <x:c r="A21" s="2338" t="str">
        <x:v>P2</x:v>
      </x:c>
      <x:c r="B21" s="60" t="str">
        <x:v>Learning/comparison</x:v>
      </x:c>
      <x:c r="C21" s="1880" t="str">
        <x:v>History informs the user without claiming causation.</x:v>
      </x:c>
      <x:c r="D21" s="1962" t="str">
        <x:v>No structured retrospective, personal baseline or experiment ledger exists.</x:v>
      </x:c>
      <x:c r="E21" s="60" t="str">
        <x:v>Run retrospective, saved comparisons, personal medians/deviations, experiment hypothesis/control/variable/result.</x:v>
      </x:c>
      <x:c r="F21" s="60" t="str">
        <x:v>UI labels association != causation; low-n data never auto-optimizes targets.</x:v>
      </x:c>
      <x:c r="G21" s="60" t="str">
        <x:v>long-term roadmap</x:v>
      </x:c>
      <x:c r="H21" s="60" t="str">
        <x:v>APP P2</x:v>
      </x:c>
    </x:row>
    <x:row r="22" ht="54" customHeight="1">
      <x:c r="A22" s="2338" t="str">
        <x:v>P3</x:v>
      </x:c>
      <x:c r="B22" s="60" t="str">
        <x:v>Sensors</x:v>
      </x:c>
      <x:c r="C22" s="1880" t="str">
        <x:v>Sensor data enters through a normalized trust layer.</x:v>
      </x:c>
      <x:c r="D22" s="1962" t="str">
        <x:v>No live gateway exists; future sensors could be mistaken for authoritative live truth.</x:v>
      </x:c>
      <x:c r="E22" s="60" t="str">
        <x:v>Provider -&gt; adapter -&gt; normalization -&gt; measurement event -&gt; trust/calibration state.</x:v>
      </x:c>
      <x:c r="F22" s="60" t="str">
        <x:v>Every sensor value carries VALID/STALE/UNVERIFIED/CALIBRATION_DUE/OUTLIER/etc.</x:v>
      </x:c>
      <x:c r="G22" s="60" t="str">
        <x:v>capability roadmap</x:v>
      </x:c>
      <x:c r="H22" s="60" t="str">
        <x:v>APP P3</x:v>
      </x:c>
    </x:row>
    <x:row r="23" ht="54" customHeight="1">
      <x:c r="A23" s="2338" t="str">
        <x:v>P4</x:v>
      </x:c>
      <x:c r="B23" s="60" t="str">
        <x:v>Automation</x:v>
      </x:c>
      <x:c r="C23" s="1880" t="str">
        <x:v>Automation is reversible, acknowledged and verified.</x:v>
      </x:c>
      <x:c r="D23" s="1962" t="str">
        <x:v>Direct device control would create high-risk silent actions if added too early.</x:v>
      </x:c>
      <x:c r="E23" s="60" t="str">
        <x:v>REQUESTED -&gt; VALIDATED -&gt; USER CONFIRMED -&gt; SENT -&gt; ACKNOWLEDGED -&gt; VERIFIED; safe states for failure.</x:v>
      </x:c>
      <x:c r="F23" s="60" t="str">
        <x:v>No automatic dosing in initial automation release.</x:v>
      </x:c>
      <x:c r="G23" s="60" t="str">
        <x:v>automation safety plan</x:v>
      </x:c>
      <x:c r="H23" s="60" t="str">
        <x:v>APP P4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38" hidden="0" customWidth="1"/>
  </x:cols>
  <x:sheetData>
    <x:row r="1">
      <x:c r="A1" s="2348" t="str">
        <x:v>Route / Feature</x:v>
      </x:c>
      <x:c r="B1" s="2348" t="str">
        <x:v>Current source truth</x:v>
      </x:c>
      <x:c r="C1" s="2348" t="str">
        <x:v>/GOAL</x:v>
      </x:c>
      <x:c r="D1" s="2348" t="str">
        <x:v>/PROBLEM</x:v>
      </x:c>
      <x:c r="E1" s="2348" t="str">
        <x:v>Guided</x:v>
      </x:c>
      <x:c r="F1" s="2348" t="str">
        <x:v>Advanced</x:v>
      </x:c>
      <x:c r="G1" s="2348" t="str">
        <x:v>Expert</x:v>
      </x:c>
      <x:c r="H1" s="2348" t="str">
        <x:v>Primary CTA</x:v>
      </x:c>
      <x:c r="I1" s="2348" t="str">
        <x:v>Implementation</x:v>
      </x:c>
      <x:c r="J1" s="2348" t="str">
        <x:v>Acceptance</x:v>
      </x:c>
    </x:row>
    <x:row r="2" ht="50" customHeight="1">
      <x:c r="A2" s="60" t="str">
        <x:v>Cockpit</x:v>
      </x:c>
      <x:c r="B2" s="60" t="str">
        <x:v>Implemented route</x:v>
      </x:c>
      <x:c r="C2" s="60" t="str">
        <x:v>One prioritized operating overview.</x:v>
      </x:c>
      <x:c r="D2" s="60" t="str">
        <x:v>Metrics and panels compete with the next action.</x:v>
      </x:c>
      <x:c r="E2" s="60" t="str">
        <x:v>VISIBLE</x:v>
      </x:c>
      <x:c r="F2" s="60" t="str">
        <x:v>VISIBLE</x:v>
      </x:c>
      <x:c r="G2" s="60" t="str">
        <x:v>VISIBLE</x:v>
      </x:c>
      <x:c r="H2" s="60" t="str">
        <x:v>Heute prüfen</x:v>
      </x:c>
      <x:c r="I2" s="60" t="str">
        <x:v>REDESIGN P1</x:v>
      </x:c>
      <x:c r="J2" s="60" t="str">
        <x:v>Top: attention + max 3 tasks + blocker; analytics below.</x:v>
      </x:c>
    </x:row>
    <x:row r="3" ht="50" customHeight="1">
      <x:c r="A3" s="60" t="str">
        <x:v>Heute</x:v>
      </x:c>
      <x:c r="B3" s="60" t="str">
        <x:v>Implemented route</x:v>
      </x:c>
      <x:c r="C3" s="60" t="str">
        <x:v>Complete but action-first daily card.</x:v>
      </x:c>
      <x:c r="D3" s="60" t="str">
        <x:v>Dense data can become a table reading exercise.</x:v>
      </x:c>
      <x:c r="E3" s="60" t="str">
        <x:v>VISIBLE</x:v>
      </x:c>
      <x:c r="F3" s="60" t="str">
        <x:v>VISIBLE</x:v>
      </x:c>
      <x:c r="G3" s="60" t="str">
        <x:v>VISIBLE</x:v>
      </x:c>
      <x:c r="H3" s="60" t="str">
        <x:v>Messen / Aufgabe abschließen</x:v>
      </x:c>
      <x:c r="I3" s="60" t="str">
        <x:v>REDESIGN P1</x:v>
      </x:c>
      <x:c r="J3" s="60" t="str">
        <x:v>Must / Measure / Observe / Optional sections; provenance on demand.</x:v>
      </x:c>
    </x:row>
    <x:row r="4" ht="50" customHeight="1">
      <x:c r="A4" s="60" t="str">
        <x:v>Setup</x:v>
      </x:c>
      <x:c r="B4" s="60" t="str">
        <x:v>NOT a current route</x:v>
      </x:c>
      <x:c r="C4" s="60" t="str">
        <x:v>Collect known/unknown setup facts before activation.</x:v>
      </x:c>
      <x:c r="D4" s="60" t="str">
        <x:v>Proposal assumes Setup exists; current app only has workbook Run Config/raw snapshot.</x:v>
      </x:c>
      <x:c r="E4" s="60" t="str">
        <x:v>VISIBLE</x:v>
      </x:c>
      <x:c r="F4" s="60" t="str">
        <x:v>VISIBLE</x:v>
      </x:c>
      <x:c r="G4" s="60" t="str">
        <x:v>VISIBLE</x:v>
      </x:c>
      <x:c r="H4" s="60" t="str">
        <x:v>Run aktivieren</x:v>
      </x:c>
      <x:c r="I4" s="60" t="str">
        <x:v>NEW P1</x:v>
      </x:c>
      <x:c r="J4" s="60" t="str">
        <x:v>Wizard + readiness + immutable RunConfigurationSnapshot.</x:v>
      </x:c>
    </x:row>
    <x:row r="5" ht="50" customHeight="1">
      <x:c r="A5" s="60" t="str">
        <x:v>Mischlabor</x:v>
      </x:c>
      <x:c r="B5" s="60" t="str">
        <x:v>Implemented route</x:v>
      </x:c>
      <x:c r="C5" s="60" t="str">
        <x:v>Resolve only today's safe active stack.</x:v>
      </x:c>
      <x:c r="D5" s="60" t="str">
        <x:v>Reference products and experimental modules can distract from operative mix.</x:v>
      </x:c>
      <x:c r="E5" s="60" t="str">
        <x:v>VISIBLE</x:v>
      </x:c>
      <x:c r="F5" s="60" t="str">
        <x:v>VISIBLE</x:v>
      </x:c>
      <x:c r="G5" s="60" t="str">
        <x:v>VISIBLE</x:v>
      </x:c>
      <x:c r="H5" s="60" t="str">
        <x:v>Batch berechnen</x:v>
      </x:c>
      <x:c r="I5" s="60" t="str">
        <x:v>REDESIGN P1</x:v>
      </x:c>
      <x:c r="J5" s="60" t="str">
        <x:v>Only resolved active/conditional/blocked items; source and sequence visible.</x:v>
      </x:c>
    </x:row>
    <x:row r="6" ht="50" customHeight="1">
      <x:c r="A6" s="60" t="str">
        <x:v>Log / Journal</x:v>
      </x:c>
      <x:c r="B6" s="60" t="str">
        <x:v>NOT a current route</x:v>
      </x:c>
      <x:c r="C6" s="60" t="str">
        <x:v>Capture what actually happened.</x:v>
      </x:c>
      <x:c r="D6" s="60" t="str">
        <x:v>Proposal assumes Log exists; current app has no persistent run event log.</x:v>
      </x:c>
      <x:c r="E6" s="60" t="str">
        <x:v>VISIBLE</x:v>
      </x:c>
      <x:c r="F6" s="60" t="str">
        <x:v>VISIBLE</x:v>
      </x:c>
      <x:c r="G6" s="60" t="str">
        <x:v>VISIBLE</x:v>
      </x:c>
      <x:c r="H6" s="60" t="str">
        <x:v>Ereignis erfassen</x:v>
      </x:c>
      <x:c r="I6" s="60" t="str">
        <x:v>NEW P1</x:v>
      </x:c>
      <x:c r="J6" s="60" t="str">
        <x:v>Fast actions: measurement/photo/watering/feed/observation/task; versioned storage.</x:v>
      </x:c>
    </x:row>
    <x:row r="7" ht="50" customHeight="1">
      <x:c r="A7" s="60" t="str">
        <x:v>Zeitachse</x:v>
      </x:c>
      <x:c r="B7" s="60" t="str">
        <x:v>Implemented route</x:v>
      </x:c>
      <x:c r="C7" s="60" t="str">
        <x:v>Show phase, triggers, next transition and deviations.</x:v>
      </x:c>
      <x:c r="D7" s="60" t="str">
        <x:v>81-day detail can be overwhelming in Guided.</x:v>
      </x:c>
      <x:c r="E7" s="60" t="str">
        <x:v>VISIBLE</x:v>
      </x:c>
      <x:c r="F7" s="60" t="str">
        <x:v>VISIBLE</x:v>
      </x:c>
      <x:c r="G7" s="60" t="str">
        <x:v>VISIBLE</x:v>
      </x:c>
      <x:c r="H7" s="60" t="str">
        <x:v>Nächsten Trigger prüfen</x:v>
      </x:c>
      <x:c r="I7" s="60" t="str">
        <x:v>REDESIGN P1</x:v>
      </x:c>
      <x:c r="J7" s="60" t="str">
        <x:v>Guided phase bands + +/-3 days; Advanced full 81 days; Expert raw trace.</x:v>
      </x:c>
    </x:row>
    <x:row r="8" ht="50" customHeight="1">
      <x:c r="A8" s="60" t="str">
        <x:v>Klima &amp; Licht</x:v>
      </x:c>
      <x:c r="B8" s="60" t="str">
        <x:v>Implemented route</x:v>
      </x:c>
      <x:c r="C8" s="60" t="str">
        <x:v>Explain targets vs measured trends.</x:v>
      </x:c>
      <x:c r="D8" s="60" t="str">
        <x:v>Currently plan-centric; no real measured stream.</x:v>
      </x:c>
      <x:c r="E8" s="60" t="str">
        <x:v>MORE</x:v>
      </x:c>
      <x:c r="F8" s="60" t="str">
        <x:v>VISIBLE</x:v>
      </x:c>
      <x:c r="G8" s="60" t="str">
        <x:v>VISIBLE</x:v>
      </x:c>
      <x:c r="H8" s="60" t="str">
        <x:v>Messung hinzufügen</x:v>
      </x:c>
      <x:c r="I8" s="60" t="str">
        <x:v>P2 DATA</x:v>
      </x:c>
      <x:c r="J8" s="60" t="str">
        <x:v>Never label simulated/target values as live.</x:v>
      </x:c>
    </x:row>
    <x:row r="9" ht="50" customHeight="1">
      <x:c r="A9" s="60" t="str">
        <x:v>Nährstoffsystem</x:v>
      </x:c>
      <x:c r="B9" s="60" t="str">
        <x:v>Implemented route</x:v>
      </x:c>
      <x:c r="C9" s="60" t="str">
        <x:v>Explain canonical stack and alternatives.</x:v>
      </x:c>
      <x:c r="D9" s="60" t="str">
        <x:v>Can look like a shopping/catalog view rather than a resolved system.</x:v>
      </x:c>
      <x:c r="E9" s="60" t="str">
        <x:v>MORE</x:v>
      </x:c>
      <x:c r="F9" s="60" t="str">
        <x:v>VISIBLE</x:v>
      </x:c>
      <x:c r="G9" s="60" t="str">
        <x:v>VISIBLE</x:v>
      </x:c>
      <x:c r="H9" s="60" t="str">
        <x:v>Stack erklären</x:v>
      </x:c>
      <x:c r="I9" s="60" t="str">
        <x:v>P1</x:v>
      </x:c>
      <x:c r="J9" s="60" t="str">
        <x:v>Show core / conditional / alternative / experimental / blocked.</x:v>
      </x:c>
    </x:row>
    <x:row r="10" ht="50" customHeight="1">
      <x:c r="A10" s="60" t="str">
        <x:v>Produkte</x:v>
      </x:c>
      <x:c r="B10" s="60" t="str">
        <x:v>Implemented route</x:v>
      </x:c>
      <x:c r="C10" s="60" t="str">
        <x:v>Reference catalog with provenance.</x:v>
      </x:c>
      <x:c r="D10" s="60" t="str">
        <x:v>Not needed for every Guided task.</x:v>
      </x:c>
      <x:c r="E10" s="60" t="str">
        <x:v>MORE</x:v>
      </x:c>
      <x:c r="F10" s="60" t="str">
        <x:v>VISIBLE</x:v>
      </x:c>
      <x:c r="G10" s="60" t="str">
        <x:v>VISIBLE</x:v>
      </x:c>
      <x:c r="H10" s="60" t="str">
        <x:v>Produkt nachschlagen</x:v>
      </x:c>
      <x:c r="I10" s="60" t="str">
        <x:v>KEEP</x:v>
      </x:c>
      <x:c r="J10" s="60" t="str">
        <x:v>Guided entry via context links, not primary nav.</x:v>
      </x:c>
    </x:row>
    <x:row r="11" ht="50" customHeight="1">
      <x:c r="A11" s="60" t="str">
        <x:v>Kompatibilität</x:v>
      </x:c>
      <x:c r="B11" s="60" t="str">
        <x:v>Implemented route</x:v>
      </x:c>
      <x:c r="C11" s="60" t="str">
        <x:v>Explain conflicts and replacements.</x:v>
      </x:c>
      <x:c r="D11" s="60" t="str">
        <x:v>Matrix is expert-heavy.</x:v>
      </x:c>
      <x:c r="E11" s="60" t="str">
        <x:v>MORE</x:v>
      </x:c>
      <x:c r="F11" s="60" t="str">
        <x:v>VISIBLE</x:v>
      </x:c>
      <x:c r="G11" s="60" t="str">
        <x:v>VISIBLE</x:v>
      </x:c>
      <x:c r="H11" s="60" t="str">
        <x:v>Konflikt prüfen</x:v>
      </x:c>
      <x:c r="I11" s="60" t="str">
        <x:v>KEEP</x:v>
      </x:c>
      <x:c r="J11" s="60" t="str">
        <x:v>Action links from Mix/Today.</x:v>
      </x:c>
    </x:row>
    <x:row r="12" ht="50" customHeight="1">
      <x:c r="A12" s="60" t="str">
        <x:v>Diagnose</x:v>
      </x:c>
      <x:c r="B12" s="60" t="str">
        <x:v>Implemented route</x:v>
      </x:c>
      <x:c r="C12" s="60" t="str">
        <x:v>Measurement-first triage.</x:v>
      </x:c>
      <x:c r="D12" s="60" t="str">
        <x:v>Risk of symptom guessing without measurements.</x:v>
      </x:c>
      <x:c r="E12" s="60" t="str">
        <x:v>MORE</x:v>
      </x:c>
      <x:c r="F12" s="60" t="str">
        <x:v>VISIBLE</x:v>
      </x:c>
      <x:c r="G12" s="60" t="str">
        <x:v>VISIBLE</x:v>
      </x:c>
      <x:c r="H12" s="60" t="str">
        <x:v>Messung erfassen</x:v>
      </x:c>
      <x:c r="I12" s="60" t="str">
        <x:v>P1/P2</x:v>
      </x:c>
      <x:c r="J12" s="60" t="str">
        <x:v>No diagnosis-as-fact; confidence, missing inputs and safe action.</x:v>
      </x:c>
    </x:row>
    <x:row r="13" ht="50" customHeight="1">
      <x:c r="A13" s="60" t="str">
        <x:v>Wissen &amp; Quellen</x:v>
      </x:c>
      <x:c r="B13" s="60" t="str">
        <x:v>Implemented route</x:v>
      </x:c>
      <x:c r="C13" s="60" t="str">
        <x:v>Context wiki and evidence drill-down.</x:v>
      </x:c>
      <x:c r="D13" s="60" t="str">
        <x:v>Current HELP is route-level, not concept-level.</x:v>
      </x:c>
      <x:c r="E13" s="60" t="str">
        <x:v>MORE</x:v>
      </x:c>
      <x:c r="F13" s="60" t="str">
        <x:v>VISIBLE</x:v>
      </x:c>
      <x:c r="G13" s="60" t="str">
        <x:v>VISIBLE</x:v>
      </x:c>
      <x:c r="H13" s="60" t="str">
        <x:v>Warum? öffnen</x:v>
      </x:c>
      <x:c r="I13" s="60" t="str">
        <x:v>P1</x:v>
      </x:c>
      <x:c r="J13" s="60" t="str">
        <x:v>Term pages + source scope + uncertainty + related concepts.</x:v>
      </x:c>
    </x:row>
    <x:row r="14" ht="50" customHeight="1">
      <x:c r="A14" s="60" t="str">
        <x:v>Audit Center</x:v>
      </x:c>
      <x:c r="B14" s="60" t="str">
        <x:v>Implemented route</x:v>
      </x:c>
      <x:c r="C14" s="60" t="str">
        <x:v>Expose corrections and unresolved risks.</x:v>
      </x:c>
      <x:c r="D14" s="60" t="str">
        <x:v>Too much for daily Guided operation.</x:v>
      </x:c>
      <x:c r="E14" s="60" t="str">
        <x:v>MORE</x:v>
      </x:c>
      <x:c r="F14" s="60" t="str">
        <x:v>VISIBLE</x:v>
      </x:c>
      <x:c r="G14" s="60" t="str">
        <x:v>VISIBLE</x:v>
      </x:c>
      <x:c r="H14" s="60" t="str">
        <x:v>Finding öffnen</x:v>
      </x:c>
      <x:c r="I14" s="60" t="str">
        <x:v>KEEP</x:v>
      </x:c>
      <x:c r="J14" s="60" t="str">
        <x:v>Persistent critical audit badge; deep details out of Guided primary nav.</x:v>
      </x:c>
    </x:row>
    <x:row r="15" ht="50" customHeight="1">
      <x:c r="A15" s="60" t="str">
        <x:v>Rohdaten</x:v>
      </x:c>
      <x:c r="B15" s="60" t="str">
        <x:v>Implemented route</x:v>
      </x:c>
      <x:c r="C15" s="60" t="str">
        <x:v>Full transparent source/formula view.</x:v>
      </x:c>
      <x:c r="D15" s="60" t="str">
        <x:v>Only useful for advanced auditing.</x:v>
      </x:c>
      <x:c r="E15" s="60" t="str">
        <x:v>MORE</x:v>
      </x:c>
      <x:c r="F15" s="60" t="str">
        <x:v>MORE</x:v>
      </x:c>
      <x:c r="G15" s="60" t="str">
        <x:v>VISIBLE</x:v>
      </x:c>
      <x:c r="H15" s="60" t="str">
        <x:v>Quelle / Formel öffnen</x:v>
      </x:c>
      <x:c r="I15" s="60" t="str">
        <x:v>KEEP</x:v>
      </x:c>
      <x:c r="J15" s="60" t="str">
        <x:v>Expert-only primary nav, still reachable through source links.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48" t="str">
        <x:v>SOURCE CORRECTIONS TO THE PROPOSED REDESIGN</x:v>
      </x:c>
      <x:c r="B18" s="2348"/>
      <x:c r="C18" s="2348"/>
      <x:c r="D18" s="2348"/>
      <x:c r="E18" s="2348"/>
      <x:c r="F18" s="2348"/>
      <x:c r="G18" s="2348"/>
      <x:c r="H18" s="2348"/>
      <x:c r="I18" s="2348"/>
      <x:c r="J18" s="2348"/>
    </x:row>
    <x:row r="19">
      <x:c r="A19" s="1962" t="str">
        <x:v>Navigation count</x:v>
      </x:c>
      <x:c r="B19" s="60" t="str">
        <x:v>Current App.tsx NAV contains 12 routes, not 21.</x:v>
      </x:c>
      <x:c r="C19" s="60" t="str">
        <x:v>Do not design around an invented route count.</x:v>
      </x:c>
      <x:c r="D19" s="60" t="str">
        <x:v>Use actual 12; target becomes 14 after real Setup + Log are implemented.</x:v>
      </x:c>
      <x:c r="E19" s="60"/>
      <x:c r="F19" s="60"/>
      <x:c r="G19" s="60"/>
      <x:c r="H19" s="60"/>
      <x:c r="I19" s="60"/>
      <x:c r="J19" s="60"/>
    </x:row>
    <x:row r="20">
      <x:c r="A20" s="1962" t="str">
        <x:v>Guided core</x:v>
      </x:c>
      <x:c r="B20" s="60" t="str">
        <x:v>Proposed six core views include Setup and Log.</x:v>
      </x:c>
      <x:c r="C20" s="60" t="str">
        <x:v>Both are absent as current routes.</x:v>
      </x:c>
      <x:c r="D20" s="60" t="str">
        <x:v>Implement workflows first; only then expose them as Guided core.</x:v>
      </x:c>
      <x:c r="E20" s="60"/>
      <x:c r="F20" s="60"/>
      <x:c r="G20" s="60"/>
      <x:c r="H20" s="60"/>
      <x:c r="I20" s="60"/>
      <x:c r="J20" s="60"/>
    </x:row>
    <x:row r="21">
      <x:c r="A21" s="1962" t="str">
        <x:v>Sidebar version</x:v>
      </x:c>
      <x:c r="B21" s="60" t="str">
        <x:v>Current source hardcodes v6 / 08.08.2026 / 27 sheets.</x:v>
      </x:c>
      <x:c r="C21" s="60" t="str">
        <x:v>Workbook/PDF are already newer.</x:v>
      </x:c>
      <x:c r="D21" s="60" t="str">
        <x:v>Read version/date/count from a release manifest; never hardcode.</x:v>
      </x:c>
      <x:c r="E21" s="60"/>
      <x:c r="F21" s="60"/>
      <x:c r="G21" s="60"/>
      <x:c r="H21" s="60"/>
      <x:c r="I21" s="60"/>
      <x:c r="J21" s="60"/>
    </x:row>
    <x:row r="22">
      <x:c r="A22" s="1962" t="str">
        <x:v>Daily column description</x:v>
      </x:c>
      <x:c r="B22" s="60" t="str">
        <x:v>HELP text says 45 Daily columns.</x:v>
      </x:c>
      <x:c r="C22" s="60" t="str">
        <x:v>v8 Daily Master has 60 columns.</x:v>
      </x:c>
      <x:c r="D22" s="60" t="str">
        <x:v>App schema/help must be generated from current manifest/DAILY_COLUMNS contract.</x:v>
      </x:c>
      <x:c r="E22" s="60"/>
      <x:c r="F22" s="60"/>
      <x:c r="G22" s="60"/>
      <x:c r="H22" s="60"/>
      <x:c r="I22" s="60"/>
      <x:c r="J22" s="60"/>
    </x:row>
    <x:row r="23">
      <x:c r="A23" s="1962" t="str">
        <x:v>Test count</x:v>
      </x:c>
      <x:c r="B23" s="60" t="str">
        <x:v>Do not hardcode '29 tests green' in UX plan.</x:v>
      </x:c>
      <x:c r="C23" s="60" t="str">
        <x:v>Actual suite composition can change.</x:v>
      </x:c>
      <x:c r="D23" s="60" t="str">
        <x:v>Acceptance criterion is all required CI gates green, with counts generated by CI.</x:v>
      </x:c>
      <x:c r="E23" s="60"/>
      <x:c r="F23" s="60"/>
      <x:c r="G23" s="60"/>
      <x:c r="H23" s="60"/>
      <x:c r="I23" s="60"/>
      <x:c r="J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>
      <x:c r="A25" s="2348" t="str">
        <x:v>IMPLEMENTATION PLAN · USER PROPOSAL + v9 EXTENSIONS</x:v>
      </x:c>
      <x:c r="B25" s="2348"/>
      <x:c r="C25" s="2348"/>
      <x:c r="D25" s="2348"/>
      <x:c r="E25" s="2348"/>
      <x:c r="F25" s="2348"/>
      <x:c r="G25" s="2348"/>
      <x:c r="H25" s="2348"/>
      <x:c r="I25" s="2348"/>
      <x:c r="J25" s="2348"/>
    </x:row>
    <x:row r="26">
      <x:c r="A26" s="60" t="str">
        <x:v>1</x:v>
      </x:c>
      <x:c r="B26" s="60" t="str">
        <x:v>Collapsible navigation groups</x:v>
      </x:c>
      <x:c r="C26" s="60" t="str">
        <x:v>P1</x:v>
      </x:c>
      <x:c r="D26" s="60" t="str">
        <x:v>Keep current 5 semantic groups but collapse inactive groups; Guided only 6 core routes + 'Alle Bereiche'.</x:v>
      </x:c>
      <x:c r="E26" s="60" t="str">
        <x:v>No route becomes inaccessible; active group auto-open.</x:v>
      </x:c>
      <x:c r="F26" s="60"/>
      <x:c r="G26" s="60"/>
      <x:c r="H26" s="60"/>
      <x:c r="I26" s="60"/>
      <x:c r="J26" s="60"/>
    </x:row>
    <x:row r="27">
      <x:c r="A27" s="60" t="str">
        <x:v>2</x:v>
      </x:c>
      <x:c r="B27" s="60" t="str">
        <x:v>Version/branding from manifest</x:v>
      </x:c>
      <x:c r="C27" s="60" t="str">
        <x:v>P0</x:v>
      </x:c>
      <x:c r="D27" s="60" t="str">
        <x:v>Replace hardcoded v6/date/sheet count with manifest fields.</x:v>
      </x:c>
      <x:c r="E27" s="60" t="str">
        <x:v>App, PDF, XLSX release identity identical.</x:v>
      </x:c>
      <x:c r="F27" s="60"/>
      <x:c r="G27" s="60"/>
      <x:c r="H27" s="60"/>
      <x:c r="I27" s="60"/>
      <x:c r="J27" s="60"/>
    </x:row>
    <x:row r="28">
      <x:c r="A28" s="60" t="str">
        <x:v>3</x:v>
      </x:c>
      <x:c r="B28" s="60" t="str">
        <x:v>Cockpit action hierarchy</x:v>
      </x:c>
      <x:c r="C28" s="60" t="str">
        <x:v>P1</x:v>
      </x:c>
      <x:c r="D28" s="60" t="str">
        <x:v>Welcome/phase/progress -&gt; attention -&gt; required tasks -&gt; missing measurements -&gt; blocker -&gt; metrics/charts.</x:v>
      </x:c>
      <x:c r="E28" s="60" t="str">
        <x:v>User identifies next action before scrolling.</x:v>
      </x:c>
      <x:c r="F28" s="60"/>
      <x:c r="G28" s="60"/>
      <x:c r="H28" s="60"/>
      <x:c r="I28" s="60"/>
      <x:c r="J28" s="60"/>
    </x:row>
    <x:row r="29">
      <x:c r="A29" s="60" t="str">
        <x:v>4</x:v>
      </x:c>
      <x:c r="B29" s="60" t="str">
        <x:v>Typography/touch</x:v>
      </x:c>
      <x:c r="C29" s="60" t="str">
        <x:v>P1</x:v>
      </x:c>
      <x:c r="D29" s="60" t="str">
        <x:v>Visible text &gt;=11px; body 13-16px; all interactive targets &gt;=44px.</x:v>
      </x:c>
      <x:c r="E29" s="60" t="str">
        <x:v>200% zoom, keyboard and mobile QA pass.</x:v>
      </x:c>
      <x:c r="F29" s="60"/>
      <x:c r="G29" s="60"/>
      <x:c r="H29" s="60"/>
      <x:c r="I29" s="60"/>
      <x:c r="J29" s="60"/>
    </x:row>
    <x:row r="30">
      <x:c r="A30" s="60" t="str">
        <x:v>5</x:v>
      </x:c>
      <x:c r="B30" s="60" t="str">
        <x:v>Guided mode 2.0</x:v>
      </x:c>
      <x:c r="C30" s="60" t="str">
        <x:v>P1</x:v>
      </x:c>
      <x:c r="D30" s="60" t="str">
        <x:v>Same calculations; reduced density, inline term definitions, one-action-at-a-time option, explain/block reasons.</x:v>
      </x:c>
      <x:c r="E30" s="60" t="str">
        <x:v>No scientific result differs between lenses.</x:v>
      </x:c>
      <x:c r="F30" s="60"/>
      <x:c r="G30" s="60"/>
      <x:c r="H30" s="60"/>
      <x:c r="I30" s="60"/>
      <x:c r="J30" s="60"/>
    </x:row>
    <x:row r="31">
      <x:c r="A31" s="60" t="str">
        <x:v>6</x:v>
      </x:c>
      <x:c r="B31" s="60" t="str">
        <x:v>Context-rich headers</x:v>
      </x:c>
      <x:c r="C31" s="60" t="str">
        <x:v>P1</x:v>
      </x:c>
      <x:c r="D31" s="60" t="str">
        <x:v>Breadcrumb + 2-3 sentence purpose + 'Was kann ich hier tun?' + next-step CTA.</x:v>
      </x:c>
      <x:c r="E31" s="60" t="str">
        <x:v>Every route has what/why/how/interpret and next step.</x:v>
      </x:c>
      <x:c r="F31" s="60"/>
      <x:c r="G31" s="60"/>
      <x:c r="H31" s="60"/>
      <x:c r="I31" s="60"/>
      <x:c r="J31" s="60"/>
    </x:row>
    <x:row r="32">
      <x:c r="A32" s="60" t="str">
        <x:v>7</x:v>
      </x:c>
      <x:c r="B32" s="60" t="str">
        <x:v>First-run onboarding</x:v>
      </x:c>
      <x:c r="C32" s="60" t="str">
        <x:v>P1</x:v>
      </x:c>
      <x:c r="D32" s="60" t="str">
        <x:v>Welcome -&gt; system idea -&gt; setup readiness -&gt; lens -&gt; demo option -&gt; activate run.</x:v>
      </x:c>
      <x:c r="E32" s="60" t="str">
        <x:v>Dismissible but restartable; not stored with sensitive data.</x:v>
      </x:c>
      <x:c r="F32" s="60"/>
      <x:c r="G32" s="60"/>
      <x:c r="H32" s="60"/>
      <x:c r="I32" s="60"/>
      <x:c r="J32" s="60"/>
    </x:row>
    <x:row r="33">
      <x:c r="A33" s="60" t="str">
        <x:v>8</x:v>
      </x:c>
      <x:c r="B33" s="60" t="str">
        <x:v>Semantic grouping/color</x:v>
      </x:c>
      <x:c r="C33" s="60" t="str">
        <x:v>P1</x:v>
      </x:c>
      <x:c r="D33" s="60" t="str">
        <x:v>Operator green, tools blue, library amber, evidence purple, system gray; text/icon always accompanies color.</x:v>
      </x:c>
      <x:c r="E33" s="60" t="str">
        <x:v>WCAG contrast and color-independent meaning.</x:v>
      </x:c>
      <x:c r="F33" s="60"/>
      <x:c r="G33" s="60"/>
      <x:c r="H33" s="60"/>
      <x:c r="I33" s="60"/>
      <x:c r="J33" s="60"/>
    </x:row>
    <x:row r="34">
      <x:c r="A34" s="60" t="str">
        <x:v>9</x:v>
      </x:c>
      <x:c r="B34" s="60" t="str">
        <x:v>Concept tooltip/wiki</x:v>
      </x:c>
      <x:c r="C34" s="60" t="str">
        <x:v>P1</x:v>
      </x:c>
      <x:c r="D34" s="60" t="str">
        <x:v>Tap/focus/hover preview + drill-down; critical meaning inline in Guided.</x:v>
      </x:c>
      <x:c r="E34" s="60" t="str">
        <x:v>No critical content hover-only.</x:v>
      </x:c>
      <x:c r="F34" s="60"/>
      <x:c r="G34" s="60"/>
      <x:c r="H34" s="60"/>
      <x:c r="I34" s="60"/>
      <x:c r="J34" s="60"/>
    </x:row>
    <x:row r="35">
      <x:c r="A35" s="60" t="str">
        <x:v>10</x:v>
      </x:c>
      <x:c r="B35" s="60" t="str">
        <x:v>Setup wizard</x:v>
      </x:c>
      <x:c r="C35" s="60" t="str">
        <x:v>P1</x:v>
      </x:c>
      <x:c r="D35" s="60" t="str">
        <x:v>Experience, units, space, lighting, propagation, root zone, water, nutrients, sensors, review.</x:v>
      </x:c>
      <x:c r="E35" s="60" t="str">
        <x:v>Known/unknown/warning/blocker summary before activation.</x:v>
      </x:c>
      <x:c r="F35" s="60"/>
      <x:c r="G35" s="60"/>
      <x:c r="H35" s="60"/>
      <x:c r="I35" s="60"/>
      <x:c r="J35" s="60"/>
    </x:row>
    <x:row r="36">
      <x:c r="A36" s="60" t="str">
        <x:v>11</x:v>
      </x:c>
      <x:c r="B36" s="60" t="str">
        <x:v>Today/Now 2.0</x:v>
      </x:c>
      <x:c r="C36" s="60" t="str">
        <x:v>P1</x:v>
      </x:c>
      <x:c r="D36" s="60" t="str">
        <x:v>1 attention, &lt;=3 required tasks, measurements, blockers, targets vs actual, observe list, next event.</x:v>
      </x:c>
      <x:c r="E36" s="60" t="str">
        <x:v>First action visible above fold on mobile.</x:v>
      </x:c>
      <x:c r="F36" s="60"/>
      <x:c r="G36" s="60"/>
      <x:c r="H36" s="60"/>
      <x:c r="I36" s="60"/>
      <x:c r="J36" s="60"/>
    </x:row>
    <x:row r="37">
      <x:c r="A37" s="60" t="str">
        <x:v>12</x:v>
      </x:c>
      <x:c r="B37" s="60" t="str">
        <x:v>Journal/event log</x:v>
      </x:c>
      <x:c r="C37" s="60" t="str">
        <x:v>P1</x:v>
      </x:c>
      <x:c r="D37" s="60" t="str">
        <x:v>Measurement, observation, photo, watering, feed batch, training, maintenance, problem, note.</x:v>
      </x:c>
      <x:c r="E37" s="60" t="str">
        <x:v>Corrections supersede; history immutable.</x:v>
      </x:c>
      <x:c r="F37" s="60"/>
      <x:c r="G37" s="60"/>
      <x:c r="H37" s="60"/>
      <x:c r="I37" s="60"/>
      <x:c r="J37" s="60"/>
    </x:row>
    <x:row r="38">
      <x:c r="A38" s="60" t="str">
        <x:v>13</x:v>
      </x:c>
      <x:c r="B38" s="60" t="str">
        <x:v>Single stack compiler</x:v>
      </x:c>
      <x:c r="C38" s="60" t="str">
        <x:v>P0</x:v>
      </x:c>
      <x:c r="D38" s="60" t="str">
        <x:v>Preset + RunSnapshot + phase + measurements + evidence rules -&gt; resolved daily stack.</x:v>
      </x:c>
      <x:c r="E38" s="60" t="str">
        <x:v>Dashboard/Daily/Mix/export parity test.</x:v>
      </x:c>
      <x:c r="F38" s="60"/>
      <x:c r="G38" s="60"/>
      <x:c r="H38" s="60"/>
      <x:c r="I38" s="60"/>
      <x:c r="J38" s="60"/>
    </x:row>
    <x:row r="39">
      <x:c r="A39" s="60" t="str">
        <x:v>14</x:v>
      </x:c>
      <x:c r="B39" s="60" t="str">
        <x:v>Failure UX</x:v>
      </x:c>
      <x:c r="C39" s="60" t="str">
        <x:v>P2</x:v>
      </x:c>
      <x:c r="D39" s="60" t="str">
        <x:v>Blocked/unknown states show missing input, reason, resolution, safe fallback.</x:v>
      </x:c>
      <x:c r="E39" s="60" t="str">
        <x:v>No blank/error state without action.</x:v>
      </x:c>
      <x:c r="F39" s="60"/>
      <x:c r="G39" s="60"/>
      <x:c r="H39" s="60"/>
      <x:c r="I39" s="60"/>
      <x:c r="J39" s="60"/>
    </x:row>
    <x:row r="40">
      <x:c r="A40" s="60" t="str">
        <x:v>15</x:v>
      </x:c>
      <x:c r="B40" s="60" t="str">
        <x:v>Backup/migrations</x:v>
      </x:c>
      <x:c r="C40" s="60" t="str">
        <x:v>P2</x:v>
      </x:c>
      <x:c r="D40" s="60" t="str">
        <x:v>Versioned local repository + export/import + migration/recovery tests.</x:v>
      </x:c>
      <x:c r="E40" s="60" t="str">
        <x:v>Clean-browser restore passes.</x:v>
      </x:c>
      <x:c r="F40" s="60"/>
      <x:c r="G40" s="60"/>
      <x:c r="H40" s="60"/>
      <x:c r="I40" s="60"/>
      <x:c r="J40" s="60"/>
    </x:row>
    <x:row r="41">
      <x:c r="A41" s="60" t="str">
        <x:v>16</x:v>
      </x:c>
      <x:c r="B41" s="60" t="str">
        <x:v>History/experiments</x:v>
      </x:c>
      <x:c r="C41" s="60" t="str">
        <x:v>P2</x:v>
      </x:c>
      <x:c r="D41" s="60" t="str">
        <x:v>Run retrospective, personal baselines, saved comparisons, controlled experiment records.</x:v>
      </x:c>
      <x:c r="E41" s="60" t="str">
        <x:v>Association explicitly separated from causation.</x:v>
      </x:c>
      <x:c r="F41" s="60"/>
      <x:c r="G41" s="60"/>
      <x:c r="H41" s="60"/>
      <x:c r="I41" s="60"/>
      <x:c r="J41" s="60"/>
    </x:row>
    <x:row r="55">
      <x:c r="A55" s="2348" t="str">
        <x:v>VISUAL REFERENCE ONLY — NOT A DOSING SOURCE</x:v>
      </x:c>
      <x:c r="B55" s="2348"/>
      <x:c r="C55" s="2348"/>
      <x:c r="D55" s="2348"/>
      <x:c r="E55" s="2348"/>
      <x:c r="F55" s="2348"/>
      <x:c r="G55" s="2348"/>
      <x:c r="H55" s="2348"/>
      <x:c r="I55" s="2348"/>
      <x:c r="J55" s="2348"/>
    </x:row>
    <x:row r="56">
      <x:c r="A56" s="60" t="str">
        <x:v>User example 1</x:v>
      </x:c>
      <x:c r="B56" s="60" t="str">
        <x:v>https://grower.com.pl/userdata/public/assets/tabele/Advanced%20Nutrients%202021.jpg</x:v>
      </x:c>
      <x:c r="C56" s="60" t="str">
        <x:v>Use: dense feed-chart visual language / phase bands.</x:v>
      </x:c>
      <x:c r="D56" s="60" t="str">
        <x:v>Do not copy numeric values into UKD.</x:v>
      </x:c>
    </x:row>
    <x:row r="57">
      <x:c r="A57" s="60" t="str">
        <x:v>User example 2</x:v>
      </x:c>
      <x:c r="B57" s="60" t="str">
        <x:v>https://tse2.mm.bing.net/th/id/OIP.Q7AQCDAjZv67yaGHUSw_6gHaFQ?r=0&amp;rs=1&amp;pid=ImgDetMain&amp;o=7&amp;rm=3</x:v>
      </x:c>
      <x:c r="C57" s="60" t="str">
        <x:v>Use: feeding-table visual pattern.</x:v>
      </x:c>
      <x:c r="D57" s="60" t="str">
        <x:v>Do not treat image as evidence.</x:v>
      </x:c>
    </x:row>
    <x:row r="58">
      <x:c r="A58" s="60" t="str">
        <x:v>Generated concept asset</x:v>
      </x:c>
      <x:c r="B58" s="60" t="str">
        <x:v>a_high_resolution_flat_graphic_infographic_layou.png</x:v>
      </x:c>
      <x:c r="C58" s="60" t="str">
        <x:v>Use: concept/communication only.</x:v>
      </x:c>
      <x:c r="D58" s="60" t="str">
        <x:v>Generated text/numbers are illustrative; canonical data stays in XLSX/PDF feed schema.</x:v>
      </x:c>
    </x:row>
  </x:sheetData>
  <x:mergeCells>
    <x:mergeCell ref="A18:J18"/>
    <x:mergeCell ref="A25:J25"/>
    <x:mergeCell ref="A55:J55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2361" t="str">
        <x:v>UKD v9 OWNED-STOCK FEED MAP · Eazy Plug/Block -&gt; UGro Rhiza Coco · weekly visualization</x:v>
      </x:c>
      <x:c r="B1" s="2361"/>
      <x:c r="C1" s="2361"/>
      <x:c r="D1" s="2361"/>
      <x:c r="E1" s="2361"/>
      <x:c r="F1" s="2361"/>
      <x:c r="G1" s="2361"/>
      <x:c r="H1" s="2361"/>
      <x:c r="I1" s="2361"/>
      <x:c r="J1" s="2361"/>
      <x:c r="K1" s="2361"/>
      <x:c r="L1" s="2361"/>
      <x:c r="M1" s="2361"/>
      <x:c r="N1" s="2361"/>
      <x:c r="O1" s="2361"/>
    </x:row>
    <x:row r="3">
      <x:c r="A3" s="2348" t="str">
        <x:v>Role / Product</x:v>
      </x:c>
      <x:c r="B3" s="2348" t="str">
        <x:v>Plan state</x:v>
      </x:c>
      <x:c r="C3" s="2348" t="str">
        <x:v>Gate / interpretation</x:v>
      </x:c>
      <x:c r="D3" s="2348" t="str">
        <x:v>W1</x:v>
      </x:c>
      <x:c r="E3" s="2348" t="str">
        <x:v>W2</x:v>
      </x:c>
      <x:c r="F3" s="2348" t="str">
        <x:v>W3</x:v>
      </x:c>
      <x:c r="G3" s="2348" t="str">
        <x:v>W4</x:v>
      </x:c>
      <x:c r="H3" s="2348" t="str">
        <x:v>W5</x:v>
      </x:c>
      <x:c r="I3" s="2348" t="str">
        <x:v>W6</x:v>
      </x:c>
      <x:c r="J3" s="2348" t="str">
        <x:v>W7</x:v>
      </x:c>
      <x:c r="K3" s="2348" t="str">
        <x:v>W8</x:v>
      </x:c>
      <x:c r="L3" s="2348" t="str">
        <x:v>W9</x:v>
      </x:c>
      <x:c r="M3" s="2348" t="str">
        <x:v>W10</x:v>
      </x:c>
      <x:c r="N3" s="2348" t="str">
        <x:v>W11</x:v>
      </x:c>
      <x:c r="O3" s="2348" t="str">
        <x:v>W12</x:v>
      </x:c>
    </x:row>
    <x:row r="4">
      <x:c r="A4" s="2356" t="str">
        <x:v>PHASE</x:v>
      </x:c>
      <x:c r="B4" s="2356" t="str">
        <x:v>Timeline</x:v>
      </x:c>
      <x:c r="C4" s="2356" t="str">
        <x:v>Calendar display only</x:v>
      </x:c>
      <x:c r="D4" s="2356" t="str">
        <x:v>Keimung / Etablierung</x:v>
      </x:c>
      <x:c r="E4" s="2356" t="str">
        <x:v>Etablierung / Early Veg</x:v>
      </x:c>
      <x:c r="F4" s="2356" t="str">
        <x:v>Early Veg / Veg / LST</x:v>
      </x:c>
      <x:c r="G4" s="2356" t="str">
        <x:v>Veg / LST / Preflower-Watch</x:v>
      </x:c>
      <x:c r="H4" s="2356" t="str">
        <x:v>Transition / Stretch (B1)</x:v>
      </x:c>
      <x:c r="I4" s="2356" t="str">
        <x:v>Early Flower (B2)</x:v>
      </x:c>
      <x:c r="J4" s="2356" t="str">
        <x:v>Flower I (B3)</x:v>
      </x:c>
      <x:c r="K4" s="2356" t="str">
        <x:v>Peak Flower (B4)</x:v>
      </x:c>
      <x:c r="L4" s="2356" t="str">
        <x:v>Peak Flower (B5)</x:v>
      </x:c>
      <x:c r="M4" s="2356" t="str">
        <x:v>Late Flower (B6)</x:v>
      </x:c>
      <x:c r="N4" s="2356" t="str">
        <x:v>Ripening (B7)</x:v>
      </x:c>
      <x:c r="O4" s="2356" t="str">
        <x:v>Harvest / Extension (B7+)</x:v>
      </x:c>
    </x:row>
    <x:row r="5" ht="44" customHeight="1">
      <x:c r="A5" s="2356" t="str">
        <x:v>Medium path</x:v>
      </x:c>
      <x:c r="B5" s="2356" t="str">
        <x:v>REFERENCE</x:v>
      </x:c>
      <x:c r="C5" s="2356" t="str">
        <x:v>Eazy Plug Mini -&gt; Eazy Block Standard -&gt; UGro Rhiza Coco; transplant by root/plant state</x:v>
      </x:c>
      <x:c r="D5" s="2356" t="str">
        <x:v>Eazy/Block</x:v>
      </x:c>
      <x:c r="E5" s="2356" t="str">
        <x:v>Eazy/Block</x:v>
      </x:c>
      <x:c r="F5" s="2356" t="str">
        <x:v>Eazy/Block</x:v>
      </x:c>
      <x:c r="G5" s="2356" t="str">
        <x:v>Eazy/Block</x:v>
      </x:c>
      <x:c r="H5" s="2356" t="str">
        <x:v>UGro Rhiza</x:v>
      </x:c>
      <x:c r="I5" s="2356" t="str">
        <x:v>UGro Rhiza</x:v>
      </x:c>
      <x:c r="J5" s="2356" t="str">
        <x:v>UGro Rhiza</x:v>
      </x:c>
      <x:c r="K5" s="2356" t="str">
        <x:v>UGro Rhiza</x:v>
      </x:c>
      <x:c r="L5" s="2356" t="str">
        <x:v>UGro Rhiza</x:v>
      </x:c>
      <x:c r="M5" s="2356" t="str">
        <x:v>UGro Rhiza</x:v>
      </x:c>
      <x:c r="N5" s="2356" t="str">
        <x:v>UGro Rhiza</x:v>
      </x:c>
      <x:c r="O5" s="2356" t="str">
        <x:v>UGro Rhiza</x:v>
      </x:c>
    </x:row>
    <x:row r="6" ht="44" customHeight="1">
      <x:c r="A6" s="1880" t="str">
        <x:v>HESI Base</x:v>
      </x:c>
      <x:c r="B6" s="1880" t="str">
        <x:v>CORE</x:v>
      </x:c>
      <x:c r="C6" s="1880" t="str">
        <x:v>Day values are eligible plan doses; base start also requires propagation/plant gate</x:v>
      </x:c>
      <x:c r="D6" s="1880" t="str">
        <x:v>TNT 1.25</x:v>
      </x:c>
      <x:c r="E6" s="1880" t="str">
        <x:v>TNT 1.25 / TNT 2</x:v>
      </x:c>
      <x:c r="F6" s="1880" t="str">
        <x:v>TNT 2 / TNT 2.5</x:v>
      </x:c>
      <x:c r="G6" s="1880" t="str">
        <x:v>TNT 2.5</x:v>
      </x:c>
      <x:c r="H6" s="1880" t="str">
        <x:v>Coco 2.5</x:v>
      </x:c>
      <x:c r="I6" s="1880" t="str">
        <x:v>Coco 3.25</x:v>
      </x:c>
      <x:c r="J6" s="1880" t="str">
        <x:v>Coco 3.75</x:v>
      </x:c>
      <x:c r="K6" s="1880" t="str">
        <x:v>Coco 4</x:v>
      </x:c>
      <x:c r="L6" s="1880" t="str">
        <x:v>Coco 4</x:v>
      </x:c>
      <x:c r="M6" s="1880" t="str">
        <x:v>Coco 3.5</x:v>
      </x:c>
      <x:c r="N6" s="1880" t="str">
        <x:v>Coco 2.5</x:v>
      </x:c>
      <x:c r="O6" s="1880" t="str">
        <x:v>Coco 1.5</x:v>
      </x:c>
    </x:row>
    <x:row r="7" ht="44" customHeight="1">
      <x:c r="A7" s="1880" t="str">
        <x:v>Wurzel Complex</x:v>
      </x:c>
      <x:c r="B7" s="1880" t="str">
        <x:v>CORE EARLY</x:v>
      </x:c>
      <x:c r="C7" s="1880" t="str">
        <x:v>2.5 ml/L = half label dose for frequent/long-term use; actual watering event still gates application</x:v>
      </x:c>
      <x:c r="D7" s="1880" t="str">
        <x:v>2.5 ml/L · 7d</x:v>
      </x:c>
      <x:c r="E7" s="1880" t="str">
        <x:v>2.5 ml/L · 7d</x:v>
      </x:c>
      <x:c r="F7" s="1880" t="str">
        <x:v>2.5 ml/L · 1d</x:v>
      </x:c>
      <x:c r="G7" s="1880" t="str">
        <x:v>—</x:v>
      </x:c>
      <x:c r="H7" s="1880" t="str">
        <x:v>—</x:v>
      </x:c>
      <x:c r="I7" s="1880" t="str">
        <x:v>—</x:v>
      </x:c>
      <x:c r="J7" s="1880" t="str">
        <x:v>—</x:v>
      </x:c>
      <x:c r="K7" s="1880" t="str">
        <x:v>—</x:v>
      </x:c>
      <x:c r="L7" s="1880" t="str">
        <x:v>—</x:v>
      </x:c>
      <x:c r="M7" s="1880" t="str">
        <x:v>—</x:v>
      </x:c>
      <x:c r="N7" s="1880" t="str">
        <x:v>—</x:v>
      </x:c>
      <x:c r="O7" s="1880" t="str">
        <x:v>—</x:v>
      </x:c>
    </x:row>
    <x:row r="8" ht="44" customHeight="1">
      <x:c r="A8" s="1880" t="str">
        <x:v>PowerZyme</x:v>
      </x:c>
      <x:c r="B8" s="1880" t="str">
        <x:v>CORE</x:v>
      </x:c>
      <x:c r="C8" s="1880" t="str">
        <x:v>Current v9 resolves 2 ml/L from earliest nutrient day through Bloom-Tag 49; actual application/log remains separate</x:v>
      </x:c>
      <x:c r="D8" s="1880" t="str">
        <x:v>2 ml/L · 3d</x:v>
      </x:c>
      <x:c r="E8" s="1880" t="str">
        <x:v>2 ml/L · 7d</x:v>
      </x:c>
      <x:c r="F8" s="1880" t="str">
        <x:v>2 ml/L · 7d</x:v>
      </x:c>
      <x:c r="G8" s="1880" t="str">
        <x:v>2 ml/L · 7d</x:v>
      </x:c>
      <x:c r="H8" s="1880" t="str">
        <x:v>2 ml/L · 7d</x:v>
      </x:c>
      <x:c r="I8" s="1880" t="str">
        <x:v>2 ml/L · 7d</x:v>
      </x:c>
      <x:c r="J8" s="1880" t="str">
        <x:v>2 ml/L · 7d</x:v>
      </x:c>
      <x:c r="K8" s="1880" t="str">
        <x:v>2 ml/L · 7d</x:v>
      </x:c>
      <x:c r="L8" s="1880" t="str">
        <x:v>2 ml/L · 7d</x:v>
      </x:c>
      <x:c r="M8" s="1880" t="str">
        <x:v>2 ml/L · 7d</x:v>
      </x:c>
      <x:c r="N8" s="1880" t="str">
        <x:v>2 ml/L · 7d</x:v>
      </x:c>
      <x:c r="O8" s="1880" t="str">
        <x:v>—</x:v>
      </x:c>
    </x:row>
    <x:row r="9" ht="44" customHeight="1">
      <x:c r="A9" s="1880" t="str">
        <x:v>SuperVit</x:v>
      </x:c>
      <x:c r="B9" s="1880" t="str">
        <x:v>CORE</x:v>
      </x:c>
      <x:c r="C9" s="1880" t="str">
        <x:v>0.015 ml/L plan microdose; manufacturer reference is every watering/spraying; no forced watering</x:v>
      </x:c>
      <x:c r="D9" s="1880" t="str">
        <x:v>0.015 ml/L · 7d</x:v>
      </x:c>
      <x:c r="E9" s="1880" t="str">
        <x:v>0.015 ml/L · 7d</x:v>
      </x:c>
      <x:c r="F9" s="1880" t="str">
        <x:v>0.015 ml/L · 7d</x:v>
      </x:c>
      <x:c r="G9" s="1880" t="str">
        <x:v>0.015 ml/L · 7d</x:v>
      </x:c>
      <x:c r="H9" s="1880" t="str">
        <x:v>0.015 ml/L · 7d</x:v>
      </x:c>
      <x:c r="I9" s="1880" t="str">
        <x:v>0.015 ml/L · 7d</x:v>
      </x:c>
      <x:c r="J9" s="1880" t="str">
        <x:v>0.015 ml/L · 7d</x:v>
      </x:c>
      <x:c r="K9" s="1880" t="str">
        <x:v>0.015 ml/L · 7d</x:v>
      </x:c>
      <x:c r="L9" s="1880" t="str">
        <x:v>0.015 ml/L · 7d</x:v>
      </x:c>
      <x:c r="M9" s="1880" t="str">
        <x:v>0.015 ml/L · 7d</x:v>
      </x:c>
      <x:c r="N9" s="1880" t="str">
        <x:v>0.015 ml/L · 7d</x:v>
      </x:c>
      <x:c r="O9" s="1880" t="str">
        <x:v>0.015 ml/L · 4d</x:v>
      </x:c>
    </x:row>
    <x:row r="10" ht="44" customHeight="1">
      <x:c r="A10" s="1880" t="str">
        <x:v>HESI Boost</x:v>
      </x:c>
      <x:c r="B10" s="1880" t="str">
        <x:v>CORE BLOOM</x:v>
      </x:c>
      <x:c r="C10" s="1880" t="str">
        <x:v>Preferred owned bloom biostim path; current UKD cadence remains conservative once-weekly plan event</x:v>
      </x:c>
      <x:c r="D10" s="1880" t="str">
        <x:v>—</x:v>
      </x:c>
      <x:c r="E10" s="1880" t="str">
        <x:v>—</x:v>
      </x:c>
      <x:c r="F10" s="1880" t="str">
        <x:v>—</x:v>
      </x:c>
      <x:c r="G10" s="1880" t="str">
        <x:v>—</x:v>
      </x:c>
      <x:c r="H10" s="1880" t="str">
        <x:v>2 ml/L · 1d</x:v>
      </x:c>
      <x:c r="I10" s="1880" t="str">
        <x:v>2 ml/L · 1d</x:v>
      </x:c>
      <x:c r="J10" s="1880" t="str">
        <x:v>2 ml/L · 1d</x:v>
      </x:c>
      <x:c r="K10" s="1880" t="str">
        <x:v>2 ml/L · 1d</x:v>
      </x:c>
      <x:c r="L10" s="1880" t="str">
        <x:v>2 ml/L · 1d</x:v>
      </x:c>
      <x:c r="M10" s="1880" t="str">
        <x:v>2 ml/L · 1d</x:v>
      </x:c>
      <x:c r="N10" s="1880" t="str">
        <x:v>2 ml/L · 1d</x:v>
      </x:c>
      <x:c r="O10" s="1880" t="str">
        <x:v>2 ml/L · 1d</x:v>
      </x:c>
    </x:row>
    <x:row r="11" ht="44" customHeight="1">
      <x:c r="A11" s="1880" t="str">
        <x:v>HESI PK13/14</x:v>
      </x:c>
      <x:c r="B11" s="1880" t="str">
        <x:v>CORE LATE BLOOM</x:v>
      </x:c>
      <x:c r="C11" s="1880" t="str">
        <x:v>Preferred owned PK path; corrected v9 uses numeric Bloom-Tag and ramps 0.25-&gt;0.5 in Bloom-Tag 29-42</x:v>
      </x:c>
      <x:c r="D11" s="1880" t="str">
        <x:v>—</x:v>
      </x:c>
      <x:c r="E11" s="1880" t="str">
        <x:v>—</x:v>
      </x:c>
      <x:c r="F11" s="1880" t="str">
        <x:v>—</x:v>
      </x:c>
      <x:c r="G11" s="1880" t="str">
        <x:v>—</x:v>
      </x:c>
      <x:c r="H11" s="1880" t="str">
        <x:v>—</x:v>
      </x:c>
      <x:c r="I11" s="1880" t="str">
        <x:v>—</x:v>
      </x:c>
      <x:c r="J11" s="1880" t="str">
        <x:v>—</x:v>
      </x:c>
      <x:c r="K11" s="1880" t="str">
        <x:v>—</x:v>
      </x:c>
      <x:c r="L11" s="1880" t="str">
        <x:v>0.25–0.365 ml/L · 7d</x:v>
      </x:c>
      <x:c r="M11" s="1880" t="str">
        <x:v>0.385–0.5 ml/L · 7d</x:v>
      </x:c>
      <x:c r="N11" s="1880" t="str">
        <x:v>—</x:v>
      </x:c>
      <x:c r="O11" s="1880" t="str">
        <x:v>—</x:v>
      </x:c>
    </x:row>
    <x:row r="12" ht="44" customHeight="1">
      <x:c r="A12" s="2242" t="str">
        <x:v>Voodoo Juice</x:v>
      </x:c>
      <x:c r="B12" s="2242" t="str">
        <x:v>SELECTED COMPLEMENT</x:v>
      </x:c>
      <x:c r="C12" s="2242" t="str">
        <x:v>Defined fresh UKD events; manufacturer cross-brand compatibility != independent efficacy proof</x:v>
      </x:c>
      <x:c r="D12" s="2242" t="str">
        <x:v>2 ml/L · 1d</x:v>
      </x:c>
      <x:c r="E12" s="2242" t="str">
        <x:v>2 ml/L · 1d</x:v>
      </x:c>
      <x:c r="F12" s="2242" t="str">
        <x:v>—</x:v>
      </x:c>
      <x:c r="G12" s="2242" t="str">
        <x:v>—</x:v>
      </x:c>
      <x:c r="H12" s="2242" t="str">
        <x:v>2 ml/L · 1d</x:v>
      </x:c>
      <x:c r="I12" s="2242" t="str">
        <x:v>2 ml/L · 1d</x:v>
      </x:c>
      <x:c r="J12" s="2242" t="str">
        <x:v>—</x:v>
      </x:c>
      <x:c r="K12" s="2242" t="str">
        <x:v>—</x:v>
      </x:c>
      <x:c r="L12" s="2242" t="str">
        <x:v>—</x:v>
      </x:c>
      <x:c r="M12" s="2242" t="str">
        <x:v>—</x:v>
      </x:c>
      <x:c r="N12" s="2242" t="str">
        <x:v>—</x:v>
      </x:c>
      <x:c r="O12" s="2242" t="str">
        <x:v>—</x:v>
      </x:c>
    </x:row>
    <x:row r="13" ht="44" customHeight="1">
      <x:c r="A13" s="2242" t="str">
        <x:v>Tarantula</x:v>
      </x:c>
      <x:c r="B13" s="2242" t="str">
        <x:v>SELECTED COMPLEMENT</x:v>
      </x:c>
      <x:c r="C13" s="2242" t="str">
        <x:v>Selected with Voodoo; same conservative fresh events; no Piranha purchase required</x:v>
      </x:c>
      <x:c r="D13" s="2242" t="str">
        <x:v>2 ml/L · 1d</x:v>
      </x:c>
      <x:c r="E13" s="2242" t="str">
        <x:v>2 ml/L · 1d</x:v>
      </x:c>
      <x:c r="F13" s="2242" t="str">
        <x:v>—</x:v>
      </x:c>
      <x:c r="G13" s="2242" t="str">
        <x:v>—</x:v>
      </x:c>
      <x:c r="H13" s="2242" t="str">
        <x:v>2 ml/L · 1d</x:v>
      </x:c>
      <x:c r="I13" s="2242" t="str">
        <x:v>2 ml/L · 1d</x:v>
      </x:c>
      <x:c r="J13" s="2242" t="str">
        <x:v>—</x:v>
      </x:c>
      <x:c r="K13" s="2242" t="str">
        <x:v>—</x:v>
      </x:c>
      <x:c r="L13" s="2242" t="str">
        <x:v>—</x:v>
      </x:c>
      <x:c r="M13" s="2242" t="str">
        <x:v>—</x:v>
      </x:c>
      <x:c r="N13" s="2242" t="str">
        <x:v>—</x:v>
      </x:c>
      <x:c r="O13" s="2242" t="str">
        <x:v>—</x:v>
      </x:c>
    </x:row>
    <x:row r="14" ht="44" customHeight="1">
      <x:c r="A14" s="2064" t="str">
        <x:v>Athena Balance</x:v>
      </x:c>
      <x:c r="B14" s="2064" t="str">
        <x:v>CONDITIONAL</x:v>
      </x:c>
      <x:c r="C14" s="2064" t="str">
        <x:v>Preferred owned Si/pH path; no universal calendar rate; remains 0 until titration gate</x:v>
      </x:c>
      <x:c r="D14" s="2064" t="str">
        <x:v>—</x:v>
      </x:c>
      <x:c r="E14" s="2064" t="str">
        <x:v>—</x:v>
      </x:c>
      <x:c r="F14" s="2064" t="str">
        <x:v>—</x:v>
      </x:c>
      <x:c r="G14" s="2064" t="str">
        <x:v>—</x:v>
      </x:c>
      <x:c r="H14" s="2064" t="str">
        <x:v>—</x:v>
      </x:c>
      <x:c r="I14" s="2064" t="str">
        <x:v>—</x:v>
      </x:c>
      <x:c r="J14" s="2064" t="str">
        <x:v>—</x:v>
      </x:c>
      <x:c r="K14" s="2064" t="str">
        <x:v>—</x:v>
      </x:c>
      <x:c r="L14" s="2064" t="str">
        <x:v>—</x:v>
      </x:c>
      <x:c r="M14" s="2064" t="str">
        <x:v>—</x:v>
      </x:c>
      <x:c r="N14" s="2064" t="str">
        <x:v>—</x:v>
      </x:c>
      <x:c r="O14" s="2064" t="str">
        <x:v>—</x:v>
      </x:c>
    </x:row>
    <x:row r="15" ht="44" customHeight="1">
      <x:c r="A15" s="2064" t="str">
        <x:v>Sensi CalMag Xtra</x:v>
      </x:c>
      <x:c r="B15" s="2064" t="str">
        <x:v>CONDITIONAL</x:v>
      </x:c>
      <x:c r="C15" s="2064" t="str">
        <x:v>Owned source; dose equals explicit CalMag Plan only; current default 0</x:v>
      </x:c>
      <x:c r="D15" s="2064" t="str">
        <x:v>—</x:v>
      </x:c>
      <x:c r="E15" s="2064" t="str">
        <x:v>—</x:v>
      </x:c>
      <x:c r="F15" s="2064" t="str">
        <x:v>—</x:v>
      </x:c>
      <x:c r="G15" s="2064" t="str">
        <x:v>—</x:v>
      </x:c>
      <x:c r="H15" s="2064" t="str">
        <x:v>—</x:v>
      </x:c>
      <x:c r="I15" s="2064" t="str">
        <x:v>—</x:v>
      </x:c>
      <x:c r="J15" s="2064" t="str">
        <x:v>—</x:v>
      </x:c>
      <x:c r="K15" s="2064" t="str">
        <x:v>—</x:v>
      </x:c>
      <x:c r="L15" s="2064" t="str">
        <x:v>—</x:v>
      </x:c>
      <x:c r="M15" s="2064" t="str">
        <x:v>—</x:v>
      </x:c>
      <x:c r="N15" s="2064" t="str">
        <x:v>—</x:v>
      </x:c>
      <x:c r="O15" s="2064" t="str">
        <x:v>—</x:v>
      </x:c>
    </x:row>
    <x:row r="16" ht="44" customHeight="1">
      <x:c r="A16" s="2338" t="str">
        <x:v>Tasty Terpenes</x:v>
      </x:c>
      <x:c r="B16" s="2338" t="str">
        <x:v>OWNED / OFF</x:v>
      </x:c>
      <x:c r="C16" s="2338" t="str">
        <x:v>Future isolated A/B only; no reference-run calendar dose</x:v>
      </x:c>
      <x:c r="D16" s="2338" t="str">
        <x:v>—</x:v>
      </x:c>
      <x:c r="E16" s="2338" t="str">
        <x:v>—</x:v>
      </x:c>
      <x:c r="F16" s="2338" t="str">
        <x:v>—</x:v>
      </x:c>
      <x:c r="G16" s="2338" t="str">
        <x:v>—</x:v>
      </x:c>
      <x:c r="H16" s="2338" t="str">
        <x:v>—</x:v>
      </x:c>
      <x:c r="I16" s="2338" t="str">
        <x:v>—</x:v>
      </x:c>
      <x:c r="J16" s="2338" t="str">
        <x:v>—</x:v>
      </x:c>
      <x:c r="K16" s="2338" t="str">
        <x:v>—</x:v>
      </x:c>
      <x:c r="L16" s="2338" t="str">
        <x:v>—</x:v>
      </x:c>
      <x:c r="M16" s="2338" t="str">
        <x:v>—</x:v>
      </x:c>
      <x:c r="N16" s="2338" t="str">
        <x:v>—</x:v>
      </x:c>
      <x:c r="O16" s="2338" t="str">
        <x:v>—</x:v>
      </x:c>
    </x:row>
    <x:row r="17" ht="44" customHeight="1">
      <x:c r="A17" s="2338" t="str">
        <x:v>CarboLoad</x:v>
      </x:c>
      <x:c r="B17" s="2338" t="str">
        <x:v>TINY REMAINDER / OFF</x:v>
      </x:c>
      <x:c r="C17" s="2338" t="str">
        <x:v>No repurchase; do not add merely to use remainder while HESI Boost is selected</x:v>
      </x:c>
      <x:c r="D17" s="2338" t="str">
        <x:v>—</x:v>
      </x:c>
      <x:c r="E17" s="2338" t="str">
        <x:v>—</x:v>
      </x:c>
      <x:c r="F17" s="2338" t="str">
        <x:v>—</x:v>
      </x:c>
      <x:c r="G17" s="2338" t="str">
        <x:v>—</x:v>
      </x:c>
      <x:c r="H17" s="2338" t="str">
        <x:v>—</x:v>
      </x:c>
      <x:c r="I17" s="2338" t="str">
        <x:v>—</x:v>
      </x:c>
      <x:c r="J17" s="2338" t="str">
        <x:v>—</x:v>
      </x:c>
      <x:c r="K17" s="2338" t="str">
        <x:v>—</x:v>
      </x:c>
      <x:c r="L17" s="2338" t="str">
        <x:v>—</x:v>
      </x:c>
      <x:c r="M17" s="2338" t="str">
        <x:v>—</x:v>
      </x:c>
      <x:c r="N17" s="2338" t="str">
        <x:v>—</x:v>
      </x:c>
      <x:c r="O17" s="2338" t="str">
        <x:v>—</x:v>
      </x:c>
    </x:row>
    <x:row r="20">
      <x:c r="A20" s="2348" t="str">
        <x:v>HOW TO READ THE MAP</x:v>
      </x:c>
      <x:c r="B20" s="2348"/>
      <x:c r="C20" s="2348"/>
      <x:c r="D20" s="2348"/>
      <x:c r="E20" s="2348"/>
      <x:c r="F20" s="2348"/>
      <x:c r="G20" s="2348"/>
      <x:c r="H20" s="2348"/>
      <x:c r="I20" s="2348"/>
      <x:c r="J20" s="2348"/>
      <x:c r="K20" s="2348"/>
      <x:c r="L20" s="2348"/>
      <x:c r="M20" s="2348"/>
      <x:c r="N20" s="2348"/>
      <x:c r="O20" s="2348"/>
    </x:row>
    <x:row r="21">
      <x:c r="A21" s="2360" t="str">
        <x:v>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</x:v>
      </x:c>
      <x:c r="B21" s="2360"/>
      <x:c r="C21" s="2360"/>
      <x:c r="D21" s="2360"/>
      <x:c r="E21" s="2360"/>
      <x:c r="F21" s="2360"/>
      <x:c r="G21" s="2360"/>
      <x:c r="H21" s="2360"/>
      <x:c r="I21" s="2360"/>
      <x:c r="J21" s="2360"/>
      <x:c r="K21" s="2360"/>
      <x:c r="L21" s="2360"/>
      <x:c r="M21" s="2360"/>
      <x:c r="N21" s="2360"/>
      <x:c r="O21" s="2360"/>
    </x:row>
    <x:row r="22">
      <x:c r="A22" s="2360"/>
      <x:c r="B22" s="2360"/>
      <x:c r="C22" s="2360"/>
      <x:c r="D22" s="2360"/>
      <x:c r="E22" s="2360"/>
      <x:c r="F22" s="2360"/>
      <x:c r="G22" s="2360"/>
      <x:c r="H22" s="2360"/>
      <x:c r="I22" s="2360"/>
      <x:c r="J22" s="2360"/>
      <x:c r="K22" s="2360"/>
      <x:c r="L22" s="2360"/>
      <x:c r="M22" s="2360"/>
      <x:c r="N22" s="2360"/>
      <x:c r="O22" s="2360"/>
    </x:row>
    <x:row r="23">
      <x:c r="A23" s="2360"/>
      <x:c r="B23" s="2360"/>
      <x:c r="C23" s="2360"/>
      <x:c r="D23" s="2360"/>
      <x:c r="E23" s="2360"/>
      <x:c r="F23" s="2360"/>
      <x:c r="G23" s="2360"/>
      <x:c r="H23" s="2360"/>
      <x:c r="I23" s="2360"/>
      <x:c r="J23" s="2360"/>
      <x:c r="K23" s="2360"/>
      <x:c r="L23" s="2360"/>
      <x:c r="M23" s="2360"/>
      <x:c r="N23" s="2360"/>
      <x:c r="O23" s="2360"/>
    </x:row>
    <x:row r="25">
      <x:c r="A25" s="2348" t="str">
        <x:v>Source / scope</x:v>
      </x:c>
      <x:c r="B25" s="2348" t="str">
        <x:v>URL</x:v>
      </x:c>
      <x:c r="C25" s="2348" t="str">
        <x:v>Use</x:v>
      </x:c>
      <x:c r="D25" s="2348"/>
      <x:c r="E25" s="2348"/>
      <x:c r="F25" s="2348"/>
      <x:c r="G25" s="2348"/>
      <x:c r="H25" s="2348"/>
      <x:c r="I25" s="2348"/>
      <x:c r="J25" s="2348"/>
      <x:c r="K25" s="2348"/>
      <x:c r="L25" s="2348"/>
      <x:c r="M25" s="2348"/>
      <x:c r="N25" s="2348"/>
      <x:c r="O25" s="2348"/>
    </x:row>
    <x:row r="26">
      <x:c r="A26" s="60" t="str">
        <x:v>Eazy Plug technical specs / FAQ</x:v>
      </x:c>
      <x:c r="B26" s="60" t="str">
        <x:v>https://www.eazy-plug.com/eazy-plug-tech-specs/</x:v>
      </x:c>
      <x:c r="C26" s="60" t="str">
        <x:v>Predetermined/buffered pH/EC and no pre-correction requirement.</x:v>
      </x:c>
    </x:row>
    <x:row r="27">
      <x:c r="A27" s="60" t="str">
        <x:v>UGro COCO Rhiza</x:v>
      </x:c>
      <x:c r="B27" s="60" t="str">
        <x:v>https://simplyorganicsl.com/en/product/xl-rhiza/</x:v>
      </x:c>
      <x:c r="C27" s="60" t="str">
        <x:v>True-buffered Rhiza coco product reference; pH/EC are substrate specs.</x:v>
      </x:c>
    </x:row>
    <x:row r="28">
      <x:c r="A28" s="60" t="str">
        <x:v>HESI TNT</x:v>
      </x:c>
      <x:c r="B28" s="60" t="str">
        <x:v>https://hesi.nl/de/TNT-COMPLEX</x:v>
      </x:c>
      <x:c r="C28" s="60" t="str">
        <x:v>Half dose for very young seedlings; seeds initially carry nutrients.</x:v>
      </x:c>
    </x:row>
    <x:row r="29">
      <x:c r="A29" s="60" t="str">
        <x:v>HESI Root Complex</x:v>
      </x:c>
      <x:c r="B29" s="60" t="str">
        <x:v>https://hesi.nl/de/Wurzel-Complex</x:v>
      </x:c>
      <x:c r="C29" s="60" t="str">
        <x:v>5 ml/L label; half for frequent/long-term use.</x:v>
      </x:c>
    </x:row>
    <x:row r="30">
      <x:c r="A30" s="60" t="str">
        <x:v>HESI PowerZyme</x:v>
      </x:c>
      <x:c r="B30" s="60" t="str">
        <x:v>https://hesi.nl/de/PowerZyme</x:v>
      </x:c>
      <x:c r="C30" s="60" t="str">
        <x:v>2 ml/L; continuous-use product reference.</x:v>
      </x:c>
    </x:row>
    <x:row r="31">
      <x:c r="A31" s="60" t="str">
        <x:v>HESI Boost</x:v>
      </x:c>
      <x:c r="B31" s="60" t="str">
        <x:v>https://hesi.nl/de/Boost</x:v>
      </x:c>
      <x:c r="C31" s="60" t="str">
        <x:v>2 ml/L regular bloom use; UKD cadence is a conservative adaptation.</x:v>
      </x:c>
    </x:row>
    <x:row r="32">
      <x:c r="A32" s="60" t="str">
        <x:v>Advanced Nutrients feeding</x:v>
      </x:c>
      <x:c r="B32" s="60" t="str">
        <x:v>https://www.advancednutrients.com/de/feeding/</x:v>
      </x:c>
      <x:c r="C32" s="60" t="str">
        <x:v>Manufacturer reference/compatibility context; not the UKD HESI base.</x:v>
      </x:c>
    </x:row>
  </x:sheetData>
  <x:mergeCells>
    <x:mergeCell ref="A1:O1"/>
    <x:mergeCell ref="A20:O20"/>
    <x:mergeCell ref="A21:O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40" hidden="0" customWidth="1"/>
    <x:col min="5" max="5" width="42" hidden="0" customWidth="1"/>
    <x:col min="6" max="6" width="20" hidden="0" customWidth="1"/>
    <x:col min="7" max="7" width="30" hidden="0" customWidth="1"/>
  </x:cols>
  <x:sheetData>
    <x:row r="1">
      <x:c r="A1" s="2348" t="str">
        <x:v>Term</x:v>
      </x:c>
      <x:c r="B1" s="2348" t="str">
        <x:v>One-line / Guided</x:v>
      </x:c>
      <x:c r="C1" s="2348" t="str">
        <x:v>Operational meaning</x:v>
      </x:c>
      <x:c r="D1" s="2348" t="str">
        <x:v>Do / check</x:v>
      </x:c>
      <x:c r="E1" s="2348" t="str">
        <x:v>Do NOT infer</x:v>
      </x:c>
      <x:c r="F1" s="2348" t="str">
        <x:v>State / evidence</x:v>
      </x:c>
      <x:c r="G1" s="2348" t="str">
        <x:v>Source / note</x:v>
      </x:c>
    </x:row>
    <x:row r="2" ht="48" customHeight="1">
      <x:c r="A2" s="2356" t="str">
        <x:v>PPFD</x:v>
      </x:c>
      <x:c r="B2" s="60" t="str">
        <x:v>Lichtdichte am Canopy.</x:v>
      </x:c>
      <x:c r="C2" s="60" t="str">
        <x:v>Momentane Photonenflussdichte am Messpunkt.</x:v>
      </x:c>
      <x:c r="D2" s="60" t="str">
        <x:v>Messpunkt, Höhe, Sensor und Zeitpunkt dokumentieren.</x:v>
      </x:c>
      <x:c r="E2" s="60" t="str">
        <x:v>Watt oder Lampenabstand sind kein Ersatz für gemessenes PPFD.</x:v>
      </x:c>
      <x:c r="F2" s="60" t="str">
        <x:v>measurement/target</x:v>
      </x:c>
      <x:c r="G2" s="60" t="str">
        <x:v>UKD domain</x:v>
      </x:c>
    </x:row>
    <x:row r="3" ht="48" customHeight="1">
      <x:c r="A3" s="2356" t="str">
        <x:v>DLI</x:v>
      </x:c>
      <x:c r="B3" s="60" t="str">
        <x:v>Lichtmenge über einen ganzen Tag.</x:v>
      </x:c>
      <x:c r="C3" s="60" t="str">
        <x:v>Integral aus PPFD und Photoperiode.</x:v>
      </x:c>
      <x:c r="D3" s="60" t="str">
        <x:v>Photoperiode + PPFD prüfen; bei Änderung neu berechnen.</x:v>
      </x:c>
      <x:c r="E3" s="60" t="str">
        <x:v>Ein einzelner PPFD-Wert ist nicht automatisch DLI.</x:v>
      </x:c>
      <x:c r="F3" s="60" t="str">
        <x:v>derived/target</x:v>
      </x:c>
      <x:c r="G3" s="60" t="str">
        <x:v>UKD calculation</x:v>
      </x:c>
    </x:row>
    <x:row r="4" ht="48" customHeight="1">
      <x:c r="A4" s="2356" t="str">
        <x:v>EC</x:v>
      </x:c>
      <x:c r="B4" s="60" t="str">
        <x:v>Elektrische Leitfähigkeit der Lösung.</x:v>
      </x:c>
      <x:c r="C4" s="60" t="str">
        <x:v>Proxy für gelöste Ionen; Input und Drain getrennt betrachten.</x:v>
      </x:c>
      <x:c r="D4" s="60" t="str">
        <x:v>Gerät kalibrieren; Temperatur/Einheit/Probe loggen.</x:v>
      </x:c>
      <x:c r="E4" s="60" t="str">
        <x:v>EC sagt nicht, welches Ion fehlt oder zu viel ist.</x:v>
      </x:c>
      <x:c r="F4" s="60" t="str">
        <x:v>measured/target</x:v>
      </x:c>
      <x:c r="G4" s="60" t="str">
        <x:v>measurement principle</x:v>
      </x:c>
    </x:row>
    <x:row r="5" ht="48" customHeight="1">
      <x:c r="A5" s="2356" t="str">
        <x:v>pH</x:v>
      </x:c>
      <x:c r="B5" s="60" t="str">
        <x:v>Säure-/Basenzustand der fertigen Lösung.</x:v>
      </x:c>
      <x:c r="C5" s="60" t="str">
        <x:v>Endmix nach vollständigem Mischen beurteilen.</x:v>
      </x:c>
      <x:c r="D5" s="60" t="str">
        <x:v>Meter kalibrieren; nicht auf Nachkommastellen 'jagen'.</x:v>
      </x:c>
      <x:c r="E5" s="60" t="str">
        <x:v>Substrat-pH, Wasser-pH und Endmix-pH sind nicht dasselbe.</x:v>
      </x:c>
      <x:c r="F5" s="60" t="str">
        <x:v>measured/target</x:v>
      </x:c>
      <x:c r="G5" s="60" t="str">
        <x:v>HESI/UKD</x:v>
      </x:c>
    </x:row>
    <x:row r="6" ht="48" customHeight="1">
      <x:c r="A6" s="2356" t="str">
        <x:v>Leaf-VPD</x:v>
      </x:c>
      <x:c r="B6" s="60" t="str">
        <x:v>Geschätzter Dampfdruckunterschied Blatt-Luft.</x:v>
      </x:c>
      <x:c r="C6" s="60" t="str">
        <x:v>Abhängig von Lufttemp, rF und Blatt-Temperatur.</x:v>
      </x:c>
      <x:c r="D6" s="60" t="str">
        <x:v>IR-Blatttemperatur bevorzugen; Schätzung kennzeichnen.</x:v>
      </x:c>
      <x:c r="E6" s="60" t="str">
        <x:v>Feste Blatt-ΔT-Annahme ist keine Messung.</x:v>
      </x:c>
      <x:c r="F6" s="60" t="str">
        <x:v>derived/simulated</x:v>
      </x:c>
      <x:c r="G6" s="60" t="str">
        <x:v>UKD calculation</x:v>
      </x:c>
    </x:row>
    <x:row r="7" ht="48" customHeight="1">
      <x:c r="A7" s="2356" t="str">
        <x:v>Drain-EC</x:v>
      </x:c>
      <x:c r="B7" s="60" t="str">
        <x:v>EC einer definierten Drain-/Runoff-Probe.</x:v>
      </x:c>
      <x:c r="C7" s="60" t="str">
        <x:v>Diagnoseindikator für Salz-/Wasserhaushalt.</x:v>
      </x:c>
      <x:c r="D7" s="60" t="str">
        <x:v>Probenmethode, Volumen, Zeitpunkt und Input-EC gemeinsam loggen.</x:v>
      </x:c>
      <x:c r="E7" s="60" t="str">
        <x:v>Ein einzelner Drainwert ist keine automatische Spül-Anweisung.</x:v>
      </x:c>
      <x:c r="F7" s="60" t="str">
        <x:v>measured</x:v>
      </x:c>
      <x:c r="G7" s="60" t="str">
        <x:v>UKD safety</x:v>
      </x:c>
    </x:row>
    <x:row r="8" ht="48" customHeight="1">
      <x:c r="A8" s="2356" t="str">
        <x:v>Water band</x:v>
      </x:c>
      <x:c r="B8" s="60" t="str">
        <x:v>Start-/Beobachtungsbereich, keine Soll-Dosis.</x:v>
      </x:c>
      <x:c r="C8" s="60" t="str">
        <x:v>Hilft bei Planung, wird von Pflanzen-/Topfstatus überschrieben.</x:v>
      </x:c>
      <x:c r="D8" s="60" t="str">
        <x:v>Topfmasse/Feuchte/Pflanzenreaktion priorisieren.</x:v>
      </x:c>
      <x:c r="E8" s="60" t="str">
        <x:v>Liter/Tag nie erzwingen.</x:v>
      </x:c>
      <x:c r="F8" s="60" t="str">
        <x:v>target/heuristic</x:v>
      </x:c>
      <x:c r="G8" s="60" t="str">
        <x:v>UKD</x:v>
      </x:c>
    </x:row>
    <x:row r="9" ht="48" customHeight="1">
      <x:c r="A9" s="2356" t="str">
        <x:v>TARGET</x:v>
      </x:c>
      <x:c r="B9" s="60" t="str">
        <x:v>Geplanter Wert oder Bereich.</x:v>
      </x:c>
      <x:c r="C9" s="60" t="str">
        <x:v>Soll/Trajektorie, nicht Messung.</x:v>
      </x:c>
      <x:c r="D9" s="60" t="str">
        <x:v>Mit measured/actual vergleichen.</x:v>
      </x:c>
      <x:c r="E9" s="60" t="str">
        <x:v>Target != live/actual.</x:v>
      </x:c>
      <x:c r="F9" s="60" t="str">
        <x:v>data state</x:v>
      </x:c>
      <x:c r="G9" s="60" t="str">
        <x:v>Product spec</x:v>
      </x:c>
    </x:row>
    <x:row r="10" ht="48" customHeight="1">
      <x:c r="A10" s="2356" t="str">
        <x:v>MEASURED</x:v>
      </x:c>
      <x:c r="B10" s="60" t="str">
        <x:v>Tatsächlich gemessen.</x:v>
      </x:c>
      <x:c r="C10" s="60" t="str">
        <x:v>Braucht Zeitpunkt, Einheit, Gerät/Methode und Qualität.</x:v>
      </x:c>
      <x:c r="D10" s="60" t="str">
        <x:v>Kalibrierung/Staleness prüfen.</x:v>
      </x:c>
      <x:c r="E10" s="60" t="str">
        <x:v>Messwert ist nicht automatisch korrekt oder kausal.</x:v>
      </x:c>
      <x:c r="F10" s="60" t="str">
        <x:v>data state</x:v>
      </x:c>
      <x:c r="G10" s="60" t="str">
        <x:v>Product spec + metrology</x:v>
      </x:c>
    </x:row>
    <x:row r="11" ht="48" customHeight="1">
      <x:c r="A11" s="2356" t="str">
        <x:v>DERIVED</x:v>
      </x:c>
      <x:c r="B11" s="60" t="str">
        <x:v>Aus Messungen/Inputs berechnet.</x:v>
      </x:c>
      <x:c r="C11" s="60" t="str">
        <x:v>Formel + Version + Eingaben müssen nachvollziehbar sein.</x:v>
      </x:c>
      <x:c r="D11" s="60" t="str">
        <x:v>Inputs und Formelversion anzeigen.</x:v>
      </x:c>
      <x:c r="E11" s="60" t="str">
        <x:v>Derived != measured.</x:v>
      </x:c>
      <x:c r="F11" s="60" t="str">
        <x:v>data state</x:v>
      </x:c>
      <x:c r="G11" s="60" t="str">
        <x:v>v9 extension</x:v>
      </x:c>
    </x:row>
    <x:row r="12" ht="48" customHeight="1">
      <x:c r="A12" s="2356" t="str">
        <x:v>SIMULATED</x:v>
      </x:c>
      <x:c r="B12" s="60" t="str">
        <x:v>Modellierter Wert.</x:v>
      </x:c>
      <x:c r="C12" s="60" t="str">
        <x:v>Hypothetisches Ergebnis aus Annahmen.</x:v>
      </x:c>
      <x:c r="D12" s="60" t="str">
        <x:v>Annahmen/Unsicherheit anzeigen.</x:v>
      </x:c>
      <x:c r="E12" s="60" t="str">
        <x:v>Nie als live/measured darstellen.</x:v>
      </x:c>
      <x:c r="F12" s="60" t="str">
        <x:v>data state</x:v>
      </x:c>
      <x:c r="G12" s="60" t="str">
        <x:v>Product spec</x:v>
      </x:c>
    </x:row>
    <x:row r="13" ht="48" customHeight="1">
      <x:c r="A13" s="2356" t="str">
        <x:v>USER INPUT</x:v>
      </x:c>
      <x:c r="B13" s="60" t="str">
        <x:v>Nutzereingabe / Setup-Fakt.</x:v>
      </x:c>
      <x:c r="C13" s="60" t="str">
        <x:v>Konfiguration oder Beobachtung; keine Evidenzklasse.</x:v>
      </x:c>
      <x:c r="D13" s="60" t="str">
        <x:v>Quelle/Datum/Confidence speichern.</x:v>
      </x:c>
      <x:c r="E13" s="60" t="str">
        <x:v>User Input != Evidence.</x:v>
      </x:c>
      <x:c r="F13" s="60" t="str">
        <x:v>data state</x:v>
      </x:c>
      <x:c r="G13" s="60" t="str">
        <x:v>Rules of Evidence</x:v>
      </x:c>
    </x:row>
    <x:row r="14" ht="48" customHeight="1">
      <x:c r="A14" s="2356" t="str">
        <x:v>MISSING / UNKNOWN</x:v>
      </x:c>
      <x:c r="B14" s="60" t="str">
        <x:v>Noch nicht bekannt.</x:v>
      </x:c>
      <x:c r="C14" s="60" t="str">
        <x:v>Legitimer Zustand, der je nach Regel blockieren kann.</x:v>
      </x:c>
      <x:c r="D14" s="60" t="str">
        <x:v>Zeige warum relevant + wie ermittelbar.</x:v>
      </x:c>
      <x:c r="E14" s="60" t="str">
        <x:v>Niemals still schätzen.</x:v>
      </x:c>
      <x:c r="F14" s="60" t="str">
        <x:v>data state</x:v>
      </x:c>
      <x:c r="G14" s="60" t="str">
        <x:v>Fail-closed</x:v>
      </x:c>
    </x:row>
    <x:row r="15" ht="48" customHeight="1">
      <x:c r="A15" s="2356" t="str">
        <x:v>STALE</x:v>
      </x:c>
      <x:c r="B15" s="60" t="str">
        <x:v>Messung/Quelle ist zu alt für den aktuellen Zweck.</x:v>
      </x:c>
      <x:c r="C15" s="60" t="str">
        <x:v>Alter und Gültigkeitsfenster sind kontextabhängig.</x:v>
      </x:c>
      <x:c r="D15" s="60" t="str">
        <x:v>Refresh/remeasure action anbieten.</x:v>
      </x:c>
      <x:c r="E15" s="60" t="str">
        <x:v>Alt != falsch, aber evtl. nicht entscheidungsfähig.</x:v>
      </x:c>
      <x:c r="F15" s="60" t="str">
        <x:v>data state</x:v>
      </x:c>
      <x:c r="G15" s="60" t="str">
        <x:v>v9 extension</x:v>
      </x:c>
    </x:row>
    <x:row r="16" ht="48" customHeight="1">
      <x:c r="A16" s="2356" t="str">
        <x:v>CONDITIONAL</x:v>
      </x:c>
      <x:c r="B16" s="60" t="str">
        <x:v>Nur bei erfülltem Gate anwendbar.</x:v>
      </x:c>
      <x:c r="C16" s="60" t="str">
        <x:v>Produkt/Aktion existiert, aber Voraussetzung fehlt oder muss bestätigt werden.</x:v>
      </x:c>
      <x:c r="D16" s="60" t="str">
        <x:v>Gate und fehlende Inputs anzeigen.</x:v>
      </x:c>
      <x:c r="E16" s="60" t="str">
        <x:v>Conditional != recommended by default.</x:v>
      </x:c>
      <x:c r="F16" s="60" t="str">
        <x:v>decision state</x:v>
      </x:c>
      <x:c r="G16" s="60" t="str">
        <x:v>UKD</x:v>
      </x:c>
    </x:row>
    <x:row r="17" ht="48" customHeight="1">
      <x:c r="A17" s="2356" t="str">
        <x:v>BLOCKED</x:v>
      </x:c>
      <x:c r="B17" s="60" t="str">
        <x:v>Keine operative Freigabe.</x:v>
      </x:c>
      <x:c r="C17" s="60" t="str">
        <x:v>Regelkonflikt, fehlender Pflichtinput oder unsicherer Zustand.</x:v>
      </x:c>
      <x:c r="D17" s="60" t="str">
        <x:v>Grund, sichere Alternative und Auflösung anzeigen.</x:v>
      </x:c>
      <x:c r="E17" s="60" t="str">
        <x:v>Nicht durch 'trotzdem' oder Defaultwert umgehen.</x:v>
      </x:c>
      <x:c r="F17" s="60" t="str">
        <x:v>decision state</x:v>
      </x:c>
      <x:c r="G17" s="60" t="str">
        <x:v>UKD safety</x:v>
      </x:c>
    </x:row>
    <x:row r="18" ht="48" customHeight="1">
      <x:c r="A18" s="2356" t="str">
        <x:v>EXPERIMENTAL</x:v>
      </x:c>
      <x:c r="B18" s="60" t="str">
        <x:v>Bewusste Abweichung / A-B-Modul.</x:v>
      </x:c>
      <x:c r="C18" s="60" t="str">
        <x:v>Nicht Teil des Referenzpfads; braucht Hypothese und Log.</x:v>
      </x:c>
      <x:c r="D18" s="60" t="str">
        <x:v>Nur eine relevante Variable pro Pilot wenn möglich.</x:v>
      </x:c>
      <x:c r="E18" s="60" t="str">
        <x:v>Experiment != evidence-backed optimum.</x:v>
      </x:c>
      <x:c r="F18" s="60" t="str">
        <x:v>decision state</x:v>
      </x:c>
      <x:c r="G18" s="60" t="str">
        <x:v>UKD</x:v>
      </x:c>
    </x:row>
    <x:row r="19" ht="48" customHeight="1">
      <x:c r="A19" s="2356" t="str">
        <x:v>MANUFACTURER</x:v>
      </x:c>
      <x:c r="B19" s="60" t="str">
        <x:v>Primärquelle für Label/Kompatibilität.</x:v>
      </x:c>
      <x:c r="C19" s="60" t="str">
        <x:v>Stark für Produktidentität, Dosierlabel, Misch-/Freigabehinweise.</x:v>
      </x:c>
      <x:c r="D19" s="60" t="str">
        <x:v>Aktuelle Version/Datum speichern.</x:v>
      </x:c>
      <x:c r="E19" s="60" t="str">
        <x:v>Herstellerclaim != unabhängige Wirksamkeitsevidenz.</x:v>
      </x:c>
      <x:c r="F19" s="60" t="str">
        <x:v>evidence class</x:v>
      </x:c>
      <x:c r="G19" s="60" t="str">
        <x:v>Rules of Evidence</x:v>
      </x:c>
    </x:row>
    <x:row r="20" ht="48" customHeight="1">
      <x:c r="A20" s="2356" t="str">
        <x:v>UKD INFERENCE</x:v>
      </x:c>
      <x:c r="B20" s="60" t="str">
        <x:v>Engineering- oder Prozessregel.</x:v>
      </x:c>
      <x:c r="C20" s="60" t="str">
        <x:v>Aus Quellen/Constraints abgeleitete Operationalisierung.</x:v>
      </x:c>
      <x:c r="D20" s="60" t="str">
        <x:v>Als UKD kennzeichnen + Inputs/Reason.</x:v>
      </x:c>
      <x:c r="E20" s="60" t="str">
        <x:v>Nicht als Hersteller- oder Studienaussage ausgeben.</x:v>
      </x:c>
      <x:c r="F20" s="60" t="str">
        <x:v>evidence class</x:v>
      </x:c>
      <x:c r="G20" s="60" t="str">
        <x:v>Rules of Evidence</x:v>
      </x:c>
    </x:row>
    <x:row r="21" ht="48" customHeight="1">
      <x:c r="A21" s="2356" t="str">
        <x:v>A/B / N-of-1</x:v>
      </x:c>
      <x:c r="B21" s="60" t="str">
        <x:v>Persönlicher Vergleich unter begrenzter Kontrolle.</x:v>
      </x:c>
      <x:c r="C21" s="60" t="str">
        <x:v>Kann persönliche Hinweise liefern, ist aber oft confounded.</x:v>
      </x:c>
      <x:c r="D21" s="60" t="str">
        <x:v>Hypothese, variable, baseline, outcome und caveats loggen.</x:v>
      </x:c>
      <x:c r="E21" s="60" t="str">
        <x:v>Nicht zu universeller Kausalität hochstufen.</x:v>
      </x:c>
      <x:c r="F21" s="60" t="str">
        <x:v>experiment</x:v>
      </x:c>
      <x:c r="G21" s="60" t="str">
        <x:v>UKD research rules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2" hidden="0" customWidth="1"/>
    <x:col min="5" max="5" width="3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2348" t="str">
        <x:v>Gate</x:v>
      </x:c>
      <x:c r="B1" s="2348" t="str">
        <x:v>Priority</x:v>
      </x:c>
      <x:c r="C1" s="2348" t="str">
        <x:v>/GOAL</x:v>
      </x:c>
      <x:c r="D1" s="2348" t="str">
        <x:v>Release block when</x:v>
      </x:c>
      <x:c r="E1" s="2348" t="str">
        <x:v>Automated check</x:v>
      </x:c>
      <x:c r="F1" s="2348" t="str">
        <x:v>Manual check</x:v>
      </x:c>
      <x:c r="G1" s="2348" t="str">
        <x:v>Owner / layer</x:v>
      </x:c>
      <x:c r="H1" s="2348" t="str">
        <x:v>v9 status</x:v>
      </x:c>
    </x:row>
    <x:row r="2" ht="50" customHeight="1">
      <x:c r="A2" s="60" t="str">
        <x:v>Release identity</x:v>
      </x:c>
      <x:c r="B2" s="1962" t="str">
        <x:v>P0</x:v>
      </x:c>
      <x:c r="C2" s="60" t="str">
        <x:v>App/PDF/XLSX same version + source manifest.</x:v>
      </x:c>
      <x:c r="D2" s="60" t="str">
        <x:v>Any version/date/schema/hash mismatch.</x:v>
      </x:c>
      <x:c r="E2" s="60" t="str">
        <x:v>CI manifest parity + artifact hash check.</x:v>
      </x:c>
      <x:c r="F2" s="60" t="str">
        <x:v>Spot-check visible labels.</x:v>
      </x:c>
      <x:c r="G2" s="60" t="str">
        <x:v>Build/content</x:v>
      </x:c>
      <x:c r="H2" s="60" t="str">
        <x:v>PLANNED APP; XLSX/PDF v9 labeled</x:v>
      </x:c>
    </x:row>
    <x:row r="3" ht="50" customHeight="1">
      <x:c r="A3" s="60" t="str">
        <x:v>Formula integrity</x:v>
      </x:c>
      <x:c r="B3" s="1962" t="str">
        <x:v>P0</x:v>
      </x:c>
      <x:c r="C3" s="60" t="str">
        <x:v>No broken references or semantic column misreferences.</x:v>
      </x:c>
      <x:c r="D3" s="60" t="str">
        <x:v>Formula error or golden fixture mismatch.</x:v>
      </x:c>
      <x:c r="E3" s="60" t="str">
        <x:v>Scan #REF/#VALUE/#NAME + formula fixtures.</x:v>
      </x:c>
      <x:c r="F3" s="60" t="str">
        <x:v>Review key day windows.</x:v>
      </x:c>
      <x:c r="G3" s="60" t="str">
        <x:v>Domain</x:v>
      </x:c>
      <x:c r="H3" s="60" t="str">
        <x:v>FIXED AJ-&gt;AL; tests planned</x:v>
      </x:c>
    </x:row>
    <x:row r="4" ht="50" customHeight="1">
      <x:c r="A4" s="60" t="str">
        <x:v>Product coverage</x:v>
      </x:c>
      <x:c r="B4" s="1962" t="str">
        <x:v>P0</x:v>
      </x:c>
      <x:c r="C4" s="60" t="str">
        <x:v>Every selected product resolves identically everywhere.</x:v>
      </x:c>
      <x:c r="D4" s="60" t="str">
        <x:v>Selected product disappears from Daily/Dashboard/Mix/export.</x:v>
      </x:c>
      <x:c r="E4" s="60" t="str">
        <x:v>Coverage validator.</x:v>
      </x:c>
      <x:c r="F4" s="60" t="str">
        <x:v>Spot-check current day and alternative preset.</x:v>
      </x:c>
      <x:c r="G4" s="60" t="str">
        <x:v>Domain/content</x:v>
      </x:c>
      <x:c r="H4" s="60" t="str">
        <x:v>Existing v8 gate + v9 extension</x:v>
      </x:c>
    </x:row>
    <x:row r="5" ht="50" customHeight="1">
      <x:c r="A5" s="60" t="str">
        <x:v>Fail-closed chemistry</x:v>
      </x:c>
      <x:c r="B5" s="1962" t="str">
        <x:v>P0</x:v>
      </x:c>
      <x:c r="C5" s="60" t="str">
        <x:v>Unknown chemistry stays zero/blocked.</x:v>
      </x:c>
      <x:c r="D5" s="60" t="str">
        <x:v>Positive Athena/CalMag dose from unknown inputs.</x:v>
      </x:c>
      <x:c r="E5" s="60" t="str">
        <x:v>Rule tests.</x:v>
      </x:c>
      <x:c r="F5" s="60" t="str">
        <x:v>Water profile review.</x:v>
      </x:c>
      <x:c r="G5" s="60" t="str">
        <x:v>Safety</x:v>
      </x:c>
      <x:c r="H5" s="60" t="str">
        <x:v>ACTIVE</x:v>
      </x:c>
    </x:row>
    <x:row r="6" ht="50" customHeight="1">
      <x:c r="A6" s="60" t="str">
        <x:v>Propagation gate</x:v>
      </x:c>
      <x:c r="B6" s="1962" t="str">
        <x:v>P0</x:v>
      </x:c>
      <x:c r="C6" s="60" t="str">
        <x:v>Pre-fertilised propagation media do not get blind calendar feed.</x:v>
      </x:c>
      <x:c r="D6" s="60" t="str">
        <x:v>Base action shown as GO without propagation/plant check.</x:v>
      </x:c>
      <x:c r="E6" s="60" t="str">
        <x:v>Run-config validation.</x:v>
      </x:c>
      <x:c r="F6" s="60" t="str">
        <x:v>Check first-run flow with Eazy Plug/Block.</x:v>
      </x:c>
      <x:c r="G6" s="60" t="str">
        <x:v>Safety/domain</x:v>
      </x:c>
      <x:c r="H6" s="60" t="str">
        <x:v>PLAN v9; app pending</x:v>
      </x:c>
    </x:row>
    <x:row r="7" ht="50" customHeight="1">
      <x:c r="A7" s="60" t="str">
        <x:v>Lens invariance</x:v>
      </x:c>
      <x:c r="B7" s="1962" t="str">
        <x:v>P0</x:v>
      </x:c>
      <x:c r="C7" s="60" t="str">
        <x:v>Guided/Advanced/Expert share calculations and decisions.</x:v>
      </x:c>
      <x:c r="D7" s="60" t="str">
        <x:v>Same inputs produce different result across lens.</x:v>
      </x:c>
      <x:c r="E7" s="60" t="str">
        <x:v>Cross-lens snapshot tests.</x:v>
      </x:c>
      <x:c r="F7" s="60" t="str">
        <x:v>Compare critical cards.</x:v>
      </x:c>
      <x:c r="G7" s="60" t="str">
        <x:v>UX/domain</x:v>
      </x:c>
      <x:c r="H7" s="60" t="str">
        <x:v>REQUIRED</x:v>
      </x:c>
    </x:row>
    <x:row r="8" ht="50" customHeight="1">
      <x:c r="A8" s="60" t="str">
        <x:v>Guided next action</x:v>
      </x:c>
      <x:c r="B8" s="2064" t="str">
        <x:v>P1</x:v>
      </x:c>
      <x:c r="C8" s="60" t="str">
        <x:v>First next action visible without analysis.</x:v>
      </x:c>
      <x:c r="D8" s="60" t="str">
        <x:v>No clear required action/blocker above fold.</x:v>
      </x:c>
      <x:c r="E8" s="60" t="str">
        <x:v>E2E locator assertions.</x:v>
      </x:c>
      <x:c r="F8" s="60" t="str">
        <x:v>5-user comprehension/usability test.</x:v>
      </x:c>
      <x:c r="G8" s="60" t="str">
        <x:v>UX</x:v>
      </x:c>
      <x:c r="H8" s="60" t="str">
        <x:v>PLANNED</x:v>
      </x:c>
    </x:row>
    <x:row r="9" ht="50" customHeight="1">
      <x:c r="A9" s="60" t="str">
        <x:v>Typography</x:v>
      </x:c>
      <x:c r="B9" s="2064" t="str">
        <x:v>P1</x:v>
      </x:c>
      <x:c r="C9" s="60" t="str">
        <x:v>Readable text and controls.</x:v>
      </x:c>
      <x:c r="D9" s="60" t="str">
        <x:v>Visible text &lt;11px or control target &lt;44px.</x:v>
      </x:c>
      <x:c r="E9" s="60" t="str">
        <x:v>CSS lint/custom check where feasible.</x:v>
      </x:c>
      <x:c r="F9" s="60" t="str">
        <x:v>200% zoom + mobile + touch audit.</x:v>
      </x:c>
      <x:c r="G9" s="60" t="str">
        <x:v>Design system</x:v>
      </x:c>
      <x:c r="H9" s="60" t="str">
        <x:v>PLANNED</x:v>
      </x:c>
    </x:row>
    <x:row r="10" ht="50" customHeight="1">
      <x:c r="A10" s="60" t="str">
        <x:v>No hover-only safety</x:v>
      </x:c>
      <x:c r="B10" s="2064" t="str">
        <x:v>P1</x:v>
      </x:c>
      <x:c r="C10" s="60" t="str">
        <x:v>Critical meaning available on touch/keyboard.</x:v>
      </x:c>
      <x:c r="D10" s="60" t="str">
        <x:v>Safety/source explanation only appears on hover.</x:v>
      </x:c>
      <x:c r="E10" s="60" t="str">
        <x:v>A11y tests for focus/tap pathways.</x:v>
      </x:c>
      <x:c r="F10" s="60" t="str">
        <x:v>Keyboard/screen-reader review.</x:v>
      </x:c>
      <x:c r="G10" s="60" t="str">
        <x:v>Accessibility</x:v>
      </x:c>
      <x:c r="H10" s="60" t="str">
        <x:v>REQUIRED</x:v>
      </x:c>
    </x:row>
    <x:row r="11" ht="50" customHeight="1">
      <x:c r="A11" s="60" t="str">
        <x:v>Setup readiness</x:v>
      </x:c>
      <x:c r="B11" s="2064" t="str">
        <x:v>P1</x:v>
      </x:c>
      <x:c r="C11" s="60" t="str">
        <x:v>Known/unknown/warnings/blockers explicit.</x:v>
      </x:c>
      <x:c r="D11" s="60" t="str">
        <x:v>Run activates through a hard blocker.</x:v>
      </x:c>
      <x:c r="E11" s="60" t="str">
        <x:v>State-machine tests.</x:v>
      </x:c>
      <x:c r="F11" s="60" t="str">
        <x:v>First-run walkthrough.</x:v>
      </x:c>
      <x:c r="G11" s="60" t="str">
        <x:v>Workflow</x:v>
      </x:c>
      <x:c r="H11" s="60" t="str">
        <x:v>PLANNED</x:v>
      </x:c>
    </x:row>
    <x:row r="12" ht="50" customHeight="1">
      <x:c r="A12" s="60" t="str">
        <x:v>Actual vs plan</x:v>
      </x:c>
      <x:c r="B12" s="2064" t="str">
        <x:v>P1</x:v>
      </x:c>
      <x:c r="C12" s="60" t="str">
        <x:v>Actions create immutable actual events.</x:v>
      </x:c>
      <x:c r="D12" s="60" t="str">
        <x:v>Plan cell silently overwritten with actual data.</x:v>
      </x:c>
      <x:c r="E12" s="60" t="str">
        <x:v>Repository/event tests.</x:v>
      </x:c>
      <x:c r="F12" s="60" t="str">
        <x:v>Edit/correction workflow review.</x:v>
      </x:c>
      <x:c r="G12" s="60" t="str">
        <x:v>Data</x:v>
      </x:c>
      <x:c r="H12" s="60" t="str">
        <x:v>PLANNED</x:v>
      </x:c>
    </x:row>
    <x:row r="13" ht="50" customHeight="1">
      <x:c r="A13" s="60" t="str">
        <x:v>Persistence migration</x:v>
      </x:c>
      <x:c r="B13" s="2338" t="str">
        <x:v>P2</x:v>
      </x:c>
      <x:c r="C13" s="60" t="str">
        <x:v>Historic runs survive schema changes.</x:v>
      </x:c>
      <x:c r="D13" s="60" t="str">
        <x:v>Migration loses/corrupts events.</x:v>
      </x:c>
      <x:c r="E13" s="60" t="str">
        <x:v>Migration + round-trip fixtures.</x:v>
      </x:c>
      <x:c r="F13" s="60" t="str">
        <x:v>Restore test on clean profile.</x:v>
      </x:c>
      <x:c r="G13" s="60" t="str">
        <x:v>Storage</x:v>
      </x:c>
      <x:c r="H13" s="60" t="str">
        <x:v>PLANNED</x:v>
      </x:c>
    </x:row>
    <x:row r="14" ht="50" customHeight="1">
      <x:c r="A14" s="60" t="str">
        <x:v>Backup/recovery</x:v>
      </x:c>
      <x:c r="B14" s="2338" t="str">
        <x:v>P2</x:v>
      </x:c>
      <x:c r="C14" s="60" t="str">
        <x:v>User can restore exported run archive.</x:v>
      </x:c>
      <x:c r="D14" s="60" t="str">
        <x:v>No tested restore path.</x:v>
      </x:c>
      <x:c r="E14" s="60" t="str">
        <x:v>Export/import checksum tests.</x:v>
      </x:c>
      <x:c r="F14" s="60" t="str">
        <x:v>Disaster-recovery drill.</x:v>
      </x:c>
      <x:c r="G14" s="60" t="str">
        <x:v>Storage</x:v>
      </x:c>
      <x:c r="H14" s="60" t="str">
        <x:v>PLANNED</x:v>
      </x:c>
    </x:row>
    <x:row r="15" ht="50" customHeight="1">
      <x:c r="A15" s="60" t="str">
        <x:v>Source freshness</x:v>
      </x:c>
      <x:c r="B15" s="1962" t="str">
        <x:v>P0</x:v>
      </x:c>
      <x:c r="C15" s="60" t="str">
        <x:v>Time-sensitive manufacturer/legal claims reviewed.</x:v>
      </x:c>
      <x:c r="D15" s="60" t="str">
        <x:v>checkedAt expired or source conflict unresolved.</x:v>
      </x:c>
      <x:c r="E15" s="60" t="str">
        <x:v>Content validator.</x:v>
      </x:c>
      <x:c r="F15" s="60" t="str">
        <x:v>Reviewer sign-off.</x:v>
      </x:c>
      <x:c r="G15" s="60" t="str">
        <x:v>Evidence</x:v>
      </x:c>
      <x:c r="H15" s="60" t="str">
        <x:v>EXISTING, extend to v9</x:v>
      </x:c>
    </x:row>
    <x:row r="16" ht="50" customHeight="1">
      <x:c r="A16" s="60" t="str">
        <x:v>Accessibility</x:v>
      </x:c>
      <x:c r="B16" s="2064" t="str">
        <x:v>P1</x:v>
      </x:c>
      <x:c r="C16" s="60" t="str">
        <x:v>WCAG 2.2 AA release target.</x:v>
      </x:c>
      <x:c r="D16" s="60" t="str">
        <x:v>Critical axe issue or keyboard blocker.</x:v>
      </x:c>
      <x:c r="E16" s="60" t="str">
        <x:v>axe/Playwright.</x:v>
      </x:c>
      <x:c r="F16" s="60" t="str">
        <x:v>Real AT + zoom + contrast.</x:v>
      </x:c>
      <x:c r="G16" s="60" t="str">
        <x:v>Accessibility</x:v>
      </x:c>
      <x:c r="H16" s="60" t="str">
        <x:v>EXISTING automation; manual needed</x:v>
      </x:c>
    </x:row>
    <x:row r="17" ht="50" customHeight="1">
      <x:c r="A17" s="60" t="str">
        <x:v>Performance</x:v>
      </x:c>
      <x:c r="B17" s="2338" t="str">
        <x:v>P2</x:v>
      </x:c>
      <x:c r="C17" s="60" t="str">
        <x:v>UI remains responsive on mobile.</x:v>
      </x:c>
      <x:c r="D17" s="60" t="str">
        <x:v>Budget regression beyond agreed thresholds.</x:v>
      </x:c>
      <x:c r="E17" s="60" t="str">
        <x:v>Build size/perf budget.</x:v>
      </x:c>
      <x:c r="F17" s="60" t="str">
        <x:v>Mid-range mobile check.</x:v>
      </x:c>
      <x:c r="G17" s="60" t="str">
        <x:v>Platform</x:v>
      </x:c>
      <x:c r="H17" s="60" t="str">
        <x:v>EXISTING goals</x:v>
      </x:c>
    </x:row>
    <x:row r="18" ht="50" customHeight="1">
      <x:c r="A18" s="60" t="str">
        <x:v>Security/privacy</x:v>
      </x:c>
      <x:c r="B18" s="2338" t="str">
        <x:v>P2</x:v>
      </x:c>
      <x:c r="C18" s="60" t="str">
        <x:v>No sensitive grow/legal data leaks to URL/localStorage/telemetry.</x:v>
      </x:c>
      <x:c r="D18" s="60" t="str">
        <x:v>Sensitive fields stored in prohibited channel.</x:v>
      </x:c>
      <x:c r="E18" s="60" t="str">
        <x:v>Static checks / threat model gates.</x:v>
      </x:c>
      <x:c r="F18" s="60" t="str">
        <x:v>Privacy review.</x:v>
      </x:c>
      <x:c r="G18" s="60" t="str">
        <x:v>Security</x:v>
      </x:c>
      <x:c r="H18" s="60" t="str">
        <x:v>EXISTING principle</x:v>
      </x:c>
    </x:row>
    <x:row r="19" ht="50" customHeight="1">
      <x:c r="A19" s="60" t="str">
        <x:v>Sensor trust</x:v>
      </x:c>
      <x:c r="B19" s="2338" t="str">
        <x:v>P3</x:v>
      </x:c>
      <x:c r="C19" s="60" t="str">
        <x:v>Sensor values carry trust/calibration/staleness.</x:v>
      </x:c>
      <x:c r="D19" s="60" t="str">
        <x:v>Unverified sensor displayed as authoritative live truth.</x:v>
      </x:c>
      <x:c r="E19" s="60" t="str">
        <x:v>Adapter/contract tests.</x:v>
      </x:c>
      <x:c r="F19" s="60" t="str">
        <x:v>Calibration/failure injection.</x:v>
      </x:c>
      <x:c r="G19" s="60" t="str">
        <x:v>Integrations</x:v>
      </x:c>
      <x:c r="H19" s="60" t="str">
        <x:v>FUTURE</x:v>
      </x:c>
    </x:row>
    <x:row r="20" ht="50" customHeight="1">
      <x:c r="A20" s="60" t="str">
        <x:v>Automation safety</x:v>
      </x:c>
      <x:c r="B20" s="2338" t="str">
        <x:v>P4</x:v>
      </x:c>
      <x:c r="C20" s="60" t="str">
        <x:v>Commands require validation/confirmation/ack/verify.</x:v>
      </x:c>
      <x:c r="D20" s="60" t="str">
        <x:v>Actuator action can occur without state transition.</x:v>
      </x:c>
      <x:c r="E20" s="60" t="str">
        <x:v>State-machine tests/failure injection.</x:v>
      </x:c>
      <x:c r="F20" s="60" t="str">
        <x:v>Safe-state drill.</x:v>
      </x:c>
      <x:c r="G20" s="60" t="str">
        <x:v>Automation</x:v>
      </x:c>
      <x:c r="H20" s="60" t="str">
        <x:v>FUTURE</x:v>
      </x:c>
    </x:row>
  </x:sheetData>
  <x:pageMargins left="0.7" right="0.7" top="0.75" bottom="0.75" header="0.3" footer="0.3"/>
</x:worksheet>
</file>